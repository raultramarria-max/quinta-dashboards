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prosepan-my.sharepoint.com/personal/rtramarria_quintasa_cl/Documents/Escritorio/dashboard/"/>
    </mc:Choice>
  </mc:AlternateContent>
  <xr:revisionPtr revIDLastSave="18" documentId="8_{423BF29F-B7A5-474C-965D-BA4E388420CA}" xr6:coauthVersionLast="47" xr6:coauthVersionMax="47" xr10:uidLastSave="{2D14395B-4452-455D-9F14-DE3430086D83}"/>
  <bookViews>
    <workbookView xWindow="-108" yWindow="-108" windowWidth="23256" windowHeight="12576" activeTab="1" xr2:uid="{2F76CB42-7517-425E-A83E-4A13060DCE40}"/>
  </bookViews>
  <sheets>
    <sheet name="Hoja2" sheetId="2" r:id="rId1"/>
    <sheet name="Hoja1" sheetId="1" r:id="rId2"/>
    <sheet name="Hoja3" sheetId="6" r:id="rId3"/>
    <sheet name="Hoja4" sheetId="7" r:id="rId4"/>
  </sheets>
  <externalReferences>
    <externalReference r:id="rId5"/>
    <externalReference r:id="rId6"/>
    <externalReference r:id="rId7"/>
    <externalReference r:id="rId8"/>
  </externalReferences>
  <definedNames>
    <definedName name="_xlnm._FilterDatabase" localSheetId="1" hidden="1">Hoja1!$A$1:$L$525</definedName>
    <definedName name="_xlnm._FilterDatabase" localSheetId="2" hidden="1">Hoja3!$A$1:$F$370</definedName>
  </definedNames>
  <calcPr calcId="191029"/>
  <pivotCaches>
    <pivotCache cacheId="199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1" l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259" i="1"/>
  <c r="I258" i="1" l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K274" i="1"/>
  <c r="K276" i="1"/>
  <c r="K282" i="1"/>
  <c r="K284" i="1"/>
  <c r="K287" i="1"/>
  <c r="K289" i="1"/>
  <c r="K290" i="1"/>
  <c r="K295" i="1"/>
  <c r="K298" i="1"/>
  <c r="K303" i="1"/>
  <c r="K305" i="1"/>
  <c r="K306" i="1"/>
  <c r="K308" i="1"/>
  <c r="K311" i="1"/>
  <c r="K314" i="1"/>
  <c r="K316" i="1"/>
  <c r="K319" i="1"/>
  <c r="K321" i="1"/>
  <c r="K322" i="1"/>
  <c r="K327" i="1"/>
  <c r="K330" i="1"/>
  <c r="K332" i="1"/>
  <c r="K335" i="1"/>
  <c r="K337" i="1"/>
  <c r="K338" i="1"/>
  <c r="K340" i="1"/>
  <c r="K343" i="1"/>
  <c r="K346" i="1"/>
  <c r="K351" i="1"/>
  <c r="K353" i="1"/>
  <c r="K354" i="1"/>
  <c r="K356" i="1"/>
  <c r="K359" i="1"/>
  <c r="K362" i="1"/>
  <c r="K364" i="1"/>
  <c r="K365" i="1"/>
  <c r="K367" i="1"/>
  <c r="K370" i="1"/>
  <c r="K375" i="1"/>
  <c r="K377" i="1"/>
  <c r="K378" i="1"/>
  <c r="K380" i="1"/>
  <c r="K381" i="1"/>
  <c r="K383" i="1"/>
  <c r="K386" i="1"/>
  <c r="K388" i="1"/>
  <c r="K389" i="1"/>
  <c r="K391" i="1"/>
  <c r="K394" i="1"/>
  <c r="K399" i="1"/>
  <c r="K401" i="1"/>
  <c r="K402" i="1"/>
  <c r="K403" i="1"/>
  <c r="K404" i="1"/>
  <c r="K405" i="1"/>
  <c r="K407" i="1"/>
  <c r="K409" i="1"/>
  <c r="K410" i="1"/>
  <c r="K415" i="1"/>
  <c r="K417" i="1"/>
  <c r="K418" i="1"/>
  <c r="K420" i="1"/>
  <c r="K421" i="1"/>
  <c r="K423" i="1"/>
  <c r="K426" i="1"/>
  <c r="K427" i="1"/>
  <c r="K428" i="1"/>
  <c r="K429" i="1"/>
  <c r="K431" i="1"/>
  <c r="K434" i="1"/>
  <c r="K435" i="1"/>
  <c r="K439" i="1"/>
  <c r="K441" i="1"/>
  <c r="K442" i="1"/>
  <c r="K443" i="1"/>
  <c r="K444" i="1"/>
  <c r="K445" i="1"/>
  <c r="K446" i="1"/>
  <c r="K447" i="1"/>
  <c r="K449" i="1"/>
  <c r="K450" i="1"/>
  <c r="K451" i="1"/>
  <c r="K452" i="1"/>
  <c r="K453" i="1"/>
  <c r="K454" i="1"/>
  <c r="K455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L257" i="1"/>
  <c r="L258" i="1"/>
  <c r="J524" i="1"/>
  <c r="J525" i="1"/>
  <c r="H524" i="1"/>
  <c r="H525" i="1"/>
  <c r="J517" i="1"/>
  <c r="J518" i="1"/>
  <c r="J519" i="1"/>
  <c r="J520" i="1"/>
  <c r="J521" i="1"/>
  <c r="J522" i="1"/>
  <c r="J523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L456" i="1"/>
  <c r="L455" i="1"/>
  <c r="L454" i="1"/>
  <c r="L453" i="1"/>
  <c r="K456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J256" i="1"/>
  <c r="J255" i="1"/>
  <c r="J254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5" i="1"/>
  <c r="K277" i="1"/>
  <c r="K278" i="1"/>
  <c r="K279" i="1"/>
  <c r="K280" i="1"/>
  <c r="K281" i="1"/>
  <c r="K283" i="1"/>
  <c r="K285" i="1"/>
  <c r="K286" i="1"/>
  <c r="K288" i="1"/>
  <c r="K291" i="1"/>
  <c r="K292" i="1"/>
  <c r="K293" i="1"/>
  <c r="K294" i="1"/>
  <c r="K296" i="1"/>
  <c r="K297" i="1"/>
  <c r="K299" i="1"/>
  <c r="K300" i="1"/>
  <c r="K301" i="1"/>
  <c r="K302" i="1"/>
  <c r="K304" i="1"/>
  <c r="K307" i="1"/>
  <c r="K309" i="1"/>
  <c r="K310" i="1"/>
  <c r="K312" i="1"/>
  <c r="K313" i="1"/>
  <c r="K315" i="1"/>
  <c r="K317" i="1"/>
  <c r="K318" i="1"/>
  <c r="K320" i="1"/>
  <c r="K323" i="1"/>
  <c r="K324" i="1"/>
  <c r="K325" i="1"/>
  <c r="K326" i="1"/>
  <c r="K328" i="1"/>
  <c r="K329" i="1"/>
  <c r="K331" i="1"/>
  <c r="K333" i="1"/>
  <c r="K334" i="1"/>
  <c r="K336" i="1"/>
  <c r="K339" i="1"/>
  <c r="K341" i="1"/>
  <c r="K342" i="1"/>
  <c r="K344" i="1"/>
  <c r="K345" i="1"/>
  <c r="K347" i="1"/>
  <c r="K348" i="1"/>
  <c r="K349" i="1"/>
  <c r="K350" i="1"/>
  <c r="K352" i="1"/>
  <c r="K355" i="1"/>
  <c r="K357" i="1"/>
  <c r="K358" i="1"/>
  <c r="K360" i="1"/>
  <c r="K361" i="1"/>
  <c r="K363" i="1"/>
  <c r="K366" i="1"/>
  <c r="K368" i="1"/>
  <c r="K369" i="1"/>
  <c r="K371" i="1"/>
  <c r="K372" i="1"/>
  <c r="K373" i="1"/>
  <c r="K374" i="1"/>
  <c r="K376" i="1"/>
  <c r="K379" i="1"/>
  <c r="K382" i="1"/>
  <c r="K384" i="1"/>
  <c r="K385" i="1"/>
  <c r="K387" i="1"/>
  <c r="K390" i="1"/>
  <c r="K392" i="1"/>
  <c r="K393" i="1"/>
  <c r="K395" i="1"/>
  <c r="K396" i="1"/>
  <c r="K397" i="1"/>
  <c r="K398" i="1"/>
  <c r="K400" i="1"/>
  <c r="K406" i="1"/>
  <c r="K408" i="1"/>
  <c r="K411" i="1"/>
  <c r="K412" i="1"/>
  <c r="K413" i="1"/>
  <c r="K414" i="1"/>
  <c r="K416" i="1"/>
  <c r="K419" i="1"/>
  <c r="K422" i="1"/>
  <c r="K424" i="1"/>
  <c r="K425" i="1"/>
  <c r="K430" i="1"/>
  <c r="K432" i="1"/>
  <c r="K433" i="1"/>
  <c r="K436" i="1"/>
  <c r="K437" i="1"/>
  <c r="K438" i="1"/>
  <c r="K440" i="1"/>
  <c r="K448" i="1"/>
  <c r="H255" i="1" l="1"/>
  <c r="H256" i="1"/>
  <c r="H257" i="1"/>
  <c r="H258" i="1"/>
  <c r="K11" i="1"/>
  <c r="K16" i="1"/>
  <c r="K21" i="1"/>
  <c r="K25" i="1"/>
  <c r="K31" i="1"/>
  <c r="K38" i="1"/>
  <c r="K44" i="1"/>
  <c r="K51" i="1"/>
  <c r="K63" i="1"/>
  <c r="K82" i="1"/>
  <c r="K83" i="1"/>
  <c r="K91" i="1"/>
  <c r="K116" i="1"/>
  <c r="K164" i="1"/>
  <c r="K205" i="1"/>
  <c r="K214" i="1"/>
  <c r="K228" i="1"/>
  <c r="K242" i="1"/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" i="1"/>
  <c r="L259" i="1" l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F4" i="6"/>
  <c r="F5" i="6"/>
  <c r="F6" i="6"/>
  <c r="F9" i="6"/>
  <c r="F10" i="6"/>
  <c r="F11" i="6"/>
  <c r="F12" i="6"/>
  <c r="F13" i="6"/>
  <c r="F14" i="6"/>
  <c r="F15" i="6"/>
  <c r="F16" i="6"/>
  <c r="F17" i="6"/>
  <c r="F18" i="6"/>
  <c r="F19" i="6"/>
  <c r="F20" i="6"/>
  <c r="F24" i="6"/>
  <c r="F26" i="6"/>
  <c r="F27" i="6"/>
  <c r="F28" i="6"/>
  <c r="F29" i="6"/>
  <c r="F30" i="6"/>
  <c r="F33" i="6"/>
  <c r="F36" i="6"/>
  <c r="F41" i="6"/>
  <c r="F42" i="6"/>
  <c r="F43" i="6"/>
  <c r="F44" i="6"/>
  <c r="F45" i="6"/>
  <c r="F46" i="6"/>
  <c r="F48" i="6"/>
  <c r="F49" i="6"/>
  <c r="F51" i="6"/>
  <c r="F54" i="6"/>
  <c r="F55" i="6"/>
  <c r="F56" i="6"/>
  <c r="F57" i="6"/>
  <c r="F59" i="6"/>
  <c r="F60" i="6"/>
  <c r="F61" i="6"/>
  <c r="F62" i="6"/>
  <c r="F63" i="6"/>
  <c r="F64" i="6"/>
  <c r="F65" i="6"/>
  <c r="F67" i="6"/>
  <c r="F68" i="6"/>
  <c r="F69" i="6"/>
  <c r="F70" i="6"/>
  <c r="F72" i="6"/>
  <c r="F73" i="6"/>
  <c r="F77" i="6"/>
  <c r="F82" i="6"/>
  <c r="F100" i="6"/>
  <c r="F101" i="6"/>
  <c r="F102" i="6"/>
  <c r="F103" i="6"/>
  <c r="F104" i="6"/>
  <c r="F105" i="6"/>
  <c r="F106" i="6"/>
  <c r="F107" i="6"/>
  <c r="F108" i="6"/>
  <c r="F110" i="6"/>
  <c r="F116" i="6"/>
  <c r="F124" i="6"/>
  <c r="F126" i="6"/>
  <c r="F129" i="6"/>
  <c r="F132" i="6"/>
  <c r="F155" i="6"/>
  <c r="F156" i="6"/>
  <c r="F157" i="6"/>
  <c r="F159" i="6"/>
  <c r="F161" i="6"/>
  <c r="F162" i="6"/>
  <c r="F167" i="6"/>
  <c r="F168" i="6"/>
  <c r="F169" i="6"/>
  <c r="F170" i="6"/>
  <c r="F171" i="6"/>
  <c r="F180" i="6"/>
  <c r="F181" i="6"/>
  <c r="F182" i="6"/>
  <c r="F187" i="6"/>
  <c r="F188" i="6"/>
  <c r="F189" i="6"/>
  <c r="F190" i="6"/>
  <c r="F191" i="6"/>
  <c r="F194" i="6"/>
  <c r="F195" i="6"/>
  <c r="F197" i="6"/>
  <c r="F198" i="6"/>
  <c r="F200" i="6"/>
  <c r="F201" i="6"/>
  <c r="F202" i="6"/>
  <c r="F203" i="6"/>
  <c r="F205" i="6"/>
  <c r="F207" i="6"/>
  <c r="F208" i="6"/>
  <c r="F209" i="6"/>
  <c r="F211" i="6"/>
  <c r="F212" i="6"/>
  <c r="F214" i="6"/>
  <c r="F215" i="6"/>
  <c r="F217" i="6"/>
  <c r="F218" i="6"/>
  <c r="F219" i="6"/>
  <c r="F220" i="6"/>
  <c r="F222" i="6"/>
  <c r="F223" i="6"/>
  <c r="F225" i="6"/>
  <c r="F229" i="6"/>
  <c r="F230" i="6"/>
  <c r="F231" i="6"/>
  <c r="F232" i="6"/>
  <c r="F233" i="6"/>
  <c r="F234" i="6"/>
  <c r="F235" i="6"/>
  <c r="F236" i="6"/>
  <c r="F239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2" i="6"/>
  <c r="F293" i="6"/>
  <c r="F294" i="6"/>
  <c r="F295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9" i="6"/>
  <c r="F350" i="6"/>
  <c r="F351" i="6"/>
  <c r="F356" i="6"/>
  <c r="F357" i="6"/>
  <c r="F358" i="6"/>
  <c r="F364" i="6"/>
  <c r="D3" i="6"/>
  <c r="F3" i="6" s="1"/>
  <c r="D7" i="6"/>
  <c r="F7" i="6" s="1"/>
  <c r="D8" i="6"/>
  <c r="F8" i="6" s="1"/>
  <c r="D21" i="6"/>
  <c r="F21" i="6" s="1"/>
  <c r="D22" i="6"/>
  <c r="F22" i="6" s="1"/>
  <c r="D23" i="6"/>
  <c r="F23" i="6" s="1"/>
  <c r="D25" i="6"/>
  <c r="F25" i="6" s="1"/>
  <c r="D31" i="6"/>
  <c r="F31" i="6" s="1"/>
  <c r="D32" i="6"/>
  <c r="F32" i="6" s="1"/>
  <c r="D34" i="6"/>
  <c r="F34" i="6" s="1"/>
  <c r="D35" i="6"/>
  <c r="F35" i="6" s="1"/>
  <c r="D37" i="6"/>
  <c r="F37" i="6" s="1"/>
  <c r="D38" i="6"/>
  <c r="F38" i="6" s="1"/>
  <c r="D39" i="6"/>
  <c r="F39" i="6" s="1"/>
  <c r="D40" i="6"/>
  <c r="F40" i="6" s="1"/>
  <c r="D47" i="6"/>
  <c r="F47" i="6" s="1"/>
  <c r="D50" i="6"/>
  <c r="F50" i="6" s="1"/>
  <c r="D52" i="6"/>
  <c r="F52" i="6" s="1"/>
  <c r="D53" i="6"/>
  <c r="F53" i="6" s="1"/>
  <c r="D58" i="6"/>
  <c r="F58" i="6" s="1"/>
  <c r="D66" i="6"/>
  <c r="F66" i="6" s="1"/>
  <c r="D71" i="6"/>
  <c r="F71" i="6" s="1"/>
  <c r="D74" i="6"/>
  <c r="F74" i="6" s="1"/>
  <c r="D75" i="6"/>
  <c r="F75" i="6" s="1"/>
  <c r="D76" i="6"/>
  <c r="F76" i="6" s="1"/>
  <c r="D78" i="6"/>
  <c r="F78" i="6" s="1"/>
  <c r="D79" i="6"/>
  <c r="F79" i="6" s="1"/>
  <c r="D80" i="6"/>
  <c r="F80" i="6" s="1"/>
  <c r="D81" i="6"/>
  <c r="F81" i="6" s="1"/>
  <c r="D83" i="6"/>
  <c r="F83" i="6" s="1"/>
  <c r="D84" i="6"/>
  <c r="F84" i="6" s="1"/>
  <c r="D85" i="6"/>
  <c r="F85" i="6" s="1"/>
  <c r="D86" i="6"/>
  <c r="F86" i="6" s="1"/>
  <c r="D87" i="6"/>
  <c r="F87" i="6" s="1"/>
  <c r="D88" i="6"/>
  <c r="F88" i="6" s="1"/>
  <c r="D89" i="6"/>
  <c r="F89" i="6" s="1"/>
  <c r="D90" i="6"/>
  <c r="F90" i="6" s="1"/>
  <c r="D91" i="6"/>
  <c r="F91" i="6" s="1"/>
  <c r="D92" i="6"/>
  <c r="F92" i="6" s="1"/>
  <c r="D93" i="6"/>
  <c r="F93" i="6" s="1"/>
  <c r="D94" i="6"/>
  <c r="F94" i="6" s="1"/>
  <c r="D95" i="6"/>
  <c r="F95" i="6" s="1"/>
  <c r="D96" i="6"/>
  <c r="F96" i="6" s="1"/>
  <c r="D97" i="6"/>
  <c r="F97" i="6" s="1"/>
  <c r="D98" i="6"/>
  <c r="F98" i="6" s="1"/>
  <c r="D99" i="6"/>
  <c r="F99" i="6" s="1"/>
  <c r="D109" i="6"/>
  <c r="F109" i="6" s="1"/>
  <c r="D111" i="6"/>
  <c r="F111" i="6" s="1"/>
  <c r="D112" i="6"/>
  <c r="F112" i="6" s="1"/>
  <c r="D113" i="6"/>
  <c r="F113" i="6" s="1"/>
  <c r="D114" i="6"/>
  <c r="F114" i="6" s="1"/>
  <c r="D115" i="6"/>
  <c r="F115" i="6" s="1"/>
  <c r="D117" i="6"/>
  <c r="F117" i="6" s="1"/>
  <c r="D118" i="6"/>
  <c r="F118" i="6" s="1"/>
  <c r="D119" i="6"/>
  <c r="F119" i="6" s="1"/>
  <c r="D120" i="6"/>
  <c r="F120" i="6" s="1"/>
  <c r="D121" i="6"/>
  <c r="F121" i="6" s="1"/>
  <c r="D122" i="6"/>
  <c r="F122" i="6" s="1"/>
  <c r="D123" i="6"/>
  <c r="F123" i="6" s="1"/>
  <c r="D125" i="6"/>
  <c r="F125" i="6" s="1"/>
  <c r="D127" i="6"/>
  <c r="F127" i="6" s="1"/>
  <c r="D128" i="6"/>
  <c r="F128" i="6" s="1"/>
  <c r="D130" i="6"/>
  <c r="F130" i="6" s="1"/>
  <c r="D131" i="6"/>
  <c r="F131" i="6" s="1"/>
  <c r="D133" i="6"/>
  <c r="F133" i="6" s="1"/>
  <c r="D134" i="6"/>
  <c r="F134" i="6" s="1"/>
  <c r="D135" i="6"/>
  <c r="F135" i="6" s="1"/>
  <c r="D136" i="6"/>
  <c r="F136" i="6" s="1"/>
  <c r="D137" i="6"/>
  <c r="F137" i="6" s="1"/>
  <c r="D138" i="6"/>
  <c r="F138" i="6" s="1"/>
  <c r="D139" i="6"/>
  <c r="F139" i="6" s="1"/>
  <c r="D140" i="6"/>
  <c r="F140" i="6" s="1"/>
  <c r="D141" i="6"/>
  <c r="F141" i="6" s="1"/>
  <c r="D142" i="6"/>
  <c r="F142" i="6" s="1"/>
  <c r="D143" i="6"/>
  <c r="F143" i="6" s="1"/>
  <c r="D144" i="6"/>
  <c r="F144" i="6" s="1"/>
  <c r="D145" i="6"/>
  <c r="F145" i="6" s="1"/>
  <c r="D146" i="6"/>
  <c r="F146" i="6" s="1"/>
  <c r="D147" i="6"/>
  <c r="F147" i="6" s="1"/>
  <c r="D148" i="6"/>
  <c r="F148" i="6" s="1"/>
  <c r="D149" i="6"/>
  <c r="F149" i="6" s="1"/>
  <c r="D150" i="6"/>
  <c r="F150" i="6" s="1"/>
  <c r="D151" i="6"/>
  <c r="F151" i="6" s="1"/>
  <c r="D152" i="6"/>
  <c r="F152" i="6" s="1"/>
  <c r="D153" i="6"/>
  <c r="F153" i="6" s="1"/>
  <c r="D154" i="6"/>
  <c r="F154" i="6" s="1"/>
  <c r="D158" i="6"/>
  <c r="F158" i="6" s="1"/>
  <c r="D160" i="6"/>
  <c r="F160" i="6" s="1"/>
  <c r="D163" i="6"/>
  <c r="F163" i="6" s="1"/>
  <c r="D164" i="6"/>
  <c r="F164" i="6" s="1"/>
  <c r="D165" i="6"/>
  <c r="F165" i="6" s="1"/>
  <c r="D166" i="6"/>
  <c r="F166" i="6" s="1"/>
  <c r="D172" i="6"/>
  <c r="F172" i="6" s="1"/>
  <c r="D173" i="6"/>
  <c r="F173" i="6" s="1"/>
  <c r="D174" i="6"/>
  <c r="F174" i="6" s="1"/>
  <c r="D175" i="6"/>
  <c r="F175" i="6" s="1"/>
  <c r="D176" i="6"/>
  <c r="F176" i="6" s="1"/>
  <c r="D177" i="6"/>
  <c r="F177" i="6" s="1"/>
  <c r="D178" i="6"/>
  <c r="F178" i="6" s="1"/>
  <c r="D179" i="6"/>
  <c r="F179" i="6" s="1"/>
  <c r="D183" i="6"/>
  <c r="F183" i="6" s="1"/>
  <c r="D184" i="6"/>
  <c r="F184" i="6" s="1"/>
  <c r="D185" i="6"/>
  <c r="F185" i="6" s="1"/>
  <c r="D186" i="6"/>
  <c r="F186" i="6" s="1"/>
  <c r="D192" i="6"/>
  <c r="F192" i="6" s="1"/>
  <c r="D193" i="6"/>
  <c r="F193" i="6" s="1"/>
  <c r="D196" i="6"/>
  <c r="F196" i="6" s="1"/>
  <c r="D199" i="6"/>
  <c r="F199" i="6" s="1"/>
  <c r="D204" i="6"/>
  <c r="F204" i="6" s="1"/>
  <c r="D206" i="6"/>
  <c r="F206" i="6" s="1"/>
  <c r="D210" i="6"/>
  <c r="F210" i="6" s="1"/>
  <c r="D213" i="6"/>
  <c r="F213" i="6" s="1"/>
  <c r="D216" i="6"/>
  <c r="F216" i="6" s="1"/>
  <c r="D221" i="6"/>
  <c r="F221" i="6" s="1"/>
  <c r="D224" i="6"/>
  <c r="F224" i="6" s="1"/>
  <c r="D226" i="6"/>
  <c r="F226" i="6" s="1"/>
  <c r="D227" i="6"/>
  <c r="F227" i="6" s="1"/>
  <c r="D228" i="6"/>
  <c r="F228" i="6" s="1"/>
  <c r="D237" i="6"/>
  <c r="F237" i="6" s="1"/>
  <c r="D238" i="6"/>
  <c r="F238" i="6" s="1"/>
  <c r="D240" i="6"/>
  <c r="F240" i="6" s="1"/>
  <c r="F266" i="6"/>
  <c r="F291" i="6"/>
  <c r="F296" i="6"/>
  <c r="F348" i="6"/>
  <c r="D352" i="6"/>
  <c r="F352" i="6" s="1"/>
  <c r="D353" i="6"/>
  <c r="F353" i="6" s="1"/>
  <c r="D354" i="6"/>
  <c r="F354" i="6" s="1"/>
  <c r="D355" i="6"/>
  <c r="F355" i="6" s="1"/>
  <c r="D359" i="6"/>
  <c r="F359" i="6" s="1"/>
  <c r="D360" i="6"/>
  <c r="F360" i="6" s="1"/>
  <c r="D361" i="6"/>
  <c r="F361" i="6" s="1"/>
  <c r="D362" i="6"/>
  <c r="F362" i="6" s="1"/>
  <c r="D363" i="6"/>
  <c r="F363" i="6" s="1"/>
  <c r="D365" i="6"/>
  <c r="F365" i="6" s="1"/>
  <c r="D366" i="6"/>
  <c r="F366" i="6" s="1"/>
  <c r="D367" i="6"/>
  <c r="F367" i="6" s="1"/>
  <c r="D368" i="6"/>
  <c r="F368" i="6" s="1"/>
  <c r="D369" i="6"/>
  <c r="F369" i="6" s="1"/>
  <c r="D2" i="6"/>
  <c r="F2" i="6" s="1"/>
  <c r="E370" i="6"/>
  <c r="C370" i="6"/>
  <c r="D370" i="6" l="1"/>
  <c r="K40" i="1" l="1"/>
  <c r="K226" i="1" l="1"/>
  <c r="K217" i="1"/>
  <c r="K163" i="1"/>
  <c r="K43" i="1" l="1"/>
  <c r="K78" i="1" l="1"/>
  <c r="K215" i="1"/>
  <c r="K239" i="1"/>
  <c r="K10" i="1"/>
  <c r="K4" i="1"/>
  <c r="K236" i="1"/>
  <c r="K17" i="1"/>
  <c r="K36" i="1"/>
  <c r="K77" i="1"/>
  <c r="K213" i="1"/>
  <c r="K32" i="1"/>
  <c r="K216" i="1"/>
  <c r="K196" i="1" l="1"/>
  <c r="K198" i="1"/>
  <c r="K257" i="1"/>
  <c r="K190" i="1"/>
  <c r="K195" i="1" l="1"/>
  <c r="K73" i="1" l="1"/>
  <c r="K224" i="1" l="1"/>
  <c r="K172" i="1"/>
  <c r="K3" i="1" l="1"/>
  <c r="K27" i="1" l="1"/>
  <c r="K158" i="1" l="1"/>
  <c r="K252" i="1" l="1"/>
  <c r="K64" i="1" l="1"/>
  <c r="K34" i="1"/>
  <c r="K251" i="1"/>
  <c r="K250" i="1"/>
  <c r="K65" i="1" l="1"/>
  <c r="K171" i="1" l="1"/>
  <c r="K218" i="1"/>
  <c r="K35" i="1"/>
  <c r="K165" i="1"/>
  <c r="K30" i="1"/>
  <c r="K7" i="1"/>
  <c r="K188" i="1" l="1"/>
  <c r="K189" i="1"/>
  <c r="K234" i="1"/>
  <c r="K33" i="1"/>
  <c r="K229" i="1"/>
  <c r="K90" i="1" l="1"/>
  <c r="K96" i="1"/>
  <c r="K125" i="1"/>
  <c r="K153" i="1"/>
  <c r="K104" i="1"/>
  <c r="K89" i="1"/>
  <c r="K81" i="1"/>
  <c r="K124" i="1"/>
  <c r="K135" i="1"/>
  <c r="K132" i="1"/>
  <c r="K127" i="1"/>
  <c r="K140" i="1"/>
  <c r="K142" i="1"/>
  <c r="K84" i="1"/>
  <c r="K87" i="1"/>
  <c r="K92" i="1"/>
  <c r="K88" i="1"/>
  <c r="K80" i="1"/>
  <c r="K86" i="1"/>
  <c r="K98" i="1"/>
  <c r="K148" i="1"/>
  <c r="K150" i="1"/>
  <c r="K243" i="1"/>
  <c r="K244" i="1"/>
  <c r="K246" i="1"/>
  <c r="K241" i="1"/>
  <c r="K240" i="1"/>
  <c r="K245" i="1"/>
  <c r="K161" i="1"/>
  <c r="K162" i="1"/>
  <c r="K160" i="1"/>
  <c r="K28" i="1"/>
  <c r="K29" i="1"/>
  <c r="K253" i="1"/>
  <c r="K75" i="1"/>
  <c r="K76" i="1"/>
  <c r="K200" i="1"/>
  <c r="K199" i="1"/>
  <c r="K219" i="1"/>
  <c r="K220" i="1"/>
  <c r="K197" i="1"/>
  <c r="K159" i="1"/>
  <c r="K37" i="1"/>
  <c r="K258" i="1"/>
  <c r="K167" i="1"/>
  <c r="K168" i="1"/>
  <c r="K166" i="1"/>
  <c r="K5" i="1"/>
  <c r="K225" i="1"/>
  <c r="K185" i="1"/>
  <c r="K182" i="1"/>
  <c r="K249" i="1"/>
  <c r="K181" i="1"/>
  <c r="K248" i="1"/>
  <c r="K184" i="1"/>
  <c r="K170" i="1"/>
  <c r="K169" i="1"/>
  <c r="K256" i="1"/>
  <c r="K9" i="1"/>
  <c r="K204" i="1"/>
  <c r="K68" i="1"/>
  <c r="K183" i="1"/>
  <c r="K186" i="1"/>
  <c r="K72" i="1"/>
  <c r="K179" i="1"/>
  <c r="K247" i="1"/>
  <c r="K201" i="1"/>
  <c r="K8" i="1"/>
  <c r="K192" i="1"/>
  <c r="K193" i="1"/>
  <c r="K194" i="1"/>
  <c r="K232" i="1"/>
  <c r="K231" i="1"/>
  <c r="K74" i="1"/>
  <c r="K210" i="1"/>
  <c r="K212" i="1"/>
  <c r="K238" i="1"/>
  <c r="K211" i="1"/>
  <c r="K207" i="1"/>
  <c r="K206" i="1"/>
  <c r="K203" i="1"/>
  <c r="K227" i="1"/>
  <c r="K233" i="1"/>
  <c r="K230" i="1"/>
  <c r="K235" i="1"/>
  <c r="K55" i="1"/>
  <c r="K221" i="1"/>
  <c r="K15" i="1"/>
  <c r="K209" i="1"/>
  <c r="K208" i="1"/>
  <c r="K39" i="1"/>
  <c r="K237" i="1"/>
  <c r="K187" i="1"/>
  <c r="K14" i="1"/>
  <c r="K13" i="1"/>
  <c r="K20" i="1"/>
  <c r="K19" i="1"/>
  <c r="K18" i="1"/>
  <c r="K24" i="1"/>
  <c r="K23" i="1"/>
  <c r="K222" i="1"/>
  <c r="K174" i="1"/>
  <c r="K180" i="1"/>
  <c r="K191" i="1"/>
  <c r="K66" i="1"/>
  <c r="K70" i="1"/>
  <c r="K67" i="1"/>
  <c r="K69" i="1"/>
  <c r="K177" i="1"/>
  <c r="K178" i="1"/>
  <c r="K175" i="1"/>
  <c r="K173" i="1"/>
  <c r="K202" i="1"/>
  <c r="K255" i="1"/>
  <c r="K176" i="1"/>
  <c r="K223" i="1"/>
  <c r="K71" i="1"/>
  <c r="K22" i="1"/>
  <c r="K53" i="1"/>
  <c r="K49" i="1"/>
  <c r="K50" i="1"/>
  <c r="K54" i="1"/>
  <c r="K48" i="1"/>
  <c r="K52" i="1"/>
  <c r="K254" i="1"/>
  <c r="K45" i="1"/>
  <c r="K47" i="1"/>
  <c r="K46" i="1"/>
  <c r="K62" i="1"/>
  <c r="K57" i="1"/>
  <c r="K61" i="1"/>
  <c r="K59" i="1"/>
  <c r="K12" i="1"/>
  <c r="K26" i="1"/>
  <c r="K42" i="1"/>
  <c r="K41" i="1"/>
  <c r="K56" i="1"/>
  <c r="K58" i="1"/>
  <c r="K60" i="1"/>
  <c r="K6" i="1"/>
  <c r="K106" i="1"/>
  <c r="K105" i="1"/>
  <c r="K109" i="1"/>
  <c r="K111" i="1"/>
  <c r="K113" i="1"/>
  <c r="K112" i="1"/>
  <c r="K118" i="1"/>
  <c r="K120" i="1"/>
  <c r="K110" i="1"/>
  <c r="K108" i="1"/>
  <c r="K139" i="1"/>
  <c r="K137" i="1"/>
  <c r="K157" i="1"/>
  <c r="K107" i="1"/>
  <c r="K103" i="1"/>
  <c r="K85" i="1"/>
  <c r="K133" i="1"/>
  <c r="K130" i="1"/>
  <c r="K128" i="1"/>
  <c r="K143" i="1"/>
  <c r="K94" i="1"/>
  <c r="K126" i="1"/>
  <c r="K141" i="1"/>
  <c r="K117" i="1"/>
  <c r="K119" i="1"/>
  <c r="K121" i="1"/>
  <c r="K156" i="1"/>
  <c r="K144" i="1"/>
  <c r="K151" i="1"/>
  <c r="K152" i="1"/>
  <c r="K155" i="1"/>
  <c r="K102" i="1"/>
  <c r="K154" i="1"/>
  <c r="K145" i="1"/>
  <c r="K147" i="1"/>
  <c r="K100" i="1"/>
  <c r="K101" i="1"/>
  <c r="K131" i="1"/>
  <c r="K123" i="1"/>
  <c r="K134" i="1"/>
  <c r="K122" i="1"/>
  <c r="K95" i="1"/>
  <c r="K93" i="1"/>
  <c r="K149" i="1" l="1"/>
  <c r="K129" i="1"/>
  <c r="K97" i="1"/>
  <c r="K114" i="1"/>
  <c r="K115" i="1"/>
  <c r="K146" i="1"/>
  <c r="K99" i="1"/>
  <c r="K138" i="1"/>
  <c r="K136" i="1"/>
  <c r="K79" i="1"/>
</calcChain>
</file>

<file path=xl/sharedStrings.xml><?xml version="1.0" encoding="utf-8"?>
<sst xmlns="http://schemas.openxmlformats.org/spreadsheetml/2006/main" count="4015" uniqueCount="832">
  <si>
    <t>ALMENDRAS FILETEADAS EGC</t>
  </si>
  <si>
    <t>EN_MATPR</t>
  </si>
  <si>
    <t>E1-BMP Enea</t>
  </si>
  <si>
    <t>ALMENDRAS FILETEADAS TOSTADAS ALTO LA CRUZ</t>
  </si>
  <si>
    <t>AZUCAR FLOR 5KG MEL ALIMENTOS</t>
  </si>
  <si>
    <t>AZUCAR GRANULADA EGC</t>
  </si>
  <si>
    <t>BASE TORTA 15PP ALTA COEXPAN</t>
  </si>
  <si>
    <t>BELCOLADE AMARGO 55% PURATOS</t>
  </si>
  <si>
    <t>BIZCOCHO CARROT CAKE PAVESI</t>
  </si>
  <si>
    <t>BLISTER 7189 1 PASTEL DEANDES</t>
  </si>
  <si>
    <t>BOLSA PREPICADA BANDEJA  100*90 COLOR AZUL ASTRA</t>
  </si>
  <si>
    <t>BOLSA PREPICADA BANDEJA (22+60+22)104x90</t>
  </si>
  <si>
    <t>BRILLO FRIO RTU PURATOS</t>
  </si>
  <si>
    <t>CACAO AMARGO PURATOS</t>
  </si>
  <si>
    <t>CAFE POLVO WINKLER</t>
  </si>
  <si>
    <t>CAJA  PTG AZUL 15PP ALTA SYCOR</t>
  </si>
  <si>
    <t>CAJA DE ENCOMIENDA (EN) SYCOR</t>
  </si>
  <si>
    <t>CAJA MADRE DE PLANCHAS (PL) SYCOR</t>
  </si>
  <si>
    <t>CAJA PASTELES 600X325X120 ASTRA</t>
  </si>
  <si>
    <t>CAJA PASTELES ASTRA</t>
  </si>
  <si>
    <t>CAPSULA OVALADA N° 10 ARRIAZA</t>
  </si>
  <si>
    <t>CARAVELLA RELL FRÍO-CALIENTE AVELLANA 13 KG MASTER MARTINI</t>
  </si>
  <si>
    <t>CEREZAS AL JUGO CAMPOS</t>
  </si>
  <si>
    <t>CEREZAS AL JUGO DESCAROZADAS TRES ERRES</t>
  </si>
  <si>
    <t>CHOCOLATE SEMI AMARGO 54% MEL</t>
  </si>
  <si>
    <t>CINTA BICOLOR BNEGRO #500</t>
  </si>
  <si>
    <t>CINTA DE EMBALAJE 72x100 SOLUTION</t>
  </si>
  <si>
    <t>CINTA NEGRA GC ZUKKER</t>
  </si>
  <si>
    <t>COBERTURA CHOCOLATE BLANCO</t>
  </si>
  <si>
    <t>COBERTURA CHOCOLATES MONEDAS PURATOS</t>
  </si>
  <si>
    <t>COCO RALLADO ALTO LA CRUZ</t>
  </si>
  <si>
    <t>COCTEL DE FRUTA CAMPOS</t>
  </si>
  <si>
    <t>COGÑAC TRES PALOS DE 1LT</t>
  </si>
  <si>
    <t>COLDFIL PIE DE LIMÓN</t>
  </si>
  <si>
    <t>COLORANTE ARTIFICIAL AMARILLO DUAS RODAS</t>
  </si>
  <si>
    <t>COMBO 88 ALTA 12 PP LISA MOLDES PAC</t>
  </si>
  <si>
    <t>COMBO 88 ALTA 12 PP MOLDES PAC</t>
  </si>
  <si>
    <t>COSTA CHOCOLATE 24X140 GRS CAROZZI</t>
  </si>
  <si>
    <t>COVER PASTELERÍA U2 SEMIAMARGO GOTA PURATOS</t>
  </si>
  <si>
    <t>CREAM CHEESE BALDE MILKAUT SANTA ROSA</t>
  </si>
  <si>
    <t>CREMA AMBIANTE NATA PURATOS</t>
  </si>
  <si>
    <t>CREMA CHANTYPACK PURATOS</t>
  </si>
  <si>
    <t>CREMA CHOCOLATE RICHS</t>
  </si>
  <si>
    <t>CREMA LACTEA DIWATTS</t>
  </si>
  <si>
    <t>CREMA LACTEA SOPROLE</t>
  </si>
  <si>
    <t>CREMA PASTELERA ESPECIAL PURATOS</t>
  </si>
  <si>
    <t>CREMA RELLENO SABOR NARANJA ESP. QUINTA SC 1X5 Kg</t>
  </si>
  <si>
    <t>CREMA VEGETAL AMBIANTE</t>
  </si>
  <si>
    <t>CREMA VEGETAL MASTER MARTINI</t>
  </si>
  <si>
    <t>CREMA WHIP TOPPIN RICH</t>
  </si>
  <si>
    <t>CREMFIL PIE DE LIMON PURATOS</t>
  </si>
  <si>
    <t>CUPULA 170BX DEANDES</t>
  </si>
  <si>
    <t>CUPULA BRAZO REINA MONSALVE</t>
  </si>
  <si>
    <t>CUPULA MEDIA TORTA FOOD PACK</t>
  </si>
  <si>
    <t>CUPULA TARTA 1025-3 MOLDES PAC</t>
  </si>
  <si>
    <t>CUPULA TORTA 15 PP ALTA COEXPAN</t>
  </si>
  <si>
    <t>CUPULA TORTA 15PP (98-45) MOLDESPAC</t>
  </si>
  <si>
    <t>CUPULA TORTA ALTA  15PP (98-5) MOLDESPAC</t>
  </si>
  <si>
    <t>CURLS CHOCOLATE PURATOS</t>
  </si>
  <si>
    <t>DECORCREM BLANCO 4k PURATOS</t>
  </si>
  <si>
    <t>DECORCREM NEGRO PURATOS</t>
  </si>
  <si>
    <t>DISCO CARTON BLANCO 19 CM PRAGGA</t>
  </si>
  <si>
    <t>DISCO CARTON BLANCO 19,5 JUMBO ARRIAZA</t>
  </si>
  <si>
    <t>DISCO CARTON CAFE CORRUGADO 15,5CM CM ASTRA</t>
  </si>
  <si>
    <t>DISCO CARTÓN CORRUGADO 15,5 CM EHLAN</t>
  </si>
  <si>
    <t>DISCO CARTÓN CORRUGADO 19 CM EHLAN</t>
  </si>
  <si>
    <t>DISCO DE PAPEL KRAFT 100GR 21CM PAPELERA</t>
  </si>
  <si>
    <t>DISCO MERENGUE PAVESI</t>
  </si>
  <si>
    <t>DISCO MICROCORRUGADO EMPLACADO 15,5 CM DIÁMETRO ASTRA</t>
  </si>
  <si>
    <t>DISCO MICROCORRUGADO EMPLACADO 19 CM DIÁMETRO ASTRA</t>
  </si>
  <si>
    <t>DISCO PANQUEQUE VAINILLA 19 CM. SEMI ELABORADO UND</t>
  </si>
  <si>
    <t>DULCE DE LECHE MASTER MARTINI</t>
  </si>
  <si>
    <t>DULCE DE RELLENO DIWATTS</t>
  </si>
  <si>
    <t>DURAZNO EN SLICE LAS PERDICES</t>
  </si>
  <si>
    <t>ESENCIA CAFE CARAMELO SABORES Y FRAGANCIA</t>
  </si>
  <si>
    <t>ESENCIA DE VAINILLA TRAVERSO EGC</t>
  </si>
  <si>
    <t>ETIQ. CIRCULAR 90cm IMPR. JUMBO TARTA FRUTA MIXTA SURTIDA</t>
  </si>
  <si>
    <t>ETIQ. CIRCULAR 90cm IMPR. OPP TORTA MIL HOJAS MANJAR ARTESANAL WALMART</t>
  </si>
  <si>
    <t>ETIQ. CIRCULAR 90cm IMPR. TARTA MANJAR NUEZ ESPECIAL JUMBO</t>
  </si>
  <si>
    <t>ETIQ. CIRCULAR 90cm IMPR. TARTA PISTACHO ESPECIAL JUMBO</t>
  </si>
  <si>
    <t>ETIQ. CIRCULAR 90cm IMPR. TORTA BROWNIE ESPECIAL JUMBO</t>
  </si>
  <si>
    <t>ETIQ. CIRCULAR 90cm IMPR. TORTA CARROT CAKE ARTESANAL JUMBO</t>
  </si>
  <si>
    <t>ETIQ. CIRCULAR 90cm IMPR. TORTA CUSINE &amp; CO JUMBO COOKIES AND CREAM</t>
  </si>
  <si>
    <t>ETIQ. CIRCULAR 90cm IMPR. TORTA HOJA FRAMBUESA ESPECIAL JUMBO</t>
  </si>
  <si>
    <t>ETIQ. CIRCULAR 90cm IMPR. TORTA IGNACIA ARTESANAL JUMBO</t>
  </si>
  <si>
    <t>ETIQ. CIRCULAR 90cm IMPR. TORTA LEMON CAKE ESPECIAL JUMBO</t>
  </si>
  <si>
    <t>ETIQ. CIRCULAR 90cm IMPR. TORTA MERENGUE MANZANA FRAMBUESA ESPECIAL JUMBO</t>
  </si>
  <si>
    <t>ETIQ. CIRCULAR 90cm IMPR. TORTA MERENGUE NOUGAT ESPECIAL JUMBO</t>
  </si>
  <si>
    <t>ETIQ. CIRCULAR 90cm IMPR. TORTA MOUSSE CHOCOLATE BLANCO ESPECIAL JUMBO</t>
  </si>
  <si>
    <t>ETIQ. CIRCULAR 90cm IMPR. TORTA RED VELVET ARTESANAL JUMBO</t>
  </si>
  <si>
    <t>ETIQ. CIRCULAR 9cm IMPR. PIE DE FRAMBUESA ESPECIAL JUMBO</t>
  </si>
  <si>
    <t>ETIQ. CIRCULAR 9cm IMPR. PIE DE LIMÓN ESPECIAL JUMBO</t>
  </si>
  <si>
    <t>ETIQ. CIRCULAR 9cm IMPR. PIE DE MARACUYÁ ESPECIAL JUMBO</t>
  </si>
  <si>
    <t>ETIQ. CIRCULAR 9cm IMPR. TORTA CALUGA NUEZ JUMBO</t>
  </si>
  <si>
    <t>ETIQ.CIRCULAR 9cm IMPR. TORTA HOJA PASTELERA JUMBO</t>
  </si>
  <si>
    <t>ETIQ.CIRCULAR 9cm IMPR. TORTA SAN JORGE AVELLANA ARTESANAL JUMBO</t>
  </si>
  <si>
    <t>ETIQ.CIRCULAR 9cm IMPR. TORTA SAN JORGE CHOCOLATE ARTESANAL JUMBO</t>
  </si>
  <si>
    <t>ETIQ.CIRCULAR 9cm IMPR. TORTA SAN JORGE GUINDA ARTESANAL JUMBO</t>
  </si>
  <si>
    <t>ETIQ.CIRCULAR 9cm IMPR. TORTA SAN JORGE LÚCUMA ARTESANAL JUMBO</t>
  </si>
  <si>
    <t>ETIQ.CIRCULAR 9cm TORTA PANQUEQUE NARANJA JUMBO</t>
  </si>
  <si>
    <t>ETIQUETA 200X50 POLIPROPILENO IMPR. QUINTA</t>
  </si>
  <si>
    <t>ETIQUETA AUTOADHESIVA 22X32 POLIPROPILENO (OPP)</t>
  </si>
  <si>
    <t>ETIQUETA BLANCA 100x120 SISA</t>
  </si>
  <si>
    <t>ETIQUETA BLANCA 100x80 SISA</t>
  </si>
  <si>
    <t>ETIQUETA BLANCA 120X100 OPP</t>
  </si>
  <si>
    <t>ETIQUETA BLANCA 200X50 SISA OPP</t>
  </si>
  <si>
    <t>ETIQUETA BLANCA 30X40</t>
  </si>
  <si>
    <t>ETIQUETA BLANCA 40x200 SISA</t>
  </si>
  <si>
    <t>ETIQUETA CIRCULAR 4cm IMPR. PASTEL SISA</t>
  </si>
  <si>
    <t>ETIQUETA CIRCULAR 9,8cm IMPR. PIE  5 COL +UV</t>
  </si>
  <si>
    <t>ETIQUETA CIRCULAR 9,8cm IMPR. TARTA  5 COL +UV</t>
  </si>
  <si>
    <t>ETIQUETA CIRCULAR 90 IMPRESA TORTA MERENGUE FRAMBUESA ESPECIAL JUMBO</t>
  </si>
  <si>
    <t>ETIQUETA CIRCULAR 90 IMPRESA TORTA MERENGUE LÚCUMA ESPECIAL JUMBO</t>
  </si>
  <si>
    <t>ETIQUETA CIRCULAR 9cm IMPR. T.CREMA PIÑA 5 COL +UV</t>
  </si>
  <si>
    <t>ETIQUETA CIRCULAR 9cm IMPR. TORTA CREMA MANJAR</t>
  </si>
  <si>
    <t>ETIQUETA CIRCULAR 9cm IMPR. TORTA SELVA NEGRA</t>
  </si>
  <si>
    <t>ETIQUETA CIRCULAR 9cm IMPR. TORTA TRS LECHES</t>
  </si>
  <si>
    <t>ETIQUETA CIRCULAR 9cm IMPR. TORTA YOGURT FRUTILLA</t>
  </si>
  <si>
    <t>ETIQUETA CIRCULAR 9cm TORTA CALUGA</t>
  </si>
  <si>
    <t>ETIQUETA CIRCULAR 9cm TORTA CHOCOLATE REAL</t>
  </si>
  <si>
    <t>ETIQUETA CIRCULAR 9cm TORTA CHOCOTORTA JUMBO</t>
  </si>
  <si>
    <t>ETIQUETA CIRCULAR 9cm TORTA CREMA CHOCOLATE</t>
  </si>
  <si>
    <t>ETIQUETA CIRCULAR 9cm TORTA DOÑA ISABEL</t>
  </si>
  <si>
    <t>ETIQUETA CIRCULAR 9cm TORTA GALLETA FRAMBUESA</t>
  </si>
  <si>
    <t>ETIQUETA CIRCULAR 9cm TORTA GUINDA CHOCOLATE</t>
  </si>
  <si>
    <t>ETIQUETA CIRCULAR 9cm TORTA HOJA MANJAR JUMBO</t>
  </si>
  <si>
    <t>ETIQUETA CIRCULAR 9cm TORTA MANJAR LUCUMA</t>
  </si>
  <si>
    <t>ETIQUETA CIRCULAR 9cm TORTA PANQUEQUE CHOCOLATE GUINDA</t>
  </si>
  <si>
    <t>ETIQUETA CIRCULAR 9cm TORTA SABOR MANJAR NUEZ</t>
  </si>
  <si>
    <t>ETIQUETA CIRCULAR 9cm TORTA SACHER</t>
  </si>
  <si>
    <t>ETIQUETA CIRCULAR 9cm TORTA SELVA NEGRA VEGANA</t>
  </si>
  <si>
    <t>ETIQUETA CIRCULAR OPCIÓN VEGANA CRISME</t>
  </si>
  <si>
    <t>ETIQUETA OPP TRANSPARENTE 22X32 CRISME</t>
  </si>
  <si>
    <t>ETIQUETA TORTA  MOCACCINO</t>
  </si>
  <si>
    <t>ETIQUETA TORTA MERENGUE COOKIES</t>
  </si>
  <si>
    <t>ETIQUETA TORTA MERENGUE FRAMBUESA CONGELADA</t>
  </si>
  <si>
    <t>ETIQUETA TORTA MERENGUE LEMON PIE</t>
  </si>
  <si>
    <t>ETIQUETA TORTA MERENGUE LUCUMA CONGELADA</t>
  </si>
  <si>
    <t>ETIQUETAS CIRCULAR 9cm  TORTA SELVA NEGRA JUMBO</t>
  </si>
  <si>
    <t>ETIQUETAS CIRCULAR 9cm IMPR. PANQUEQUE NARANJA</t>
  </si>
  <si>
    <t>ETIQUETAS CIRCULAR 9cm IMPR. TORTA 4 LECHES JUMBO</t>
  </si>
  <si>
    <t>ETIQUETAS CIRCULAR 9cm IMPR. TORTA BEATRIZ JUMBO</t>
  </si>
  <si>
    <t>ETIQUETAS CIRCULAR 9cm IMPR. TORTA BOM BOM</t>
  </si>
  <si>
    <t>ETIQUETAS CIRCULAR 9cm IMPR. TORTA DURAZNO MANJAR</t>
  </si>
  <si>
    <t>ETIQUETAS CIRCULAR 9cm IMPR. TORTA HOJA MANJAR</t>
  </si>
  <si>
    <t>ETIQUETAS CIRCULAR 9cm IMPR. TORTA IRLANDESA</t>
  </si>
  <si>
    <t>ETIQUETAS CIRCULAR 9cm IMPR. TORTA PIÑA JUMBO</t>
  </si>
  <si>
    <t>ETIQUETAS CIRCULAR 9cm IMPR. TORTA PQQ. CHOCOLATE MANJAR GUINDA SISA</t>
  </si>
  <si>
    <t>ETIQUETAS CIRCULAR 9cm IMPR. TORTA TRUFFA JUMBO</t>
  </si>
  <si>
    <t>ETIQUETAS CIRCULAR 9cm IMPR. TORTA VIENA JUMBO</t>
  </si>
  <si>
    <t>ETIQUETAS CIRCULAR 9cm IMPR. TORTA VIENA SISA</t>
  </si>
  <si>
    <t>ETIQUETAS CIRCULAR 9cm IMPR.TORTA TRES LECHES JUMB0</t>
  </si>
  <si>
    <t>FIGURA DE CORAZON MANAR</t>
  </si>
  <si>
    <t>FILLING DE FRAMBUESA MEL</t>
  </si>
  <si>
    <t>FILLING DE GUINDA BALDE 4,5 Kg</t>
  </si>
  <si>
    <t>FILM TRANSPARENTE  685 MM (23CM) BATTISTA</t>
  </si>
  <si>
    <t>FRAMBUESA CONGELADA ALTA FRUTA</t>
  </si>
  <si>
    <t>GALLETA OREO REGULAR ALCA</t>
  </si>
  <si>
    <t>GANACHE PURATOS</t>
  </si>
  <si>
    <t>GELATINA FRAMBUESA ALTO LA CRUZ</t>
  </si>
  <si>
    <t>GELATINA S/SABOR ALFA GROUP</t>
  </si>
  <si>
    <t>GELATINA S/SABOR ALTO LA CRUZ</t>
  </si>
  <si>
    <t>GRANA BLANCA</t>
  </si>
  <si>
    <t>GRANA CHOCOLATE</t>
  </si>
  <si>
    <t>GRANA SECA RED VELVET</t>
  </si>
  <si>
    <t>GRANILLO CHOCOLATE MANAR</t>
  </si>
  <si>
    <t>HARINA NUEZ TRES ERRE</t>
  </si>
  <si>
    <t>HOJA SEPARADORA PLANCHAS PROSERVAR</t>
  </si>
  <si>
    <t>HOJA SEPARADORA TARTALETA DIAMETRO 255 MMS.</t>
  </si>
  <si>
    <t>HOJA SEPARADORA TORTA DIAMETRO 230 MMS.</t>
  </si>
  <si>
    <t>HOJA SEPARADORA TORTA MEDIANA DIAMETRO 210 MMS.</t>
  </si>
  <si>
    <t>HOJARASCA 19 CMS. PAVESI</t>
  </si>
  <si>
    <t>INSUMO DISCO PANQUEQUE CHOCOLATE 18 CM.</t>
  </si>
  <si>
    <t>INSUMO INTERPLANTA BIZCOCHO CHOCOLATE 17 CMS</t>
  </si>
  <si>
    <t>INSUMO INTERPLANTA BIZCOCHO RED VELVET 19 CM</t>
  </si>
  <si>
    <t>INSUMO INTERPLANTA BIZCOCHO TIPO TRES LECHES 19 CM.</t>
  </si>
  <si>
    <t>INSUMO SEMI ELABORADO BROWNIE VEGANO INTERPLANTA</t>
  </si>
  <si>
    <t>INSUMO SEMIELABORADO GALLETA OREO MOLIDA</t>
  </si>
  <si>
    <t>INSUMO SEMI-ELABORADO INTERPLANTA BIZCOCHO CHOCOLATE 19cm</t>
  </si>
  <si>
    <t>INSUMO SEMI-ELABORADO INTERPLANTA BIZCOCHO VAINILLA 19cm</t>
  </si>
  <si>
    <t>JARABE 3 LECHES SCHOLLE 10LT DIWATTS</t>
  </si>
  <si>
    <t>JARABE DE REMOJO OCTOBINS</t>
  </si>
  <si>
    <t>JARABE DE REMOJO RON-NJA 40 BIDÓN 5 Lt</t>
  </si>
  <si>
    <t>JUGO DE LIMÓN ALTA FRUTA</t>
  </si>
  <si>
    <t>LAMINA ACETATO TRANSPARENTE 7x60 CM FPS</t>
  </si>
  <si>
    <t>LECHE CONDENSADA NESTLE</t>
  </si>
  <si>
    <t>LECHE CONDENSADA UNTABLE NESTLE</t>
  </si>
  <si>
    <t>LECHE CONDENSADA WATTS</t>
  </si>
  <si>
    <t>MANJAR ARTESANAL DIWATTS</t>
  </si>
  <si>
    <t>MANTEQUILLA WATTS</t>
  </si>
  <si>
    <t>MANZANAS SLICE MEL</t>
  </si>
  <si>
    <t>MARRASQUINO ALTO LA CRUZ</t>
  </si>
  <si>
    <t>MEDIA HOJARASCA OBERENA</t>
  </si>
  <si>
    <t>MEDIO DISCO CARTON BLANCO 19,5 JUMBO ARRIAZA</t>
  </si>
  <si>
    <t>MER. MEL PIÑA BALDE 5 Kg</t>
  </si>
  <si>
    <t>MERENGUE PURATOS</t>
  </si>
  <si>
    <t>MERENGUITOS PAVESI</t>
  </si>
  <si>
    <t>MERM. EBEL GRANDES CONSUMIDORES FRUTILLA BALDE 5 Kg</t>
  </si>
  <si>
    <t>MERM. EBEL GUINDA (ET. VERDE) BL 5 Kg</t>
  </si>
  <si>
    <t>MERM. LAMARKA MARACUYA BALDE 5 Kg</t>
  </si>
  <si>
    <t>MERM. MEL DURAZNO ENT. BALDE 5 Kg</t>
  </si>
  <si>
    <t>MERM. MEL FRAMBUESA QUINTA BALDE 5 Kg</t>
  </si>
  <si>
    <t>MERM. MEL GUINDA ÁCIDA QUINTA BALDE 5 Kg</t>
  </si>
  <si>
    <t>MERMELADA DE FRAMBUESA EBEL</t>
  </si>
  <si>
    <t>NECTAR SABOR NARANJA WATTS</t>
  </si>
  <si>
    <t>NUEVO BRILLO PARA CONGELADO PURATOS</t>
  </si>
  <si>
    <t>NUEZ MARIPOSA CLARA CAMPOS</t>
  </si>
  <si>
    <t>NUEZ PICADILLO CAMPOS</t>
  </si>
  <si>
    <t>NUEZ PICADILLO LAS TRES ERRES</t>
  </si>
  <si>
    <t>OREO MEDIUM CRUMBS (TROZOS) ALCA</t>
  </si>
  <si>
    <t>PALITOS DE CHOCOLATE PURATOS</t>
  </si>
  <si>
    <t>PIÑA EN CUBOS LAS PERDICES</t>
  </si>
  <si>
    <t>PIÑA EN RODAJA LAS PERDICES</t>
  </si>
  <si>
    <t>PISTACHO S/CASCARA TRES ERRES</t>
  </si>
  <si>
    <t>PLANCHA DE CARTON 1X1,20 ASTRA</t>
  </si>
  <si>
    <t>PM CREAM VELVET BAKELS</t>
  </si>
  <si>
    <t>Porción vainilla  Semi-Elab UND</t>
  </si>
  <si>
    <t>PURE DE LUCUMA (ET. VERDE) BALDE 4,5 Kg</t>
  </si>
  <si>
    <t>PURE DE MANZANA BALDE 4,5 Kg MEL</t>
  </si>
  <si>
    <t>RALLADO NEGRO 3mm ZUKKER</t>
  </si>
  <si>
    <t>RELLENO CHOCOLATE CREAM BAKELS</t>
  </si>
  <si>
    <t>RELLENO PIE DE FRAMBUESA</t>
  </si>
  <si>
    <t>RELLENO PIE MARACUYÁ BALDE 4,5 Kg</t>
  </si>
  <si>
    <t>REMOJO 3 LECHES RICHI</t>
  </si>
  <si>
    <t>REMOJO DULCERÍO 10 LITROS PURATOS</t>
  </si>
  <si>
    <t>SABOR AROMA LUCUMA FRANCIAAROMA</t>
  </si>
  <si>
    <t>SALSA DE FRAMBUESA MEL</t>
  </si>
  <si>
    <t>SALSA DE GUINDA BALDE 5 Kg</t>
  </si>
  <si>
    <t>SEMILLA DE AMAPOLA CAMPOS</t>
  </si>
  <si>
    <t>STRECH FILM AMARILLO</t>
  </si>
  <si>
    <t>STRECH FILM ANARANJADO</t>
  </si>
  <si>
    <t>STRECH FILM AZUL</t>
  </si>
  <si>
    <t>STRECH FILM BLANCO</t>
  </si>
  <si>
    <t>STRECH FILM NEGRO</t>
  </si>
  <si>
    <t>STRECH FILM ROJO</t>
  </si>
  <si>
    <t>STRECH FILM VERDE</t>
  </si>
  <si>
    <t>SUB DISCO HOJA 15 PP</t>
  </si>
  <si>
    <t>Tartaleta mediana semi-elab</t>
  </si>
  <si>
    <t>TRIANGULO BLANCO #45 MARMOLEADO NEGRO</t>
  </si>
  <si>
    <t>TRIANGULO NEGRO 45mm ZUKKER</t>
  </si>
  <si>
    <t>TRIANGULO VERDE #85 MARMOLEADO AMARILLO</t>
  </si>
  <si>
    <t>TRUFA CHOCOLATE PURATOS</t>
  </si>
  <si>
    <t>ULTRA RICH CLASICA UHT</t>
  </si>
  <si>
    <t>YOGURT FRUTILLA DIWATTS</t>
  </si>
  <si>
    <t>Número de artículo</t>
  </si>
  <si>
    <t>Descripción del artículo</t>
  </si>
  <si>
    <t>WhsCode</t>
  </si>
  <si>
    <t>WhsName</t>
  </si>
  <si>
    <t>Stock</t>
  </si>
  <si>
    <t>PMP</t>
  </si>
  <si>
    <t>Valorizado</t>
  </si>
  <si>
    <t>Fecha</t>
  </si>
  <si>
    <t>ACEITE VEGETAL 5000 CC. EGC</t>
  </si>
  <si>
    <t>PV_MATPR</t>
  </si>
  <si>
    <t>P1-BMP Puerto Vespucio</t>
  </si>
  <si>
    <t>AZUCAR RUBIA EGC</t>
  </si>
  <si>
    <t>BASE TORTA CON TOPE COEXPAN</t>
  </si>
  <si>
    <t>BOLSA PEBD 40x42 CM x35 MICRAS</t>
  </si>
  <si>
    <t>BOLSA PREPICADA 50x75</t>
  </si>
  <si>
    <t>Borde G 220x25 VERTIENTES</t>
  </si>
  <si>
    <t>CAJA PRODUCTO SECO (PS) SYCOR</t>
  </si>
  <si>
    <t>CAJA PTG 15PP JUMBO VTM SUR</t>
  </si>
  <si>
    <t>CAJA PTG 15PP SISA PROSERVAR</t>
  </si>
  <si>
    <t>CAJA TORTA MEDIANA VTM SUR</t>
  </si>
  <si>
    <t>CANELA EN POLVO ALTO LA CRUZ</t>
  </si>
  <si>
    <t>CAPSULAS DE PAPEL NUMERO 11 FOOD PACK</t>
  </si>
  <si>
    <t>CINTA BICOLOR NARANJA ZUKKER</t>
  </si>
  <si>
    <t>COLORANTE ROJO POLVO</t>
  </si>
  <si>
    <t>CREMA NATA RICH</t>
  </si>
  <si>
    <t>CREMA PASTELERA NARANJA BAKELS</t>
  </si>
  <si>
    <t>CREMFIL DULCE DE LECHE PURATOS</t>
  </si>
  <si>
    <t>CREMYVIT NARANJA TM1 PURATOS</t>
  </si>
  <si>
    <t>CRUMBLE FRAMBUESA CONGELADA ALTA FRUTA</t>
  </si>
  <si>
    <t>CRUSHED DE FRAMBUESA ALTO LA CRUZ</t>
  </si>
  <si>
    <t>CUPULA 271 BX DEANDES</t>
  </si>
  <si>
    <t>CUPULA TARTA 1025-5 MOLDES PAC</t>
  </si>
  <si>
    <t>CUPULA TORTA 15 PP H112 ALTA COEXPAN</t>
  </si>
  <si>
    <t>CUPULA TORTA 15PP OSKUPACK</t>
  </si>
  <si>
    <t>DESMOLDANTE PARA BATIDOS PURATOS</t>
  </si>
  <si>
    <t>DISCO CARTON BLANCO 17 CM PRAGGA</t>
  </si>
  <si>
    <t>DISCO CARTON BLANCO 17CM ARRIAZA</t>
  </si>
  <si>
    <t>DISCO CARTON BLANCO 24 CM PRAGGA</t>
  </si>
  <si>
    <t>DISCO CARTON BLANCO 24 JUMBO ARRIAZA</t>
  </si>
  <si>
    <t>DURAZNO EN CUBOS ALTO LA CRUZ</t>
  </si>
  <si>
    <t>DURAZNO EN MITADES ALTO LA CRUZ</t>
  </si>
  <si>
    <t>ETIQ. CIRCULAR 80cm IMPR. OPP TORTA CHOCOLATE WALMART</t>
  </si>
  <si>
    <t>ETIQ. CIRCULAR 80cm IMPR. OPP TORTA FRUTOS DEL BOSQUE WALMART</t>
  </si>
  <si>
    <t>ETIQ. CIRCULAR 80cm IMPR. OPP TORTA SAN JORGE SMU</t>
  </si>
  <si>
    <t>ETIQ. CIRCULAR 90cm IMPR. JUMBO KUCHEN DE DURAZNO</t>
  </si>
  <si>
    <t>ETIQ. CIRCULAR 90cm IMPR. JUMBO KUCHEN DE MANZANA</t>
  </si>
  <si>
    <t>ETIQ. CIRCULAR 90cm IMPR. JUMBO KUCHEN DE MANZANA TRENZADO</t>
  </si>
  <si>
    <t>ETIQ. CIRCULAR 90cm IMPR. JUMBO KUCHEN DE STROISSEL MANZANA</t>
  </si>
  <si>
    <t>ETIQ. CIRCULAR 90cm IMPR. OPP KUCHEN FRAMBUESA TRADICIONAL WALMART</t>
  </si>
  <si>
    <t>ETIQ. CIRCULAR 90cm IMPR. OPP TORTA AMOR MARKETSIDE</t>
  </si>
  <si>
    <t>ETIQ. CIRCULAR 90cm IMPR. OPP TORTA AMOR WALMART</t>
  </si>
  <si>
    <t>ETIQ. CIRCULAR 90cm IMPR. OPP TORTA HOJA MANJAR MERENGUE WALMART</t>
  </si>
  <si>
    <t>ETIQ. CIRCULAR 90cm IMPR. OPP TORTA PANQUEQUE NARANJA WALMART</t>
  </si>
  <si>
    <t>ETIQ. CIRCULAR 90cm IMPR. OPP TORTA PIÑA MARKETSIDE</t>
  </si>
  <si>
    <t>ETIQ. CIRCULAR 90cm IMPR. OPP TORTA PIÑA WALMART</t>
  </si>
  <si>
    <t>ETIQ. CIRCULAR 90cm IMPR. OPP TORTA SAN JORGE MARKETSIDE</t>
  </si>
  <si>
    <t>ETIQ. CIRCULAR 90cm IMPR. OPP TORTA SELVA NEGRA MARKETSIDE</t>
  </si>
  <si>
    <t>ETIQ. CIRCULAR 90cm IMPR. OPP TORTA SELVA NEGRA TRADICIONAL WALMART</t>
  </si>
  <si>
    <t>ETIQ. CIRCULAR 90cm IMPR. OPP TORTA SELVA NEGRA WALMART</t>
  </si>
  <si>
    <t>ETIQ. CIRCULAR 90cm IMPR. OPP TORTA TRES LECHES WALMART</t>
  </si>
  <si>
    <t>ETIQ. CIRCULAR 90cm IMPR. OPP TORTA VIENA MARKETSIDE</t>
  </si>
  <si>
    <t>ETIQUETA 300X57 TORTA HOJA MERENGUE SMU</t>
  </si>
  <si>
    <t>ETIQUETA 300X57 TORTA SAN JORGE SMU</t>
  </si>
  <si>
    <t>ETIQUETA BLANCA 100x50</t>
  </si>
  <si>
    <t>ETIQUETA BLANCA 180X50 PAPEL SEMIBRILLO CRISME</t>
  </si>
  <si>
    <t>ETIQUETA COLOR CREMA 245X40 OPP</t>
  </si>
  <si>
    <t>ETIQUETA CONSUMO</t>
  </si>
  <si>
    <t>ETIQUETA CONSUMO IMPRESO COLOR MOSTAZA</t>
  </si>
  <si>
    <t>ETIQUETA CONSUMO MARKETSIDE</t>
  </si>
  <si>
    <t>ETIQUETA DECORATIVA PASTEL MIL HOJAS PASTELERA JUMBO</t>
  </si>
  <si>
    <t>ETIQUETA DECORATIVA PASTEL PIÑA JUMBO</t>
  </si>
  <si>
    <t>ETIQUETA DECORATIVA PASTEL SELVA NEGRA JUMBO</t>
  </si>
  <si>
    <t>ETIQUETA DECORATIVA PASTEL TRES LECHES JUMBO</t>
  </si>
  <si>
    <t>ETIQUETA DECORATIVA PASTEL TRUFA JUMBO</t>
  </si>
  <si>
    <t>ETIQUETA GALLETA AMERICAN CRISPY CARAMELO SALADO</t>
  </si>
  <si>
    <t>FILLING DE MANZANA MEL</t>
  </si>
  <si>
    <t>FRUIT FILLING MANZANA FRUCOL</t>
  </si>
  <si>
    <t>GALLETA VINO NESTLE</t>
  </si>
  <si>
    <t>HARINA ORO 2</t>
  </si>
  <si>
    <t>HOJA SENCILLA PROSERVAR</t>
  </si>
  <si>
    <t>HOJA SEPARADORA TORTA DIAMETRO 230 MMS ASTRA</t>
  </si>
  <si>
    <t>JARABE DE REMOJO 35° BIDON</t>
  </si>
  <si>
    <t>JARABE DE REMOJO 35° TOTEM 1000 Lt</t>
  </si>
  <si>
    <t>JUGO EN POLVO ZUKO DURAZNO</t>
  </si>
  <si>
    <t>MANJAR GRADO 3 LANGER</t>
  </si>
  <si>
    <t>MANTEQUILLA SIN SAL ALCA</t>
  </si>
  <si>
    <t>MARGARINA HORNITO CERRILLOS</t>
  </si>
  <si>
    <t>MARRASQUINO FRUCOL</t>
  </si>
  <si>
    <t>MER. EBEL PIÑA BALDE 5 Kg</t>
  </si>
  <si>
    <t>MERENGUE CONGELABLE PURATOS</t>
  </si>
  <si>
    <t>MERM. EBEL FRUTOS DEL BOSQUE BALDE 5 KG</t>
  </si>
  <si>
    <t>MERM. EBEL PIÑA QUINTA BALDE 5 Kg</t>
  </si>
  <si>
    <t>MERM. LAMARKA DAMASCO BALDE 5 Kg</t>
  </si>
  <si>
    <t>MERM. LAMARKA FRAMBUESA BALDE 5 Kg</t>
  </si>
  <si>
    <t>MERM. MEL DAMASCO MOL. BALDE 5 Kg</t>
  </si>
  <si>
    <t>MERMELADA CIRUELA MEL</t>
  </si>
  <si>
    <t>MIX BIZC. RED VELVET PURATOS</t>
  </si>
  <si>
    <t>MIX BIZCOCHO BLANCO SAN CRISTOBAL</t>
  </si>
  <si>
    <t>MIX BIZCOCHO CHOCOLATE PURATOS</t>
  </si>
  <si>
    <t>MIX BIZCOCHO CHOCOLATE SAN CRISTOBAL</t>
  </si>
  <si>
    <t>MIX BIZCOCHO SIN AZUCAR PURATOS</t>
  </si>
  <si>
    <t>MIX TARTALETA SAN CRISTOBAL</t>
  </si>
  <si>
    <t>MOLDES PAPEL BASE TARTA MOLDESPAC</t>
  </si>
  <si>
    <t>MOSTACILLA CORAZÓN VALENTÍN AMBROSIA</t>
  </si>
  <si>
    <t>PAPEL BEIGE 38.5 x 44.5 ARRIAZA</t>
  </si>
  <si>
    <t>PASA MORENA</t>
  </si>
  <si>
    <t>PLACA TORTA VIENA ZUKKER</t>
  </si>
  <si>
    <t>PLANCHA DE HOJA  42X36X1 cm (1x12)</t>
  </si>
  <si>
    <t>PLANCHA PANQUEQUE VAINILLA TERCEROS PAVESI</t>
  </si>
  <si>
    <t>PROPIONATO DE CALCIO 14 KG WINKLER</t>
  </si>
  <si>
    <t>PROTEKTOR PURATOS</t>
  </si>
  <si>
    <t>RELLENO CREMA VAINILLA BAKELS</t>
  </si>
  <si>
    <t>RELLENO SABOR VAINILLA PURATOS</t>
  </si>
  <si>
    <t>SATIN PURATOS</t>
  </si>
  <si>
    <t>STRECH FILM REMINISEN</t>
  </si>
  <si>
    <t>SUB DISCO HOJA 10 PP</t>
  </si>
  <si>
    <t>SUB DISCO PANQUEQUE VAINILLA 16 CM</t>
  </si>
  <si>
    <t>TRIANGULO BLANCO RAYADO ROJO</t>
  </si>
  <si>
    <t xml:space="preserve">Consumo </t>
  </si>
  <si>
    <t>familia</t>
  </si>
  <si>
    <t>Etiquetas</t>
  </si>
  <si>
    <t>Cupula</t>
  </si>
  <si>
    <t>Esencia</t>
  </si>
  <si>
    <t>Azucar</t>
  </si>
  <si>
    <t>Chocolate</t>
  </si>
  <si>
    <t>Insumo</t>
  </si>
  <si>
    <t>Bolsas</t>
  </si>
  <si>
    <t>Mermelada</t>
  </si>
  <si>
    <t>Caja</t>
  </si>
  <si>
    <t>Fruta Conserva</t>
  </si>
  <si>
    <t>Fruta conserva</t>
  </si>
  <si>
    <t>Empaque</t>
  </si>
  <si>
    <t>Licor</t>
  </si>
  <si>
    <t>Colorantes</t>
  </si>
  <si>
    <t>Galleta</t>
  </si>
  <si>
    <t>Cremas</t>
  </si>
  <si>
    <t>cremas</t>
  </si>
  <si>
    <t>Carton</t>
  </si>
  <si>
    <t>Manjar</t>
  </si>
  <si>
    <t>fruta Conserva</t>
  </si>
  <si>
    <t>Film</t>
  </si>
  <si>
    <t>Fruta Congelada</t>
  </si>
  <si>
    <t>Gelatina</t>
  </si>
  <si>
    <t>Mix</t>
  </si>
  <si>
    <t>Remojo</t>
  </si>
  <si>
    <t>Jugo</t>
  </si>
  <si>
    <t>Leche condensada</t>
  </si>
  <si>
    <t>Margarina</t>
  </si>
  <si>
    <t>mix</t>
  </si>
  <si>
    <t>Yogurt</t>
  </si>
  <si>
    <t>Aceite</t>
  </si>
  <si>
    <t>Colorante</t>
  </si>
  <si>
    <t>Desmoldante</t>
  </si>
  <si>
    <t>Propionato</t>
  </si>
  <si>
    <t>D/stock</t>
  </si>
  <si>
    <t>CU_MATPR</t>
  </si>
  <si>
    <t>C4-BMP Curico</t>
  </si>
  <si>
    <t>BOLSA DISCO HOJA 35X35 CM x35 MICRAS</t>
  </si>
  <si>
    <t>DISCO CARTON MH 15 PP ARRIAZA</t>
  </si>
  <si>
    <t>DISCO DE PAPEL 19CM PQQ CURICO</t>
  </si>
  <si>
    <t>DISCO DE PAPEL PQQ KRAFT FPS</t>
  </si>
  <si>
    <t>ETIQUETA GENERICA TORTA MIL HOJAS MANJAR ESPECIAL WALMART</t>
  </si>
  <si>
    <t>GRANA DE HOJA</t>
  </si>
  <si>
    <t>HARINA 063 FINA HOJA SAN CRISTOBAL</t>
  </si>
  <si>
    <t>HARINA FORTALEZA SAN CRISTOBAL</t>
  </si>
  <si>
    <t>HARINA PLATA SAN CRISTOBAL</t>
  </si>
  <si>
    <t>HUEVO EN POLVO OVOSUR</t>
  </si>
  <si>
    <t>HUINCHA CARTON MH 8.5x75 ARRIAZA</t>
  </si>
  <si>
    <t>MARGARINA DE HOJA CERRILLOS</t>
  </si>
  <si>
    <t>MARGARINA HORNITO DIWATTS</t>
  </si>
  <si>
    <t>MIX PANQUEQUE CHOCOLATE SAN CRISTOBAL</t>
  </si>
  <si>
    <t>MIX PANQUEQUE HUEVO POLVO SAN CRISTOBAL</t>
  </si>
  <si>
    <t>PAPEL MANTEQUILLA ARRIAZA</t>
  </si>
  <si>
    <t>SAL FINA</t>
  </si>
  <si>
    <t>VINAGRE WINKLER</t>
  </si>
  <si>
    <t>Harina</t>
  </si>
  <si>
    <t>Huevo</t>
  </si>
  <si>
    <t>insumo</t>
  </si>
  <si>
    <t>Total general</t>
  </si>
  <si>
    <t>Etiquetas de fila</t>
  </si>
  <si>
    <t>Suma de Valorizado</t>
  </si>
  <si>
    <t>Suma de D/stock</t>
  </si>
  <si>
    <t xml:space="preserve">MINIMO </t>
  </si>
  <si>
    <t>ENEA</t>
  </si>
  <si>
    <t>VESPUCIO</t>
  </si>
  <si>
    <t>CURICO</t>
  </si>
  <si>
    <t>TIPS</t>
  </si>
  <si>
    <t xml:space="preserve">artículo </t>
  </si>
  <si>
    <t>Descripción artículo/serv.</t>
  </si>
  <si>
    <t>FAMILIA</t>
  </si>
  <si>
    <t>TIME</t>
  </si>
  <si>
    <t>proveedore</t>
  </si>
  <si>
    <t>JARABE REMOJO SISA DIWATTS</t>
  </si>
  <si>
    <t>DIWATTS S.A.</t>
  </si>
  <si>
    <t>PURATOS DE CHILE SPA</t>
  </si>
  <si>
    <t>PROPIONATO DE SODIO WINKLER</t>
  </si>
  <si>
    <t>INDUSTRIAS ALIMENTOS WINKLER LIMITADA.</t>
  </si>
  <si>
    <t>MASTER MARTINI SPA</t>
  </si>
  <si>
    <t>EGC SPA</t>
  </si>
  <si>
    <t>CEREZAS AL JUGO DESCAROZADAS FRUCOL</t>
  </si>
  <si>
    <t>FRUCOL CHILE S.P.A</t>
  </si>
  <si>
    <t>MEL ALIMENTOS SPA</t>
  </si>
  <si>
    <t>PIÑA EN RODAJAS ALTO LA CRUZ</t>
  </si>
  <si>
    <t>AGROINDUSTRIAL LAS TRES ERRE LTDA.</t>
  </si>
  <si>
    <t>COMERCIAL SANTA ELENA S.A.</t>
  </si>
  <si>
    <t>DISTRIBUIDORA MANAR LIMITADA</t>
  </si>
  <si>
    <t>YOGURT FRUTILLA SOPROLE</t>
  </si>
  <si>
    <t>RELLENO PIE DE LIMON SAN CRISTOBAL</t>
  </si>
  <si>
    <t>COMPAÑIA MOLINERA SAN CRISTOBAL S.A.</t>
  </si>
  <si>
    <t>RICH PRODUCTS CORPORATION DE CHILE LIMITADA</t>
  </si>
  <si>
    <t>GRAN PAVESI ALIMENTOS  LTDA</t>
  </si>
  <si>
    <t>NESTLE CHILE S.A.</t>
  </si>
  <si>
    <t>SOCIEDAD CRISME AUTOADHESIVOS SPA</t>
  </si>
  <si>
    <t>COGÑAC TILICURA</t>
  </si>
  <si>
    <t>DISTRIBUIDORA Y COMERCIAL TILICURA SA</t>
  </si>
  <si>
    <t>CAJA TORTA MEDIANA PROSERVAR</t>
  </si>
  <si>
    <t>PROSERVAR LTDA.</t>
  </si>
  <si>
    <t>PIÑA EN CUBOS</t>
  </si>
  <si>
    <t>ALIGE S.A.</t>
  </si>
  <si>
    <t>CREMA CHANTIFESTA RICHS</t>
  </si>
  <si>
    <t>SOCIEDAD EHLAN S.A.</t>
  </si>
  <si>
    <t>MC GROUP SPA</t>
  </si>
  <si>
    <t>FRAMBUESA CONGELADA FRUTOS DEL MAIPO</t>
  </si>
  <si>
    <t>ACEITE FRITO MASTER DIWATTS</t>
  </si>
  <si>
    <t>VINAGRE BLANCO EGC</t>
  </si>
  <si>
    <t>INVERSIONES GRUPO CAMPOS SPA</t>
  </si>
  <si>
    <t>Sociedad Comercial Astra SPA</t>
  </si>
  <si>
    <t>DISCO CARTÓN CAFE CORRUGADO 19 CM ASTRA</t>
  </si>
  <si>
    <t>QUINOA PERLA DE COLORES ZUKKER</t>
  </si>
  <si>
    <t>ALIMENTOS ZUKKER LTDA.</t>
  </si>
  <si>
    <t>WATT´S S.A.</t>
  </si>
  <si>
    <t>CREMA AMBIENTE PURATOS</t>
  </si>
  <si>
    <t>DEANDES S. A.</t>
  </si>
  <si>
    <t>DISCO CARTÓN BLANCO 19 FPS</t>
  </si>
  <si>
    <t>FPS MARKETING Y COMUNICACIÓN SPA.</t>
  </si>
  <si>
    <t>INVERSIONES SYCOR LTDA.</t>
  </si>
  <si>
    <t>CAJA PTG 15PP JUMBO SYCOR</t>
  </si>
  <si>
    <t>CAJA PTG 15PP SISA SYCOR</t>
  </si>
  <si>
    <t>CAJA TORTA MEDIANA SYCOR</t>
  </si>
  <si>
    <t>FRAMBUESA MITAD CONGELADA MEL</t>
  </si>
  <si>
    <t>VINAGRE VINO BLANCO</t>
  </si>
  <si>
    <t>WALMART CHILE MAYORISTA LTDA.</t>
  </si>
  <si>
    <t>HOJARASCA 25p. PAVESI</t>
  </si>
  <si>
    <t>QUINTA SA</t>
  </si>
  <si>
    <t>DISCO PANQUEQUE VAINILLA SEMI-ELAB UND</t>
  </si>
  <si>
    <t>INSUMO INTERPLANTA BIZCOCHO BLANCO 17 CM</t>
  </si>
  <si>
    <t>INSUMO SEMI-ELABORADO BIZCOCHO VEGANO</t>
  </si>
  <si>
    <t>INSUMO SEMIELABORADO GALLETA DE VINO  MOLIDA</t>
  </si>
  <si>
    <t>ETIQUETA CIRCULAR 9cm TORTA PIÑA VEGANA</t>
  </si>
  <si>
    <t>TARTALETA FAMILIAR RECETA TRADICIONAL</t>
  </si>
  <si>
    <t>INSUMO INTERPLANTA BIZCOCHO CONFETI 17 CM</t>
  </si>
  <si>
    <t>SIGNO REPRESENTACIONES LTDA</t>
  </si>
  <si>
    <t>IMPORTADORA Y  COMERCIALIZADORA HASSI LTDA</t>
  </si>
  <si>
    <t>ALTA FRUTA SPA</t>
  </si>
  <si>
    <t>CAJA PTG 15PP SISA VTM SUR</t>
  </si>
  <si>
    <t>BOLSA PREPICADA BANDEJA 100X90</t>
  </si>
  <si>
    <t>SOLUTIONS PACKAGING SPA</t>
  </si>
  <si>
    <t>PRODUCTOS ARRIAZA LIMITADA</t>
  </si>
  <si>
    <t>CUPULA TORTA 15PP (98-45) MONSALVE CENCOSUD</t>
  </si>
  <si>
    <t>MONSALVE Y COMPAÑIA LIMITADA</t>
  </si>
  <si>
    <t>CUPULA 170B DEANDES</t>
  </si>
  <si>
    <t>CUPULA TORTA ALTA  15PP (98-5) MONSALVE CENCOSUD</t>
  </si>
  <si>
    <t>DISCO DE PAPEL PQQ CURICO</t>
  </si>
  <si>
    <t>CAJA PTG 15PP JUMBO PROSERVAR</t>
  </si>
  <si>
    <t>PLANCHA DE CARTON 1X1,20 PROSERVAR</t>
  </si>
  <si>
    <t>BASE DE TARTALETA SOFT BLANCA PAVESI</t>
  </si>
  <si>
    <t>ETIQUETA  4,2X6cm IMPR.PASTEL 5 COLOR + BARNIZ UV</t>
  </si>
  <si>
    <t>ETIQUETAS 75X130 IMPRESAS CUATRICOMIA MAS UV (MAXIMA)</t>
  </si>
  <si>
    <t>ETIQUETA CIRCULAR TORTA AMOR</t>
  </si>
  <si>
    <t>CREMA PASSIONATA</t>
  </si>
  <si>
    <t>ETIQUETAS CIRCULAR 9cm IMPR. TORTA LUCUMA JUMBO</t>
  </si>
  <si>
    <t>ETIQUETAS 22X32 BLANCA ADHESIVO ULTRA FRÍO</t>
  </si>
  <si>
    <t>OVOPRODUCTOS DEL SUR CHILE S. A.</t>
  </si>
  <si>
    <t>CUPULA TORTA ALTA SISA FPS</t>
  </si>
  <si>
    <t>SABORES Y FRAGANCIAS .CL COMERCIAL LIMITADA</t>
  </si>
  <si>
    <t>JUGO DE LIMÓN CONGELADO WATT</t>
  </si>
  <si>
    <t>JUGO EN POLVO FRUTILLA</t>
  </si>
  <si>
    <t>COMERCIAL GALVARINO LIMITADA</t>
  </si>
  <si>
    <t>MOSTACILLA CIRCULO 6 COLORES AMBROSIA</t>
  </si>
  <si>
    <t>SOCIEDAD AMBROSIA LTDA.</t>
  </si>
  <si>
    <t>ETIQ. CIRCULAR 90cm IMPR. TORTA CUSINE &amp; CO SISA CONFETTI</t>
  </si>
  <si>
    <t>ETIQ. CIRCULAR 90cm IMPR. TORTA CUSINE &amp; CO SISA TORTA CARAMEL</t>
  </si>
  <si>
    <t>LECHE CONDENSADA MONACO</t>
  </si>
  <si>
    <t>DISTRIBUIDORA MONACO SPA</t>
  </si>
  <si>
    <t>CUPULA TORTA ALTA  15PP (98-5) FPS</t>
  </si>
  <si>
    <t>LECHE CONDENSADA EGC</t>
  </si>
  <si>
    <t>CAJA PLASTICA AZUL QUINTA</t>
  </si>
  <si>
    <t>PREMEZCLA BIZCOCHO ROJO HI SAN CRISTOBAL</t>
  </si>
  <si>
    <t>PREMEZCLA BIZCOCHO ANARANJADO HI SAN CRISTOBAL</t>
  </si>
  <si>
    <t>PREMEZCLA BIZCOCHO VERDE HI SAN CRISTOBAL</t>
  </si>
  <si>
    <t>PREMEZCLA BIZCOCHO MORADO HI SAN CRISTOBAL</t>
  </si>
  <si>
    <t>COMERCIAL CERRILLOS</t>
  </si>
  <si>
    <t>ACEITE VEGETAL 500CC EGC</t>
  </si>
  <si>
    <t>AZUCAR FLOR ALTO LA CRUZ</t>
  </si>
  <si>
    <t>AZUCAR FLOR ANTI-HUMEDAD MANAR</t>
  </si>
  <si>
    <t>HUEVO LIQUIDO LAS RASTRAS</t>
  </si>
  <si>
    <t>AGRICOLA LAS  RASTRAS SPA.</t>
  </si>
  <si>
    <t>HUEVO LIQUIDO TOTEM ARIZONA</t>
  </si>
  <si>
    <t>COMERCIAL E INDUSTRIAL ARIZONA LIMITADA</t>
  </si>
  <si>
    <t>MERMELADA FRUTILLA GRADO 1 MEL</t>
  </si>
  <si>
    <t>JOSE MANUEL LANGER GIORDANO</t>
  </si>
  <si>
    <t>FRANCIA AROMA S.A.</t>
  </si>
  <si>
    <t>MERMELADA DE LUCUMA DIWATTS</t>
  </si>
  <si>
    <t>PULPA MARACUYÁ CON PEPAS ALTA FRUTA</t>
  </si>
  <si>
    <t>HUEVO LIQUIDO TOTE LAS RASTRAS</t>
  </si>
  <si>
    <t>AGRICOLA LAS RASTRAS SPA.</t>
  </si>
  <si>
    <t>ETIQUETA GENÉRICA TORTA RAINBOW</t>
  </si>
  <si>
    <t>TEGRAL BROWNIE VEGGI PURATOS</t>
  </si>
  <si>
    <t>CHOCOLATE ARCOÍRIS  AMBROSIA</t>
  </si>
  <si>
    <t>ETIQUETA GENERICA TORTA HOJA MANJAR CHOCOLATE</t>
  </si>
  <si>
    <t>GALLETA VINO CAROZZI</t>
  </si>
  <si>
    <t>EMPRESAS CAROZZI</t>
  </si>
  <si>
    <t>MERMELADA FRUTOS DEL BOSQUE MEL</t>
  </si>
  <si>
    <t>JUGO EN POLVO SABOR FRUTILLA</t>
  </si>
  <si>
    <t>RON DORADO</t>
  </si>
  <si>
    <t>DISTRIBUIDORA GILCO LTDA</t>
  </si>
  <si>
    <t>MERMELADA DURAZNO PURATOS</t>
  </si>
  <si>
    <t>TEGRAL MUFFINS VEGANO PURATOS</t>
  </si>
  <si>
    <t>CREMA AMBIENTE ICING PURATOS</t>
  </si>
  <si>
    <t>HUEVO LIQUIDO AGRICOVIAL</t>
  </si>
  <si>
    <t>COMERCIAL AGRICOVIAL S.A.</t>
  </si>
  <si>
    <t>HOJARASCA OBERENA</t>
  </si>
  <si>
    <t>COMERCIALIZADORA DE ALIMENTOS OBERENA LTDA</t>
  </si>
  <si>
    <t>BOLSA 30X32 CM 35 MICRAS</t>
  </si>
  <si>
    <t>BOLSA PREPICADA BANDEJA  100*90 COLOR AZUL</t>
  </si>
  <si>
    <t>SOCIEDAD COMERCIAL SARMIENTO Y HERNÁNDEZ SPA</t>
  </si>
  <si>
    <t>MIX TARTALETA PURATOS</t>
  </si>
  <si>
    <t>SOC. INMOBILIARIA Y DE INVERSIONES LAS VERTIENTES SPA.</t>
  </si>
  <si>
    <t>CUPULA 15 PP ALTA WALMART</t>
  </si>
  <si>
    <t>Embalajes Internacionales Oskupack SPA</t>
  </si>
  <si>
    <t>CAJA MADRE DE PLANCHAS (PL) PAIMASA</t>
  </si>
  <si>
    <t>PAIMASA S.A.</t>
  </si>
  <si>
    <t>ETIQUETA CIRCULAR 9,8cm IMPR. KUCHEN  5 COL +UV</t>
  </si>
  <si>
    <t>ETIQUETA KUCHEN MANZANA WALMART</t>
  </si>
  <si>
    <t>ETIQUETA KUCHEN 4 SABORES WALMART</t>
  </si>
  <si>
    <t>ETIQUETA KUCHEN FRAMBUESA WALMART</t>
  </si>
  <si>
    <t>DISCO CARTON 19CM MICROCORRUGADO ALIMPACK</t>
  </si>
  <si>
    <t>ALIMPACK SPA</t>
  </si>
  <si>
    <t>ETIQUETA GENERICA TORTA CHOCOLATE 8 PP</t>
  </si>
  <si>
    <t>ETIQUETA GENERICA TORTA CHOCOLATE MANJAR</t>
  </si>
  <si>
    <t>ETIQUETA GENERICA TORTA CHOCOQUINDA</t>
  </si>
  <si>
    <t>ETIQUETA GENERICA TORTA CREMA MARACUYA</t>
  </si>
  <si>
    <t>ETIQUETA GENERICA TORTA CREMA MOKA</t>
  </si>
  <si>
    <t>ETIQUETA GENERICA TORTA CREMA PIÑA</t>
  </si>
  <si>
    <t>ETIQUETA GENERICA TORTA HOLANDESA</t>
  </si>
  <si>
    <t>ETIQUETA GENERICA TORTA MOUSSE MANJAR</t>
  </si>
  <si>
    <t>ETIQUETA GENERICA TORTA SELVA NEGRA</t>
  </si>
  <si>
    <t>ETIQUETA GENERICA TORTA TRES LECHES</t>
  </si>
  <si>
    <t>ETIQUETA GENERICA TORTA SAN JORGE</t>
  </si>
  <si>
    <t>ETIQUETA CONSUMO IMPRESO COLOR CAFÉ</t>
  </si>
  <si>
    <t>ETIQUETA GENERICA TORTA PANQUEQUE NARANJA</t>
  </si>
  <si>
    <t>CUPULA TORTA ALTA CON TOPE WALMART FPS</t>
  </si>
  <si>
    <t>FRUTILLA PICADILLO CONGELADA ALTA FRUTA</t>
  </si>
  <si>
    <t>ETIQUETA GENERICA TORTA FRUTOS DEL BOSQUE</t>
  </si>
  <si>
    <t>JUGO EN POLVO DURAZNO</t>
  </si>
  <si>
    <t>GRANILLO DE COLORES MANAR</t>
  </si>
  <si>
    <t>GALLETA OREO REGULAR BEZANILLA</t>
  </si>
  <si>
    <t>BEZANILLA COMERCIALIZADORA DE ALIEMENTOS SPA</t>
  </si>
  <si>
    <t>OREO MEDIUM CRUMBS (TROZOS) BEZANILLA</t>
  </si>
  <si>
    <t>CINTA DE EMBALAJE 72x100 REMINISEN</t>
  </si>
  <si>
    <t>SOCIEDAD COMERCIALIZADORA REMINISEN LTDA</t>
  </si>
  <si>
    <t>DISCO CARTON BLANCO 17CM FPS</t>
  </si>
  <si>
    <t>DISCO CARTON BLANCO 24 FPS</t>
  </si>
  <si>
    <t>ETIQ. CIRCULAR 90cm IMPR. JUMBO KUCHEN DE FRUTILLA</t>
  </si>
  <si>
    <t>ETIQ. CIRCULAR 90cm IMPR. JUMBO KUCHEN DE FRAMBUESA</t>
  </si>
  <si>
    <t>COMBO 88 ALTA 12 PP FOOD PACK</t>
  </si>
  <si>
    <t>Sociedad Riadi Limitada</t>
  </si>
  <si>
    <t>CUPULA TORTA ALTA  15PP (98-5) FOOD PACK</t>
  </si>
  <si>
    <t>ETIQ.CIRCULAR 9cm IMPR. TORTA ROGEL</t>
  </si>
  <si>
    <t>COMERCIAL LAS PERDICES SPA</t>
  </si>
  <si>
    <t>ETIQ. CIRCULAR 90cm IMPR. CUSINE &amp; CO JUMBO PIE DE LIMON ESPECIAL</t>
  </si>
  <si>
    <t>DISCO PANQUEQUE CHOCOLATE 18 CM ENCOMIENDA TOTTUS</t>
  </si>
  <si>
    <t>MIX BIZCOCHO BLANCO PURATOS</t>
  </si>
  <si>
    <t>DECORCREM NEGRO BLOQUE PURATOS</t>
  </si>
  <si>
    <t>PIÑA EN CUBOS ALTO LA CRUZ</t>
  </si>
  <si>
    <t>RELLENO COCO CREAM BAKELS</t>
  </si>
  <si>
    <t>BAKELS CHILE S.A.</t>
  </si>
  <si>
    <t>TRIANGULO NEGRO COCO RALLADO ZUKKER</t>
  </si>
  <si>
    <t>ETIQUETA CIRCULAR 9cm IMPR. TORTA PIÑA COLADA</t>
  </si>
  <si>
    <t>ETIQ.CIRCULAR 9cm IMPR. TORTA MERENGUE NOUGAT</t>
  </si>
  <si>
    <t>ALFA CHILENA ALIMENTOS LIMITADA.</t>
  </si>
  <si>
    <t>COEXPAN CHILE SPA</t>
  </si>
  <si>
    <t>CAJA  PTG AZUL 15PP ALTA</t>
  </si>
  <si>
    <t>ESTUCHE GALLETAS VERA Y GIANNINI</t>
  </si>
  <si>
    <t>VERA Y GIANNINI IMPRESORES S.A.</t>
  </si>
  <si>
    <t>DUAS RODAS CHILE SPA</t>
  </si>
  <si>
    <t>RON TILICURA</t>
  </si>
  <si>
    <t>JUGO POLVO DURAZNO</t>
  </si>
  <si>
    <t>DISTRIBUIDORA PEQUITA</t>
  </si>
  <si>
    <t>JUGO POLVO FRUTILLA</t>
  </si>
  <si>
    <t>DULCE DE LECHE MANAR</t>
  </si>
  <si>
    <t>CAJA DE PASTELES PAIMASA</t>
  </si>
  <si>
    <t>JARABE 3 LECHES DIWATTS</t>
  </si>
  <si>
    <t>CUPULA TORTA ALTA CON TOPE WALMART ECOPLASTIC</t>
  </si>
  <si>
    <t>FABRICA DE PLASTICOS ECOPLASTICS SPA</t>
  </si>
  <si>
    <t>CUPULA TORTA ALTA SISA ECOPLASTIC</t>
  </si>
  <si>
    <t>CAJA PRODUCTO SECO (PS) PAIMASA</t>
  </si>
  <si>
    <t>ETIQUETA 9X11cm IMPRESA BERLIN 5 COLOR + BARNIZ UV</t>
  </si>
  <si>
    <t>CREMA PASTELERA JUMBO PURATOS</t>
  </si>
  <si>
    <t>MANJAR DULCE DE RELLENO MORNASCO</t>
  </si>
  <si>
    <t>COMERCIAL E INDUSTRIAL FINO MORNASCO LTDA.</t>
  </si>
  <si>
    <t>MERENGUE CONGELABLE SAN CRISTOBAL</t>
  </si>
  <si>
    <t>CUPULA 170 BX BUENAVENTURA</t>
  </si>
  <si>
    <t>ENVASES BUENAVENTURA SPA</t>
  </si>
  <si>
    <t>PLANCHA DE CARTON 1X1,20 EHLAN</t>
  </si>
  <si>
    <t>CUPULA TARTA 1025-4 FOOD PACK</t>
  </si>
  <si>
    <t>CREMA HULALA MEL</t>
  </si>
  <si>
    <t>Porción Chocolate  Semi-Elab UND</t>
  </si>
  <si>
    <t>Tartaleta Familiar Semi-Elab</t>
  </si>
  <si>
    <t>CUPULA TARTA 1025-3 MONSALVE</t>
  </si>
  <si>
    <t>CAJA DE ENCOMIENDA (EN) PAIMASA</t>
  </si>
  <si>
    <t>BRILLO PARA CONGELADOS PURATOS</t>
  </si>
  <si>
    <t>INSUMO SEMI ELABORADO SUB BROWNIE CHOCOLATE VEGANO</t>
  </si>
  <si>
    <t>PORCIÓN TRES LECHES SEMI ELABORADO</t>
  </si>
  <si>
    <t>MANJAR RECETA CASERA NESTLE</t>
  </si>
  <si>
    <t>CAJA PTG AZUL 15PP ASTRA</t>
  </si>
  <si>
    <t>DISCO PANQUEQUE CHOCOLATE 16 CM SEMI ELABORADO</t>
  </si>
  <si>
    <t>DULCE DE LECHE BAKELS</t>
  </si>
  <si>
    <t>LAMINA ACETATO TRANSPARENTE 7x60 CM ECOPLASTIC</t>
  </si>
  <si>
    <t>ETIQUETA CIRCULAR 9cm IMPR. TORTA 3 LECHES CONGELADA</t>
  </si>
  <si>
    <t>COLORANTE FRAMBUESA QU-867 FLORAMATIC</t>
  </si>
  <si>
    <t>INDUSTRIAS FLORAMATIC LTDA.</t>
  </si>
  <si>
    <t>FRUTILLA CONGELADA ALTA FRUTA</t>
  </si>
  <si>
    <t>DULCE DE LECHE REPOSTERO PHILLIP</t>
  </si>
  <si>
    <t>PHILLIP HARBOE PRODUCCIONES EIRL</t>
  </si>
  <si>
    <t>PLANCHA BIZC. VAINILLA 1x3</t>
  </si>
  <si>
    <t>BIZCOCHO VAINILLA 19 cms. 1x18</t>
  </si>
  <si>
    <t>BIZCOCHO VAINILLA 23 cms. 1x8</t>
  </si>
  <si>
    <t>MANTEQUILLA SIN SAL SOPROLE</t>
  </si>
  <si>
    <t>LAMINA ACETATO TRANSPARENTE ECOPLASTIC</t>
  </si>
  <si>
    <t>MR1005001</t>
  </si>
  <si>
    <t>CALEFACTOR CERRADO 250 WATTS 130 VOLT</t>
  </si>
  <si>
    <t>WATTVOLT INGENIERIA Y SERVICIOS SpA</t>
  </si>
  <si>
    <t>BORDE G 18,5 MEDIANO LAS VERTIENTES</t>
  </si>
  <si>
    <t>CARAT NUXEL HAZELNUT</t>
  </si>
  <si>
    <t>Curico</t>
  </si>
  <si>
    <t>PRALINE ALM-AVELL 50% PURATOS</t>
  </si>
  <si>
    <t>PF PRALICRAC CARAM. PURATOS</t>
  </si>
  <si>
    <t>HOJARASCA 16CM OBERENA</t>
  </si>
  <si>
    <t>ALMENDRAS FILETEADAS ALTO LA CRUZ</t>
  </si>
  <si>
    <t>CORONA MASA CHOUX OBERENA</t>
  </si>
  <si>
    <t>ETIQ. CIRCULAR 90cm IMPR. FRANGIPANE CLÁSICO ESPECIAL JUMBO</t>
  </si>
  <si>
    <t>ETIQ. CIRCULAR 90cm IMPR. FRANGIPANE CROCANTE ESPECIAL JUMBO</t>
  </si>
  <si>
    <t>QUESO CREMA SOPROLE</t>
  </si>
  <si>
    <t>Queso</t>
  </si>
  <si>
    <t>CUPULA 98-9 ALTA 12 PP MONSALVE</t>
  </si>
  <si>
    <t>CUPULA 170A DEANDES</t>
  </si>
  <si>
    <t>CAJA DOS TORTAS PROSERVAR</t>
  </si>
  <si>
    <t>PROPIONATO DE CALCIO ALCHEM</t>
  </si>
  <si>
    <t>ALCHEM SPA</t>
  </si>
  <si>
    <t>CACAO AMARGO</t>
  </si>
  <si>
    <t>ALCA SPA</t>
  </si>
  <si>
    <t>BANDEJA BASE TORTA  ALIMPACK</t>
  </si>
  <si>
    <t>CAJA TORTA CONICA VENTANA ALIMPACK</t>
  </si>
  <si>
    <t>CARTULINA BLANCA EMPLACADA DIAMTERO 19CM ALIMPACK</t>
  </si>
  <si>
    <t>ETIQ. CIRCULAR 90cm IMPR. COURONNE PRALINE ESPECIAL JUMBO</t>
  </si>
  <si>
    <t>ETIQUETA CIRCULAR 9cm IMPR. CHEESECAKE SISA</t>
  </si>
  <si>
    <t>ETIQUETA CIRCULAR 9cm IMPR. POSTRES SISA</t>
  </si>
  <si>
    <t>ETIQUETA CIRCULAR 9cm IMPR. TORTA CHILENA</t>
  </si>
  <si>
    <t>HUEVOS MITADES</t>
  </si>
  <si>
    <t>PASTA VAINILLA SABORES Y FRAGANCIAS</t>
  </si>
  <si>
    <t>Pasta</t>
  </si>
  <si>
    <t>DISCO DE PANQUEQUE VAINILLA 18 CM ENCOMIENDA TOTTUS</t>
  </si>
  <si>
    <t>DISCO MICROCORRUGADO 19CM ASTRA</t>
  </si>
  <si>
    <t>PISTACHO TROZO TOSTADO SIN SAL GRUPO CAMPOS</t>
  </si>
  <si>
    <t>PISTACHO CUBO (GRANEL) MORITO</t>
  </si>
  <si>
    <t>SOC.COMERC.Y DIST. SHARA HERMANOS LTDA.</t>
  </si>
  <si>
    <t>FLOR DE LOTO CHOCOLATE MORADA AMBROSIA</t>
  </si>
  <si>
    <t>CORAZÓN MANGUEADO GANACHE AMBROSIA</t>
  </si>
  <si>
    <t>PASTA PISTACHO SIN AZUCAR SABORES Y FRAGANCIA</t>
  </si>
  <si>
    <t>RELLENO PISTACHO SIN TROZOS CERRILLOS</t>
  </si>
  <si>
    <t>FLOR MANGUEADA GANACHE AMBROSIA</t>
  </si>
  <si>
    <t>ETIQ. CIRCULAR 90cm IMPR. TORTA PISTACHO FRAMBUESA ESPECIAL JUMBO</t>
  </si>
  <si>
    <t>MARGARINA DE HOJA FERRON</t>
  </si>
  <si>
    <t>CAMILO FERRON S.A.</t>
  </si>
  <si>
    <t>MARGARINA HOJA MASTER MARTINI</t>
  </si>
  <si>
    <t>BOLSA VIRGEN ROJA DE 40 X 42 X 0,035 SIGNO</t>
  </si>
  <si>
    <t>BLISTER 7189 1 PASTEL BUENAVENTURA</t>
  </si>
  <si>
    <t>PIÑA EN RODAJAS CAMPOS</t>
  </si>
  <si>
    <t>REMOJO DULCERÍO PURATOS</t>
  </si>
  <si>
    <t>PAPELERA CHILE SPA</t>
  </si>
  <si>
    <t>ETIQ. CIRCULAR 9cm IMPR. TORTA HOJA MANJAR PASTELERA</t>
  </si>
  <si>
    <t>ETIQ.CIRCULAR 9cm IMPR. TORTA MERENGUE LUCUMA JUMBO</t>
  </si>
  <si>
    <t>ETIQUETAS AUTOADHESIVAS CRISTIAN VALDES BLANCO EIRL</t>
  </si>
  <si>
    <t>MANTEQUILLA SIN SAL WATT</t>
  </si>
  <si>
    <t>COSTA CHOCOLATE 24X140 GRS EGC</t>
  </si>
  <si>
    <t>SANTA ROSA CHILE ALIMIENTOS LIMITADA</t>
  </si>
  <si>
    <t>LAMINAS PET TRANSPARENTE 300 MICRO 61X5 CMTS</t>
  </si>
  <si>
    <t>INVERSIONES FMB TERMOGRAPHICS LTDA.</t>
  </si>
  <si>
    <t>SUB DISCO HOJA 17 CM</t>
  </si>
  <si>
    <t>ETIQUETA CIRCULAR 9cm TORTA TENTACIÓN DE CHOCOLATE JUMBO</t>
  </si>
  <si>
    <t>CUPULA LISA BAJA FOOD PACK</t>
  </si>
  <si>
    <t>RALLADO 3mm BICOLOR BLANCO-ROSADO ZUKKER</t>
  </si>
  <si>
    <t>ZANAHORIA GANACHE CHOCOLATE AMBROSIA</t>
  </si>
  <si>
    <t>CÍRCULO BLANCO #80 DDM JUMBO 2025</t>
  </si>
  <si>
    <t>CHIP SUCEDANEO DE COLORES CERRILLOS</t>
  </si>
  <si>
    <t>VASOS CONO PAPEL FOOD PACK</t>
  </si>
  <si>
    <t>CÍRCULO DECORACIÓN NAVIDAD ZUKKER</t>
  </si>
  <si>
    <t>ZANAHORIA BABY MINUTO VERDE</t>
  </si>
  <si>
    <t>ALIMENTOS  Y  FRUTOS S.A</t>
  </si>
  <si>
    <t>TRIANGULO CHOCOLATE PURATOS</t>
  </si>
  <si>
    <t>BIZCOCHO # 20 BLANCO C/AMAPOLAS PAVESI</t>
  </si>
  <si>
    <t>BIZCOCHO RED VELVET 1 X 4</t>
  </si>
  <si>
    <t>COCTEL DE FRUTA WATTS</t>
  </si>
  <si>
    <t>GRAFICA PRAGGA Y SERVICIOS SPA</t>
  </si>
  <si>
    <t>GRANA SECA BIZCOCHO AMAPOLA</t>
  </si>
  <si>
    <t>CORAZÓN GRANDE #4 ROSADO DDM ZUKKER</t>
  </si>
  <si>
    <t>ETIQ. CIRCULAR 90cm IMPR. TORTA VIENA VAINILLA</t>
  </si>
  <si>
    <t>PLACA 8CM DDM JUMBO 2026</t>
  </si>
  <si>
    <t>ZANAHORIA BABY 454 GR</t>
  </si>
  <si>
    <t>CENCOSUD S.A.-AVENIDA KENNEDY 9001</t>
  </si>
  <si>
    <t>RELLENO AVELLANA CERRILLOS</t>
  </si>
  <si>
    <t>ETIQUETA GENERICA TORTA CHOCOLATE AVELLANA</t>
  </si>
  <si>
    <t>RON DORADO CABO VIEJO 750CC</t>
  </si>
  <si>
    <t>CAFE POLVO ICB</t>
  </si>
  <si>
    <t>IMPORTADORA Y ALIMENTOS ICB FOOD SERVICE SPA</t>
  </si>
  <si>
    <t>OJITOS HALLOWEEN AMBROSIA</t>
  </si>
  <si>
    <t>FRAMBUESA CONGELADA MINUTO VERDE</t>
  </si>
  <si>
    <t>COLORANTE NARANJA FLORAMATIC</t>
  </si>
  <si>
    <t>CUPULA MINI TORTA BASE NEGRA 15,5x7,5 FOOD PACK</t>
  </si>
  <si>
    <t>ETIQUETA GALLETA AMERICAN CRISPY CHIP DE CHOCOLATE</t>
  </si>
  <si>
    <t>ETIQUETA GALLETA AMERICAN CRISPY ALMENDRAS Y CRAMBERRY</t>
  </si>
  <si>
    <t>ETIQUETA GALLETA AMERICAN CRISPY BROWNIE CHIPS</t>
  </si>
  <si>
    <t>ETIQUETA GALLETA AMERICAN COCADA CRANBERRY</t>
  </si>
  <si>
    <t>ETIQUETA GALLETA AMERICAN CHUNK CHOCOLATE</t>
  </si>
  <si>
    <t>ETIQUETA GALLETA AMERICAN CHUNK MACADAMIA Y CHOCOLATE BLANCO</t>
  </si>
  <si>
    <t>ETIQUETA GALLETA AMERICAN CHUNK CHOCOLATE Y CARAMELO</t>
  </si>
  <si>
    <t>OREO SMALL CRUMBS 500 GRS</t>
  </si>
  <si>
    <t>INVERSIONES VIA K SPA</t>
  </si>
  <si>
    <t>MANJAR ARTESANAL DAILY</t>
  </si>
  <si>
    <t>DAILY FOODS S.A.</t>
  </si>
  <si>
    <t>ETIQUETA GENERICA TORTA SELVA NEGRA ESPECIAL WALMART</t>
  </si>
  <si>
    <t>ETIQUETA GENERICA TORTA CREMA PIÑA ESPECIAL WALMART</t>
  </si>
  <si>
    <t>MANTEQUILLA CON SAL SOPROLE</t>
  </si>
  <si>
    <t>BLISTER PARA BERLINES ART 401-A DEANDES</t>
  </si>
  <si>
    <t>RELLENO AVELLANA MASTER MARTINI</t>
  </si>
  <si>
    <t>PASTA MEL DE MARACUYÁ BALDE 5 KG</t>
  </si>
  <si>
    <t>CINTA COLOR NIÑO ZUKKER</t>
  </si>
  <si>
    <t>CUPULA 15 PP BAJA WALMART</t>
  </si>
  <si>
    <t>TEGRAL BIZCOCHUELO PURATOS</t>
  </si>
  <si>
    <t>PIÑA EN CUBOS CAMPOS</t>
  </si>
  <si>
    <t>MIX QUEQUE SATÍN SAN CRISTÓBAL</t>
  </si>
  <si>
    <t>HARINA 061 FINA HOJA SAN CRISTOBAL</t>
  </si>
  <si>
    <t>DURAZNO EN CUBOS CAMPOS</t>
  </si>
  <si>
    <t>ETIQUETA BLANCA 100x80 JUMBO</t>
  </si>
  <si>
    <t>ETIQUETA GENERICA TORTA PANQUEQUE LÚCUMA CROCANTE</t>
  </si>
  <si>
    <t>COLORANTE AZUL BRILLANTE FLORAMATIC</t>
  </si>
  <si>
    <t>CONJUNTO DISEÑO DÍA DEL PADRE AMBROSIA</t>
  </si>
  <si>
    <t>ETIQUETA DECORATIVA PANQUEQUE NARANJA JUMBO</t>
  </si>
  <si>
    <t>MIX QUEQUE AMERICANO SAN CRISTOBAL</t>
  </si>
  <si>
    <t>DISCO CARTON BLANCO 19 ECOPLASTIC</t>
  </si>
  <si>
    <t>MARRASQUINO CAMPOS</t>
  </si>
  <si>
    <t>NUEZ PICADILLO CAMPOS DE CHILE</t>
  </si>
  <si>
    <t>SOCIEDAD COMERCIAL CAMPOS DE CHILE LTDA</t>
  </si>
  <si>
    <t>BIZCOCHO CHOCOLATE HI MARMIX</t>
  </si>
  <si>
    <t>MARMIX SPA</t>
  </si>
  <si>
    <t>MIX  BIZCOCHO 3 LECHES PURATOS</t>
  </si>
  <si>
    <t>ETIQUETA GENÉRICA TORTA SELVA NEGRA MEDIANA WALMART</t>
  </si>
  <si>
    <t>ETIQUETA GENÉRICA TORTA CREMA PIÑA MEDIANA WALMART</t>
  </si>
  <si>
    <t>T. BIZCOCHO CHOCOLATE PLUS PURATOS</t>
  </si>
  <si>
    <t>CUPULA 271 BX BUENAVENTURA</t>
  </si>
  <si>
    <t>PM BASE TARTALETAS MARMIX</t>
  </si>
  <si>
    <t>CLAMSHELL 3-3 BAT RECT. ECOPLASTIC</t>
  </si>
  <si>
    <t>TRESMONTES LUCCHETTI SERVICIOS S.A.</t>
  </si>
  <si>
    <t>HUEVO LIQUIDO BOLSA 20 KG AGRICOVIAL</t>
  </si>
  <si>
    <t>DISCO DE HOJA 15 PP 1X30</t>
  </si>
  <si>
    <t>DISCO DE CARTON 15,5CM VTM</t>
  </si>
  <si>
    <t>ACEITE VEGETAL 1000 CC. EGC</t>
  </si>
  <si>
    <t>ETIQUETA TORTA SAN JORGE LÚCUMA SMU</t>
  </si>
  <si>
    <t>ROSA GANACHE ROSADO CLARO AMBROSIA</t>
  </si>
  <si>
    <t>PLANCHA PANQUEQUE VAINILLA OBERENA</t>
  </si>
  <si>
    <t>HUEVO LIQUIDO BALDE ARIZONA</t>
  </si>
  <si>
    <t>BIGOTE CHOCOLATE BLANCO 6 GRAMOS AMBROSIA</t>
  </si>
  <si>
    <t>HOJA SEPARADORA TORTA DIAMETRO 230 MMS FULL CARTON</t>
  </si>
  <si>
    <t>PLANCHA DE CARTON 1X1,20 FULL CARTON</t>
  </si>
  <si>
    <t>ZANAHORIA BABY 454 GR AGROSANO</t>
  </si>
  <si>
    <t>EN_SATEL</t>
  </si>
  <si>
    <t>E14-Bodega Apolo Enea</t>
  </si>
  <si>
    <t>MARGARINA MULTIPROPÓSITO HORNEO</t>
  </si>
  <si>
    <t xml:space="preserve">BODEGAS </t>
  </si>
  <si>
    <t>CAJA PTG 15PP JUMBO FULL CARTON</t>
  </si>
  <si>
    <t>DISCO MICROCORRUGADO EMPLACADO 19 CM DIÁMETRO FULL CARTON</t>
  </si>
  <si>
    <t>GANACHE BLANCO MANAR</t>
  </si>
  <si>
    <t>CAJA TORTA MEDIANA FULL CARTON</t>
  </si>
  <si>
    <t>CAJA PTG 15PP SISA FULL CARTON</t>
  </si>
  <si>
    <t>BLISTER 243BBTA DEANDES</t>
  </si>
  <si>
    <t>CAJA PASTELES 600X325X120 FULL CARTON</t>
  </si>
  <si>
    <t>ETIQUETA CIRCULAR 90cm IMPR. TORTA SAN JORGE SISA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</si>
</sst>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18">
    <xf numFmtId="0" fontId="0" fillId="0" borderId="0" xfId="0"/>
    <xf numFmtId="16" fontId="2" fillId="2" borderId="0" xfId="0" applyNumberFormat="1" applyFont="1" applyFill="1"/>
    <xf numFmtId="0" fontId="2" fillId="0" borderId="0" xfId="0" applyFont="1"/>
    <xf numFmtId="0" fontId="3" fillId="2" borderId="0" xfId="0" applyFont="1" applyFill="1"/>
    <xf numFmtId="0" fontId="2" fillId="0" borderId="0" xfId="0" applyFont="1" applyAlignment="1">
      <alignment horizontal="right"/>
    </xf>
    <xf numFmtId="4" fontId="2" fillId="0" borderId="0" xfId="0" applyNumberFormat="1" applyFont="1"/>
    <xf numFmtId="1" fontId="2" fillId="0" borderId="0" xfId="0" applyNumberFormat="1" applyFont="1"/>
    <xf numFmtId="3" fontId="2" fillId="0" borderId="0" xfId="0" applyNumberFormat="1" applyFont="1"/>
    <xf numFmtId="4" fontId="3" fillId="2" borderId="0" xfId="0" applyNumberFormat="1" applyFont="1" applyFill="1"/>
    <xf numFmtId="1" fontId="2" fillId="0" borderId="0" xfId="0" applyNumberFormat="1" applyFont="1" applyAlignment="1">
      <alignment horizontal="center"/>
    </xf>
    <xf numFmtId="0" fontId="2" fillId="0" borderId="0" xfId="0" pivotButton="1" applyFont="1"/>
    <xf numFmtId="0" fontId="2" fillId="0" borderId="0" xfId="0" applyFont="1" applyAlignment="1">
      <alignment horizontal="left"/>
    </xf>
    <xf numFmtId="42" fontId="2" fillId="0" borderId="0" xfId="0" applyNumberFormat="1" applyFont="1"/>
    <xf numFmtId="1" fontId="3" fillId="2" borderId="0" xfId="0" applyNumberFormat="1" applyFont="1" applyFill="1"/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1" fontId="3" fillId="2" borderId="0" xfId="1" applyNumberFormat="1" applyFont="1" applyFill="1"/>
    <xf numFmtId="1" fontId="2" fillId="0" borderId="0" xfId="1" applyNumberFormat="1" applyFont="1"/>
  </cellXfs>
  <cellStyles count="2">
    <cellStyle name="Moneda [0]" xfId="1" builtinId="7"/>
    <cellStyle name="Normal" xfId="0" builtinId="0"/>
  </cellStyles>
  <dxfs count="20">
    <dxf>
      <numFmt numFmtId="3" formatCode="#,##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BMP%20Picking%20-%20ENEA%20RAUL%20V4.xlsx" TargetMode="External"/><Relationship Id="rId2" Type="http://schemas.openxmlformats.org/officeDocument/2006/relationships/externalLinkPath" Target="https://prosepan-my.sharepoint.com/personal/rtramarria_quintasa_cl/Documents/Escritorio/BMP%20Picking%20-%20ENEA%20RAUL%20V4.xlsx" TargetMode="External"/><Relationship Id="rId1" Type="http://schemas.openxmlformats.org/officeDocument/2006/relationships/externalLinkPath" Target="/personal/rtramarria_quintasa_cl/Documents/Escritorio/BMP%20Picking%20-%20ENEA%20RAUL%20V4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rosepan-my.sharepoint.com/personal/rtramarria_quintasa_cl/Documents/Escritorio/BMP%20Picking%20-%20ENEA%20RAUL%20V4.xlsx" TargetMode="External"/><Relationship Id="rId1" Type="http://schemas.openxmlformats.org/officeDocument/2006/relationships/externalLinkPath" Target="BMP%20Picking%20-%20ENEA%20RAUL%20V4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BMP%20Picking%20-%20PUERTO%20VESPUCIO%20RAUL%20V4.xlsx" TargetMode="External"/><Relationship Id="rId2" Type="http://schemas.openxmlformats.org/officeDocument/2006/relationships/externalLinkPath" Target="https://prosepan-my.sharepoint.com/personal/rtramarria_quintasa_cl/Documents/Escritorio/BMP%20Picking%20-%20PUERTO%20VESPUCIO%20RAUL%20V4.xlsx" TargetMode="External"/><Relationship Id="rId1" Type="http://schemas.openxmlformats.org/officeDocument/2006/relationships/externalLinkPath" Target="/personal/rtramarria_quintasa_cl/Documents/Escritorio/BMP%20Picking%20-%20PUERTO%20VESPUCIO%20RAUL%20V4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rosepan-my.sharepoint.com/personal/rtramarria_quintasa_cl/Documents/Escritorio/BMP%20Picking%20-%20PUERTO%20VESPUCIO%20RAUL%20V4.xlsx" TargetMode="External"/><Relationship Id="rId1" Type="http://schemas.openxmlformats.org/officeDocument/2006/relationships/externalLinkPath" Target="BMP%20Picking%20-%20PUERTO%20VESPUCIO%20RAUL%20V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POR DIA "/>
      <sheetName val="Consumo SEMANA ENEA"/>
      <sheetName val="PEDIR"/>
      <sheetName val="RECET"/>
      <sheetName val="Stock Bodegas"/>
      <sheetName val="COSUMO DIA ENEA"/>
      <sheetName val="Hoja3"/>
      <sheetName val="Base Transferencia"/>
      <sheetName val="CONSUMO"/>
      <sheetName val="Hoja7"/>
      <sheetName val="Calendario"/>
      <sheetName val="Base Stock"/>
      <sheetName val="Base Categoria"/>
      <sheetName val="no activos "/>
      <sheetName val="dn pedidos"/>
      <sheetName val="DN LLEGO"/>
      <sheetName val="LLEGO"/>
      <sheetName val="PEDIDOS"/>
      <sheetName val="dn consumos"/>
      <sheetName val="Hoja4"/>
      <sheetName val="Hoja5"/>
    </sheetNames>
    <sheetDataSet>
      <sheetData sheetId="0"/>
      <sheetData sheetId="1">
        <row r="1">
          <cell r="F1" t="str">
            <v>ENEA</v>
          </cell>
          <cell r="EH1" t="str">
            <v xml:space="preserve">12 a 1 reunion de bodega </v>
          </cell>
        </row>
        <row r="2">
          <cell r="F2" t="str">
            <v>(Todas)</v>
          </cell>
        </row>
        <row r="3">
          <cell r="F3" t="str">
            <v>(Todas)</v>
          </cell>
        </row>
        <row r="4">
          <cell r="F4" t="str">
            <v>(Todas)</v>
          </cell>
        </row>
        <row r="5">
          <cell r="F5" t="str">
            <v>(Varios elementos)</v>
          </cell>
        </row>
        <row r="6">
          <cell r="F6" t="str">
            <v>(Todas)</v>
          </cell>
        </row>
        <row r="7">
          <cell r="F7" t="str">
            <v>(Todas)</v>
          </cell>
        </row>
        <row r="9">
          <cell r="H9" t="str">
            <v>AÑO</v>
          </cell>
          <cell r="I9" t="str">
            <v>Semana</v>
          </cell>
        </row>
        <row r="10">
          <cell r="H10" t="str">
            <v>2024</v>
          </cell>
          <cell r="BH10" t="str">
            <v>2025</v>
          </cell>
          <cell r="DI10" t="str">
            <v>2026</v>
          </cell>
        </row>
        <row r="11">
          <cell r="F11" t="str">
            <v xml:space="preserve">artículo  </v>
          </cell>
          <cell r="G11" t="str">
            <v>Descripción artículo/serv.</v>
          </cell>
          <cell r="H11">
            <v>1</v>
          </cell>
          <cell r="I11">
            <v>2</v>
          </cell>
          <cell r="J11">
            <v>3</v>
          </cell>
          <cell r="K11">
            <v>4</v>
          </cell>
          <cell r="L11">
            <v>5</v>
          </cell>
          <cell r="M11">
            <v>6</v>
          </cell>
          <cell r="N11">
            <v>7</v>
          </cell>
          <cell r="O11">
            <v>8</v>
          </cell>
          <cell r="P11">
            <v>9</v>
          </cell>
          <cell r="Q11">
            <v>10</v>
          </cell>
          <cell r="R11">
            <v>11</v>
          </cell>
          <cell r="S11">
            <v>12</v>
          </cell>
          <cell r="T11">
            <v>13</v>
          </cell>
          <cell r="U11">
            <v>14</v>
          </cell>
          <cell r="V11">
            <v>15</v>
          </cell>
          <cell r="W11">
            <v>16</v>
          </cell>
          <cell r="X11">
            <v>17</v>
          </cell>
          <cell r="Y11">
            <v>18</v>
          </cell>
          <cell r="Z11">
            <v>19</v>
          </cell>
          <cell r="AA11">
            <v>20</v>
          </cell>
          <cell r="AB11">
            <v>21</v>
          </cell>
          <cell r="AC11">
            <v>22</v>
          </cell>
          <cell r="AD11">
            <v>23</v>
          </cell>
          <cell r="AE11">
            <v>24</v>
          </cell>
          <cell r="AF11">
            <v>25</v>
          </cell>
          <cell r="AG11">
            <v>26</v>
          </cell>
          <cell r="AH11">
            <v>27</v>
          </cell>
          <cell r="AI11">
            <v>28</v>
          </cell>
          <cell r="AJ11">
            <v>29</v>
          </cell>
          <cell r="AK11">
            <v>30</v>
          </cell>
          <cell r="AL11">
            <v>31</v>
          </cell>
          <cell r="AM11">
            <v>32</v>
          </cell>
          <cell r="AN11">
            <v>33</v>
          </cell>
          <cell r="AO11">
            <v>34</v>
          </cell>
          <cell r="AP11">
            <v>35</v>
          </cell>
          <cell r="AQ11">
            <v>36</v>
          </cell>
          <cell r="AR11">
            <v>37</v>
          </cell>
          <cell r="AS11">
            <v>38</v>
          </cell>
          <cell r="AT11">
            <v>39</v>
          </cell>
          <cell r="AU11">
            <v>40</v>
          </cell>
          <cell r="AV11">
            <v>41</v>
          </cell>
          <cell r="AW11">
            <v>42</v>
          </cell>
          <cell r="AX11">
            <v>43</v>
          </cell>
          <cell r="AY11">
            <v>44</v>
          </cell>
          <cell r="AZ11">
            <v>45</v>
          </cell>
          <cell r="BA11">
            <v>46</v>
          </cell>
          <cell r="BB11">
            <v>47</v>
          </cell>
          <cell r="BC11">
            <v>48</v>
          </cell>
          <cell r="BD11">
            <v>49</v>
          </cell>
          <cell r="BE11">
            <v>50</v>
          </cell>
          <cell r="BF11">
            <v>51</v>
          </cell>
          <cell r="BG11">
            <v>52</v>
          </cell>
          <cell r="BH11">
            <v>1</v>
          </cell>
          <cell r="BI11">
            <v>2</v>
          </cell>
          <cell r="BJ11">
            <v>3</v>
          </cell>
          <cell r="BK11">
            <v>4</v>
          </cell>
          <cell r="BL11">
            <v>5</v>
          </cell>
          <cell r="BM11">
            <v>6</v>
          </cell>
          <cell r="BN11">
            <v>7</v>
          </cell>
          <cell r="BO11">
            <v>8</v>
          </cell>
          <cell r="BP11">
            <v>9</v>
          </cell>
          <cell r="BQ11">
            <v>10</v>
          </cell>
          <cell r="BR11">
            <v>11</v>
          </cell>
          <cell r="BS11">
            <v>12</v>
          </cell>
          <cell r="BT11">
            <v>13</v>
          </cell>
          <cell r="BU11">
            <v>14</v>
          </cell>
          <cell r="BV11">
            <v>15</v>
          </cell>
          <cell r="BW11">
            <v>16</v>
          </cell>
          <cell r="BX11">
            <v>17</v>
          </cell>
          <cell r="BY11">
            <v>18</v>
          </cell>
          <cell r="BZ11">
            <v>19</v>
          </cell>
          <cell r="CA11">
            <v>20</v>
          </cell>
          <cell r="CB11">
            <v>21</v>
          </cell>
          <cell r="CC11">
            <v>22</v>
          </cell>
          <cell r="CD11">
            <v>23</v>
          </cell>
          <cell r="CE11">
            <v>24</v>
          </cell>
          <cell r="CF11">
            <v>25</v>
          </cell>
          <cell r="CG11">
            <v>26</v>
          </cell>
          <cell r="CH11">
            <v>27</v>
          </cell>
          <cell r="CI11">
            <v>28</v>
          </cell>
          <cell r="CJ11">
            <v>29</v>
          </cell>
          <cell r="CK11">
            <v>30</v>
          </cell>
          <cell r="CL11">
            <v>31</v>
          </cell>
          <cell r="CM11">
            <v>32</v>
          </cell>
          <cell r="CN11">
            <v>33</v>
          </cell>
          <cell r="CO11">
            <v>34</v>
          </cell>
          <cell r="CP11">
            <v>35</v>
          </cell>
          <cell r="CQ11">
            <v>36</v>
          </cell>
          <cell r="CR11">
            <v>37</v>
          </cell>
          <cell r="CS11">
            <v>38</v>
          </cell>
          <cell r="CT11">
            <v>39</v>
          </cell>
          <cell r="CU11">
            <v>40</v>
          </cell>
          <cell r="CV11">
            <v>41</v>
          </cell>
          <cell r="CW11">
            <v>42</v>
          </cell>
          <cell r="CX11">
            <v>43</v>
          </cell>
          <cell r="CY11">
            <v>44</v>
          </cell>
          <cell r="CZ11">
            <v>45</v>
          </cell>
          <cell r="DA11">
            <v>46</v>
          </cell>
          <cell r="DB11">
            <v>47</v>
          </cell>
          <cell r="DC11">
            <v>48</v>
          </cell>
          <cell r="DD11">
            <v>49</v>
          </cell>
          <cell r="DE11">
            <v>50</v>
          </cell>
          <cell r="DF11">
            <v>51</v>
          </cell>
          <cell r="DG11">
            <v>52</v>
          </cell>
          <cell r="DH11">
            <v>53</v>
          </cell>
          <cell r="DI11">
            <v>1</v>
          </cell>
          <cell r="DJ11">
            <v>2</v>
          </cell>
          <cell r="DK11">
            <v>3</v>
          </cell>
          <cell r="DL11">
            <v>4</v>
          </cell>
          <cell r="DM11">
            <v>5</v>
          </cell>
          <cell r="DN11">
            <v>6</v>
          </cell>
          <cell r="DO11">
            <v>7</v>
          </cell>
          <cell r="DP11">
            <v>8</v>
          </cell>
          <cell r="DQ11">
            <v>9</v>
          </cell>
          <cell r="DR11">
            <v>10</v>
          </cell>
          <cell r="DS11">
            <v>11</v>
          </cell>
          <cell r="DT11">
            <v>12</v>
          </cell>
          <cell r="DU11">
            <v>13</v>
          </cell>
          <cell r="DV11">
            <v>14</v>
          </cell>
          <cell r="DW11">
            <v>15</v>
          </cell>
          <cell r="DX11">
            <v>16</v>
          </cell>
          <cell r="DY11">
            <v>17</v>
          </cell>
          <cell r="DZ11">
            <v>18</v>
          </cell>
          <cell r="EA11">
            <v>19</v>
          </cell>
          <cell r="EB11">
            <v>20</v>
          </cell>
          <cell r="EC11">
            <v>21</v>
          </cell>
          <cell r="ED11">
            <v>22</v>
          </cell>
          <cell r="EE11">
            <v>23</v>
          </cell>
          <cell r="EF11">
            <v>24</v>
          </cell>
          <cell r="EG11">
            <v>25</v>
          </cell>
          <cell r="EH11" t="str">
            <v xml:space="preserve">status </v>
          </cell>
          <cell r="EI11" t="str">
            <v>ABC</v>
          </cell>
          <cell r="EJ11" t="str">
            <v>EMPAQUE</v>
          </cell>
          <cell r="EK11" t="str">
            <v>PROM. SEM</v>
          </cell>
          <cell r="EL11" t="str">
            <v>STOCK DIA</v>
          </cell>
        </row>
        <row r="12">
          <cell r="F12">
            <v>400202</v>
          </cell>
          <cell r="G12" t="str">
            <v>BOLSA PREPICADA 50x75</v>
          </cell>
          <cell r="J12">
            <v>60</v>
          </cell>
          <cell r="K12">
            <v>20</v>
          </cell>
          <cell r="M12">
            <v>140</v>
          </cell>
          <cell r="S12">
            <v>100</v>
          </cell>
          <cell r="X12">
            <v>40</v>
          </cell>
          <cell r="AA12">
            <v>40</v>
          </cell>
          <cell r="AB12">
            <v>80</v>
          </cell>
          <cell r="AF12">
            <v>100</v>
          </cell>
          <cell r="AJ12">
            <v>100</v>
          </cell>
          <cell r="AM12">
            <v>120</v>
          </cell>
          <cell r="AQ12">
            <v>100</v>
          </cell>
          <cell r="AV12">
            <v>100</v>
          </cell>
          <cell r="AZ12">
            <v>90</v>
          </cell>
          <cell r="BC12">
            <v>220</v>
          </cell>
          <cell r="BL12">
            <v>121</v>
          </cell>
          <cell r="BM12">
            <v>119</v>
          </cell>
          <cell r="BO12">
            <v>150</v>
          </cell>
          <cell r="BW12">
            <v>200</v>
          </cell>
          <cell r="CC12">
            <v>120</v>
          </cell>
          <cell r="CE12">
            <v>100</v>
          </cell>
          <cell r="CG12">
            <v>300</v>
          </cell>
          <cell r="CK12">
            <v>100</v>
          </cell>
          <cell r="CN12">
            <v>100</v>
          </cell>
          <cell r="CR12">
            <v>140</v>
          </cell>
          <cell r="CW12">
            <v>150</v>
          </cell>
          <cell r="CY12">
            <v>7.4</v>
          </cell>
          <cell r="DB12">
            <v>200</v>
          </cell>
          <cell r="DL12">
            <v>200</v>
          </cell>
          <cell r="DR12">
            <v>150</v>
          </cell>
          <cell r="DX12">
            <v>150</v>
          </cell>
          <cell r="EB12">
            <v>150</v>
          </cell>
          <cell r="EG12">
            <v>150</v>
          </cell>
          <cell r="EH12" t="str">
            <v>CURICO</v>
          </cell>
          <cell r="EI12" t="str">
            <v>C</v>
          </cell>
          <cell r="EJ12" t="str">
            <v/>
          </cell>
          <cell r="EK12">
            <v>160</v>
          </cell>
          <cell r="EL12">
            <v>26.666666666666668</v>
          </cell>
        </row>
        <row r="13">
          <cell r="F13">
            <v>402254</v>
          </cell>
          <cell r="G13" t="str">
            <v>BOLSA PREPICADA BANDEJA 100X90</v>
          </cell>
          <cell r="H13">
            <v>93.9</v>
          </cell>
          <cell r="I13">
            <v>160</v>
          </cell>
          <cell r="J13">
            <v>526.6</v>
          </cell>
          <cell r="K13">
            <v>89.5</v>
          </cell>
          <cell r="L13">
            <v>83.4</v>
          </cell>
          <cell r="M13">
            <v>355.1</v>
          </cell>
          <cell r="N13">
            <v>69.5</v>
          </cell>
          <cell r="O13">
            <v>1036.2</v>
          </cell>
          <cell r="P13">
            <v>186.4</v>
          </cell>
          <cell r="Q13">
            <v>69.5</v>
          </cell>
          <cell r="R13">
            <v>575.5</v>
          </cell>
          <cell r="S13">
            <v>47.8</v>
          </cell>
          <cell r="T13">
            <v>81.7</v>
          </cell>
          <cell r="U13">
            <v>204.7</v>
          </cell>
          <cell r="V13">
            <v>41.7</v>
          </cell>
          <cell r="W13">
            <v>799.2</v>
          </cell>
          <cell r="X13">
            <v>89.5</v>
          </cell>
          <cell r="Y13">
            <v>69.5</v>
          </cell>
          <cell r="Z13">
            <v>125.10000000000002</v>
          </cell>
          <cell r="AA13">
            <v>603.79999999999995</v>
          </cell>
          <cell r="AB13">
            <v>132.1</v>
          </cell>
          <cell r="AC13">
            <v>416.99999999999989</v>
          </cell>
          <cell r="AD13">
            <v>970.69999999999993</v>
          </cell>
          <cell r="AE13">
            <v>369.49999999999994</v>
          </cell>
          <cell r="AF13">
            <v>57.300000000000004</v>
          </cell>
          <cell r="AG13">
            <v>789.59999999999991</v>
          </cell>
          <cell r="AJ13">
            <v>499.9</v>
          </cell>
          <cell r="AM13">
            <v>139</v>
          </cell>
          <cell r="AN13">
            <v>194.60000000000002</v>
          </cell>
          <cell r="AO13">
            <v>1033.7</v>
          </cell>
          <cell r="AP13">
            <v>209.5</v>
          </cell>
          <cell r="AQ13">
            <v>180.70000000000002</v>
          </cell>
          <cell r="AR13">
            <v>1075.3</v>
          </cell>
          <cell r="AS13">
            <v>27.8</v>
          </cell>
          <cell r="AT13">
            <v>83.4</v>
          </cell>
          <cell r="AU13">
            <v>69.5</v>
          </cell>
          <cell r="AV13">
            <v>55.599999999999987</v>
          </cell>
          <cell r="AW13">
            <v>83.4</v>
          </cell>
          <cell r="AX13">
            <v>97.300000000000011</v>
          </cell>
          <cell r="AY13">
            <v>583.79999999999995</v>
          </cell>
          <cell r="AZ13">
            <v>305.40000000000003</v>
          </cell>
          <cell r="BA13">
            <v>804.99999999999989</v>
          </cell>
          <cell r="BB13">
            <v>613.69999999999982</v>
          </cell>
          <cell r="BC13">
            <v>473.8</v>
          </cell>
          <cell r="BD13">
            <v>503</v>
          </cell>
          <cell r="BE13">
            <v>1302.7000000000003</v>
          </cell>
          <cell r="BF13">
            <v>83.4</v>
          </cell>
          <cell r="BG13">
            <v>111.20000000000002</v>
          </cell>
          <cell r="BH13">
            <v>13.9</v>
          </cell>
          <cell r="BN13">
            <v>13.9</v>
          </cell>
          <cell r="BO13">
            <v>681.1</v>
          </cell>
          <cell r="BP13">
            <v>41.7</v>
          </cell>
          <cell r="BQ13">
            <v>138.1</v>
          </cell>
          <cell r="BR13">
            <v>0.3</v>
          </cell>
          <cell r="BU13">
            <v>528.20000000000005</v>
          </cell>
          <cell r="BV13">
            <v>83.4</v>
          </cell>
          <cell r="BW13">
            <v>97.300000000000011</v>
          </cell>
          <cell r="BX13">
            <v>639.39999999999986</v>
          </cell>
          <cell r="BY13">
            <v>194.60000000000002</v>
          </cell>
          <cell r="BZ13">
            <v>125.10000000000002</v>
          </cell>
          <cell r="CA13">
            <v>77.7</v>
          </cell>
          <cell r="CF13">
            <v>41.7</v>
          </cell>
          <cell r="CG13">
            <v>343.8</v>
          </cell>
          <cell r="CH13">
            <v>624</v>
          </cell>
          <cell r="CI13">
            <v>125.10000000000001</v>
          </cell>
          <cell r="CJ13">
            <v>139</v>
          </cell>
          <cell r="CK13">
            <v>567.99999999999989</v>
          </cell>
          <cell r="CL13">
            <v>55.6</v>
          </cell>
          <cell r="CM13">
            <v>541.69999999999993</v>
          </cell>
          <cell r="CN13">
            <v>41.7</v>
          </cell>
          <cell r="CP13">
            <v>27.8</v>
          </cell>
          <cell r="CQ13">
            <v>55.6</v>
          </cell>
          <cell r="CR13">
            <v>83.4</v>
          </cell>
          <cell r="CS13">
            <v>13.9</v>
          </cell>
          <cell r="CT13">
            <v>69.5</v>
          </cell>
          <cell r="CU13">
            <v>83.4</v>
          </cell>
          <cell r="CV13">
            <v>132.6</v>
          </cell>
          <cell r="CX13">
            <v>162.415865</v>
          </cell>
          <cell r="DA13">
            <v>55.6</v>
          </cell>
          <cell r="DB13">
            <v>83.4</v>
          </cell>
          <cell r="DC13">
            <v>62.800000000000004</v>
          </cell>
          <cell r="DE13">
            <v>534.29999999999995</v>
          </cell>
          <cell r="DF13">
            <v>69.5</v>
          </cell>
          <cell r="DG13">
            <v>129.5</v>
          </cell>
          <cell r="DH13">
            <v>241.7</v>
          </cell>
          <cell r="DI13">
            <v>27.8</v>
          </cell>
          <cell r="DJ13">
            <v>335.7</v>
          </cell>
          <cell r="DK13">
            <v>166.8</v>
          </cell>
          <cell r="DL13">
            <v>83.4</v>
          </cell>
          <cell r="DM13">
            <v>83.4</v>
          </cell>
          <cell r="DN13">
            <v>69.5</v>
          </cell>
          <cell r="DO13">
            <v>83.4</v>
          </cell>
          <cell r="DP13">
            <v>142.5</v>
          </cell>
          <cell r="DQ13">
            <v>55.6</v>
          </cell>
          <cell r="DR13">
            <v>55.6</v>
          </cell>
          <cell r="DS13">
            <v>188.8</v>
          </cell>
          <cell r="DU13">
            <v>41.7</v>
          </cell>
          <cell r="DV13">
            <v>83.4</v>
          </cell>
          <cell r="DW13">
            <v>166.8</v>
          </cell>
          <cell r="DX13">
            <v>97.300000000000011</v>
          </cell>
          <cell r="DY13">
            <v>461.59999999999991</v>
          </cell>
          <cell r="EH13" t="str">
            <v>ACTIVO</v>
          </cell>
          <cell r="EI13" t="str">
            <v>B</v>
          </cell>
          <cell r="EJ13">
            <v>300</v>
          </cell>
          <cell r="EK13">
            <v>133.95624999999998</v>
          </cell>
          <cell r="EL13">
            <v>22.326041666666665</v>
          </cell>
        </row>
        <row r="14">
          <cell r="F14">
            <v>400104</v>
          </cell>
          <cell r="G14" t="str">
            <v>BOLSA DISCO HOJA 35X35 CM x35 MICRAS</v>
          </cell>
          <cell r="J14">
            <v>500</v>
          </cell>
          <cell r="K14">
            <v>12500</v>
          </cell>
          <cell r="L14">
            <v>11500</v>
          </cell>
          <cell r="M14">
            <v>24000</v>
          </cell>
          <cell r="Q14">
            <v>53000</v>
          </cell>
          <cell r="R14">
            <v>18000</v>
          </cell>
          <cell r="T14">
            <v>18236</v>
          </cell>
          <cell r="U14">
            <v>42000</v>
          </cell>
          <cell r="W14">
            <v>17500</v>
          </cell>
          <cell r="X14">
            <v>35000</v>
          </cell>
          <cell r="AB14">
            <v>25000</v>
          </cell>
          <cell r="AI14">
            <v>44000</v>
          </cell>
          <cell r="AJ14">
            <v>24500</v>
          </cell>
          <cell r="AN14">
            <v>63000</v>
          </cell>
          <cell r="AO14">
            <v>8500</v>
          </cell>
          <cell r="AP14">
            <v>60000</v>
          </cell>
          <cell r="AQ14">
            <v>32500</v>
          </cell>
          <cell r="AW14">
            <v>24500</v>
          </cell>
          <cell r="BA14">
            <v>33000</v>
          </cell>
          <cell r="BB14">
            <v>67000</v>
          </cell>
          <cell r="BC14">
            <v>76300</v>
          </cell>
          <cell r="BL14">
            <v>50000</v>
          </cell>
          <cell r="BS14">
            <v>60000</v>
          </cell>
          <cell r="BU14">
            <v>120000</v>
          </cell>
          <cell r="CC14">
            <v>60000</v>
          </cell>
          <cell r="CE14">
            <v>49000</v>
          </cell>
          <cell r="CF14">
            <v>11000</v>
          </cell>
          <cell r="CG14">
            <v>60000</v>
          </cell>
          <cell r="CN14">
            <v>30000</v>
          </cell>
          <cell r="CR14">
            <v>100000</v>
          </cell>
          <cell r="DB14">
            <v>120000</v>
          </cell>
          <cell r="DL14">
            <v>47500</v>
          </cell>
          <cell r="DO14">
            <v>60000</v>
          </cell>
          <cell r="DQ14">
            <v>60000</v>
          </cell>
          <cell r="DW14">
            <v>60000</v>
          </cell>
          <cell r="ED14">
            <v>38500</v>
          </cell>
          <cell r="EF14">
            <v>21500</v>
          </cell>
          <cell r="EG14">
            <v>30000</v>
          </cell>
          <cell r="EH14" t="str">
            <v>CURICO</v>
          </cell>
          <cell r="EI14" t="str">
            <v>C</v>
          </cell>
          <cell r="EJ14" t="str">
            <v/>
          </cell>
          <cell r="EK14">
            <v>45357.142857142855</v>
          </cell>
          <cell r="EL14">
            <v>7559.5238095238092</v>
          </cell>
        </row>
        <row r="15">
          <cell r="F15">
            <v>405569</v>
          </cell>
          <cell r="G15" t="str">
            <v>BOLSA VIRGEN ROJA DE 40 X 42 X 0,035 SIGNO</v>
          </cell>
          <cell r="CM15">
            <v>2000</v>
          </cell>
          <cell r="EH15" t="str">
            <v>SIN USO</v>
          </cell>
          <cell r="EI15" t="str">
            <v>C</v>
          </cell>
          <cell r="EJ15" t="str">
            <v/>
          </cell>
          <cell r="EK15">
            <v>0</v>
          </cell>
          <cell r="EL15">
            <v>0</v>
          </cell>
        </row>
        <row r="16">
          <cell r="F16">
            <v>400203</v>
          </cell>
          <cell r="G16" t="str">
            <v>BOLSA PREPICADA BANDEJA (22+60+22)104x90</v>
          </cell>
          <cell r="Q16">
            <v>200</v>
          </cell>
          <cell r="U16">
            <v>13</v>
          </cell>
          <cell r="AF16">
            <v>27.8</v>
          </cell>
          <cell r="AG16">
            <v>41.7</v>
          </cell>
          <cell r="AH16">
            <v>83.4</v>
          </cell>
          <cell r="AI16">
            <v>41.7</v>
          </cell>
          <cell r="AJ16">
            <v>69.5</v>
          </cell>
          <cell r="AK16">
            <v>125.10000000000002</v>
          </cell>
          <cell r="AL16">
            <v>69.5</v>
          </cell>
          <cell r="AM16">
            <v>76.5</v>
          </cell>
          <cell r="AN16">
            <v>34</v>
          </cell>
          <cell r="AO16">
            <v>13.9</v>
          </cell>
          <cell r="AR16">
            <v>13.9</v>
          </cell>
          <cell r="BA16">
            <v>2.2000000000000002</v>
          </cell>
          <cell r="BS16">
            <v>395</v>
          </cell>
          <cell r="BZ16">
            <v>0</v>
          </cell>
          <cell r="CA16">
            <v>500</v>
          </cell>
          <cell r="CB16">
            <v>55.6</v>
          </cell>
          <cell r="CC16">
            <v>472.6</v>
          </cell>
          <cell r="CE16">
            <v>500</v>
          </cell>
          <cell r="CK16">
            <v>500</v>
          </cell>
          <cell r="CO16">
            <v>500</v>
          </cell>
          <cell r="CP16">
            <v>103.9</v>
          </cell>
          <cell r="CV16">
            <v>73.900000000000006</v>
          </cell>
          <cell r="CW16">
            <v>552.19999999999993</v>
          </cell>
          <cell r="CY16">
            <v>137.80000000000001</v>
          </cell>
          <cell r="CZ16">
            <v>569.49999999999989</v>
          </cell>
          <cell r="DA16">
            <v>13.9</v>
          </cell>
          <cell r="DC16">
            <v>27.8</v>
          </cell>
          <cell r="DD16">
            <v>555.59999999999991</v>
          </cell>
          <cell r="DE16">
            <v>55.6</v>
          </cell>
          <cell r="DF16">
            <v>513.9</v>
          </cell>
          <cell r="DG16">
            <v>13.9</v>
          </cell>
          <cell r="DK16">
            <v>500</v>
          </cell>
          <cell r="DM16">
            <v>500</v>
          </cell>
          <cell r="DR16">
            <v>500</v>
          </cell>
          <cell r="DT16">
            <v>41.7</v>
          </cell>
          <cell r="DU16">
            <v>333.6</v>
          </cell>
          <cell r="DW16">
            <v>500</v>
          </cell>
          <cell r="DY16">
            <v>13.9</v>
          </cell>
          <cell r="DZ16">
            <v>83.4</v>
          </cell>
          <cell r="EA16">
            <v>111.2</v>
          </cell>
          <cell r="EB16">
            <v>319.70000000000005</v>
          </cell>
          <cell r="EC16">
            <v>461.39999999999992</v>
          </cell>
          <cell r="ED16">
            <v>375.29999999999995</v>
          </cell>
          <cell r="EE16">
            <v>97.300000000000011</v>
          </cell>
          <cell r="EF16">
            <v>319.7</v>
          </cell>
          <cell r="EG16">
            <v>966.3</v>
          </cell>
          <cell r="EH16" t="str">
            <v>ACTIVO</v>
          </cell>
          <cell r="EI16" t="str">
            <v>C</v>
          </cell>
          <cell r="EJ16">
            <v>300</v>
          </cell>
          <cell r="EK16">
            <v>341.56666666666666</v>
          </cell>
          <cell r="EL16">
            <v>56.927777777777777</v>
          </cell>
        </row>
        <row r="17">
          <cell r="F17">
            <v>400205</v>
          </cell>
          <cell r="G17" t="str">
            <v>BOLSA PEBD 40x42 CM x35 MICRAS</v>
          </cell>
          <cell r="N17">
            <v>2500</v>
          </cell>
          <cell r="V17">
            <v>2000</v>
          </cell>
          <cell r="X17">
            <v>2000</v>
          </cell>
          <cell r="Y17">
            <v>4000</v>
          </cell>
          <cell r="AA17">
            <v>4000</v>
          </cell>
          <cell r="AE17">
            <v>2000</v>
          </cell>
          <cell r="AH17">
            <v>3000</v>
          </cell>
          <cell r="AQ17">
            <v>5500</v>
          </cell>
          <cell r="AU17">
            <v>4000</v>
          </cell>
          <cell r="BG17">
            <v>1500</v>
          </cell>
          <cell r="BT17">
            <v>1000</v>
          </cell>
          <cell r="BZ17">
            <v>2000</v>
          </cell>
          <cell r="CC17">
            <v>2000</v>
          </cell>
          <cell r="CG17">
            <v>28000</v>
          </cell>
          <cell r="CN17">
            <v>4000</v>
          </cell>
          <cell r="CP17">
            <v>4000</v>
          </cell>
          <cell r="CS17">
            <v>4000</v>
          </cell>
          <cell r="CW17">
            <v>2000</v>
          </cell>
          <cell r="CX17">
            <v>2500</v>
          </cell>
          <cell r="DA17">
            <v>2000</v>
          </cell>
          <cell r="DL17">
            <v>2000</v>
          </cell>
          <cell r="DN17">
            <v>2000</v>
          </cell>
          <cell r="DT17">
            <v>2000</v>
          </cell>
          <cell r="DV17">
            <v>2000</v>
          </cell>
          <cell r="DY17">
            <v>2000</v>
          </cell>
          <cell r="EA17">
            <v>4000</v>
          </cell>
          <cell r="EF17">
            <v>4000</v>
          </cell>
          <cell r="EH17" t="str">
            <v>ACTIVO</v>
          </cell>
          <cell r="EI17" t="str">
            <v>C</v>
          </cell>
          <cell r="EJ17" t="str">
            <v/>
          </cell>
          <cell r="EK17">
            <v>2571.4285714285716</v>
          </cell>
          <cell r="EL17">
            <v>428.57142857142861</v>
          </cell>
        </row>
        <row r="18">
          <cell r="F18">
            <v>400101</v>
          </cell>
          <cell r="G18" t="str">
            <v>BOLSA 30X32 CM 35 MICRAS</v>
          </cell>
          <cell r="BL18">
            <v>30000</v>
          </cell>
          <cell r="EH18" t="str">
            <v>VESPUCIO</v>
          </cell>
          <cell r="EI18" t="str">
            <v>C</v>
          </cell>
          <cell r="EJ18" t="str">
            <v/>
          </cell>
          <cell r="EK18">
            <v>0</v>
          </cell>
          <cell r="EL18">
            <v>0</v>
          </cell>
        </row>
        <row r="19">
          <cell r="F19">
            <v>402263</v>
          </cell>
          <cell r="G19" t="str">
            <v>BOLSA PREPICADA BANDEJA  100*90 COLOR AZUL ASTRA</v>
          </cell>
          <cell r="BN19">
            <v>208.5</v>
          </cell>
          <cell r="BU19">
            <v>27.8</v>
          </cell>
          <cell r="BZ19">
            <v>13.9</v>
          </cell>
          <cell r="CB19">
            <v>27.8</v>
          </cell>
          <cell r="CE19">
            <v>13.9</v>
          </cell>
          <cell r="CG19">
            <v>111.2</v>
          </cell>
          <cell r="CJ19">
            <v>13.9</v>
          </cell>
          <cell r="CL19">
            <v>13.9</v>
          </cell>
          <cell r="CN19">
            <v>41.7</v>
          </cell>
          <cell r="CR19">
            <v>13.9</v>
          </cell>
          <cell r="CU19">
            <v>13.9</v>
          </cell>
          <cell r="CW19">
            <v>10</v>
          </cell>
          <cell r="CY19">
            <v>13.9</v>
          </cell>
          <cell r="CZ19">
            <v>13.9</v>
          </cell>
          <cell r="DC19">
            <v>13.9</v>
          </cell>
          <cell r="DD19">
            <v>13.9</v>
          </cell>
          <cell r="DF19">
            <v>13.9</v>
          </cell>
          <cell r="DK19">
            <v>13.9</v>
          </cell>
          <cell r="DL19">
            <v>13.9</v>
          </cell>
          <cell r="DM19">
            <v>13.9</v>
          </cell>
          <cell r="DO19">
            <v>13.9</v>
          </cell>
          <cell r="DP19">
            <v>27.8</v>
          </cell>
          <cell r="DS19">
            <v>13.9</v>
          </cell>
          <cell r="DT19">
            <v>13.9</v>
          </cell>
          <cell r="DU19">
            <v>13.9</v>
          </cell>
          <cell r="DW19">
            <v>13.9</v>
          </cell>
          <cell r="EA19">
            <v>97.300000000000011</v>
          </cell>
          <cell r="EB19">
            <v>13.9</v>
          </cell>
          <cell r="EC19">
            <v>143.9</v>
          </cell>
          <cell r="EE19">
            <v>27.8</v>
          </cell>
          <cell r="EG19">
            <v>13.9</v>
          </cell>
          <cell r="EH19" t="str">
            <v>ACTIVO</v>
          </cell>
          <cell r="EI19" t="str">
            <v>C</v>
          </cell>
          <cell r="EJ19" t="str">
            <v/>
          </cell>
          <cell r="EK19">
            <v>31.12857142857143</v>
          </cell>
          <cell r="EL19">
            <v>5.1880952380952383</v>
          </cell>
        </row>
        <row r="20">
          <cell r="H20">
            <v>93.9</v>
          </cell>
          <cell r="I20">
            <v>160</v>
          </cell>
          <cell r="J20">
            <v>1086.5999999999999</v>
          </cell>
          <cell r="K20">
            <v>12609.5</v>
          </cell>
          <cell r="L20">
            <v>11583.4</v>
          </cell>
          <cell r="M20">
            <v>24495.1</v>
          </cell>
          <cell r="N20">
            <v>2569.5</v>
          </cell>
          <cell r="O20">
            <v>1036.2</v>
          </cell>
          <cell r="P20">
            <v>186.4</v>
          </cell>
          <cell r="Q20">
            <v>53269.5</v>
          </cell>
          <cell r="R20">
            <v>18575.5</v>
          </cell>
          <cell r="S20">
            <v>147.80000000000001</v>
          </cell>
          <cell r="T20">
            <v>18317.7</v>
          </cell>
          <cell r="U20">
            <v>42217.7</v>
          </cell>
          <cell r="V20">
            <v>2041.7</v>
          </cell>
          <cell r="W20">
            <v>18299.2</v>
          </cell>
          <cell r="X20">
            <v>37129.5</v>
          </cell>
          <cell r="Y20">
            <v>4069.5</v>
          </cell>
          <cell r="Z20">
            <v>125.10000000000002</v>
          </cell>
          <cell r="AA20">
            <v>4643.8</v>
          </cell>
          <cell r="AB20">
            <v>25212.1</v>
          </cell>
          <cell r="AC20">
            <v>416.99999999999989</v>
          </cell>
          <cell r="AD20">
            <v>970.69999999999993</v>
          </cell>
          <cell r="AE20">
            <v>2369.5</v>
          </cell>
          <cell r="AF20">
            <v>185.10000000000002</v>
          </cell>
          <cell r="AG20">
            <v>831.3</v>
          </cell>
          <cell r="AH20">
            <v>3083.4</v>
          </cell>
          <cell r="AI20">
            <v>44041.7</v>
          </cell>
          <cell r="AJ20">
            <v>25169.4</v>
          </cell>
          <cell r="AK20">
            <v>125.10000000000002</v>
          </cell>
          <cell r="AL20">
            <v>69.5</v>
          </cell>
          <cell r="AM20">
            <v>335.5</v>
          </cell>
          <cell r="AN20">
            <v>63228.6</v>
          </cell>
          <cell r="AO20">
            <v>9547.6</v>
          </cell>
          <cell r="AP20">
            <v>60209.5</v>
          </cell>
          <cell r="AQ20">
            <v>38280.699999999997</v>
          </cell>
          <cell r="AR20">
            <v>1089.2</v>
          </cell>
          <cell r="AS20">
            <v>27.8</v>
          </cell>
          <cell r="AT20">
            <v>83.4</v>
          </cell>
          <cell r="AU20">
            <v>4069.5</v>
          </cell>
          <cell r="AV20">
            <v>155.6</v>
          </cell>
          <cell r="AW20">
            <v>24583.4</v>
          </cell>
          <cell r="AX20">
            <v>97.300000000000011</v>
          </cell>
          <cell r="AY20">
            <v>583.79999999999995</v>
          </cell>
          <cell r="AZ20">
            <v>395.40000000000003</v>
          </cell>
          <cell r="BA20">
            <v>33807.199999999997</v>
          </cell>
          <cell r="BB20">
            <v>67613.7</v>
          </cell>
          <cell r="BC20">
            <v>76993.8</v>
          </cell>
          <cell r="BD20">
            <v>503</v>
          </cell>
          <cell r="BE20">
            <v>1302.7000000000003</v>
          </cell>
          <cell r="BF20">
            <v>83.4</v>
          </cell>
          <cell r="BG20">
            <v>1611.2</v>
          </cell>
          <cell r="BH20">
            <v>13.9</v>
          </cell>
          <cell r="BL20">
            <v>80121</v>
          </cell>
          <cell r="BM20">
            <v>119</v>
          </cell>
          <cell r="BN20">
            <v>222.4</v>
          </cell>
          <cell r="BO20">
            <v>831.1</v>
          </cell>
          <cell r="BP20">
            <v>41.7</v>
          </cell>
          <cell r="BQ20">
            <v>138.1</v>
          </cell>
          <cell r="BR20">
            <v>0.3</v>
          </cell>
          <cell r="BS20">
            <v>60395</v>
          </cell>
          <cell r="BT20">
            <v>1000</v>
          </cell>
          <cell r="BU20">
            <v>120556</v>
          </cell>
          <cell r="BV20">
            <v>83.4</v>
          </cell>
          <cell r="BW20">
            <v>297.3</v>
          </cell>
          <cell r="BX20">
            <v>639.39999999999986</v>
          </cell>
          <cell r="BY20">
            <v>194.60000000000002</v>
          </cell>
          <cell r="BZ20">
            <v>2139</v>
          </cell>
          <cell r="CA20">
            <v>577.70000000000005</v>
          </cell>
          <cell r="CB20">
            <v>83.4</v>
          </cell>
          <cell r="CC20">
            <v>62592.6</v>
          </cell>
          <cell r="CE20">
            <v>49613.9</v>
          </cell>
          <cell r="CF20">
            <v>11041.7</v>
          </cell>
          <cell r="CG20">
            <v>88755</v>
          </cell>
          <cell r="CH20">
            <v>624</v>
          </cell>
          <cell r="CI20">
            <v>125.10000000000001</v>
          </cell>
          <cell r="CJ20">
            <v>152.9</v>
          </cell>
          <cell r="CK20">
            <v>1168</v>
          </cell>
          <cell r="CL20">
            <v>69.5</v>
          </cell>
          <cell r="CM20">
            <v>2541.6999999999998</v>
          </cell>
          <cell r="CN20">
            <v>34183.399999999994</v>
          </cell>
          <cell r="CO20">
            <v>500</v>
          </cell>
          <cell r="CP20">
            <v>4131.7</v>
          </cell>
          <cell r="CQ20">
            <v>55.6</v>
          </cell>
          <cell r="CR20">
            <v>100237.29999999999</v>
          </cell>
          <cell r="CS20">
            <v>4013.9</v>
          </cell>
          <cell r="CT20">
            <v>69.5</v>
          </cell>
          <cell r="CU20">
            <v>97.300000000000011</v>
          </cell>
          <cell r="CV20">
            <v>206.5</v>
          </cell>
          <cell r="CW20">
            <v>2712.2</v>
          </cell>
          <cell r="CX20">
            <v>2662.4158649999999</v>
          </cell>
          <cell r="CY20">
            <v>159.10000000000002</v>
          </cell>
          <cell r="CZ20">
            <v>583.39999999999986</v>
          </cell>
          <cell r="DA20">
            <v>2069.5</v>
          </cell>
          <cell r="DB20">
            <v>120283.4</v>
          </cell>
          <cell r="DC20">
            <v>104.50000000000001</v>
          </cell>
          <cell r="DD20">
            <v>569.49999999999989</v>
          </cell>
          <cell r="DE20">
            <v>589.9</v>
          </cell>
          <cell r="DF20">
            <v>597.29999999999995</v>
          </cell>
          <cell r="DG20">
            <v>143.4</v>
          </cell>
          <cell r="DH20">
            <v>241.7</v>
          </cell>
          <cell r="DI20">
            <v>27.8</v>
          </cell>
          <cell r="DJ20">
            <v>335.7</v>
          </cell>
          <cell r="DK20">
            <v>680.69999999999993</v>
          </cell>
          <cell r="DL20">
            <v>49797.3</v>
          </cell>
          <cell r="DM20">
            <v>597.29999999999995</v>
          </cell>
          <cell r="DN20">
            <v>2069.5</v>
          </cell>
          <cell r="DO20">
            <v>60097.3</v>
          </cell>
          <cell r="DP20">
            <v>170.3</v>
          </cell>
          <cell r="DQ20">
            <v>60055.6</v>
          </cell>
          <cell r="DR20">
            <v>705.6</v>
          </cell>
          <cell r="DS20">
            <v>202.70000000000002</v>
          </cell>
          <cell r="DT20">
            <v>2055.6</v>
          </cell>
          <cell r="DU20">
            <v>389.2</v>
          </cell>
          <cell r="DV20">
            <v>2083.4</v>
          </cell>
          <cell r="DW20">
            <v>60680.700000000004</v>
          </cell>
          <cell r="DX20">
            <v>247.3</v>
          </cell>
          <cell r="DY20">
            <v>2475.5</v>
          </cell>
          <cell r="DZ20">
            <v>83.4</v>
          </cell>
          <cell r="EA20">
            <v>4208.5</v>
          </cell>
          <cell r="EB20">
            <v>483.6</v>
          </cell>
          <cell r="EC20">
            <v>605.29999999999995</v>
          </cell>
          <cell r="ED20">
            <v>38875.300000000003</v>
          </cell>
          <cell r="EE20">
            <v>125.10000000000001</v>
          </cell>
          <cell r="EF20">
            <v>25819.7</v>
          </cell>
          <cell r="EG20">
            <v>31130.2</v>
          </cell>
          <cell r="EH20" t="str">
            <v>ACTIVO</v>
          </cell>
          <cell r="EI20" t="str">
            <v/>
          </cell>
          <cell r="EK20">
            <v>13760.104000000001</v>
          </cell>
          <cell r="EL20">
            <v>2293.3506666666667</v>
          </cell>
        </row>
        <row r="21">
          <cell r="F21">
            <v>402251</v>
          </cell>
          <cell r="G21" t="str">
            <v>CAJA PTG 15PP JUMBO VTM SUR</v>
          </cell>
          <cell r="R21">
            <v>500</v>
          </cell>
          <cell r="W21">
            <v>500</v>
          </cell>
          <cell r="X21">
            <v>749.79</v>
          </cell>
          <cell r="AD21">
            <v>1800</v>
          </cell>
          <cell r="AG21">
            <v>450</v>
          </cell>
          <cell r="AK21">
            <v>0</v>
          </cell>
          <cell r="BD21">
            <v>450</v>
          </cell>
          <cell r="BF21">
            <v>450</v>
          </cell>
          <cell r="CF21">
            <v>500</v>
          </cell>
          <cell r="CG21">
            <v>1000</v>
          </cell>
          <cell r="CJ21">
            <v>500</v>
          </cell>
          <cell r="CK21">
            <v>500</v>
          </cell>
          <cell r="DM21">
            <v>500</v>
          </cell>
          <cell r="EH21" t="str">
            <v>ACTIVO</v>
          </cell>
          <cell r="EI21" t="str">
            <v>A</v>
          </cell>
          <cell r="EJ21" t="str">
            <v/>
          </cell>
          <cell r="EK21">
            <v>500</v>
          </cell>
          <cell r="EL21">
            <v>83.333333333333329</v>
          </cell>
        </row>
        <row r="22">
          <cell r="F22">
            <v>403394</v>
          </cell>
          <cell r="G22" t="str">
            <v>CAJA PTG 15PP JUMBO PROSERVAR</v>
          </cell>
          <cell r="T22">
            <v>3500</v>
          </cell>
          <cell r="AE22">
            <v>500</v>
          </cell>
          <cell r="AZ22">
            <v>1000</v>
          </cell>
          <cell r="BA22">
            <v>1000</v>
          </cell>
          <cell r="CD22">
            <v>500</v>
          </cell>
          <cell r="CF22">
            <v>1000</v>
          </cell>
          <cell r="CH22">
            <v>500</v>
          </cell>
          <cell r="CI22">
            <v>500</v>
          </cell>
          <cell r="CK22">
            <v>1000</v>
          </cell>
          <cell r="CL22">
            <v>500</v>
          </cell>
          <cell r="CR22">
            <v>500</v>
          </cell>
          <cell r="DA22">
            <v>500</v>
          </cell>
          <cell r="DY22">
            <v>500</v>
          </cell>
          <cell r="EH22" t="str">
            <v>ACTIVO</v>
          </cell>
          <cell r="EI22" t="str">
            <v>A</v>
          </cell>
          <cell r="EJ22" t="str">
            <v/>
          </cell>
          <cell r="EK22">
            <v>500</v>
          </cell>
          <cell r="EL22">
            <v>83.333333333333329</v>
          </cell>
        </row>
        <row r="23">
          <cell r="F23">
            <v>107362</v>
          </cell>
          <cell r="G23" t="str">
            <v>CAJA PTG 15PP JUMBO SYCOR</v>
          </cell>
          <cell r="AX23">
            <v>500</v>
          </cell>
          <cell r="BI23">
            <v>500</v>
          </cell>
          <cell r="BP23">
            <v>500</v>
          </cell>
          <cell r="CD23">
            <v>1000</v>
          </cell>
          <cell r="CT23">
            <v>500</v>
          </cell>
          <cell r="CU23">
            <v>941</v>
          </cell>
          <cell r="DN23">
            <v>500</v>
          </cell>
          <cell r="EA23">
            <v>500</v>
          </cell>
          <cell r="EH23" t="str">
            <v>ACTIVO</v>
          </cell>
          <cell r="EI23" t="str">
            <v>A</v>
          </cell>
          <cell r="EJ23" t="str">
            <v/>
          </cell>
          <cell r="EK23">
            <v>500</v>
          </cell>
          <cell r="EL23">
            <v>83.333333333333329</v>
          </cell>
        </row>
        <row r="24">
          <cell r="F24">
            <v>402252</v>
          </cell>
          <cell r="G24" t="str">
            <v>CAJA PTG 15PP SISA VTM SUR</v>
          </cell>
          <cell r="X24">
            <v>450</v>
          </cell>
          <cell r="Z24">
            <v>1000</v>
          </cell>
          <cell r="AH24">
            <v>445</v>
          </cell>
          <cell r="AK24">
            <v>0</v>
          </cell>
          <cell r="BD24">
            <v>900</v>
          </cell>
          <cell r="BF24">
            <v>0</v>
          </cell>
          <cell r="EH24" t="str">
            <v>ACTIVO</v>
          </cell>
          <cell r="EI24" t="str">
            <v>B</v>
          </cell>
          <cell r="EJ24" t="str">
            <v/>
          </cell>
          <cell r="EK24">
            <v>0</v>
          </cell>
          <cell r="EL24">
            <v>0</v>
          </cell>
        </row>
        <row r="25">
          <cell r="F25">
            <v>403393</v>
          </cell>
          <cell r="G25" t="str">
            <v>CAJA PTG 15PP SISA PROSERVAR</v>
          </cell>
          <cell r="P25">
            <v>500</v>
          </cell>
          <cell r="T25">
            <v>3000</v>
          </cell>
          <cell r="Z25">
            <v>1500</v>
          </cell>
          <cell r="AE25">
            <v>1000</v>
          </cell>
          <cell r="EH25" t="str">
            <v>ACTIVO</v>
          </cell>
          <cell r="EI25" t="str">
            <v>B</v>
          </cell>
          <cell r="EJ25" t="str">
            <v/>
          </cell>
          <cell r="EK25">
            <v>0</v>
          </cell>
          <cell r="EL25">
            <v>0</v>
          </cell>
        </row>
        <row r="26">
          <cell r="F26">
            <v>107363</v>
          </cell>
          <cell r="G26" t="str">
            <v>CAJA PTG 15PP SISA SYCOR</v>
          </cell>
          <cell r="AH26">
            <v>400</v>
          </cell>
          <cell r="AI26">
            <v>800</v>
          </cell>
          <cell r="AJ26">
            <v>2450</v>
          </cell>
          <cell r="AX26">
            <v>1000</v>
          </cell>
          <cell r="CO26">
            <v>100</v>
          </cell>
          <cell r="CU26">
            <v>1975</v>
          </cell>
          <cell r="EH26" t="str">
            <v>ACTIVO</v>
          </cell>
          <cell r="EI26" t="str">
            <v>B</v>
          </cell>
          <cell r="EJ26" t="str">
            <v/>
          </cell>
          <cell r="EK26">
            <v>0</v>
          </cell>
          <cell r="EL26">
            <v>0</v>
          </cell>
        </row>
        <row r="27">
          <cell r="F27">
            <v>402253</v>
          </cell>
          <cell r="G27" t="str">
            <v>CAJA TORTA MEDIANA VTM SUR</v>
          </cell>
          <cell r="L27">
            <v>1350</v>
          </cell>
          <cell r="O27">
            <v>3000</v>
          </cell>
          <cell r="Q27">
            <v>600</v>
          </cell>
          <cell r="R27">
            <v>2400</v>
          </cell>
          <cell r="S27">
            <v>600</v>
          </cell>
          <cell r="T27">
            <v>5100</v>
          </cell>
          <cell r="U27">
            <v>1950</v>
          </cell>
          <cell r="W27">
            <v>2600</v>
          </cell>
          <cell r="X27">
            <v>1775</v>
          </cell>
          <cell r="AC27">
            <v>600</v>
          </cell>
          <cell r="AG27">
            <v>1200</v>
          </cell>
          <cell r="AZ27">
            <v>1000</v>
          </cell>
          <cell r="BB27">
            <v>1100</v>
          </cell>
          <cell r="BC27">
            <v>950</v>
          </cell>
          <cell r="BD27">
            <v>1500</v>
          </cell>
          <cell r="BE27">
            <v>1200</v>
          </cell>
          <cell r="BF27">
            <v>600</v>
          </cell>
          <cell r="BK27">
            <v>650</v>
          </cell>
          <cell r="BM27">
            <v>650</v>
          </cell>
          <cell r="CJ27">
            <v>1400</v>
          </cell>
          <cell r="CK27">
            <v>500</v>
          </cell>
          <cell r="EA27">
            <v>1400</v>
          </cell>
          <cell r="EH27" t="str">
            <v>ACTIVO</v>
          </cell>
          <cell r="EI27" t="str">
            <v>B</v>
          </cell>
          <cell r="EJ27" t="str">
            <v/>
          </cell>
          <cell r="EK27">
            <v>1400</v>
          </cell>
          <cell r="EL27">
            <v>233.33333333333334</v>
          </cell>
        </row>
        <row r="28">
          <cell r="F28">
            <v>107276</v>
          </cell>
          <cell r="G28" t="str">
            <v>CAJA TORTA MEDIANA PROSERVAR</v>
          </cell>
          <cell r="K28">
            <v>2018.88</v>
          </cell>
          <cell r="N28">
            <v>1000</v>
          </cell>
          <cell r="P28">
            <v>1000</v>
          </cell>
          <cell r="X28">
            <v>800</v>
          </cell>
          <cell r="Y28">
            <v>1600</v>
          </cell>
          <cell r="AL28">
            <v>300</v>
          </cell>
          <cell r="CF28">
            <v>1500</v>
          </cell>
          <cell r="DV28">
            <v>200</v>
          </cell>
          <cell r="EH28" t="str">
            <v>ACTIVO</v>
          </cell>
          <cell r="EI28" t="str">
            <v>C</v>
          </cell>
          <cell r="EJ28" t="str">
            <v/>
          </cell>
          <cell r="EK28">
            <v>200</v>
          </cell>
          <cell r="EL28">
            <v>33.333333333333336</v>
          </cell>
        </row>
        <row r="29">
          <cell r="F29">
            <v>107364</v>
          </cell>
          <cell r="G29" t="str">
            <v>CAJA TORTA MEDIANA SYCOR</v>
          </cell>
          <cell r="AJ29">
            <v>600</v>
          </cell>
          <cell r="BI29">
            <v>500</v>
          </cell>
          <cell r="BJ29">
            <v>1000</v>
          </cell>
          <cell r="BN29">
            <v>601</v>
          </cell>
          <cell r="BP29">
            <v>650</v>
          </cell>
          <cell r="CC29">
            <v>500</v>
          </cell>
          <cell r="CU29">
            <v>3000</v>
          </cell>
          <cell r="DN29">
            <v>500</v>
          </cell>
          <cell r="DP29">
            <v>700</v>
          </cell>
          <cell r="DX29">
            <v>1000</v>
          </cell>
          <cell r="EH29" t="str">
            <v>ACTIVO</v>
          </cell>
          <cell r="EI29" t="str">
            <v>B</v>
          </cell>
          <cell r="EJ29" t="str">
            <v/>
          </cell>
          <cell r="EK29">
            <v>733.33333333333337</v>
          </cell>
          <cell r="EL29">
            <v>122.22222222222223</v>
          </cell>
        </row>
        <row r="30">
          <cell r="F30">
            <v>107366</v>
          </cell>
          <cell r="G30" t="str">
            <v>CAJA MADRE DE PLANCHAS (PL) SYCOR</v>
          </cell>
          <cell r="AP30">
            <v>400</v>
          </cell>
          <cell r="AQ30">
            <v>500</v>
          </cell>
          <cell r="AR30">
            <v>500</v>
          </cell>
          <cell r="AT30">
            <v>500</v>
          </cell>
          <cell r="AX30">
            <v>400</v>
          </cell>
          <cell r="BC30">
            <v>900</v>
          </cell>
          <cell r="BJ30">
            <v>325</v>
          </cell>
          <cell r="BR30">
            <v>500</v>
          </cell>
          <cell r="CB30">
            <v>500</v>
          </cell>
          <cell r="CF30">
            <v>500</v>
          </cell>
          <cell r="CI30">
            <v>600</v>
          </cell>
          <cell r="CJ30">
            <v>300</v>
          </cell>
          <cell r="CL30">
            <v>250</v>
          </cell>
          <cell r="CQ30">
            <v>300</v>
          </cell>
          <cell r="CS30">
            <v>500</v>
          </cell>
          <cell r="CU30">
            <v>600</v>
          </cell>
          <cell r="CY30">
            <v>400</v>
          </cell>
          <cell r="CZ30">
            <v>500</v>
          </cell>
          <cell r="DH30">
            <v>500</v>
          </cell>
          <cell r="DJ30">
            <v>400</v>
          </cell>
          <cell r="DM30">
            <v>250</v>
          </cell>
          <cell r="DR30">
            <v>400</v>
          </cell>
          <cell r="DW30">
            <v>500</v>
          </cell>
          <cell r="DY30">
            <v>500</v>
          </cell>
          <cell r="EC30">
            <v>300</v>
          </cell>
          <cell r="EF30">
            <v>400</v>
          </cell>
          <cell r="EH30" t="str">
            <v>ACTIVO</v>
          </cell>
          <cell r="EI30" t="str">
            <v>C</v>
          </cell>
          <cell r="EJ30">
            <v>400</v>
          </cell>
          <cell r="EK30">
            <v>392.85714285714283</v>
          </cell>
          <cell r="EL30">
            <v>65.476190476190467</v>
          </cell>
        </row>
        <row r="31">
          <cell r="F31">
            <v>403308</v>
          </cell>
          <cell r="G31" t="str">
            <v>CAJA MADRE DE PLANCHAS (PL) PAIMASA</v>
          </cell>
          <cell r="I31">
            <v>400</v>
          </cell>
          <cell r="L31">
            <v>800</v>
          </cell>
          <cell r="P31">
            <v>400</v>
          </cell>
          <cell r="R31">
            <v>400</v>
          </cell>
          <cell r="V31">
            <v>800</v>
          </cell>
          <cell r="X31">
            <v>400</v>
          </cell>
          <cell r="AC31">
            <v>400</v>
          </cell>
          <cell r="AF31">
            <v>400</v>
          </cell>
          <cell r="AG31">
            <v>400</v>
          </cell>
          <cell r="AK31">
            <v>400</v>
          </cell>
          <cell r="BB31">
            <v>500</v>
          </cell>
          <cell r="BD31">
            <v>500</v>
          </cell>
          <cell r="BN31">
            <v>400</v>
          </cell>
          <cell r="BW31">
            <v>500</v>
          </cell>
          <cell r="EH31" t="str">
            <v>ACTIVO</v>
          </cell>
          <cell r="EI31" t="str">
            <v>C</v>
          </cell>
          <cell r="EJ31">
            <v>400</v>
          </cell>
          <cell r="EK31">
            <v>0</v>
          </cell>
          <cell r="EL31">
            <v>0</v>
          </cell>
        </row>
        <row r="32">
          <cell r="F32">
            <v>107367</v>
          </cell>
          <cell r="G32" t="str">
            <v>CAJA DE ENCOMIENDA (EN) SYCOR</v>
          </cell>
          <cell r="H32">
            <v>400</v>
          </cell>
          <cell r="AC32">
            <v>400</v>
          </cell>
          <cell r="AD32">
            <v>400</v>
          </cell>
          <cell r="AF32">
            <v>400</v>
          </cell>
          <cell r="AH32">
            <v>400</v>
          </cell>
          <cell r="AJ32">
            <v>400</v>
          </cell>
          <cell r="AK32">
            <v>400</v>
          </cell>
          <cell r="AL32">
            <v>400</v>
          </cell>
          <cell r="AM32">
            <v>500</v>
          </cell>
          <cell r="AN32">
            <v>400</v>
          </cell>
          <cell r="AO32">
            <v>500</v>
          </cell>
          <cell r="AP32">
            <v>400</v>
          </cell>
          <cell r="AR32">
            <v>900</v>
          </cell>
          <cell r="AU32">
            <v>400</v>
          </cell>
          <cell r="AW32">
            <v>800</v>
          </cell>
          <cell r="AX32">
            <v>400</v>
          </cell>
          <cell r="AY32">
            <v>400</v>
          </cell>
          <cell r="BA32">
            <v>400</v>
          </cell>
          <cell r="BB32">
            <v>400</v>
          </cell>
          <cell r="BD32">
            <v>800</v>
          </cell>
          <cell r="BE32">
            <v>220</v>
          </cell>
          <cell r="BF32">
            <v>400</v>
          </cell>
          <cell r="BI32">
            <v>400</v>
          </cell>
          <cell r="BK32">
            <v>800</v>
          </cell>
          <cell r="BR32">
            <v>400</v>
          </cell>
          <cell r="BS32">
            <v>550</v>
          </cell>
          <cell r="BT32">
            <v>950</v>
          </cell>
          <cell r="BW32">
            <v>500</v>
          </cell>
          <cell r="BX32">
            <v>1000</v>
          </cell>
          <cell r="BZ32">
            <v>500</v>
          </cell>
          <cell r="CA32">
            <v>500</v>
          </cell>
          <cell r="CC32">
            <v>550</v>
          </cell>
          <cell r="CE32">
            <v>500</v>
          </cell>
          <cell r="CF32">
            <v>400</v>
          </cell>
          <cell r="CG32">
            <v>400</v>
          </cell>
          <cell r="CH32">
            <v>500</v>
          </cell>
          <cell r="CJ32">
            <v>400</v>
          </cell>
          <cell r="CL32">
            <v>225</v>
          </cell>
          <cell r="CO32">
            <v>700</v>
          </cell>
          <cell r="CP32">
            <v>300</v>
          </cell>
          <cell r="CQ32">
            <v>400</v>
          </cell>
          <cell r="CS32">
            <v>500</v>
          </cell>
          <cell r="CV32">
            <v>1000</v>
          </cell>
          <cell r="DD32">
            <v>1000</v>
          </cell>
          <cell r="DF32">
            <v>500</v>
          </cell>
          <cell r="DI32">
            <v>500</v>
          </cell>
          <cell r="DK32">
            <v>500</v>
          </cell>
          <cell r="DN32">
            <v>400</v>
          </cell>
          <cell r="DO32">
            <v>400</v>
          </cell>
          <cell r="DT32">
            <v>400</v>
          </cell>
          <cell r="DV32">
            <v>800</v>
          </cell>
          <cell r="EA32">
            <v>400</v>
          </cell>
          <cell r="EC32">
            <v>500</v>
          </cell>
          <cell r="EE32">
            <v>500</v>
          </cell>
          <cell r="EF32">
            <v>900</v>
          </cell>
          <cell r="EH32" t="str">
            <v>ACTIVO</v>
          </cell>
          <cell r="EI32" t="str">
            <v>C</v>
          </cell>
          <cell r="EJ32">
            <v>400</v>
          </cell>
          <cell r="EK32">
            <v>530</v>
          </cell>
          <cell r="EL32">
            <v>88.333333333333329</v>
          </cell>
        </row>
        <row r="33">
          <cell r="F33">
            <v>403301</v>
          </cell>
          <cell r="G33" t="str">
            <v>CAJA DE ENCOMIENDA (EN) PAIMASA</v>
          </cell>
          <cell r="H33">
            <v>400</v>
          </cell>
          <cell r="J33">
            <v>400</v>
          </cell>
          <cell r="K33">
            <v>400</v>
          </cell>
          <cell r="L33">
            <v>400</v>
          </cell>
          <cell r="N33">
            <v>400</v>
          </cell>
          <cell r="O33">
            <v>400</v>
          </cell>
          <cell r="Q33">
            <v>800</v>
          </cell>
          <cell r="S33">
            <v>400</v>
          </cell>
          <cell r="U33">
            <v>400</v>
          </cell>
          <cell r="V33">
            <v>400</v>
          </cell>
          <cell r="W33">
            <v>400</v>
          </cell>
          <cell r="Y33">
            <v>400</v>
          </cell>
          <cell r="Z33">
            <v>400</v>
          </cell>
          <cell r="AB33">
            <v>400</v>
          </cell>
          <cell r="EH33" t="str">
            <v>SIN USO</v>
          </cell>
          <cell r="EI33" t="str">
            <v/>
          </cell>
          <cell r="EJ33" t="str">
            <v/>
          </cell>
          <cell r="EK33">
            <v>0</v>
          </cell>
          <cell r="EL33">
            <v>0</v>
          </cell>
        </row>
        <row r="34">
          <cell r="F34">
            <v>501146</v>
          </cell>
          <cell r="G34" t="str">
            <v>CAJA PLASTICA AZUL QUINTA</v>
          </cell>
          <cell r="X34">
            <v>245</v>
          </cell>
          <cell r="Y34">
            <v>1263</v>
          </cell>
          <cell r="Z34">
            <v>912</v>
          </cell>
          <cell r="AA34">
            <v>230</v>
          </cell>
          <cell r="AB34">
            <v>602</v>
          </cell>
          <cell r="AC34">
            <v>734</v>
          </cell>
          <cell r="AD34">
            <v>468</v>
          </cell>
          <cell r="AE34">
            <v>202</v>
          </cell>
          <cell r="AF34">
            <v>10</v>
          </cell>
          <cell r="AH34">
            <v>770</v>
          </cell>
          <cell r="AK34">
            <v>262</v>
          </cell>
          <cell r="AL34">
            <v>437</v>
          </cell>
          <cell r="AM34">
            <v>1152</v>
          </cell>
          <cell r="AN34">
            <v>285</v>
          </cell>
          <cell r="AQ34">
            <v>649</v>
          </cell>
          <cell r="AR34">
            <v>101</v>
          </cell>
          <cell r="AS34">
            <v>155</v>
          </cell>
          <cell r="AT34">
            <v>991</v>
          </cell>
          <cell r="AU34">
            <v>276</v>
          </cell>
          <cell r="AW34">
            <v>315</v>
          </cell>
          <cell r="AX34">
            <v>150</v>
          </cell>
          <cell r="AY34">
            <v>384</v>
          </cell>
          <cell r="AZ34">
            <v>180</v>
          </cell>
          <cell r="BA34">
            <v>150</v>
          </cell>
          <cell r="BC34">
            <v>150</v>
          </cell>
          <cell r="BD34">
            <v>1200</v>
          </cell>
          <cell r="BE34">
            <v>543</v>
          </cell>
          <cell r="BF34">
            <v>785</v>
          </cell>
          <cell r="BG34">
            <v>850</v>
          </cell>
          <cell r="BI34">
            <v>157</v>
          </cell>
          <cell r="BK34">
            <v>200</v>
          </cell>
          <cell r="BL34">
            <v>936</v>
          </cell>
          <cell r="BM34">
            <v>520</v>
          </cell>
          <cell r="BN34">
            <v>450</v>
          </cell>
          <cell r="BP34">
            <v>240</v>
          </cell>
          <cell r="BT34">
            <v>1016</v>
          </cell>
          <cell r="BU34">
            <v>180</v>
          </cell>
          <cell r="BV34">
            <v>172</v>
          </cell>
          <cell r="BY34">
            <v>225</v>
          </cell>
          <cell r="BZ34">
            <v>267</v>
          </cell>
          <cell r="EH34" t="str">
            <v>SIN USO</v>
          </cell>
          <cell r="EI34" t="str">
            <v>B</v>
          </cell>
          <cell r="EJ34" t="str">
            <v/>
          </cell>
          <cell r="EK34">
            <v>0</v>
          </cell>
          <cell r="EL34">
            <v>0</v>
          </cell>
        </row>
        <row r="35">
          <cell r="F35">
            <v>403310</v>
          </cell>
          <cell r="G35" t="str">
            <v>CAJA  PTG AZUL 15PP ALTA</v>
          </cell>
          <cell r="H35">
            <v>400</v>
          </cell>
          <cell r="K35">
            <v>500</v>
          </cell>
          <cell r="L35">
            <v>500</v>
          </cell>
          <cell r="P35">
            <v>500</v>
          </cell>
          <cell r="S35">
            <v>400</v>
          </cell>
          <cell r="T35">
            <v>400</v>
          </cell>
          <cell r="V35">
            <v>400</v>
          </cell>
          <cell r="X35">
            <v>400</v>
          </cell>
          <cell r="AA35">
            <v>400</v>
          </cell>
          <cell r="AD35">
            <v>400</v>
          </cell>
          <cell r="AG35">
            <v>400</v>
          </cell>
          <cell r="AH35">
            <v>0</v>
          </cell>
          <cell r="AS35">
            <v>500</v>
          </cell>
          <cell r="AX35">
            <v>400</v>
          </cell>
          <cell r="BC35">
            <v>1000</v>
          </cell>
          <cell r="BD35">
            <v>1200</v>
          </cell>
          <cell r="BE35">
            <v>350</v>
          </cell>
          <cell r="BK35">
            <v>500</v>
          </cell>
          <cell r="EH35" t="str">
            <v>SIN USO</v>
          </cell>
          <cell r="EI35" t="str">
            <v>C</v>
          </cell>
          <cell r="EJ35">
            <v>400</v>
          </cell>
          <cell r="EK35">
            <v>0</v>
          </cell>
          <cell r="EL35">
            <v>0</v>
          </cell>
        </row>
        <row r="36">
          <cell r="F36">
            <v>107307</v>
          </cell>
          <cell r="G36" t="str">
            <v>CAJA PTG AZUL 15PP ASTRA</v>
          </cell>
          <cell r="I36">
            <v>400</v>
          </cell>
          <cell r="EH36" t="str">
            <v>ACTIVO</v>
          </cell>
          <cell r="EI36" t="str">
            <v/>
          </cell>
          <cell r="EJ36" t="str">
            <v/>
          </cell>
          <cell r="EK36">
            <v>0</v>
          </cell>
          <cell r="EL36">
            <v>0</v>
          </cell>
        </row>
        <row r="37">
          <cell r="F37">
            <v>107361</v>
          </cell>
          <cell r="G37" t="str">
            <v>CAJA  PTG AZUL 15PP ALTA SYCOR</v>
          </cell>
          <cell r="AH37">
            <v>1</v>
          </cell>
          <cell r="AI37">
            <v>399</v>
          </cell>
          <cell r="AL37">
            <v>500</v>
          </cell>
          <cell r="AM37">
            <v>500</v>
          </cell>
          <cell r="AO37">
            <v>500</v>
          </cell>
          <cell r="AP37">
            <v>500</v>
          </cell>
          <cell r="BS37">
            <v>0</v>
          </cell>
          <cell r="BT37">
            <v>500</v>
          </cell>
          <cell r="BZ37">
            <v>1000</v>
          </cell>
          <cell r="CA37">
            <v>500</v>
          </cell>
          <cell r="CC37">
            <v>1000</v>
          </cell>
          <cell r="CH37">
            <v>500</v>
          </cell>
          <cell r="CN37">
            <v>1000</v>
          </cell>
          <cell r="CW37">
            <v>500</v>
          </cell>
          <cell r="DB37">
            <v>900</v>
          </cell>
          <cell r="DC37">
            <v>500</v>
          </cell>
          <cell r="DF37">
            <v>500</v>
          </cell>
          <cell r="DG37">
            <v>500</v>
          </cell>
          <cell r="DP37">
            <v>1000</v>
          </cell>
          <cell r="EH37" t="str">
            <v>ACTIVO</v>
          </cell>
          <cell r="EI37" t="str">
            <v>C</v>
          </cell>
          <cell r="EJ37" t="str">
            <v/>
          </cell>
          <cell r="EK37">
            <v>1000</v>
          </cell>
          <cell r="EL37">
            <v>166.66666666666666</v>
          </cell>
        </row>
        <row r="38">
          <cell r="F38">
            <v>107365</v>
          </cell>
          <cell r="G38" t="str">
            <v>CAJA PRODUCTO SECO (PS) SYCOR</v>
          </cell>
          <cell r="H38">
            <v>500</v>
          </cell>
          <cell r="AC38">
            <v>600</v>
          </cell>
          <cell r="AD38">
            <v>600</v>
          </cell>
          <cell r="AF38">
            <v>1050</v>
          </cell>
          <cell r="AG38">
            <v>400</v>
          </cell>
          <cell r="AH38">
            <v>450</v>
          </cell>
          <cell r="AI38">
            <v>1300</v>
          </cell>
          <cell r="AJ38">
            <v>1250</v>
          </cell>
          <cell r="AK38">
            <v>800</v>
          </cell>
          <cell r="AL38">
            <v>1647</v>
          </cell>
          <cell r="AM38">
            <v>1000</v>
          </cell>
          <cell r="AN38">
            <v>500</v>
          </cell>
          <cell r="AO38">
            <v>1000</v>
          </cell>
          <cell r="AP38">
            <v>1500</v>
          </cell>
          <cell r="AQ38">
            <v>1000</v>
          </cell>
          <cell r="AR38">
            <v>2500</v>
          </cell>
          <cell r="AS38">
            <v>500</v>
          </cell>
          <cell r="AT38">
            <v>1000</v>
          </cell>
          <cell r="AU38">
            <v>1000</v>
          </cell>
          <cell r="AV38">
            <v>2000</v>
          </cell>
          <cell r="AW38">
            <v>500</v>
          </cell>
          <cell r="AX38">
            <v>1500</v>
          </cell>
          <cell r="AY38">
            <v>500</v>
          </cell>
          <cell r="AZ38">
            <v>1000</v>
          </cell>
          <cell r="BB38">
            <v>2000</v>
          </cell>
          <cell r="BC38">
            <v>500</v>
          </cell>
          <cell r="BD38">
            <v>2000</v>
          </cell>
          <cell r="BE38">
            <v>250</v>
          </cell>
          <cell r="BF38">
            <v>1500</v>
          </cell>
          <cell r="BH38">
            <v>500</v>
          </cell>
          <cell r="BI38">
            <v>50</v>
          </cell>
          <cell r="BJ38">
            <v>2000</v>
          </cell>
          <cell r="BK38">
            <v>1500</v>
          </cell>
          <cell r="BL38">
            <v>500</v>
          </cell>
          <cell r="BM38">
            <v>1500</v>
          </cell>
          <cell r="BN38">
            <v>2000</v>
          </cell>
          <cell r="BP38">
            <v>2500</v>
          </cell>
          <cell r="BR38">
            <v>500</v>
          </cell>
          <cell r="BS38">
            <v>366</v>
          </cell>
          <cell r="BT38">
            <v>1970</v>
          </cell>
          <cell r="BU38">
            <v>500</v>
          </cell>
          <cell r="BV38">
            <v>500</v>
          </cell>
          <cell r="BW38">
            <v>1000</v>
          </cell>
          <cell r="BX38">
            <v>1525</v>
          </cell>
          <cell r="BY38">
            <v>1500</v>
          </cell>
          <cell r="BZ38">
            <v>576</v>
          </cell>
          <cell r="CA38">
            <v>2000</v>
          </cell>
          <cell r="CB38">
            <v>1000</v>
          </cell>
          <cell r="CC38">
            <v>1500</v>
          </cell>
          <cell r="CD38">
            <v>3500</v>
          </cell>
          <cell r="CF38">
            <v>1000</v>
          </cell>
          <cell r="CG38">
            <v>500</v>
          </cell>
          <cell r="CH38">
            <v>1500</v>
          </cell>
          <cell r="CI38">
            <v>75</v>
          </cell>
          <cell r="CK38">
            <v>1925</v>
          </cell>
          <cell r="CL38">
            <v>2000</v>
          </cell>
          <cell r="CM38">
            <v>1000</v>
          </cell>
          <cell r="CN38">
            <v>1000</v>
          </cell>
          <cell r="CO38">
            <v>2038</v>
          </cell>
          <cell r="CP38">
            <v>1000</v>
          </cell>
          <cell r="CQ38">
            <v>1500</v>
          </cell>
          <cell r="CR38">
            <v>1000</v>
          </cell>
          <cell r="CT38">
            <v>1500</v>
          </cell>
          <cell r="CU38">
            <v>2200</v>
          </cell>
          <cell r="CW38">
            <v>500</v>
          </cell>
          <cell r="CX38">
            <v>500</v>
          </cell>
          <cell r="CY38">
            <v>1509</v>
          </cell>
          <cell r="CZ38">
            <v>500</v>
          </cell>
          <cell r="DB38">
            <v>1000</v>
          </cell>
          <cell r="DC38">
            <v>1000</v>
          </cell>
          <cell r="DD38">
            <v>1000</v>
          </cell>
          <cell r="DE38">
            <v>500</v>
          </cell>
          <cell r="DG38">
            <v>643</v>
          </cell>
          <cell r="DH38">
            <v>1000</v>
          </cell>
          <cell r="DI38">
            <v>500</v>
          </cell>
          <cell r="DJ38">
            <v>586</v>
          </cell>
          <cell r="DL38">
            <v>1000</v>
          </cell>
          <cell r="DM38">
            <v>1500</v>
          </cell>
          <cell r="DN38">
            <v>1000</v>
          </cell>
          <cell r="DO38">
            <v>1000</v>
          </cell>
          <cell r="DQ38">
            <v>1000</v>
          </cell>
          <cell r="DR38">
            <v>2235</v>
          </cell>
          <cell r="DS38">
            <v>500</v>
          </cell>
          <cell r="DU38">
            <v>1500</v>
          </cell>
          <cell r="DV38">
            <v>500</v>
          </cell>
          <cell r="DW38">
            <v>500</v>
          </cell>
          <cell r="DX38">
            <v>1500</v>
          </cell>
          <cell r="DY38">
            <v>500</v>
          </cell>
          <cell r="DZ38">
            <v>1089</v>
          </cell>
          <cell r="EA38">
            <v>1500</v>
          </cell>
          <cell r="EB38">
            <v>1500</v>
          </cell>
          <cell r="ED38">
            <v>589</v>
          </cell>
          <cell r="EE38">
            <v>500</v>
          </cell>
          <cell r="EF38">
            <v>2500</v>
          </cell>
          <cell r="EG38">
            <v>500</v>
          </cell>
          <cell r="EH38" t="str">
            <v>ACTIVO</v>
          </cell>
          <cell r="EI38" t="str">
            <v>B</v>
          </cell>
          <cell r="EJ38">
            <v>400</v>
          </cell>
          <cell r="EK38">
            <v>1047.5714285714287</v>
          </cell>
          <cell r="EL38">
            <v>174.5952380952381</v>
          </cell>
        </row>
        <row r="39">
          <cell r="F39">
            <v>403306</v>
          </cell>
          <cell r="G39" t="str">
            <v>CAJA PRODUCTO SECO (PS) PAIMASA</v>
          </cell>
          <cell r="H39">
            <v>600</v>
          </cell>
          <cell r="J39">
            <v>575</v>
          </cell>
          <cell r="K39">
            <v>600</v>
          </cell>
          <cell r="L39">
            <v>1200</v>
          </cell>
          <cell r="N39">
            <v>600</v>
          </cell>
          <cell r="P39">
            <v>1200</v>
          </cell>
          <cell r="Q39">
            <v>425</v>
          </cell>
          <cell r="R39">
            <v>600</v>
          </cell>
          <cell r="T39">
            <v>600</v>
          </cell>
          <cell r="U39">
            <v>1200</v>
          </cell>
          <cell r="V39">
            <v>600</v>
          </cell>
          <cell r="W39">
            <v>600</v>
          </cell>
          <cell r="X39">
            <v>600</v>
          </cell>
          <cell r="Y39">
            <v>1200</v>
          </cell>
          <cell r="Z39">
            <v>600</v>
          </cell>
          <cell r="AA39">
            <v>600</v>
          </cell>
          <cell r="EH39" t="str">
            <v>ACTIVO</v>
          </cell>
          <cell r="EI39" t="str">
            <v/>
          </cell>
          <cell r="EJ39" t="str">
            <v/>
          </cell>
          <cell r="EK39">
            <v>0</v>
          </cell>
          <cell r="EL39">
            <v>0</v>
          </cell>
        </row>
        <row r="40">
          <cell r="F40">
            <v>405419</v>
          </cell>
          <cell r="G40" t="str">
            <v>CAJA DOS TORTAS PROSERVAR</v>
          </cell>
          <cell r="BM40">
            <v>1050</v>
          </cell>
          <cell r="EH40" t="str">
            <v>SIN USO</v>
          </cell>
          <cell r="EI40" t="str">
            <v>C</v>
          </cell>
          <cell r="EJ40">
            <v>0</v>
          </cell>
          <cell r="EK40">
            <v>0</v>
          </cell>
          <cell r="EL40">
            <v>0</v>
          </cell>
        </row>
        <row r="41">
          <cell r="F41">
            <v>405503</v>
          </cell>
          <cell r="G41" t="str">
            <v>CAJA PASTELES ASTRA</v>
          </cell>
          <cell r="BO41">
            <v>1970</v>
          </cell>
          <cell r="BV41">
            <v>1125</v>
          </cell>
          <cell r="CD41">
            <v>1200</v>
          </cell>
          <cell r="CF41">
            <v>625</v>
          </cell>
          <cell r="CG41">
            <v>600</v>
          </cell>
          <cell r="CO41">
            <v>858</v>
          </cell>
          <cell r="CU41">
            <v>750</v>
          </cell>
          <cell r="CW41">
            <v>1375</v>
          </cell>
          <cell r="DA41">
            <v>893</v>
          </cell>
          <cell r="DR41">
            <v>550</v>
          </cell>
          <cell r="DU41">
            <v>950</v>
          </cell>
          <cell r="EB41">
            <v>362</v>
          </cell>
          <cell r="EC41">
            <v>362</v>
          </cell>
          <cell r="EH41" t="str">
            <v>ACTIVO</v>
          </cell>
          <cell r="EI41" t="str">
            <v>C</v>
          </cell>
          <cell r="EJ41" t="str">
            <v/>
          </cell>
          <cell r="EK41">
            <v>556</v>
          </cell>
          <cell r="EL41">
            <v>92.666666666666671</v>
          </cell>
        </row>
        <row r="42">
          <cell r="F42">
            <v>403315</v>
          </cell>
          <cell r="G42" t="str">
            <v>CAJA DE PASTELES PAIMASA</v>
          </cell>
          <cell r="O42">
            <v>2150</v>
          </cell>
          <cell r="AC42">
            <v>450</v>
          </cell>
          <cell r="AI42">
            <v>800</v>
          </cell>
          <cell r="AT42">
            <v>1250</v>
          </cell>
          <cell r="BC42">
            <v>1250</v>
          </cell>
          <cell r="BI42">
            <v>1250</v>
          </cell>
          <cell r="BK42">
            <v>1250</v>
          </cell>
          <cell r="EH42" t="str">
            <v>ACTIVO</v>
          </cell>
          <cell r="EI42" t="str">
            <v>C</v>
          </cell>
          <cell r="EJ42">
            <v>1250</v>
          </cell>
          <cell r="EK42">
            <v>0</v>
          </cell>
          <cell r="EL42">
            <v>0</v>
          </cell>
        </row>
        <row r="43">
          <cell r="F43">
            <v>405696</v>
          </cell>
          <cell r="G43" t="str">
            <v>CAJA PASTELES 600X325X120 ASTRA</v>
          </cell>
          <cell r="DJ43">
            <v>500</v>
          </cell>
          <cell r="DY43">
            <v>600</v>
          </cell>
          <cell r="EB43">
            <v>500</v>
          </cell>
          <cell r="EH43" t="str">
            <v>ACTIVO</v>
          </cell>
          <cell r="EI43" t="str">
            <v/>
          </cell>
          <cell r="EK43">
            <v>533.33333333333337</v>
          </cell>
          <cell r="EL43">
            <v>88.8888888888889</v>
          </cell>
        </row>
        <row r="44">
          <cell r="H44">
            <v>2300</v>
          </cell>
          <cell r="I44">
            <v>800</v>
          </cell>
          <cell r="J44">
            <v>975</v>
          </cell>
          <cell r="K44">
            <v>3518.88</v>
          </cell>
          <cell r="L44">
            <v>4250</v>
          </cell>
          <cell r="N44">
            <v>2000</v>
          </cell>
          <cell r="O44">
            <v>5550</v>
          </cell>
          <cell r="P44">
            <v>3600</v>
          </cell>
          <cell r="Q44">
            <v>1825</v>
          </cell>
          <cell r="R44">
            <v>3900</v>
          </cell>
          <cell r="S44">
            <v>1400</v>
          </cell>
          <cell r="T44">
            <v>12600</v>
          </cell>
          <cell r="U44">
            <v>3550</v>
          </cell>
          <cell r="V44">
            <v>2200</v>
          </cell>
          <cell r="W44">
            <v>4100</v>
          </cell>
          <cell r="X44">
            <v>5419.79</v>
          </cell>
          <cell r="Y44">
            <v>4463</v>
          </cell>
          <cell r="Z44">
            <v>4412</v>
          </cell>
          <cell r="AA44">
            <v>1230</v>
          </cell>
          <cell r="AB44">
            <v>1002</v>
          </cell>
          <cell r="AC44">
            <v>3184</v>
          </cell>
          <cell r="AD44">
            <v>3668</v>
          </cell>
          <cell r="AE44">
            <v>1702</v>
          </cell>
          <cell r="AF44">
            <v>1860</v>
          </cell>
          <cell r="AG44">
            <v>2850</v>
          </cell>
          <cell r="AH44">
            <v>2466</v>
          </cell>
          <cell r="AI44">
            <v>3299</v>
          </cell>
          <cell r="AJ44">
            <v>4700</v>
          </cell>
          <cell r="AK44">
            <v>1862</v>
          </cell>
          <cell r="AL44">
            <v>3284</v>
          </cell>
          <cell r="AM44">
            <v>3152</v>
          </cell>
          <cell r="AN44">
            <v>1185</v>
          </cell>
          <cell r="AO44">
            <v>2000</v>
          </cell>
          <cell r="AP44">
            <v>2800</v>
          </cell>
          <cell r="AQ44">
            <v>2149</v>
          </cell>
          <cell r="AR44">
            <v>4001</v>
          </cell>
          <cell r="AS44">
            <v>1155</v>
          </cell>
          <cell r="AT44">
            <v>3741</v>
          </cell>
          <cell r="AU44">
            <v>1676</v>
          </cell>
          <cell r="AV44">
            <v>2000</v>
          </cell>
          <cell r="AW44">
            <v>1615</v>
          </cell>
          <cell r="AX44">
            <v>4350</v>
          </cell>
          <cell r="AY44">
            <v>1284</v>
          </cell>
          <cell r="AZ44">
            <v>3180</v>
          </cell>
          <cell r="BA44">
            <v>1550</v>
          </cell>
          <cell r="BB44">
            <v>4000</v>
          </cell>
          <cell r="BC44">
            <v>4750</v>
          </cell>
          <cell r="BD44">
            <v>8550</v>
          </cell>
          <cell r="BE44">
            <v>2563</v>
          </cell>
          <cell r="BF44">
            <v>3735</v>
          </cell>
          <cell r="BG44">
            <v>850</v>
          </cell>
          <cell r="BH44">
            <v>500</v>
          </cell>
          <cell r="BI44">
            <v>2857</v>
          </cell>
          <cell r="BJ44">
            <v>3325</v>
          </cell>
          <cell r="BK44">
            <v>4900</v>
          </cell>
          <cell r="BL44">
            <v>1436</v>
          </cell>
          <cell r="BM44">
            <v>3720</v>
          </cell>
          <cell r="BN44">
            <v>3451</v>
          </cell>
          <cell r="BO44">
            <v>1970</v>
          </cell>
          <cell r="BP44">
            <v>3890</v>
          </cell>
          <cell r="BR44">
            <v>1400</v>
          </cell>
          <cell r="BS44">
            <v>916</v>
          </cell>
          <cell r="BT44">
            <v>4436</v>
          </cell>
          <cell r="BU44">
            <v>680</v>
          </cell>
          <cell r="BV44">
            <v>1797</v>
          </cell>
          <cell r="BW44">
            <v>2000</v>
          </cell>
          <cell r="BX44">
            <v>2525</v>
          </cell>
          <cell r="BY44">
            <v>1725</v>
          </cell>
          <cell r="BZ44">
            <v>2343</v>
          </cell>
          <cell r="CA44">
            <v>3000</v>
          </cell>
          <cell r="CB44">
            <v>1500</v>
          </cell>
          <cell r="CC44">
            <v>3550</v>
          </cell>
          <cell r="CD44">
            <v>6200</v>
          </cell>
          <cell r="CE44">
            <v>500</v>
          </cell>
          <cell r="CF44">
            <v>5525</v>
          </cell>
          <cell r="CG44">
            <v>2500</v>
          </cell>
          <cell r="CH44">
            <v>3000</v>
          </cell>
          <cell r="CI44">
            <v>1175</v>
          </cell>
          <cell r="CJ44">
            <v>2600</v>
          </cell>
          <cell r="CK44">
            <v>3925</v>
          </cell>
          <cell r="CL44">
            <v>2975</v>
          </cell>
          <cell r="CM44">
            <v>1000</v>
          </cell>
          <cell r="CN44">
            <v>2000</v>
          </cell>
          <cell r="CO44">
            <v>3696</v>
          </cell>
          <cell r="CP44">
            <v>1300</v>
          </cell>
          <cell r="CQ44">
            <v>2200</v>
          </cell>
          <cell r="CR44">
            <v>1500</v>
          </cell>
          <cell r="CS44">
            <v>1000</v>
          </cell>
          <cell r="CT44">
            <v>2000</v>
          </cell>
          <cell r="CU44">
            <v>9466</v>
          </cell>
          <cell r="CV44">
            <v>1000</v>
          </cell>
          <cell r="CW44">
            <v>2375</v>
          </cell>
          <cell r="CX44">
            <v>500</v>
          </cell>
          <cell r="CY44">
            <v>1909</v>
          </cell>
          <cell r="CZ44">
            <v>1000</v>
          </cell>
          <cell r="DA44">
            <v>1393</v>
          </cell>
          <cell r="DB44">
            <v>1900</v>
          </cell>
          <cell r="DC44">
            <v>1500</v>
          </cell>
          <cell r="DD44">
            <v>2000</v>
          </cell>
          <cell r="DE44">
            <v>500</v>
          </cell>
          <cell r="DF44">
            <v>1000</v>
          </cell>
          <cell r="DG44">
            <v>1143</v>
          </cell>
          <cell r="DH44">
            <v>1500</v>
          </cell>
          <cell r="DI44">
            <v>1000</v>
          </cell>
          <cell r="DJ44">
            <v>1486</v>
          </cell>
          <cell r="DK44">
            <v>500</v>
          </cell>
          <cell r="DL44">
            <v>1000</v>
          </cell>
          <cell r="DM44">
            <v>2250</v>
          </cell>
          <cell r="DN44">
            <v>2400</v>
          </cell>
          <cell r="DO44">
            <v>1400</v>
          </cell>
          <cell r="DP44">
            <v>1700</v>
          </cell>
          <cell r="DQ44">
            <v>1000</v>
          </cell>
          <cell r="DR44">
            <v>3185</v>
          </cell>
          <cell r="DS44">
            <v>500</v>
          </cell>
          <cell r="DT44">
            <v>400</v>
          </cell>
          <cell r="DU44">
            <v>2450</v>
          </cell>
          <cell r="DV44">
            <v>1500</v>
          </cell>
          <cell r="DW44">
            <v>1000</v>
          </cell>
          <cell r="DX44">
            <v>2500</v>
          </cell>
          <cell r="DY44">
            <v>2100</v>
          </cell>
          <cell r="DZ44">
            <v>1089</v>
          </cell>
          <cell r="EA44">
            <v>3800</v>
          </cell>
          <cell r="EB44">
            <v>2362</v>
          </cell>
          <cell r="EC44">
            <v>1162</v>
          </cell>
          <cell r="ED44">
            <v>589</v>
          </cell>
          <cell r="EE44">
            <v>1000</v>
          </cell>
          <cell r="EF44">
            <v>3800</v>
          </cell>
          <cell r="EG44">
            <v>500</v>
          </cell>
          <cell r="EH44" t="str">
            <v>ACTIVO</v>
          </cell>
          <cell r="EI44" t="str">
            <v/>
          </cell>
          <cell r="EJ44" t="str">
            <v/>
          </cell>
          <cell r="EK44">
            <v>1626.92</v>
          </cell>
          <cell r="EL44">
            <v>271.15333333333336</v>
          </cell>
        </row>
        <row r="45">
          <cell r="F45">
            <v>107316</v>
          </cell>
          <cell r="G45" t="str">
            <v>PLANCHA DE CARTON 1X1,20 ASTRA</v>
          </cell>
          <cell r="I45">
            <v>415</v>
          </cell>
          <cell r="J45">
            <v>932</v>
          </cell>
          <cell r="K45">
            <v>500</v>
          </cell>
          <cell r="L45">
            <v>500</v>
          </cell>
          <cell r="M45">
            <v>652</v>
          </cell>
          <cell r="N45">
            <v>961</v>
          </cell>
          <cell r="O45">
            <v>400</v>
          </cell>
          <cell r="Y45">
            <v>500</v>
          </cell>
          <cell r="Z45">
            <v>500</v>
          </cell>
          <cell r="AA45">
            <v>500</v>
          </cell>
          <cell r="AI45">
            <v>500</v>
          </cell>
          <cell r="AJ45">
            <v>500</v>
          </cell>
          <cell r="AK45">
            <v>500</v>
          </cell>
          <cell r="AL45">
            <v>800</v>
          </cell>
          <cell r="AM45">
            <v>400</v>
          </cell>
          <cell r="AN45">
            <v>500</v>
          </cell>
          <cell r="AO45">
            <v>800</v>
          </cell>
          <cell r="AP45">
            <v>400</v>
          </cell>
          <cell r="AQ45">
            <v>800</v>
          </cell>
          <cell r="AT45">
            <v>500</v>
          </cell>
          <cell r="AU45">
            <v>1205</v>
          </cell>
          <cell r="AV45">
            <v>800</v>
          </cell>
          <cell r="AX45">
            <v>2200</v>
          </cell>
          <cell r="AY45">
            <v>900</v>
          </cell>
          <cell r="AZ45">
            <v>1400</v>
          </cell>
          <cell r="BB45">
            <v>1600</v>
          </cell>
          <cell r="BC45">
            <v>1201</v>
          </cell>
          <cell r="BD45">
            <v>800</v>
          </cell>
          <cell r="BE45">
            <v>1035</v>
          </cell>
          <cell r="BF45">
            <v>400</v>
          </cell>
          <cell r="BG45">
            <v>500</v>
          </cell>
          <cell r="BH45">
            <v>1200</v>
          </cell>
          <cell r="BI45">
            <v>600</v>
          </cell>
          <cell r="BJ45">
            <v>1800</v>
          </cell>
          <cell r="BK45">
            <v>500</v>
          </cell>
          <cell r="BL45">
            <v>1600</v>
          </cell>
          <cell r="BN45">
            <v>1000</v>
          </cell>
          <cell r="BO45">
            <v>1000</v>
          </cell>
          <cell r="BP45">
            <v>2000</v>
          </cell>
          <cell r="BQ45">
            <v>450</v>
          </cell>
          <cell r="BR45">
            <v>1350</v>
          </cell>
          <cell r="BS45">
            <v>1409</v>
          </cell>
          <cell r="BT45">
            <v>450</v>
          </cell>
          <cell r="BU45">
            <v>400</v>
          </cell>
          <cell r="BV45">
            <v>1300</v>
          </cell>
          <cell r="BW45">
            <v>500</v>
          </cell>
          <cell r="BX45">
            <v>1650</v>
          </cell>
          <cell r="BY45">
            <v>900</v>
          </cell>
          <cell r="BZ45">
            <v>740</v>
          </cell>
          <cell r="CA45">
            <v>1000</v>
          </cell>
          <cell r="CB45">
            <v>1000</v>
          </cell>
          <cell r="CC45">
            <v>1000</v>
          </cell>
          <cell r="CE45">
            <v>1500</v>
          </cell>
          <cell r="CF45">
            <v>500</v>
          </cell>
          <cell r="CG45">
            <v>2000</v>
          </cell>
          <cell r="CH45">
            <v>1000</v>
          </cell>
          <cell r="CI45">
            <v>1000</v>
          </cell>
          <cell r="CJ45">
            <v>1500</v>
          </cell>
          <cell r="CK45">
            <v>1000</v>
          </cell>
          <cell r="CL45">
            <v>1197</v>
          </cell>
          <cell r="CM45">
            <v>1000</v>
          </cell>
          <cell r="CN45">
            <v>1500</v>
          </cell>
          <cell r="CO45">
            <v>1500</v>
          </cell>
          <cell r="CP45">
            <v>980</v>
          </cell>
          <cell r="CQ45">
            <v>930</v>
          </cell>
          <cell r="CR45">
            <v>1480</v>
          </cell>
          <cell r="CT45">
            <v>900</v>
          </cell>
          <cell r="CU45">
            <v>1000</v>
          </cell>
          <cell r="CV45">
            <v>500</v>
          </cell>
          <cell r="CW45">
            <v>580</v>
          </cell>
          <cell r="CX45">
            <v>500</v>
          </cell>
          <cell r="CY45">
            <v>1000</v>
          </cell>
          <cell r="CZ45">
            <v>1000</v>
          </cell>
          <cell r="DA45">
            <v>500</v>
          </cell>
          <cell r="DB45">
            <v>500</v>
          </cell>
          <cell r="DC45">
            <v>1500</v>
          </cell>
          <cell r="DD45">
            <v>520</v>
          </cell>
          <cell r="DE45">
            <v>1000</v>
          </cell>
          <cell r="DF45">
            <v>541</v>
          </cell>
          <cell r="DG45">
            <v>500</v>
          </cell>
          <cell r="DH45">
            <v>900</v>
          </cell>
          <cell r="DJ45">
            <v>500</v>
          </cell>
          <cell r="DK45">
            <v>1000</v>
          </cell>
          <cell r="DL45">
            <v>500</v>
          </cell>
          <cell r="DM45">
            <v>2000</v>
          </cell>
          <cell r="DO45">
            <v>1000</v>
          </cell>
          <cell r="DP45">
            <v>500</v>
          </cell>
          <cell r="DQ45">
            <v>500</v>
          </cell>
          <cell r="DR45">
            <v>500</v>
          </cell>
          <cell r="DS45">
            <v>1400</v>
          </cell>
          <cell r="DU45">
            <v>1000</v>
          </cell>
          <cell r="DV45">
            <v>1000</v>
          </cell>
          <cell r="DW45">
            <v>1000</v>
          </cell>
          <cell r="DX45">
            <v>1000</v>
          </cell>
          <cell r="DY45">
            <v>1000</v>
          </cell>
          <cell r="DZ45">
            <v>500</v>
          </cell>
          <cell r="EA45">
            <v>1000</v>
          </cell>
          <cell r="EB45">
            <v>500</v>
          </cell>
          <cell r="EC45">
            <v>500</v>
          </cell>
          <cell r="ED45">
            <v>1078.5390480000001</v>
          </cell>
          <cell r="EF45">
            <v>500</v>
          </cell>
          <cell r="EH45" t="str">
            <v>ACTIVO</v>
          </cell>
          <cell r="EI45" t="str">
            <v>B</v>
          </cell>
          <cell r="EJ45">
            <v>400</v>
          </cell>
          <cell r="EK45">
            <v>848.92695239999989</v>
          </cell>
          <cell r="EL45">
            <v>141.48782539999999</v>
          </cell>
        </row>
        <row r="46">
          <cell r="F46">
            <v>403395</v>
          </cell>
          <cell r="G46" t="str">
            <v>PLANCHA DE CARTON 1X1,20 PROSERVAR</v>
          </cell>
          <cell r="AE46">
            <v>500</v>
          </cell>
          <cell r="AF46">
            <v>500</v>
          </cell>
          <cell r="AG46">
            <v>1000</v>
          </cell>
          <cell r="AI46">
            <v>500</v>
          </cell>
          <cell r="AL46">
            <v>1000</v>
          </cell>
          <cell r="EH46" t="str">
            <v>ACTIVO</v>
          </cell>
          <cell r="EI46" t="str">
            <v/>
          </cell>
          <cell r="EJ46" t="str">
            <v/>
          </cell>
          <cell r="EK46">
            <v>0</v>
          </cell>
          <cell r="EL46">
            <v>0</v>
          </cell>
        </row>
        <row r="47">
          <cell r="F47">
            <v>403266</v>
          </cell>
          <cell r="G47" t="str">
            <v>PLANCHA DE CARTON 1X1,20 EHLAN</v>
          </cell>
          <cell r="O47">
            <v>400</v>
          </cell>
          <cell r="P47">
            <v>1000</v>
          </cell>
          <cell r="Q47">
            <v>520</v>
          </cell>
          <cell r="R47">
            <v>400</v>
          </cell>
          <cell r="S47">
            <v>500</v>
          </cell>
          <cell r="T47">
            <v>1000</v>
          </cell>
          <cell r="V47">
            <v>500</v>
          </cell>
          <cell r="W47">
            <v>1000</v>
          </cell>
          <cell r="X47">
            <v>1000</v>
          </cell>
          <cell r="Y47">
            <v>500</v>
          </cell>
          <cell r="AB47">
            <v>1000</v>
          </cell>
          <cell r="AC47">
            <v>1000</v>
          </cell>
          <cell r="AD47">
            <v>500</v>
          </cell>
          <cell r="AR47">
            <v>800</v>
          </cell>
          <cell r="EH47" t="str">
            <v>ACTIVO</v>
          </cell>
          <cell r="EI47" t="str">
            <v/>
          </cell>
          <cell r="EJ47" t="str">
            <v/>
          </cell>
          <cell r="EK47">
            <v>0</v>
          </cell>
          <cell r="EL47">
            <v>0</v>
          </cell>
        </row>
        <row r="48">
          <cell r="F48">
            <v>403373</v>
          </cell>
          <cell r="G48" t="str">
            <v>HOJA SEPARADORA PLANCHAS PROSERVAR</v>
          </cell>
          <cell r="I48">
            <v>1290</v>
          </cell>
          <cell r="M48">
            <v>3000</v>
          </cell>
          <cell r="Q48">
            <v>2000</v>
          </cell>
          <cell r="U48">
            <v>3000</v>
          </cell>
          <cell r="X48">
            <v>3000</v>
          </cell>
          <cell r="AG48">
            <v>3000</v>
          </cell>
          <cell r="AK48">
            <v>2000</v>
          </cell>
          <cell r="AR48">
            <v>3000</v>
          </cell>
          <cell r="AV48">
            <v>3000</v>
          </cell>
          <cell r="AZ48">
            <v>3300</v>
          </cell>
          <cell r="BC48">
            <v>3000</v>
          </cell>
          <cell r="BE48">
            <v>1700</v>
          </cell>
          <cell r="BL48">
            <v>3000</v>
          </cell>
          <cell r="BO48">
            <v>3600</v>
          </cell>
          <cell r="BX48">
            <v>3000</v>
          </cell>
          <cell r="CA48">
            <v>3000</v>
          </cell>
          <cell r="CM48">
            <v>3000</v>
          </cell>
          <cell r="CX48">
            <v>3000</v>
          </cell>
          <cell r="DM48">
            <v>6000</v>
          </cell>
          <cell r="DO48">
            <v>3000</v>
          </cell>
          <cell r="DY48">
            <v>3000</v>
          </cell>
          <cell r="EH48" t="str">
            <v>ACTIVO</v>
          </cell>
          <cell r="EI48" t="str">
            <v>C</v>
          </cell>
          <cell r="EJ48">
            <v>1800</v>
          </cell>
          <cell r="EK48">
            <v>4000</v>
          </cell>
          <cell r="EL48">
            <v>666.66666666666663</v>
          </cell>
        </row>
        <row r="49">
          <cell r="F49">
            <v>403103</v>
          </cell>
          <cell r="G49" t="str">
            <v>DISCO CARTON MH 15 PP ARRIAZA</v>
          </cell>
          <cell r="H49">
            <v>6000</v>
          </cell>
          <cell r="J49">
            <v>5000</v>
          </cell>
          <cell r="M49">
            <v>11000</v>
          </cell>
          <cell r="U49">
            <v>5000</v>
          </cell>
          <cell r="V49">
            <v>5000</v>
          </cell>
          <cell r="Z49">
            <v>5000</v>
          </cell>
          <cell r="AD49">
            <v>4000</v>
          </cell>
          <cell r="AE49">
            <v>5000</v>
          </cell>
          <cell r="AF49">
            <v>5000</v>
          </cell>
          <cell r="AK49">
            <v>18000</v>
          </cell>
          <cell r="AM49">
            <v>25000</v>
          </cell>
          <cell r="AP49">
            <v>5000</v>
          </cell>
          <cell r="BF49">
            <v>7000</v>
          </cell>
          <cell r="BN49">
            <v>12000</v>
          </cell>
          <cell r="BU49">
            <v>12000</v>
          </cell>
          <cell r="CB49">
            <v>7000</v>
          </cell>
          <cell r="CD49">
            <v>5000</v>
          </cell>
          <cell r="CE49">
            <v>7000</v>
          </cell>
          <cell r="CH49">
            <v>12000</v>
          </cell>
          <cell r="CR49">
            <v>15000</v>
          </cell>
          <cell r="DD49">
            <v>12000</v>
          </cell>
          <cell r="DM49">
            <v>12000</v>
          </cell>
          <cell r="DR49">
            <v>12000</v>
          </cell>
          <cell r="DX49">
            <v>12000</v>
          </cell>
          <cell r="EH49" t="str">
            <v>ACTIVO</v>
          </cell>
          <cell r="EI49" t="str">
            <v>C</v>
          </cell>
          <cell r="EJ49" t="str">
            <v/>
          </cell>
          <cell r="EK49">
            <v>12000</v>
          </cell>
          <cell r="EL49">
            <v>2000</v>
          </cell>
        </row>
        <row r="50">
          <cell r="F50">
            <v>403314</v>
          </cell>
          <cell r="G50" t="str">
            <v>DISCO DE PAPEL PQQ CURICO</v>
          </cell>
          <cell r="H50">
            <v>100000</v>
          </cell>
          <cell r="K50">
            <v>75000</v>
          </cell>
          <cell r="L50">
            <v>80000</v>
          </cell>
          <cell r="M50">
            <v>80000</v>
          </cell>
          <cell r="P50">
            <v>240000</v>
          </cell>
          <cell r="R50">
            <v>350000</v>
          </cell>
          <cell r="S50">
            <v>200000</v>
          </cell>
          <cell r="U50">
            <v>150000</v>
          </cell>
          <cell r="AB50">
            <v>120000</v>
          </cell>
          <cell r="AD50">
            <v>80000</v>
          </cell>
          <cell r="AE50">
            <v>180000</v>
          </cell>
          <cell r="AF50">
            <v>90000</v>
          </cell>
          <cell r="AH50">
            <v>90000</v>
          </cell>
          <cell r="AI50">
            <v>100000</v>
          </cell>
          <cell r="AK50">
            <v>200000</v>
          </cell>
          <cell r="AM50">
            <v>220000</v>
          </cell>
          <cell r="AN50">
            <v>100000</v>
          </cell>
          <cell r="AP50">
            <v>100000</v>
          </cell>
          <cell r="AQ50">
            <v>200000</v>
          </cell>
          <cell r="AV50">
            <v>250000</v>
          </cell>
          <cell r="AX50">
            <v>100000</v>
          </cell>
          <cell r="AY50">
            <v>100000</v>
          </cell>
          <cell r="BA50">
            <v>100000</v>
          </cell>
          <cell r="BC50">
            <v>421500</v>
          </cell>
          <cell r="BE50">
            <v>100000</v>
          </cell>
          <cell r="BF50">
            <v>100000</v>
          </cell>
          <cell r="BI50">
            <v>150000</v>
          </cell>
          <cell r="BO50">
            <v>150000</v>
          </cell>
          <cell r="BP50">
            <v>120000</v>
          </cell>
          <cell r="BS50">
            <v>100000</v>
          </cell>
          <cell r="BU50">
            <v>70000</v>
          </cell>
          <cell r="BZ50">
            <v>240000</v>
          </cell>
          <cell r="CB50">
            <v>120000</v>
          </cell>
          <cell r="CC50">
            <v>100000</v>
          </cell>
          <cell r="CD50">
            <v>80000</v>
          </cell>
          <cell r="CE50">
            <v>100000</v>
          </cell>
          <cell r="CF50">
            <v>40000</v>
          </cell>
          <cell r="CG50">
            <v>80000</v>
          </cell>
          <cell r="CH50">
            <v>180000</v>
          </cell>
          <cell r="CI50">
            <v>90000</v>
          </cell>
          <cell r="CM50">
            <v>90000</v>
          </cell>
          <cell r="CN50">
            <v>90000</v>
          </cell>
          <cell r="CO50">
            <v>80000</v>
          </cell>
          <cell r="CP50">
            <v>80000</v>
          </cell>
          <cell r="CR50">
            <v>87000</v>
          </cell>
          <cell r="CS50">
            <v>90000</v>
          </cell>
          <cell r="DB50">
            <v>78000</v>
          </cell>
          <cell r="DG50">
            <v>99000</v>
          </cell>
          <cell r="EH50" t="str">
            <v>ACTIVO</v>
          </cell>
          <cell r="EI50" t="str">
            <v>B</v>
          </cell>
          <cell r="EJ50" t="str">
            <v/>
          </cell>
          <cell r="EK50">
            <v>0</v>
          </cell>
          <cell r="EL50">
            <v>0</v>
          </cell>
        </row>
        <row r="51">
          <cell r="F51">
            <v>403104</v>
          </cell>
          <cell r="G51" t="str">
            <v>HUINCHA CARTON MH 8.5x75 ARRIAZA</v>
          </cell>
          <cell r="H51">
            <v>200</v>
          </cell>
          <cell r="I51">
            <v>250</v>
          </cell>
          <cell r="R51">
            <v>200</v>
          </cell>
          <cell r="S51">
            <v>150</v>
          </cell>
          <cell r="AB51">
            <v>200</v>
          </cell>
          <cell r="AK51">
            <v>300</v>
          </cell>
          <cell r="AN51">
            <v>150</v>
          </cell>
          <cell r="AQ51">
            <v>140</v>
          </cell>
          <cell r="AV51">
            <v>200</v>
          </cell>
          <cell r="BL51">
            <v>300</v>
          </cell>
          <cell r="BR51">
            <v>300</v>
          </cell>
          <cell r="BW51">
            <v>140</v>
          </cell>
          <cell r="BZ51">
            <v>300</v>
          </cell>
          <cell r="CB51">
            <v>200</v>
          </cell>
          <cell r="CH51">
            <v>300</v>
          </cell>
          <cell r="CN51">
            <v>300</v>
          </cell>
          <cell r="CR51">
            <v>200</v>
          </cell>
          <cell r="CW51">
            <v>300</v>
          </cell>
          <cell r="DD51">
            <v>300</v>
          </cell>
          <cell r="DL51">
            <v>300</v>
          </cell>
          <cell r="DR51">
            <v>300</v>
          </cell>
          <cell r="DW51">
            <v>300</v>
          </cell>
          <cell r="ED51">
            <v>300</v>
          </cell>
          <cell r="EH51" t="str">
            <v>ACTIVO</v>
          </cell>
          <cell r="EI51" t="str">
            <v>C</v>
          </cell>
          <cell r="EJ51" t="str">
            <v/>
          </cell>
          <cell r="EK51">
            <v>300</v>
          </cell>
          <cell r="EL51">
            <v>50</v>
          </cell>
        </row>
        <row r="52">
          <cell r="F52">
            <v>107187</v>
          </cell>
          <cell r="G52" t="str">
            <v>DISCO DE PAPEL 19CM PQQ CURICO</v>
          </cell>
          <cell r="J52">
            <v>10000</v>
          </cell>
          <cell r="K52">
            <v>24000</v>
          </cell>
          <cell r="L52">
            <v>15000</v>
          </cell>
          <cell r="M52">
            <v>15000</v>
          </cell>
          <cell r="P52">
            <v>15000</v>
          </cell>
          <cell r="W52">
            <v>20000</v>
          </cell>
          <cell r="DK52">
            <v>20000</v>
          </cell>
          <cell r="DM52">
            <v>30000</v>
          </cell>
          <cell r="DO52">
            <v>30000</v>
          </cell>
          <cell r="DQ52">
            <v>40000</v>
          </cell>
          <cell r="DR52">
            <v>24000</v>
          </cell>
          <cell r="DV52">
            <v>50000</v>
          </cell>
          <cell r="ED52">
            <v>30000</v>
          </cell>
          <cell r="EH52" t="str">
            <v>SIN USO</v>
          </cell>
          <cell r="EI52" t="str">
            <v/>
          </cell>
          <cell r="EJ52" t="str">
            <v/>
          </cell>
          <cell r="EK52">
            <v>32000</v>
          </cell>
          <cell r="EL52">
            <v>5333.333333333333</v>
          </cell>
        </row>
        <row r="53">
          <cell r="F53">
            <v>107338</v>
          </cell>
          <cell r="G53" t="str">
            <v>LAMINA ACETATO TRANSPARENTE 7x60 CM ECOPLASTIC</v>
          </cell>
          <cell r="L53">
            <v>500</v>
          </cell>
          <cell r="M53">
            <v>1500</v>
          </cell>
          <cell r="V53">
            <v>1000</v>
          </cell>
          <cell r="W53">
            <v>500</v>
          </cell>
          <cell r="AC53">
            <v>700</v>
          </cell>
          <cell r="EH53" t="str">
            <v>SIN USO</v>
          </cell>
          <cell r="EI53" t="str">
            <v/>
          </cell>
          <cell r="EJ53" t="str">
            <v/>
          </cell>
          <cell r="EK53">
            <v>0</v>
          </cell>
          <cell r="EL53">
            <v>0</v>
          </cell>
        </row>
        <row r="54">
          <cell r="F54">
            <v>405319</v>
          </cell>
          <cell r="G54" t="str">
            <v>LAMINA ACETATO TRANSPARENTE 7x60 CM FPS</v>
          </cell>
          <cell r="AF54">
            <v>300</v>
          </cell>
          <cell r="AH54">
            <v>300</v>
          </cell>
          <cell r="AI54">
            <v>250</v>
          </cell>
          <cell r="AK54">
            <v>550</v>
          </cell>
          <cell r="AL54">
            <v>150</v>
          </cell>
          <cell r="AN54">
            <v>300</v>
          </cell>
          <cell r="AO54">
            <v>300</v>
          </cell>
          <cell r="BL54">
            <v>1000</v>
          </cell>
          <cell r="BN54">
            <v>500</v>
          </cell>
          <cell r="BO54">
            <v>500</v>
          </cell>
          <cell r="BR54">
            <v>500</v>
          </cell>
          <cell r="BV54">
            <v>600</v>
          </cell>
          <cell r="BW54">
            <v>300</v>
          </cell>
          <cell r="CB54">
            <v>300</v>
          </cell>
          <cell r="CC54">
            <v>500</v>
          </cell>
          <cell r="CF54">
            <v>500</v>
          </cell>
          <cell r="CG54">
            <v>600</v>
          </cell>
          <cell r="CL54">
            <v>500</v>
          </cell>
          <cell r="CM54">
            <v>500</v>
          </cell>
          <cell r="CN54">
            <v>400</v>
          </cell>
          <cell r="CP54">
            <v>300</v>
          </cell>
          <cell r="CQ54">
            <v>100</v>
          </cell>
          <cell r="CR54">
            <v>200</v>
          </cell>
          <cell r="CS54">
            <v>200</v>
          </cell>
          <cell r="CT54">
            <v>200</v>
          </cell>
          <cell r="CU54">
            <v>300</v>
          </cell>
          <cell r="CV54">
            <v>200</v>
          </cell>
          <cell r="CW54">
            <v>500</v>
          </cell>
          <cell r="CY54">
            <v>300</v>
          </cell>
          <cell r="CZ54">
            <v>500</v>
          </cell>
          <cell r="DA54">
            <v>600</v>
          </cell>
          <cell r="DB54">
            <v>400</v>
          </cell>
          <cell r="DC54">
            <v>300</v>
          </cell>
          <cell r="DD54">
            <v>500</v>
          </cell>
          <cell r="DJ54">
            <v>100</v>
          </cell>
          <cell r="DK54">
            <v>100</v>
          </cell>
          <cell r="DL54">
            <v>400</v>
          </cell>
          <cell r="DM54">
            <v>200</v>
          </cell>
          <cell r="DN54">
            <v>200</v>
          </cell>
          <cell r="DO54">
            <v>200</v>
          </cell>
          <cell r="DP54">
            <v>400</v>
          </cell>
          <cell r="DV54">
            <v>200</v>
          </cell>
          <cell r="DW54">
            <v>100</v>
          </cell>
          <cell r="DX54">
            <v>400</v>
          </cell>
          <cell r="DY54">
            <v>500</v>
          </cell>
          <cell r="DZ54">
            <v>100</v>
          </cell>
          <cell r="EH54" t="str">
            <v>ACTIVO</v>
          </cell>
          <cell r="EI54" t="str">
            <v>C</v>
          </cell>
          <cell r="EJ54">
            <v>4800</v>
          </cell>
          <cell r="EK54">
            <v>241.66666666666666</v>
          </cell>
          <cell r="EL54">
            <v>40.277777777777779</v>
          </cell>
        </row>
        <row r="55">
          <cell r="F55">
            <v>404313</v>
          </cell>
          <cell r="G55" t="str">
            <v>LAMINA ACETATO TRANSPARENTE ECOPLASTIC</v>
          </cell>
          <cell r="AC55">
            <v>330</v>
          </cell>
          <cell r="EH55" t="str">
            <v>SIN USO</v>
          </cell>
          <cell r="EI55" t="str">
            <v/>
          </cell>
          <cell r="EJ55" t="str">
            <v/>
          </cell>
          <cell r="EK55">
            <v>0</v>
          </cell>
          <cell r="EL55">
            <v>0</v>
          </cell>
        </row>
        <row r="56">
          <cell r="F56">
            <v>403014</v>
          </cell>
          <cell r="G56" t="str">
            <v>PAPEL MANTEQUILLA ARRIAZA</v>
          </cell>
          <cell r="AE56">
            <v>500</v>
          </cell>
          <cell r="BW56">
            <v>500</v>
          </cell>
          <cell r="EC56">
            <v>500</v>
          </cell>
          <cell r="EH56" t="str">
            <v>ACTIVO</v>
          </cell>
          <cell r="EI56" t="str">
            <v>C</v>
          </cell>
          <cell r="EJ56" t="str">
            <v/>
          </cell>
          <cell r="EK56">
            <v>500</v>
          </cell>
          <cell r="EL56">
            <v>83.333333333333329</v>
          </cell>
        </row>
        <row r="57">
          <cell r="F57">
            <v>403101</v>
          </cell>
          <cell r="G57" t="str">
            <v>DISCO CARTON BLANCO 19,5 JUMBO ARRIAZA</v>
          </cell>
          <cell r="H57">
            <v>43500</v>
          </cell>
          <cell r="I57">
            <v>35000</v>
          </cell>
          <cell r="J57">
            <v>42000</v>
          </cell>
          <cell r="K57">
            <v>50000</v>
          </cell>
          <cell r="L57">
            <v>47003</v>
          </cell>
          <cell r="M57">
            <v>52000</v>
          </cell>
          <cell r="N57">
            <v>42000</v>
          </cell>
          <cell r="O57">
            <v>58500</v>
          </cell>
          <cell r="P57">
            <v>32000</v>
          </cell>
          <cell r="Q57">
            <v>41000</v>
          </cell>
          <cell r="R57">
            <v>37500</v>
          </cell>
          <cell r="S57">
            <v>22000</v>
          </cell>
          <cell r="T57">
            <v>26000</v>
          </cell>
          <cell r="U57">
            <v>60500</v>
          </cell>
          <cell r="V57">
            <v>37500</v>
          </cell>
          <cell r="W57">
            <v>48000</v>
          </cell>
          <cell r="X57">
            <v>63500</v>
          </cell>
          <cell r="Y57">
            <v>34500</v>
          </cell>
          <cell r="Z57">
            <v>66500</v>
          </cell>
          <cell r="AA57">
            <v>22500</v>
          </cell>
          <cell r="AB57">
            <v>50500</v>
          </cell>
          <cell r="AC57">
            <v>36000</v>
          </cell>
          <cell r="AD57">
            <v>47500</v>
          </cell>
          <cell r="AE57">
            <v>105000</v>
          </cell>
          <cell r="AF57">
            <v>11500</v>
          </cell>
          <cell r="AH57">
            <v>55501</v>
          </cell>
          <cell r="AI57">
            <v>65000</v>
          </cell>
          <cell r="AJ57">
            <v>45000</v>
          </cell>
          <cell r="AK57">
            <v>66000</v>
          </cell>
          <cell r="AL57">
            <v>42000</v>
          </cell>
          <cell r="AM57">
            <v>64000</v>
          </cell>
          <cell r="AN57">
            <v>59500</v>
          </cell>
          <cell r="AO57">
            <v>63500</v>
          </cell>
          <cell r="AP57">
            <v>46950</v>
          </cell>
          <cell r="AQ57">
            <v>43000</v>
          </cell>
          <cell r="AR57">
            <v>51000</v>
          </cell>
          <cell r="AS57">
            <v>26500</v>
          </cell>
          <cell r="AT57">
            <v>51720</v>
          </cell>
          <cell r="AU57">
            <v>48100</v>
          </cell>
          <cell r="AV57">
            <v>43000</v>
          </cell>
          <cell r="AW57">
            <v>47000</v>
          </cell>
          <cell r="AX57">
            <v>52500</v>
          </cell>
          <cell r="AY57">
            <v>48000</v>
          </cell>
          <cell r="AZ57">
            <v>42500</v>
          </cell>
          <cell r="BA57">
            <v>53500</v>
          </cell>
          <cell r="BB57">
            <v>47300</v>
          </cell>
          <cell r="BC57">
            <v>40501</v>
          </cell>
          <cell r="BD57">
            <v>48000</v>
          </cell>
          <cell r="BE57">
            <v>43500</v>
          </cell>
          <cell r="BF57">
            <v>60000</v>
          </cell>
          <cell r="BG57">
            <v>40000</v>
          </cell>
          <cell r="BH57">
            <v>24000</v>
          </cell>
          <cell r="BI57">
            <v>41500</v>
          </cell>
          <cell r="BJ57">
            <v>41000</v>
          </cell>
          <cell r="BK57">
            <v>59500</v>
          </cell>
          <cell r="BL57">
            <v>42500</v>
          </cell>
          <cell r="BM57">
            <v>45500</v>
          </cell>
          <cell r="BN57">
            <v>47500</v>
          </cell>
          <cell r="BO57">
            <v>48500</v>
          </cell>
          <cell r="BP57">
            <v>28500</v>
          </cell>
          <cell r="BQ57">
            <v>46000</v>
          </cell>
          <cell r="BR57">
            <v>51000</v>
          </cell>
          <cell r="BS57">
            <v>43500</v>
          </cell>
          <cell r="BT57">
            <v>55500</v>
          </cell>
          <cell r="BU57">
            <v>59500</v>
          </cell>
          <cell r="BV57">
            <v>55000</v>
          </cell>
          <cell r="BW57">
            <v>56500</v>
          </cell>
          <cell r="BX57">
            <v>83500</v>
          </cell>
          <cell r="BY57">
            <v>56000</v>
          </cell>
          <cell r="BZ57">
            <v>56000</v>
          </cell>
          <cell r="CA57">
            <v>64000</v>
          </cell>
          <cell r="CB57">
            <v>42000</v>
          </cell>
          <cell r="CC57">
            <v>51500</v>
          </cell>
          <cell r="CD57">
            <v>52000</v>
          </cell>
          <cell r="CE57">
            <v>55000</v>
          </cell>
          <cell r="CF57">
            <v>60700</v>
          </cell>
          <cell r="CG57">
            <v>48500</v>
          </cell>
          <cell r="CH57">
            <v>30500</v>
          </cell>
          <cell r="CI57">
            <v>39000</v>
          </cell>
          <cell r="CJ57">
            <v>38000</v>
          </cell>
          <cell r="CK57">
            <v>42000</v>
          </cell>
          <cell r="CL57">
            <v>43000</v>
          </cell>
          <cell r="CM57">
            <v>43000</v>
          </cell>
          <cell r="CN57">
            <v>52500</v>
          </cell>
          <cell r="CO57">
            <v>39000</v>
          </cell>
          <cell r="CP57">
            <v>46500</v>
          </cell>
          <cell r="CQ57">
            <v>54500</v>
          </cell>
          <cell r="CR57">
            <v>49500</v>
          </cell>
          <cell r="CS57">
            <v>28000</v>
          </cell>
          <cell r="CT57">
            <v>65500</v>
          </cell>
          <cell r="CU57">
            <v>41500</v>
          </cell>
          <cell r="CV57">
            <v>40000</v>
          </cell>
          <cell r="CW57">
            <v>32000</v>
          </cell>
          <cell r="CX57">
            <v>47000</v>
          </cell>
          <cell r="CY57">
            <v>33500</v>
          </cell>
          <cell r="CZ57">
            <v>44500</v>
          </cell>
          <cell r="DA57">
            <v>41000</v>
          </cell>
          <cell r="DB57">
            <v>100500</v>
          </cell>
          <cell r="DC57">
            <v>57500</v>
          </cell>
          <cell r="DD57">
            <v>32500</v>
          </cell>
          <cell r="DE57">
            <v>38000</v>
          </cell>
          <cell r="DF57">
            <v>43500</v>
          </cell>
          <cell r="DG57">
            <v>48000</v>
          </cell>
          <cell r="DH57">
            <v>18500</v>
          </cell>
          <cell r="DI57">
            <v>7500</v>
          </cell>
          <cell r="DJ57">
            <v>51500</v>
          </cell>
          <cell r="DK57">
            <v>41500</v>
          </cell>
          <cell r="DL57">
            <v>43500</v>
          </cell>
          <cell r="DM57">
            <v>41000</v>
          </cell>
          <cell r="DN57">
            <v>42000</v>
          </cell>
          <cell r="DO57">
            <v>45000</v>
          </cell>
          <cell r="DP57">
            <v>47500</v>
          </cell>
          <cell r="DQ57">
            <v>24500</v>
          </cell>
          <cell r="DR57">
            <v>33000</v>
          </cell>
          <cell r="DS57">
            <v>40000</v>
          </cell>
          <cell r="DT57">
            <v>52500</v>
          </cell>
          <cell r="DU57">
            <v>37600</v>
          </cell>
          <cell r="DV57">
            <v>36500</v>
          </cell>
          <cell r="DW57">
            <v>22500</v>
          </cell>
          <cell r="DX57">
            <v>50500</v>
          </cell>
          <cell r="DY57">
            <v>62000</v>
          </cell>
          <cell r="DZ57">
            <v>54000</v>
          </cell>
          <cell r="EA57">
            <v>28500</v>
          </cell>
          <cell r="EB57">
            <v>35500</v>
          </cell>
          <cell r="EC57">
            <v>4500</v>
          </cell>
          <cell r="ED57">
            <v>40177</v>
          </cell>
          <cell r="EE57">
            <v>13000</v>
          </cell>
          <cell r="EH57" t="str">
            <v>ACTIVO</v>
          </cell>
          <cell r="EI57" t="str">
            <v>B</v>
          </cell>
          <cell r="EJ57">
            <v>60000</v>
          </cell>
          <cell r="EK57">
            <v>37142.478260869568</v>
          </cell>
          <cell r="EL57">
            <v>6190.413043478261</v>
          </cell>
        </row>
        <row r="58">
          <cell r="F58">
            <v>405740</v>
          </cell>
          <cell r="G58" t="str">
            <v>DISCO CARTON BLANCO 19 CM PRAGGA</v>
          </cell>
          <cell r="DW58">
            <v>36000</v>
          </cell>
          <cell r="DX58">
            <v>32000</v>
          </cell>
          <cell r="DY58">
            <v>42000</v>
          </cell>
          <cell r="EA58">
            <v>15800</v>
          </cell>
          <cell r="EB58">
            <v>20800</v>
          </cell>
          <cell r="EC58">
            <v>34400</v>
          </cell>
          <cell r="EE58">
            <v>22800</v>
          </cell>
          <cell r="EF58">
            <v>60400</v>
          </cell>
          <cell r="EG58">
            <v>81900</v>
          </cell>
          <cell r="EH58" t="str">
            <v>ACTIVO</v>
          </cell>
          <cell r="EI58" t="str">
            <v/>
          </cell>
          <cell r="EJ58" t="str">
            <v/>
          </cell>
          <cell r="EK58">
            <v>38455.555555555555</v>
          </cell>
          <cell r="EL58">
            <v>6409.2592592592591</v>
          </cell>
        </row>
        <row r="59">
          <cell r="F59">
            <v>405438</v>
          </cell>
          <cell r="G59" t="str">
            <v>CARTULINA BLANCA EMPLACADA DIAMTERO 19CM ALIMPACK</v>
          </cell>
          <cell r="CM59">
            <v>24000</v>
          </cell>
          <cell r="EH59" t="str">
            <v>SIN USO</v>
          </cell>
          <cell r="EI59" t="str">
            <v>C</v>
          </cell>
          <cell r="EJ59" t="str">
            <v/>
          </cell>
          <cell r="EK59">
            <v>0</v>
          </cell>
          <cell r="EL59">
            <v>0</v>
          </cell>
        </row>
        <row r="60">
          <cell r="F60">
            <v>405587</v>
          </cell>
          <cell r="G60" t="str">
            <v>DISCO DE PAPEL KRAFT 100GR 21CM PAPELERA</v>
          </cell>
          <cell r="CT60">
            <v>100000</v>
          </cell>
          <cell r="CU60">
            <v>100000</v>
          </cell>
          <cell r="CV60">
            <v>100000</v>
          </cell>
          <cell r="CW60">
            <v>100000</v>
          </cell>
          <cell r="CX60">
            <v>100000</v>
          </cell>
          <cell r="CY60">
            <v>100000</v>
          </cell>
          <cell r="DD60">
            <v>150000</v>
          </cell>
          <cell r="DF60">
            <v>119000</v>
          </cell>
          <cell r="DG60">
            <v>31000</v>
          </cell>
          <cell r="DK60">
            <v>100000</v>
          </cell>
          <cell r="DL60">
            <v>100000</v>
          </cell>
          <cell r="DM60">
            <v>100000</v>
          </cell>
          <cell r="DN60">
            <v>100000</v>
          </cell>
          <cell r="DO60">
            <v>100000</v>
          </cell>
          <cell r="DS60">
            <v>100000</v>
          </cell>
          <cell r="DV60">
            <v>100000</v>
          </cell>
          <cell r="DX60">
            <v>200000</v>
          </cell>
          <cell r="DZ60">
            <v>100000</v>
          </cell>
          <cell r="EA60">
            <v>29000</v>
          </cell>
          <cell r="EB60">
            <v>71000</v>
          </cell>
          <cell r="EC60">
            <v>100000</v>
          </cell>
          <cell r="ED60">
            <v>100000</v>
          </cell>
          <cell r="EE60">
            <v>100000</v>
          </cell>
          <cell r="EF60">
            <v>100000</v>
          </cell>
          <cell r="EH60" t="str">
            <v>ACTIVO</v>
          </cell>
          <cell r="EI60" t="str">
            <v>C</v>
          </cell>
          <cell r="EJ60" t="str">
            <v/>
          </cell>
          <cell r="EK60">
            <v>100000</v>
          </cell>
          <cell r="EL60">
            <v>16666.666666666668</v>
          </cell>
        </row>
        <row r="61">
          <cell r="F61">
            <v>405583</v>
          </cell>
          <cell r="G61" t="str">
            <v>DISCO MICROCORRUGADO EMPLACADO 19 CM DIÁMETRO ASTRA</v>
          </cell>
          <cell r="CR61">
            <v>32300</v>
          </cell>
          <cell r="CU61">
            <v>9000</v>
          </cell>
          <cell r="CV61">
            <v>15960</v>
          </cell>
          <cell r="CW61">
            <v>15000</v>
          </cell>
          <cell r="CX61">
            <v>19400</v>
          </cell>
          <cell r="CY61">
            <v>9000</v>
          </cell>
          <cell r="CZ61">
            <v>20300</v>
          </cell>
          <cell r="DA61">
            <v>3000</v>
          </cell>
          <cell r="DB61">
            <v>21600</v>
          </cell>
          <cell r="DC61">
            <v>8900</v>
          </cell>
          <cell r="DD61">
            <v>9500</v>
          </cell>
          <cell r="DE61">
            <v>24000</v>
          </cell>
          <cell r="DF61">
            <v>12879</v>
          </cell>
          <cell r="DH61">
            <v>4000</v>
          </cell>
          <cell r="DI61">
            <v>4500</v>
          </cell>
          <cell r="DJ61">
            <v>8320</v>
          </cell>
          <cell r="DK61">
            <v>15000</v>
          </cell>
          <cell r="DL61">
            <v>5750</v>
          </cell>
          <cell r="DM61">
            <v>16500</v>
          </cell>
          <cell r="DN61">
            <v>18180</v>
          </cell>
          <cell r="DO61">
            <v>11800</v>
          </cell>
          <cell r="DP61">
            <v>12450</v>
          </cell>
          <cell r="DQ61">
            <v>13050</v>
          </cell>
          <cell r="DR61">
            <v>6950</v>
          </cell>
          <cell r="DS61">
            <v>5200</v>
          </cell>
          <cell r="DT61">
            <v>4550</v>
          </cell>
          <cell r="DW61">
            <v>8500</v>
          </cell>
          <cell r="DX61">
            <v>4400</v>
          </cell>
          <cell r="DY61">
            <v>4000</v>
          </cell>
          <cell r="DZ61">
            <v>7000</v>
          </cell>
          <cell r="EA61">
            <v>800</v>
          </cell>
          <cell r="EC61">
            <v>12100</v>
          </cell>
          <cell r="ED61">
            <v>6000</v>
          </cell>
          <cell r="EF61">
            <v>23600</v>
          </cell>
          <cell r="EG61">
            <v>40200</v>
          </cell>
          <cell r="EH61" t="str">
            <v>ACTIVO</v>
          </cell>
          <cell r="EI61" t="str">
            <v>C</v>
          </cell>
          <cell r="EJ61" t="str">
            <v/>
          </cell>
          <cell r="EK61">
            <v>10897.619047619048</v>
          </cell>
          <cell r="EL61">
            <v>1816.2698412698412</v>
          </cell>
        </row>
        <row r="62">
          <cell r="F62">
            <v>107292</v>
          </cell>
          <cell r="G62" t="str">
            <v>DISCO CARTÓN CORRUGADO 19 CM EHLAN</v>
          </cell>
          <cell r="H62">
            <v>950</v>
          </cell>
          <cell r="J62">
            <v>21000</v>
          </cell>
          <cell r="K62">
            <v>22000</v>
          </cell>
          <cell r="L62">
            <v>29250</v>
          </cell>
          <cell r="M62">
            <v>64500</v>
          </cell>
          <cell r="N62">
            <v>43500</v>
          </cell>
          <cell r="O62">
            <v>21000</v>
          </cell>
          <cell r="P62">
            <v>2650</v>
          </cell>
          <cell r="Q62">
            <v>14750</v>
          </cell>
          <cell r="R62">
            <v>21000</v>
          </cell>
          <cell r="S62">
            <v>22500</v>
          </cell>
          <cell r="T62">
            <v>1800</v>
          </cell>
          <cell r="U62">
            <v>17700</v>
          </cell>
          <cell r="V62">
            <v>1450</v>
          </cell>
          <cell r="W62">
            <v>4700</v>
          </cell>
          <cell r="X62">
            <v>24750</v>
          </cell>
          <cell r="Y62">
            <v>22350</v>
          </cell>
          <cell r="Z62">
            <v>9600</v>
          </cell>
          <cell r="AA62">
            <v>1500</v>
          </cell>
          <cell r="AB62">
            <v>1750</v>
          </cell>
          <cell r="AC62">
            <v>1500</v>
          </cell>
          <cell r="AD62">
            <v>9600</v>
          </cell>
          <cell r="AE62">
            <v>3800</v>
          </cell>
          <cell r="AM62">
            <v>24000</v>
          </cell>
          <cell r="AO62">
            <v>11250</v>
          </cell>
          <cell r="AU62">
            <v>1470</v>
          </cell>
          <cell r="AV62">
            <v>5970</v>
          </cell>
          <cell r="AY62">
            <v>10490</v>
          </cell>
          <cell r="BC62">
            <v>3700</v>
          </cell>
          <cell r="BD62">
            <v>24649</v>
          </cell>
          <cell r="BE62">
            <v>22410</v>
          </cell>
          <cell r="BF62">
            <v>39400</v>
          </cell>
          <cell r="BG62">
            <v>6700</v>
          </cell>
          <cell r="BH62">
            <v>1500</v>
          </cell>
          <cell r="BI62">
            <v>25240</v>
          </cell>
          <cell r="BJ62">
            <v>0</v>
          </cell>
          <cell r="BK62">
            <v>7200</v>
          </cell>
          <cell r="BL62">
            <v>11100</v>
          </cell>
          <cell r="BM62">
            <v>45160</v>
          </cell>
          <cell r="BN62">
            <v>11660</v>
          </cell>
          <cell r="BO62">
            <v>28820</v>
          </cell>
          <cell r="BP62">
            <v>3900</v>
          </cell>
          <cell r="BQ62">
            <v>8260</v>
          </cell>
          <cell r="BR62">
            <v>7720</v>
          </cell>
          <cell r="BT62">
            <v>4640</v>
          </cell>
          <cell r="BU62">
            <v>24200</v>
          </cell>
          <cell r="BV62">
            <v>1400</v>
          </cell>
          <cell r="BW62">
            <v>31000</v>
          </cell>
          <cell r="BX62">
            <v>41200</v>
          </cell>
          <cell r="BY62">
            <v>15600</v>
          </cell>
          <cell r="BZ62">
            <v>14000</v>
          </cell>
          <cell r="CA62">
            <v>14550</v>
          </cell>
          <cell r="CB62">
            <v>45250</v>
          </cell>
          <cell r="CC62">
            <v>22700</v>
          </cell>
          <cell r="CD62">
            <v>13800</v>
          </cell>
          <cell r="CE62">
            <v>900</v>
          </cell>
          <cell r="CF62">
            <v>10800</v>
          </cell>
          <cell r="CG62">
            <v>22700</v>
          </cell>
          <cell r="CH62">
            <v>10100</v>
          </cell>
          <cell r="CI62">
            <v>11950</v>
          </cell>
          <cell r="CJ62">
            <v>11000</v>
          </cell>
          <cell r="CK62">
            <v>14500</v>
          </cell>
          <cell r="CL62">
            <v>32000</v>
          </cell>
          <cell r="CM62">
            <v>44200</v>
          </cell>
          <cell r="CN62">
            <v>25650</v>
          </cell>
          <cell r="CO62">
            <v>15400</v>
          </cell>
          <cell r="CP62">
            <v>18000</v>
          </cell>
          <cell r="CQ62">
            <v>41750</v>
          </cell>
          <cell r="CR62">
            <v>5450</v>
          </cell>
          <cell r="CS62">
            <v>6900</v>
          </cell>
          <cell r="CT62">
            <v>9000</v>
          </cell>
          <cell r="CU62">
            <v>25500</v>
          </cell>
          <cell r="DJ62">
            <v>400</v>
          </cell>
          <cell r="DL62">
            <v>10000</v>
          </cell>
          <cell r="DM62">
            <v>1000</v>
          </cell>
          <cell r="DO62">
            <v>2000</v>
          </cell>
          <cell r="DP62">
            <v>15000</v>
          </cell>
          <cell r="DQ62">
            <v>950</v>
          </cell>
          <cell r="DR62">
            <v>10650</v>
          </cell>
          <cell r="DS62">
            <v>4500</v>
          </cell>
          <cell r="DT62">
            <v>20450</v>
          </cell>
          <cell r="DU62">
            <v>24000</v>
          </cell>
          <cell r="DV62">
            <v>39150</v>
          </cell>
          <cell r="DW62">
            <v>4000</v>
          </cell>
          <cell r="DX62">
            <v>65600</v>
          </cell>
          <cell r="DY62">
            <v>18750</v>
          </cell>
          <cell r="DZ62">
            <v>62000</v>
          </cell>
          <cell r="EA62">
            <v>1000</v>
          </cell>
          <cell r="EB62">
            <v>13150</v>
          </cell>
          <cell r="EC62">
            <v>7800</v>
          </cell>
          <cell r="ED62">
            <v>9350</v>
          </cell>
          <cell r="EE62">
            <v>12600</v>
          </cell>
          <cell r="EF62">
            <v>5400</v>
          </cell>
          <cell r="EH62" t="str">
            <v>ACTIVO</v>
          </cell>
          <cell r="EI62" t="str">
            <v>B</v>
          </cell>
          <cell r="EJ62">
            <v>12000</v>
          </cell>
          <cell r="EK62">
            <v>15607.142857142857</v>
          </cell>
          <cell r="EL62">
            <v>2601.1904761904761</v>
          </cell>
        </row>
        <row r="63">
          <cell r="F63">
            <v>107318</v>
          </cell>
          <cell r="G63" t="str">
            <v>DISCO CARTÓN CAFE CORRUGADO 19 CM ASTRA</v>
          </cell>
          <cell r="H63">
            <v>3700</v>
          </cell>
          <cell r="J63">
            <v>8100</v>
          </cell>
          <cell r="Q63">
            <v>1500</v>
          </cell>
          <cell r="R63">
            <v>1700</v>
          </cell>
          <cell r="U63">
            <v>6050</v>
          </cell>
          <cell r="V63">
            <v>22700</v>
          </cell>
          <cell r="W63">
            <v>21000</v>
          </cell>
          <cell r="X63">
            <v>17550</v>
          </cell>
          <cell r="AA63">
            <v>12000</v>
          </cell>
          <cell r="AB63">
            <v>3000</v>
          </cell>
          <cell r="AC63">
            <v>38250</v>
          </cell>
          <cell r="AD63">
            <v>19200</v>
          </cell>
          <cell r="AE63">
            <v>13150</v>
          </cell>
          <cell r="AF63">
            <v>18450</v>
          </cell>
          <cell r="AG63">
            <v>28150</v>
          </cell>
          <cell r="AH63">
            <v>27900</v>
          </cell>
          <cell r="AI63">
            <v>17250</v>
          </cell>
          <cell r="AJ63">
            <v>24716</v>
          </cell>
          <cell r="AK63">
            <v>23600</v>
          </cell>
          <cell r="AL63">
            <v>10700</v>
          </cell>
          <cell r="AM63">
            <v>24000</v>
          </cell>
          <cell r="AN63">
            <v>12000</v>
          </cell>
          <cell r="AO63">
            <v>12750</v>
          </cell>
          <cell r="AP63">
            <v>24200</v>
          </cell>
          <cell r="AQ63">
            <v>28900</v>
          </cell>
          <cell r="AR63">
            <v>37600</v>
          </cell>
          <cell r="AS63">
            <v>13500</v>
          </cell>
          <cell r="AT63">
            <v>29670</v>
          </cell>
          <cell r="AU63">
            <v>19440</v>
          </cell>
          <cell r="AV63">
            <v>44080</v>
          </cell>
          <cell r="AW63">
            <v>12000</v>
          </cell>
          <cell r="AX63">
            <v>23920</v>
          </cell>
          <cell r="AY63">
            <v>36000</v>
          </cell>
          <cell r="AZ63">
            <v>22290</v>
          </cell>
          <cell r="BA63">
            <v>23890</v>
          </cell>
          <cell r="BB63">
            <v>61970</v>
          </cell>
          <cell r="BC63">
            <v>32540</v>
          </cell>
          <cell r="BD63">
            <v>11301</v>
          </cell>
          <cell r="BE63">
            <v>800</v>
          </cell>
          <cell r="BF63">
            <v>24000</v>
          </cell>
          <cell r="BG63">
            <v>17290</v>
          </cell>
          <cell r="BH63">
            <v>1800</v>
          </cell>
          <cell r="BI63">
            <v>25860</v>
          </cell>
          <cell r="BJ63">
            <v>20250</v>
          </cell>
          <cell r="BK63">
            <v>25900</v>
          </cell>
          <cell r="BL63">
            <v>3050</v>
          </cell>
          <cell r="BN63">
            <v>17315</v>
          </cell>
          <cell r="BP63">
            <v>25700</v>
          </cell>
          <cell r="BQ63">
            <v>11500</v>
          </cell>
          <cell r="BR63">
            <v>500</v>
          </cell>
          <cell r="BS63">
            <v>18000</v>
          </cell>
          <cell r="BT63">
            <v>12024</v>
          </cell>
          <cell r="BU63">
            <v>19800</v>
          </cell>
          <cell r="BV63">
            <v>25200</v>
          </cell>
          <cell r="BX63">
            <v>14100</v>
          </cell>
          <cell r="BY63">
            <v>9450</v>
          </cell>
          <cell r="CC63">
            <v>13300</v>
          </cell>
          <cell r="CD63">
            <v>17000</v>
          </cell>
          <cell r="CE63">
            <v>8480</v>
          </cell>
          <cell r="CG63">
            <v>45000</v>
          </cell>
          <cell r="CH63">
            <v>1800</v>
          </cell>
          <cell r="CI63">
            <v>15000</v>
          </cell>
          <cell r="CJ63">
            <v>1800</v>
          </cell>
          <cell r="CK63">
            <v>18900</v>
          </cell>
          <cell r="EH63" t="str">
            <v>SIN USO</v>
          </cell>
          <cell r="EI63" t="str">
            <v>C</v>
          </cell>
          <cell r="EJ63">
            <v>12000</v>
          </cell>
          <cell r="EK63">
            <v>0</v>
          </cell>
          <cell r="EL63">
            <v>0</v>
          </cell>
        </row>
        <row r="64">
          <cell r="F64">
            <v>405502</v>
          </cell>
          <cell r="G64" t="str">
            <v>DISCO MICROCORRUGADO 19CM ASTRA</v>
          </cell>
          <cell r="BT64">
            <v>500</v>
          </cell>
          <cell r="EH64" t="str">
            <v>SIN USO</v>
          </cell>
          <cell r="EI64" t="str">
            <v>C</v>
          </cell>
          <cell r="EJ64" t="str">
            <v/>
          </cell>
          <cell r="EK64">
            <v>0</v>
          </cell>
          <cell r="EL64">
            <v>0</v>
          </cell>
        </row>
        <row r="65">
          <cell r="F65">
            <v>107357</v>
          </cell>
          <cell r="G65" t="str">
            <v>DISCO CARTÓN BLANCO 19 FPS</v>
          </cell>
          <cell r="AF65">
            <v>25000</v>
          </cell>
          <cell r="AG65">
            <v>70500</v>
          </cell>
          <cell r="AP65">
            <v>10000</v>
          </cell>
          <cell r="AV65">
            <v>10000</v>
          </cell>
          <cell r="BC65">
            <v>10000</v>
          </cell>
          <cell r="BI65">
            <v>10000</v>
          </cell>
          <cell r="BO65">
            <v>10000</v>
          </cell>
          <cell r="BT65">
            <v>10000</v>
          </cell>
          <cell r="CB65">
            <v>10000</v>
          </cell>
          <cell r="CG65">
            <v>6500</v>
          </cell>
          <cell r="CM65">
            <v>5000</v>
          </cell>
          <cell r="EH65" t="str">
            <v>SIN USO</v>
          </cell>
          <cell r="EI65" t="str">
            <v>C</v>
          </cell>
          <cell r="EJ65" t="str">
            <v/>
          </cell>
          <cell r="EK65">
            <v>0</v>
          </cell>
          <cell r="EL65">
            <v>0</v>
          </cell>
        </row>
        <row r="66">
          <cell r="F66">
            <v>403271</v>
          </cell>
          <cell r="G66" t="str">
            <v>DISCO CARTÓN CORRUGADO 15,5 CM EHLAN</v>
          </cell>
          <cell r="K66">
            <v>21716</v>
          </cell>
          <cell r="P66">
            <v>12100</v>
          </cell>
          <cell r="W66">
            <v>21000</v>
          </cell>
          <cell r="Z66">
            <v>21500</v>
          </cell>
          <cell r="AD66">
            <v>750</v>
          </cell>
          <cell r="AH66">
            <v>47850</v>
          </cell>
          <cell r="AT66">
            <v>13200</v>
          </cell>
          <cell r="AU66">
            <v>5060</v>
          </cell>
          <cell r="AV66">
            <v>200</v>
          </cell>
          <cell r="AW66">
            <v>6840</v>
          </cell>
          <cell r="AY66">
            <v>2640</v>
          </cell>
          <cell r="AZ66">
            <v>6210</v>
          </cell>
          <cell r="BA66">
            <v>8250</v>
          </cell>
          <cell r="BB66">
            <v>6560</v>
          </cell>
          <cell r="BC66">
            <v>60150</v>
          </cell>
          <cell r="BD66">
            <v>9250</v>
          </cell>
          <cell r="BE66">
            <v>8800</v>
          </cell>
          <cell r="BF66">
            <v>1900</v>
          </cell>
          <cell r="BG66">
            <v>7400</v>
          </cell>
          <cell r="BH66">
            <v>3620</v>
          </cell>
          <cell r="BI66">
            <v>1600</v>
          </cell>
          <cell r="BJ66">
            <v>7500</v>
          </cell>
          <cell r="BK66">
            <v>14870</v>
          </cell>
          <cell r="BL66">
            <v>5200</v>
          </cell>
          <cell r="BM66">
            <v>7000</v>
          </cell>
          <cell r="BN66">
            <v>4700</v>
          </cell>
          <cell r="BO66">
            <v>6720</v>
          </cell>
          <cell r="BP66">
            <v>600</v>
          </cell>
          <cell r="BQ66">
            <v>1750</v>
          </cell>
          <cell r="BR66">
            <v>11100</v>
          </cell>
          <cell r="BS66">
            <v>15150</v>
          </cell>
          <cell r="BT66">
            <v>15200</v>
          </cell>
          <cell r="BU66">
            <v>4650</v>
          </cell>
          <cell r="BV66">
            <v>6600</v>
          </cell>
          <cell r="BW66">
            <v>3450</v>
          </cell>
          <cell r="BX66">
            <v>23250</v>
          </cell>
          <cell r="BY66">
            <v>4100</v>
          </cell>
          <cell r="BZ66">
            <v>1600</v>
          </cell>
          <cell r="CA66">
            <v>7200</v>
          </cell>
          <cell r="CB66">
            <v>7200</v>
          </cell>
          <cell r="CC66">
            <v>36800</v>
          </cell>
          <cell r="CD66">
            <v>8100</v>
          </cell>
          <cell r="CE66">
            <v>10050</v>
          </cell>
          <cell r="CF66">
            <v>18250</v>
          </cell>
          <cell r="CG66">
            <v>5750</v>
          </cell>
          <cell r="CH66">
            <v>4200</v>
          </cell>
          <cell r="CI66">
            <v>6800</v>
          </cell>
          <cell r="CJ66">
            <v>5510</v>
          </cell>
          <cell r="CK66">
            <v>4400</v>
          </cell>
          <cell r="CL66">
            <v>1700</v>
          </cell>
          <cell r="CM66">
            <v>12600</v>
          </cell>
          <cell r="CN66">
            <v>16000</v>
          </cell>
          <cell r="CO66">
            <v>6650</v>
          </cell>
          <cell r="CP66">
            <v>20500</v>
          </cell>
          <cell r="CQ66">
            <v>5200</v>
          </cell>
          <cell r="CR66">
            <v>7750</v>
          </cell>
          <cell r="CS66">
            <v>4600</v>
          </cell>
          <cell r="CT66">
            <v>10000</v>
          </cell>
          <cell r="CU66">
            <v>7900</v>
          </cell>
          <cell r="CV66">
            <v>2000</v>
          </cell>
          <cell r="CW66">
            <v>4300</v>
          </cell>
          <cell r="CX66">
            <v>11200</v>
          </cell>
          <cell r="CY66">
            <v>5100</v>
          </cell>
          <cell r="CZ66">
            <v>4300</v>
          </cell>
          <cell r="DA66">
            <v>4100</v>
          </cell>
          <cell r="DC66">
            <v>2000</v>
          </cell>
          <cell r="DD66">
            <v>4000</v>
          </cell>
          <cell r="DF66">
            <v>4000</v>
          </cell>
          <cell r="DG66">
            <v>8000</v>
          </cell>
          <cell r="DJ66">
            <v>4000</v>
          </cell>
          <cell r="DL66">
            <v>2300</v>
          </cell>
          <cell r="DM66">
            <v>1800</v>
          </cell>
          <cell r="DN66">
            <v>2000</v>
          </cell>
          <cell r="DP66">
            <v>24750</v>
          </cell>
          <cell r="DR66">
            <v>25780</v>
          </cell>
          <cell r="DS66">
            <v>4300</v>
          </cell>
          <cell r="DT66">
            <v>9803</v>
          </cell>
          <cell r="DW66">
            <v>27600</v>
          </cell>
          <cell r="DX66">
            <v>2550</v>
          </cell>
          <cell r="DZ66">
            <v>8000</v>
          </cell>
          <cell r="EB66">
            <v>200</v>
          </cell>
          <cell r="ED66">
            <v>91</v>
          </cell>
          <cell r="EE66">
            <v>4509</v>
          </cell>
          <cell r="EF66">
            <v>1600</v>
          </cell>
          <cell r="EH66" t="str">
            <v>ACTIVO</v>
          </cell>
          <cell r="EI66" t="str">
            <v>C</v>
          </cell>
          <cell r="EJ66">
            <v>16800</v>
          </cell>
          <cell r="EK66">
            <v>7952.2</v>
          </cell>
          <cell r="EL66">
            <v>1325.3666666666666</v>
          </cell>
        </row>
        <row r="67">
          <cell r="F67">
            <v>403278</v>
          </cell>
          <cell r="G67" t="str">
            <v>DISCO CARTON CAFE CORRUGADO 15,5CM CM ASTRA</v>
          </cell>
          <cell r="AM67">
            <v>28336</v>
          </cell>
          <cell r="AR67">
            <v>6530</v>
          </cell>
          <cell r="AS67">
            <v>450</v>
          </cell>
          <cell r="AT67">
            <v>6540</v>
          </cell>
          <cell r="AU67">
            <v>17014</v>
          </cell>
          <cell r="AV67">
            <v>16800</v>
          </cell>
          <cell r="AW67">
            <v>6830</v>
          </cell>
          <cell r="AX67">
            <v>13150</v>
          </cell>
          <cell r="AY67">
            <v>10600</v>
          </cell>
          <cell r="AZ67">
            <v>25700</v>
          </cell>
          <cell r="BA67">
            <v>6000</v>
          </cell>
          <cell r="BB67">
            <v>6760</v>
          </cell>
          <cell r="BC67">
            <v>19400</v>
          </cell>
          <cell r="BD67">
            <v>18900</v>
          </cell>
          <cell r="BE67">
            <v>15650</v>
          </cell>
          <cell r="BF67">
            <v>18900</v>
          </cell>
          <cell r="BK67">
            <v>18900</v>
          </cell>
          <cell r="BL67">
            <v>3600</v>
          </cell>
          <cell r="BO67">
            <v>800</v>
          </cell>
          <cell r="BP67">
            <v>2000</v>
          </cell>
          <cell r="BY67">
            <v>1600</v>
          </cell>
          <cell r="BZ67">
            <v>1600</v>
          </cell>
          <cell r="CA67">
            <v>4000</v>
          </cell>
          <cell r="CC67">
            <v>4000</v>
          </cell>
          <cell r="CD67">
            <v>1200</v>
          </cell>
          <cell r="CE67">
            <v>1800</v>
          </cell>
          <cell r="CF67">
            <v>2100</v>
          </cell>
          <cell r="CG67">
            <v>1700</v>
          </cell>
          <cell r="CH67">
            <v>1800</v>
          </cell>
          <cell r="CI67">
            <v>24500</v>
          </cell>
          <cell r="CK67">
            <v>1600</v>
          </cell>
          <cell r="CL67">
            <v>19000</v>
          </cell>
          <cell r="CM67">
            <v>30500</v>
          </cell>
          <cell r="CN67">
            <v>22000</v>
          </cell>
          <cell r="CO67">
            <v>13150</v>
          </cell>
          <cell r="CS67">
            <v>18900</v>
          </cell>
          <cell r="CV67">
            <v>9837</v>
          </cell>
          <cell r="CW67">
            <v>22050</v>
          </cell>
          <cell r="CX67">
            <v>23550</v>
          </cell>
          <cell r="DA67">
            <v>100</v>
          </cell>
          <cell r="DC67">
            <v>350</v>
          </cell>
          <cell r="DD67">
            <v>24000</v>
          </cell>
          <cell r="DG67">
            <v>7200</v>
          </cell>
          <cell r="DJ67">
            <v>2000</v>
          </cell>
          <cell r="DL67">
            <v>150</v>
          </cell>
          <cell r="DO67">
            <v>400</v>
          </cell>
          <cell r="DR67">
            <v>24000</v>
          </cell>
          <cell r="DV67">
            <v>4400</v>
          </cell>
          <cell r="DW67">
            <v>300</v>
          </cell>
          <cell r="EE67">
            <v>3091</v>
          </cell>
          <cell r="EH67" t="str">
            <v>ACTIVO</v>
          </cell>
          <cell r="EI67" t="str">
            <v>C</v>
          </cell>
          <cell r="EJ67">
            <v>16800</v>
          </cell>
          <cell r="EK67">
            <v>4905.8571428571431</v>
          </cell>
          <cell r="EL67">
            <v>817.64285714285722</v>
          </cell>
        </row>
        <row r="68">
          <cell r="F68">
            <v>405582</v>
          </cell>
          <cell r="G68" t="str">
            <v>DISCO MICROCORRUGADO EMPLACADO 15,5 CM DIÁMETRO ASTRA</v>
          </cell>
          <cell r="DF68">
            <v>22400</v>
          </cell>
          <cell r="DH68">
            <v>22400</v>
          </cell>
          <cell r="DJ68">
            <v>600</v>
          </cell>
          <cell r="DL68">
            <v>4000</v>
          </cell>
          <cell r="DM68">
            <v>2900</v>
          </cell>
          <cell r="DN68">
            <v>2000</v>
          </cell>
          <cell r="DO68">
            <v>8000</v>
          </cell>
          <cell r="DP68">
            <v>8400</v>
          </cell>
          <cell r="DQ68">
            <v>6000</v>
          </cell>
          <cell r="DR68">
            <v>1000</v>
          </cell>
          <cell r="DS68">
            <v>6000</v>
          </cell>
          <cell r="DT68">
            <v>4200</v>
          </cell>
          <cell r="DU68">
            <v>6400</v>
          </cell>
          <cell r="DW68">
            <v>4000</v>
          </cell>
          <cell r="EB68">
            <v>3600</v>
          </cell>
          <cell r="ED68">
            <v>4000</v>
          </cell>
          <cell r="EE68">
            <v>3000</v>
          </cell>
          <cell r="EF68">
            <v>2000</v>
          </cell>
          <cell r="EG68">
            <v>4000</v>
          </cell>
          <cell r="EH68" t="str">
            <v>ACTIVO</v>
          </cell>
          <cell r="EI68" t="str">
            <v>C</v>
          </cell>
          <cell r="EJ68" t="str">
            <v/>
          </cell>
          <cell r="EK68">
            <v>4123.5294117647063</v>
          </cell>
          <cell r="EL68">
            <v>687.25490196078442</v>
          </cell>
        </row>
        <row r="69">
          <cell r="F69">
            <v>393320</v>
          </cell>
          <cell r="G69" t="str">
            <v>HOJA SEPARADORA TORTA DIAMETRO 230 MMS.</v>
          </cell>
          <cell r="H69">
            <v>6000</v>
          </cell>
          <cell r="I69">
            <v>9000</v>
          </cell>
          <cell r="J69">
            <v>15000</v>
          </cell>
          <cell r="K69">
            <v>9000</v>
          </cell>
          <cell r="L69">
            <v>15000</v>
          </cell>
          <cell r="M69">
            <v>18000</v>
          </cell>
          <cell r="N69">
            <v>9000</v>
          </cell>
          <cell r="O69">
            <v>6000</v>
          </cell>
          <cell r="P69">
            <v>13500</v>
          </cell>
          <cell r="Q69">
            <v>4200</v>
          </cell>
          <cell r="R69">
            <v>22000</v>
          </cell>
          <cell r="S69">
            <v>3000</v>
          </cell>
          <cell r="T69">
            <v>12000</v>
          </cell>
          <cell r="U69">
            <v>10100</v>
          </cell>
          <cell r="W69">
            <v>12000</v>
          </cell>
          <cell r="X69">
            <v>12000</v>
          </cell>
          <cell r="Y69">
            <v>18000</v>
          </cell>
          <cell r="Z69">
            <v>15200</v>
          </cell>
          <cell r="AA69">
            <v>9900</v>
          </cell>
          <cell r="AB69">
            <v>17750</v>
          </cell>
          <cell r="AF69">
            <v>3000</v>
          </cell>
          <cell r="AG69">
            <v>12000</v>
          </cell>
          <cell r="AI69">
            <v>3000</v>
          </cell>
          <cell r="AJ69">
            <v>9000</v>
          </cell>
          <cell r="AL69">
            <v>18000</v>
          </cell>
          <cell r="AM69">
            <v>15000</v>
          </cell>
          <cell r="AN69">
            <v>15000</v>
          </cell>
          <cell r="AO69">
            <v>6000</v>
          </cell>
          <cell r="AP69">
            <v>6600</v>
          </cell>
          <cell r="AQ69">
            <v>18000</v>
          </cell>
          <cell r="AR69">
            <v>18000</v>
          </cell>
          <cell r="AS69">
            <v>12000</v>
          </cell>
          <cell r="AT69">
            <v>7200</v>
          </cell>
          <cell r="AU69">
            <v>9000</v>
          </cell>
          <cell r="AV69">
            <v>24000</v>
          </cell>
          <cell r="AW69">
            <v>18900</v>
          </cell>
          <cell r="AX69">
            <v>15600</v>
          </cell>
          <cell r="AY69">
            <v>3850</v>
          </cell>
          <cell r="BC69">
            <v>9000</v>
          </cell>
          <cell r="BD69">
            <v>12000</v>
          </cell>
          <cell r="BE69">
            <v>15000</v>
          </cell>
          <cell r="BF69">
            <v>12600</v>
          </cell>
          <cell r="BG69">
            <v>17400</v>
          </cell>
          <cell r="BJ69">
            <v>7200</v>
          </cell>
          <cell r="BK69">
            <v>1800</v>
          </cell>
          <cell r="BL69">
            <v>9000</v>
          </cell>
          <cell r="BM69">
            <v>21000</v>
          </cell>
          <cell r="BN69">
            <v>18000</v>
          </cell>
          <cell r="BO69">
            <v>15000</v>
          </cell>
          <cell r="BP69">
            <v>9000</v>
          </cell>
          <cell r="BQ69">
            <v>21000</v>
          </cell>
          <cell r="BR69">
            <v>6000</v>
          </cell>
          <cell r="BT69">
            <v>15000</v>
          </cell>
          <cell r="BU69">
            <v>21000</v>
          </cell>
          <cell r="BV69">
            <v>30750</v>
          </cell>
          <cell r="BW69">
            <v>21000</v>
          </cell>
          <cell r="BX69">
            <v>10750</v>
          </cell>
          <cell r="BY69">
            <v>12000</v>
          </cell>
          <cell r="CA69">
            <v>15300</v>
          </cell>
          <cell r="CB69">
            <v>9900</v>
          </cell>
          <cell r="CC69">
            <v>22000</v>
          </cell>
          <cell r="CD69">
            <v>23000</v>
          </cell>
          <cell r="CE69">
            <v>3800</v>
          </cell>
          <cell r="CF69">
            <v>3400</v>
          </cell>
          <cell r="CH69">
            <v>15000</v>
          </cell>
          <cell r="CI69">
            <v>6000</v>
          </cell>
          <cell r="CJ69">
            <v>12000</v>
          </cell>
          <cell r="CK69">
            <v>24000</v>
          </cell>
          <cell r="CL69">
            <v>12000</v>
          </cell>
          <cell r="CM69">
            <v>6000</v>
          </cell>
          <cell r="CN69">
            <v>22920</v>
          </cell>
          <cell r="CO69">
            <v>18000</v>
          </cell>
          <cell r="CP69">
            <v>12000</v>
          </cell>
          <cell r="CQ69">
            <v>21000</v>
          </cell>
          <cell r="CR69">
            <v>21300</v>
          </cell>
          <cell r="CS69">
            <v>2700</v>
          </cell>
          <cell r="CU69">
            <v>8100</v>
          </cell>
          <cell r="CV69">
            <v>15900</v>
          </cell>
          <cell r="CW69">
            <v>4800</v>
          </cell>
          <cell r="CX69">
            <v>11400</v>
          </cell>
          <cell r="CY69">
            <v>8400</v>
          </cell>
          <cell r="CZ69">
            <v>18000</v>
          </cell>
          <cell r="DA69">
            <v>6000</v>
          </cell>
          <cell r="DC69">
            <v>21450</v>
          </cell>
          <cell r="DD69">
            <v>12600</v>
          </cell>
          <cell r="DE69">
            <v>7950</v>
          </cell>
          <cell r="DF69">
            <v>16800</v>
          </cell>
          <cell r="DG69">
            <v>21000</v>
          </cell>
          <cell r="DH69">
            <v>7800</v>
          </cell>
          <cell r="DJ69">
            <v>10800</v>
          </cell>
          <cell r="DK69">
            <v>17400</v>
          </cell>
          <cell r="DL69">
            <v>22800</v>
          </cell>
          <cell r="DM69">
            <v>13394</v>
          </cell>
          <cell r="DN69">
            <v>5400</v>
          </cell>
          <cell r="DO69">
            <v>11400</v>
          </cell>
          <cell r="DP69">
            <v>19200</v>
          </cell>
          <cell r="DQ69">
            <v>12000</v>
          </cell>
          <cell r="DR69">
            <v>8400</v>
          </cell>
          <cell r="DS69">
            <v>7800</v>
          </cell>
          <cell r="DT69">
            <v>12600</v>
          </cell>
          <cell r="DU69">
            <v>24000</v>
          </cell>
          <cell r="DV69">
            <v>22200</v>
          </cell>
          <cell r="DW69">
            <v>8400</v>
          </cell>
          <cell r="DX69">
            <v>10200</v>
          </cell>
          <cell r="DY69">
            <v>17200</v>
          </cell>
          <cell r="DZ69">
            <v>29000</v>
          </cell>
          <cell r="EB69">
            <v>29400</v>
          </cell>
          <cell r="EC69">
            <v>4000</v>
          </cell>
          <cell r="ED69">
            <v>12516</v>
          </cell>
          <cell r="EE69">
            <v>25200</v>
          </cell>
          <cell r="EF69">
            <v>15084</v>
          </cell>
          <cell r="EG69">
            <v>12011.5</v>
          </cell>
          <cell r="EH69" t="str">
            <v>ACTIVO</v>
          </cell>
          <cell r="EI69" t="str">
            <v>A</v>
          </cell>
          <cell r="EJ69" t="str">
            <v/>
          </cell>
          <cell r="EK69">
            <v>15235.021739130434</v>
          </cell>
          <cell r="EL69">
            <v>2539.1702898550725</v>
          </cell>
        </row>
        <row r="70">
          <cell r="F70">
            <v>402257</v>
          </cell>
          <cell r="G70" t="str">
            <v>HOJA SEPARADORA TORTA DIAMETRO 230 MMS ASTRA</v>
          </cell>
          <cell r="H70">
            <v>7800</v>
          </cell>
          <cell r="J70">
            <v>3000</v>
          </cell>
          <cell r="K70">
            <v>500</v>
          </cell>
          <cell r="L70">
            <v>850</v>
          </cell>
          <cell r="N70">
            <v>8900</v>
          </cell>
          <cell r="Q70">
            <v>5400</v>
          </cell>
          <cell r="V70">
            <v>15600</v>
          </cell>
          <cell r="W70">
            <v>5700</v>
          </cell>
          <cell r="X70">
            <v>3000</v>
          </cell>
          <cell r="Y70">
            <v>5097</v>
          </cell>
          <cell r="AA70">
            <v>3300</v>
          </cell>
          <cell r="AB70">
            <v>1750</v>
          </cell>
          <cell r="AC70">
            <v>16500</v>
          </cell>
          <cell r="AD70">
            <v>28200</v>
          </cell>
          <cell r="AE70">
            <v>6300</v>
          </cell>
          <cell r="AF70">
            <v>6000</v>
          </cell>
          <cell r="AG70">
            <v>3600</v>
          </cell>
          <cell r="AH70">
            <v>18000</v>
          </cell>
          <cell r="AI70">
            <v>3600</v>
          </cell>
          <cell r="AJ70">
            <v>3600</v>
          </cell>
          <cell r="AK70">
            <v>7200</v>
          </cell>
          <cell r="AL70">
            <v>7200</v>
          </cell>
          <cell r="AO70">
            <v>7200</v>
          </cell>
          <cell r="AP70">
            <v>3600</v>
          </cell>
          <cell r="AR70">
            <v>6000</v>
          </cell>
          <cell r="AT70">
            <v>3000</v>
          </cell>
          <cell r="AV70">
            <v>0</v>
          </cell>
          <cell r="AX70">
            <v>9000</v>
          </cell>
          <cell r="AY70">
            <v>29400</v>
          </cell>
          <cell r="AZ70">
            <v>7400</v>
          </cell>
          <cell r="BB70">
            <v>18700</v>
          </cell>
          <cell r="BC70">
            <v>10201</v>
          </cell>
          <cell r="BG70">
            <v>7200</v>
          </cell>
          <cell r="BI70">
            <v>22950</v>
          </cell>
          <cell r="BJ70">
            <v>19200</v>
          </cell>
          <cell r="BK70">
            <v>13981</v>
          </cell>
          <cell r="BL70">
            <v>7200</v>
          </cell>
          <cell r="BR70">
            <v>6600</v>
          </cell>
          <cell r="BS70">
            <v>15700</v>
          </cell>
          <cell r="BT70">
            <v>7100</v>
          </cell>
          <cell r="BW70">
            <v>11000</v>
          </cell>
          <cell r="BX70">
            <v>14000</v>
          </cell>
          <cell r="BY70">
            <v>21900</v>
          </cell>
          <cell r="BZ70">
            <v>16500</v>
          </cell>
          <cell r="CA70">
            <v>10500</v>
          </cell>
          <cell r="CB70">
            <v>11750</v>
          </cell>
          <cell r="CD70">
            <v>21900</v>
          </cell>
          <cell r="CE70">
            <v>17100</v>
          </cell>
          <cell r="CF70">
            <v>16500</v>
          </cell>
          <cell r="CG70">
            <v>21000</v>
          </cell>
          <cell r="CH70">
            <v>3000</v>
          </cell>
          <cell r="CI70">
            <v>11542</v>
          </cell>
          <cell r="CJ70">
            <v>9600</v>
          </cell>
          <cell r="CL70">
            <v>15900</v>
          </cell>
          <cell r="CM70">
            <v>19800</v>
          </cell>
          <cell r="CN70">
            <v>3300</v>
          </cell>
          <cell r="CP70">
            <v>3300</v>
          </cell>
          <cell r="CQ70">
            <v>3900</v>
          </cell>
          <cell r="CR70">
            <v>6600</v>
          </cell>
          <cell r="CS70">
            <v>5700</v>
          </cell>
          <cell r="CT70">
            <v>25500</v>
          </cell>
          <cell r="CU70">
            <v>14300</v>
          </cell>
          <cell r="CV70">
            <v>15475</v>
          </cell>
          <cell r="CW70">
            <v>23100</v>
          </cell>
          <cell r="CX70">
            <v>7900</v>
          </cell>
          <cell r="CY70">
            <v>4800</v>
          </cell>
          <cell r="CZ70">
            <v>9600</v>
          </cell>
          <cell r="DA70">
            <v>15600</v>
          </cell>
          <cell r="DB70">
            <v>21000</v>
          </cell>
          <cell r="DC70">
            <v>9150</v>
          </cell>
          <cell r="DD70">
            <v>8400</v>
          </cell>
          <cell r="DE70">
            <v>6000</v>
          </cell>
          <cell r="DF70">
            <v>4800</v>
          </cell>
          <cell r="DH70">
            <v>4800</v>
          </cell>
          <cell r="DJ70">
            <v>12000</v>
          </cell>
          <cell r="DK70">
            <v>6794</v>
          </cell>
          <cell r="DL70">
            <v>2400</v>
          </cell>
          <cell r="DM70">
            <v>16606</v>
          </cell>
          <cell r="DN70">
            <v>3000</v>
          </cell>
          <cell r="DR70">
            <v>9000</v>
          </cell>
          <cell r="DS70">
            <v>14400</v>
          </cell>
          <cell r="DT70">
            <v>3000</v>
          </cell>
          <cell r="DU70">
            <v>10800</v>
          </cell>
          <cell r="DX70">
            <v>31800</v>
          </cell>
          <cell r="DY70">
            <v>22600</v>
          </cell>
          <cell r="EA70">
            <v>10800</v>
          </cell>
          <cell r="EC70">
            <v>44650</v>
          </cell>
          <cell r="ED70">
            <v>9524</v>
          </cell>
          <cell r="EH70" t="str">
            <v>ACTIVO</v>
          </cell>
          <cell r="EI70" t="str">
            <v>B</v>
          </cell>
          <cell r="EJ70">
            <v>3000</v>
          </cell>
          <cell r="EK70">
            <v>14098.142857142857</v>
          </cell>
          <cell r="EL70">
            <v>2349.6904761904761</v>
          </cell>
        </row>
        <row r="71">
          <cell r="F71">
            <v>393321</v>
          </cell>
          <cell r="G71" t="str">
            <v>HOJA SEPARADORA TORTA MEDIANA DIAMETRO 210 MMS.</v>
          </cell>
          <cell r="K71">
            <v>3000</v>
          </cell>
          <cell r="L71">
            <v>9000</v>
          </cell>
          <cell r="P71">
            <v>3000</v>
          </cell>
          <cell r="U71">
            <v>3000</v>
          </cell>
          <cell r="W71">
            <v>3000</v>
          </cell>
          <cell r="Y71">
            <v>3000</v>
          </cell>
          <cell r="AA71">
            <v>3000</v>
          </cell>
          <cell r="AC71">
            <v>3000</v>
          </cell>
          <cell r="AF71">
            <v>3000</v>
          </cell>
          <cell r="AG71">
            <v>3000</v>
          </cell>
          <cell r="AJ71">
            <v>3000</v>
          </cell>
          <cell r="AL71">
            <v>3000</v>
          </cell>
          <cell r="AM71">
            <v>6000</v>
          </cell>
          <cell r="AO71">
            <v>3000</v>
          </cell>
          <cell r="AP71">
            <v>6000</v>
          </cell>
          <cell r="AQ71">
            <v>72</v>
          </cell>
          <cell r="AR71">
            <v>3000</v>
          </cell>
          <cell r="AS71">
            <v>3000</v>
          </cell>
          <cell r="AU71">
            <v>3000</v>
          </cell>
          <cell r="AV71">
            <v>328</v>
          </cell>
          <cell r="AZ71">
            <v>3000</v>
          </cell>
          <cell r="BA71">
            <v>3000</v>
          </cell>
          <cell r="BB71">
            <v>9000</v>
          </cell>
          <cell r="BC71">
            <v>3000</v>
          </cell>
          <cell r="BD71">
            <v>6000</v>
          </cell>
          <cell r="BE71">
            <v>6000</v>
          </cell>
          <cell r="BF71">
            <v>6000</v>
          </cell>
          <cell r="BG71">
            <v>3000</v>
          </cell>
          <cell r="BK71">
            <v>3000</v>
          </cell>
          <cell r="BL71">
            <v>6000</v>
          </cell>
          <cell r="BN71">
            <v>6000</v>
          </cell>
          <cell r="BO71">
            <v>6000</v>
          </cell>
          <cell r="BP71">
            <v>12000</v>
          </cell>
          <cell r="BR71">
            <v>6000</v>
          </cell>
          <cell r="BS71">
            <v>3000</v>
          </cell>
          <cell r="BT71">
            <v>3000</v>
          </cell>
          <cell r="BU71">
            <v>6000</v>
          </cell>
          <cell r="BV71">
            <v>7550</v>
          </cell>
          <cell r="BW71">
            <v>6000</v>
          </cell>
          <cell r="BX71">
            <v>650</v>
          </cell>
          <cell r="BY71">
            <v>6000</v>
          </cell>
          <cell r="BZ71">
            <v>6000</v>
          </cell>
          <cell r="CA71">
            <v>2000</v>
          </cell>
          <cell r="CB71">
            <v>8000</v>
          </cell>
          <cell r="CC71">
            <v>3000</v>
          </cell>
          <cell r="CD71">
            <v>6000</v>
          </cell>
          <cell r="CE71">
            <v>6000</v>
          </cell>
          <cell r="CF71">
            <v>6000</v>
          </cell>
          <cell r="CG71">
            <v>9000</v>
          </cell>
          <cell r="CH71">
            <v>3000</v>
          </cell>
          <cell r="CI71">
            <v>2500</v>
          </cell>
          <cell r="CJ71">
            <v>7800</v>
          </cell>
          <cell r="CK71">
            <v>3000</v>
          </cell>
          <cell r="CL71">
            <v>12000</v>
          </cell>
          <cell r="CM71">
            <v>9000</v>
          </cell>
          <cell r="CN71">
            <v>7220</v>
          </cell>
          <cell r="CO71">
            <v>6000</v>
          </cell>
          <cell r="CP71">
            <v>12000</v>
          </cell>
          <cell r="CQ71">
            <v>2700</v>
          </cell>
          <cell r="CR71">
            <v>5700</v>
          </cell>
          <cell r="CS71">
            <v>5400</v>
          </cell>
          <cell r="CT71">
            <v>6600</v>
          </cell>
          <cell r="CU71">
            <v>6000</v>
          </cell>
          <cell r="CV71">
            <v>2400</v>
          </cell>
          <cell r="CW71">
            <v>10200</v>
          </cell>
          <cell r="CY71">
            <v>16800</v>
          </cell>
          <cell r="DA71">
            <v>2400</v>
          </cell>
          <cell r="DB71">
            <v>4800</v>
          </cell>
          <cell r="DC71">
            <v>8400</v>
          </cell>
          <cell r="DD71">
            <v>2400</v>
          </cell>
          <cell r="DE71">
            <v>6000</v>
          </cell>
          <cell r="DF71">
            <v>2400</v>
          </cell>
          <cell r="DG71">
            <v>3000</v>
          </cell>
          <cell r="DH71">
            <v>6000</v>
          </cell>
          <cell r="DI71">
            <v>3000</v>
          </cell>
          <cell r="DJ71">
            <v>3000</v>
          </cell>
          <cell r="DK71">
            <v>7200</v>
          </cell>
          <cell r="DL71">
            <v>7200</v>
          </cell>
          <cell r="DM71">
            <v>4800</v>
          </cell>
          <cell r="DO71">
            <v>2400</v>
          </cell>
          <cell r="DP71">
            <v>4800</v>
          </cell>
          <cell r="DQ71">
            <v>2400</v>
          </cell>
          <cell r="DR71">
            <v>4800</v>
          </cell>
          <cell r="DS71">
            <v>9600</v>
          </cell>
          <cell r="DT71">
            <v>4800</v>
          </cell>
          <cell r="DU71">
            <v>4800</v>
          </cell>
          <cell r="DV71">
            <v>2400</v>
          </cell>
          <cell r="DW71">
            <v>7200</v>
          </cell>
          <cell r="DX71">
            <v>4800</v>
          </cell>
          <cell r="DY71">
            <v>2400</v>
          </cell>
          <cell r="DZ71">
            <v>7200</v>
          </cell>
          <cell r="EB71">
            <v>2400</v>
          </cell>
          <cell r="ED71">
            <v>7200</v>
          </cell>
          <cell r="EE71">
            <v>4800</v>
          </cell>
          <cell r="EF71">
            <v>7200</v>
          </cell>
          <cell r="EG71">
            <v>2400</v>
          </cell>
          <cell r="EH71" t="str">
            <v>ACTIVO</v>
          </cell>
          <cell r="EI71" t="str">
            <v>B</v>
          </cell>
          <cell r="EJ71" t="str">
            <v/>
          </cell>
          <cell r="EK71">
            <v>4854.545454545455</v>
          </cell>
          <cell r="EL71">
            <v>809.09090909090912</v>
          </cell>
        </row>
        <row r="72">
          <cell r="F72">
            <v>393322</v>
          </cell>
          <cell r="G72" t="str">
            <v>HOJA SEPARADORA TARTALETA DIAMETRO 255 MMS.</v>
          </cell>
          <cell r="I72">
            <v>3000</v>
          </cell>
          <cell r="K72">
            <v>3000</v>
          </cell>
          <cell r="O72">
            <v>3000</v>
          </cell>
          <cell r="P72">
            <v>6000</v>
          </cell>
          <cell r="W72">
            <v>6000</v>
          </cell>
          <cell r="X72">
            <v>3000</v>
          </cell>
          <cell r="AJ72">
            <v>3000</v>
          </cell>
          <cell r="AK72">
            <v>3000</v>
          </cell>
          <cell r="AQ72">
            <v>3000</v>
          </cell>
          <cell r="AR72">
            <v>3000</v>
          </cell>
          <cell r="AS72">
            <v>3000</v>
          </cell>
          <cell r="AV72">
            <v>3000</v>
          </cell>
          <cell r="AW72">
            <v>3000</v>
          </cell>
          <cell r="AX72">
            <v>6000</v>
          </cell>
          <cell r="BB72">
            <v>12000</v>
          </cell>
          <cell r="BD72">
            <v>3000</v>
          </cell>
          <cell r="BE72">
            <v>6000</v>
          </cell>
          <cell r="BF72">
            <v>3000</v>
          </cell>
          <cell r="BR72">
            <v>3000</v>
          </cell>
          <cell r="BU72">
            <v>3000</v>
          </cell>
          <cell r="CB72">
            <v>18000</v>
          </cell>
          <cell r="CE72">
            <v>2900</v>
          </cell>
          <cell r="CF72">
            <v>3000</v>
          </cell>
          <cell r="CG72">
            <v>3000</v>
          </cell>
          <cell r="CI72">
            <v>9000</v>
          </cell>
          <cell r="CJ72">
            <v>3000</v>
          </cell>
          <cell r="CK72">
            <v>6000</v>
          </cell>
          <cell r="CL72">
            <v>12000</v>
          </cell>
          <cell r="CV72">
            <v>1000</v>
          </cell>
          <cell r="CW72">
            <v>3000</v>
          </cell>
          <cell r="CY72">
            <v>10200</v>
          </cell>
          <cell r="DF72">
            <v>3000</v>
          </cell>
          <cell r="DH72">
            <v>15000</v>
          </cell>
          <cell r="DJ72">
            <v>3000</v>
          </cell>
          <cell r="EH72" t="str">
            <v>ACTIVO</v>
          </cell>
          <cell r="EI72" t="str">
            <v>C</v>
          </cell>
          <cell r="EJ72">
            <v>3000</v>
          </cell>
          <cell r="EK72">
            <v>3000</v>
          </cell>
          <cell r="EL72">
            <v>500</v>
          </cell>
        </row>
        <row r="73">
          <cell r="F73">
            <v>403368</v>
          </cell>
          <cell r="G73" t="str">
            <v>HOJA SENCILLA PROSERVAR</v>
          </cell>
          <cell r="J73">
            <v>2090</v>
          </cell>
          <cell r="V73">
            <v>2000</v>
          </cell>
          <cell r="AE73">
            <v>3000</v>
          </cell>
          <cell r="AI73">
            <v>3000</v>
          </cell>
          <cell r="AK73">
            <v>1000</v>
          </cell>
          <cell r="AQ73">
            <v>1800</v>
          </cell>
          <cell r="AT73">
            <v>1800</v>
          </cell>
          <cell r="BI73">
            <v>1200</v>
          </cell>
          <cell r="BP73">
            <v>2000</v>
          </cell>
          <cell r="BS73">
            <v>2000</v>
          </cell>
          <cell r="BX73">
            <v>3600</v>
          </cell>
          <cell r="CI73">
            <v>3000</v>
          </cell>
          <cell r="CR73">
            <v>2000</v>
          </cell>
          <cell r="CV73">
            <v>500</v>
          </cell>
          <cell r="CW73">
            <v>2000</v>
          </cell>
          <cell r="DC73">
            <v>2280</v>
          </cell>
          <cell r="DG73">
            <v>3000</v>
          </cell>
          <cell r="DL73">
            <v>1200</v>
          </cell>
          <cell r="DO73">
            <v>3300</v>
          </cell>
          <cell r="DZ73">
            <v>1296</v>
          </cell>
          <cell r="EE73">
            <v>1800</v>
          </cell>
          <cell r="EH73" t="str">
            <v>ACTIVO</v>
          </cell>
          <cell r="EI73" t="str">
            <v>C</v>
          </cell>
          <cell r="EJ73">
            <v>3000</v>
          </cell>
          <cell r="EK73">
            <v>1899</v>
          </cell>
          <cell r="EL73">
            <v>316.5</v>
          </cell>
        </row>
        <row r="74">
          <cell r="F74">
            <v>405132</v>
          </cell>
          <cell r="G74" t="str">
            <v>BORDE G 18,5 MEDIANO LAS VERTIENTES</v>
          </cell>
          <cell r="AQ74">
            <v>1800</v>
          </cell>
          <cell r="EH74" t="str">
            <v>SIN USO</v>
          </cell>
          <cell r="EI74" t="str">
            <v/>
          </cell>
          <cell r="EK74">
            <v>0</v>
          </cell>
          <cell r="EL74">
            <v>0</v>
          </cell>
        </row>
        <row r="75">
          <cell r="F75">
            <v>405420</v>
          </cell>
          <cell r="G75" t="str">
            <v>MEDIO DISCO CARTON BLANCO 19,5 JUMBO ARRIAZA</v>
          </cell>
          <cell r="AU75">
            <v>1000</v>
          </cell>
          <cell r="AW75">
            <v>7</v>
          </cell>
          <cell r="CF75">
            <v>1000</v>
          </cell>
          <cell r="DD75">
            <v>2000</v>
          </cell>
          <cell r="EB75">
            <v>2000</v>
          </cell>
          <cell r="EH75" t="str">
            <v>ACTIVO</v>
          </cell>
          <cell r="EI75" t="str">
            <v>C</v>
          </cell>
          <cell r="EJ75">
            <v>0</v>
          </cell>
          <cell r="EK75">
            <v>2000</v>
          </cell>
          <cell r="EL75">
            <v>333.33333333333331</v>
          </cell>
        </row>
        <row r="76">
          <cell r="F76">
            <v>403245</v>
          </cell>
          <cell r="G76" t="str">
            <v>Borde G 220x25 VERTIENTES</v>
          </cell>
          <cell r="BV76">
            <v>26</v>
          </cell>
          <cell r="EH76" t="str">
            <v>SIN USO</v>
          </cell>
          <cell r="EI76" t="str">
            <v>C</v>
          </cell>
          <cell r="EJ76">
            <v>300</v>
          </cell>
          <cell r="EK76">
            <v>0</v>
          </cell>
          <cell r="EL76">
            <v>0</v>
          </cell>
        </row>
        <row r="77">
          <cell r="F77">
            <v>403108</v>
          </cell>
          <cell r="G77" t="str">
            <v>DISCO CARTON BLANCO 17CM ARRIAZA</v>
          </cell>
          <cell r="DU77">
            <v>15000</v>
          </cell>
          <cell r="DW77">
            <v>40000</v>
          </cell>
          <cell r="EH77" t="str">
            <v>SIN USO</v>
          </cell>
          <cell r="EI77" t="str">
            <v/>
          </cell>
          <cell r="EJ77" t="str">
            <v/>
          </cell>
          <cell r="EK77">
            <v>27500</v>
          </cell>
          <cell r="EL77">
            <v>4583.333333333333</v>
          </cell>
        </row>
        <row r="78">
          <cell r="F78">
            <v>403100</v>
          </cell>
          <cell r="G78" t="str">
            <v>DISCO CARTON BLANCO 24 JUMBO ARRIAZA</v>
          </cell>
          <cell r="DU78">
            <v>15000</v>
          </cell>
          <cell r="EH78" t="str">
            <v>SIN USO</v>
          </cell>
          <cell r="EI78" t="str">
            <v/>
          </cell>
          <cell r="EJ78" t="str">
            <v/>
          </cell>
          <cell r="EK78">
            <v>15000</v>
          </cell>
          <cell r="EL78">
            <v>2500</v>
          </cell>
        </row>
        <row r="79">
          <cell r="F79">
            <v>107420</v>
          </cell>
          <cell r="G79" t="str">
            <v>DISCO DE PAPEL PQQ KRAFT FPS</v>
          </cell>
          <cell r="BJ79">
            <v>1000</v>
          </cell>
          <cell r="BK79">
            <v>72000</v>
          </cell>
          <cell r="BL79">
            <v>148000</v>
          </cell>
          <cell r="BM79">
            <v>150000</v>
          </cell>
          <cell r="BP79">
            <v>120000</v>
          </cell>
          <cell r="BR79">
            <v>120000</v>
          </cell>
          <cell r="BX79">
            <v>120000</v>
          </cell>
          <cell r="CA79">
            <v>39400</v>
          </cell>
          <cell r="CD79">
            <v>39400</v>
          </cell>
          <cell r="EH79" t="str">
            <v>SIN USO</v>
          </cell>
          <cell r="EI79" t="str">
            <v>C</v>
          </cell>
          <cell r="EJ79" t="str">
            <v/>
          </cell>
          <cell r="EK79">
            <v>0</v>
          </cell>
          <cell r="EL79">
            <v>0</v>
          </cell>
        </row>
        <row r="80">
          <cell r="F80">
            <v>405633</v>
          </cell>
          <cell r="G80" t="str">
            <v>LAMINAS PET TRANSPARENTE 300 MICRO 61X5 CMTS</v>
          </cell>
          <cell r="CZ80">
            <v>100</v>
          </cell>
          <cell r="DA80">
            <v>200</v>
          </cell>
          <cell r="DB80">
            <v>400</v>
          </cell>
          <cell r="DC80">
            <v>500</v>
          </cell>
          <cell r="DD80">
            <v>300</v>
          </cell>
          <cell r="DE80">
            <v>100</v>
          </cell>
          <cell r="DF80">
            <v>100</v>
          </cell>
          <cell r="DI80">
            <v>100</v>
          </cell>
          <cell r="DJ80">
            <v>100</v>
          </cell>
          <cell r="DK80">
            <v>200</v>
          </cell>
          <cell r="DM80">
            <v>400</v>
          </cell>
          <cell r="DN80">
            <v>700</v>
          </cell>
          <cell r="DO80">
            <v>100</v>
          </cell>
          <cell r="DP80">
            <v>200</v>
          </cell>
          <cell r="DQ80">
            <v>200</v>
          </cell>
          <cell r="EH80" t="str">
            <v>SIN USO</v>
          </cell>
          <cell r="EI80" t="str">
            <v>C</v>
          </cell>
          <cell r="EJ80" t="str">
            <v/>
          </cell>
          <cell r="EK80">
            <v>250</v>
          </cell>
          <cell r="EL80">
            <v>41.666666666666664</v>
          </cell>
        </row>
        <row r="81">
          <cell r="F81">
            <v>405590</v>
          </cell>
          <cell r="G81" t="str">
            <v>VASOS CONO PAPEL FOOD PACK</v>
          </cell>
          <cell r="DF81">
            <v>0</v>
          </cell>
          <cell r="EH81" t="str">
            <v>SIN USO</v>
          </cell>
          <cell r="EI81" t="str">
            <v>C</v>
          </cell>
          <cell r="EJ81" t="str">
            <v/>
          </cell>
          <cell r="EK81">
            <v>0</v>
          </cell>
          <cell r="EL81">
            <v>0</v>
          </cell>
        </row>
        <row r="82">
          <cell r="F82">
            <v>405741</v>
          </cell>
          <cell r="G82" t="str">
            <v>DISCO CARTON BLANCO 24 CM PRAGGA</v>
          </cell>
          <cell r="DW82">
            <v>19200</v>
          </cell>
          <cell r="DX82">
            <v>30800</v>
          </cell>
          <cell r="EH82" t="str">
            <v>SIN USO</v>
          </cell>
          <cell r="EI82" t="str">
            <v/>
          </cell>
          <cell r="EJ82" t="str">
            <v/>
          </cell>
          <cell r="EK82">
            <v>25000</v>
          </cell>
          <cell r="EL82">
            <v>4166.666666666667</v>
          </cell>
        </row>
        <row r="83">
          <cell r="F83">
            <v>405790</v>
          </cell>
          <cell r="G83" t="str">
            <v>CAJA PTG 15PP JUMBO FULL CARTON</v>
          </cell>
          <cell r="EF83">
            <v>500</v>
          </cell>
          <cell r="EG83">
            <v>500</v>
          </cell>
          <cell r="EH83" t="str">
            <v>ACTIVO</v>
          </cell>
          <cell r="EI83" t="str">
            <v/>
          </cell>
          <cell r="EJ83" t="str">
            <v/>
          </cell>
          <cell r="EK83">
            <v>500</v>
          </cell>
          <cell r="EL83">
            <v>83.333333333333329</v>
          </cell>
        </row>
        <row r="84">
          <cell r="F84">
            <v>405791</v>
          </cell>
          <cell r="G84" t="str">
            <v>CAJA PTG 15PP SISA FULL CARTON</v>
          </cell>
          <cell r="EG84">
            <v>500</v>
          </cell>
          <cell r="EH84" t="str">
            <v>ACTIVO</v>
          </cell>
          <cell r="EI84" t="str">
            <v/>
          </cell>
          <cell r="EJ84" t="str">
            <v/>
          </cell>
          <cell r="EK84">
            <v>500</v>
          </cell>
          <cell r="EL84">
            <v>83.333333333333329</v>
          </cell>
        </row>
        <row r="85">
          <cell r="F85">
            <v>405789</v>
          </cell>
          <cell r="G85" t="str">
            <v>HOJA SEPARADORA TORTA DIAMETRO 230 MMS FULL CARTON</v>
          </cell>
          <cell r="EE85">
            <v>5700</v>
          </cell>
          <cell r="EF85">
            <v>516</v>
          </cell>
          <cell r="EG85">
            <v>7200</v>
          </cell>
          <cell r="EH85" t="str">
            <v>ACTIVO</v>
          </cell>
          <cell r="EI85" t="str">
            <v/>
          </cell>
          <cell r="EJ85" t="str">
            <v/>
          </cell>
          <cell r="EK85">
            <v>4472</v>
          </cell>
          <cell r="EL85">
            <v>745.33333333333337</v>
          </cell>
        </row>
        <row r="86">
          <cell r="F86">
            <v>405793</v>
          </cell>
          <cell r="G86" t="str">
            <v>PLANCHA DE CARTON 1X1,20 FULL CARTON</v>
          </cell>
          <cell r="EF86">
            <v>750</v>
          </cell>
          <cell r="EG86">
            <v>1650</v>
          </cell>
          <cell r="EH86" t="str">
            <v>ACTIVO</v>
          </cell>
          <cell r="EI86" t="str">
            <v/>
          </cell>
          <cell r="EJ86" t="str">
            <v/>
          </cell>
          <cell r="EK86">
            <v>1200</v>
          </cell>
          <cell r="EL86">
            <v>200</v>
          </cell>
        </row>
        <row r="87">
          <cell r="F87">
            <v>405795</v>
          </cell>
          <cell r="G87" t="str">
            <v>DISCO MICROCORRUGADO EMPLACADO 19 CM DIÁMETRO FULL CARTON</v>
          </cell>
          <cell r="EF87">
            <v>3700</v>
          </cell>
          <cell r="EG87">
            <v>4700</v>
          </cell>
          <cell r="EH87" t="str">
            <v>ACTIVO</v>
          </cell>
          <cell r="EI87" t="str">
            <v/>
          </cell>
          <cell r="EJ87" t="str">
            <v/>
          </cell>
          <cell r="EK87">
            <v>4200</v>
          </cell>
          <cell r="EL87">
            <v>700</v>
          </cell>
        </row>
        <row r="88">
          <cell r="F88">
            <v>405794</v>
          </cell>
          <cell r="G88" t="str">
            <v>CAJA PASTELES 600X325X120 FULL CARTON</v>
          </cell>
          <cell r="EG88">
            <v>1117</v>
          </cell>
          <cell r="EH88" t="str">
            <v>ACTIVO</v>
          </cell>
          <cell r="EI88" t="str">
            <v/>
          </cell>
          <cell r="EJ88" t="str">
            <v/>
          </cell>
          <cell r="EK88">
            <v>1117</v>
          </cell>
          <cell r="EL88">
            <v>186.16666666666666</v>
          </cell>
        </row>
        <row r="89">
          <cell r="H89">
            <v>168150</v>
          </cell>
          <cell r="I89">
            <v>48955</v>
          </cell>
          <cell r="J89">
            <v>107122</v>
          </cell>
          <cell r="K89">
            <v>208716</v>
          </cell>
          <cell r="L89">
            <v>197103</v>
          </cell>
          <cell r="M89">
            <v>245652</v>
          </cell>
          <cell r="N89">
            <v>104361</v>
          </cell>
          <cell r="O89">
            <v>89300</v>
          </cell>
          <cell r="P89">
            <v>325250</v>
          </cell>
          <cell r="Q89">
            <v>69370</v>
          </cell>
          <cell r="R89">
            <v>432800</v>
          </cell>
          <cell r="S89">
            <v>248150</v>
          </cell>
          <cell r="T89">
            <v>40800</v>
          </cell>
          <cell r="U89">
            <v>255350</v>
          </cell>
          <cell r="V89">
            <v>85750</v>
          </cell>
          <cell r="W89">
            <v>142900</v>
          </cell>
          <cell r="X89">
            <v>127800</v>
          </cell>
          <cell r="Y89">
            <v>83947</v>
          </cell>
          <cell r="Z89">
            <v>118300</v>
          </cell>
          <cell r="AA89">
            <v>52700</v>
          </cell>
          <cell r="AB89">
            <v>195950</v>
          </cell>
          <cell r="AC89">
            <v>97280</v>
          </cell>
          <cell r="AD89">
            <v>189750</v>
          </cell>
          <cell r="AE89">
            <v>317250</v>
          </cell>
          <cell r="AF89">
            <v>162750</v>
          </cell>
          <cell r="AG89">
            <v>121250</v>
          </cell>
          <cell r="AH89">
            <v>239551</v>
          </cell>
          <cell r="AI89">
            <v>193100</v>
          </cell>
          <cell r="AJ89">
            <v>88816</v>
          </cell>
          <cell r="AK89">
            <v>322150</v>
          </cell>
          <cell r="AL89">
            <v>82850</v>
          </cell>
          <cell r="AM89">
            <v>406736</v>
          </cell>
          <cell r="AN89">
            <v>187450</v>
          </cell>
          <cell r="AO89">
            <v>104800</v>
          </cell>
          <cell r="AP89">
            <v>202750</v>
          </cell>
          <cell r="AQ89">
            <v>297512</v>
          </cell>
          <cell r="AR89">
            <v>128930</v>
          </cell>
          <cell r="AS89">
            <v>58450</v>
          </cell>
          <cell r="AT89">
            <v>113630</v>
          </cell>
          <cell r="AU89">
            <v>105289</v>
          </cell>
          <cell r="AV89">
            <v>401378</v>
          </cell>
          <cell r="AW89">
            <v>94577</v>
          </cell>
          <cell r="AX89">
            <v>222370</v>
          </cell>
          <cell r="AY89">
            <v>241880</v>
          </cell>
          <cell r="AZ89">
            <v>111800</v>
          </cell>
          <cell r="BA89">
            <v>194640</v>
          </cell>
          <cell r="BB89">
            <v>163890</v>
          </cell>
          <cell r="BC89">
            <v>614193</v>
          </cell>
          <cell r="BD89">
            <v>133900</v>
          </cell>
          <cell r="BE89">
            <v>220895</v>
          </cell>
          <cell r="BF89">
            <v>273200</v>
          </cell>
          <cell r="BG89">
            <v>99490</v>
          </cell>
          <cell r="BH89">
            <v>32120</v>
          </cell>
          <cell r="BI89">
            <v>278950</v>
          </cell>
          <cell r="BJ89">
            <v>97950</v>
          </cell>
          <cell r="BK89">
            <v>217651</v>
          </cell>
          <cell r="BL89">
            <v>241550</v>
          </cell>
          <cell r="BM89">
            <v>268660</v>
          </cell>
          <cell r="BN89">
            <v>118675</v>
          </cell>
          <cell r="BO89">
            <v>270940</v>
          </cell>
          <cell r="BP89">
            <v>325700</v>
          </cell>
          <cell r="BQ89">
            <v>88960</v>
          </cell>
          <cell r="BR89">
            <v>214070</v>
          </cell>
          <cell r="BS89">
            <v>198759</v>
          </cell>
          <cell r="BT89">
            <v>123414</v>
          </cell>
          <cell r="BU89">
            <v>220550</v>
          </cell>
          <cell r="BV89">
            <v>128426</v>
          </cell>
          <cell r="BW89">
            <v>130390</v>
          </cell>
          <cell r="BX89">
            <v>315700</v>
          </cell>
          <cell r="BY89">
            <v>127550</v>
          </cell>
          <cell r="BZ89">
            <v>336740</v>
          </cell>
          <cell r="CA89">
            <v>160950</v>
          </cell>
          <cell r="CB89">
            <v>280600</v>
          </cell>
          <cell r="CC89">
            <v>254800</v>
          </cell>
          <cell r="CD89">
            <v>267400</v>
          </cell>
          <cell r="CE89">
            <v>214530</v>
          </cell>
          <cell r="CF89">
            <v>162750</v>
          </cell>
          <cell r="CG89">
            <v>245750</v>
          </cell>
          <cell r="CH89">
            <v>262700</v>
          </cell>
          <cell r="CI89">
            <v>220292</v>
          </cell>
          <cell r="CJ89">
            <v>90210</v>
          </cell>
          <cell r="CK89">
            <v>115400</v>
          </cell>
          <cell r="CL89">
            <v>149297</v>
          </cell>
          <cell r="CM89">
            <v>288600</v>
          </cell>
          <cell r="CN89">
            <v>241790</v>
          </cell>
          <cell r="CO89">
            <v>179700</v>
          </cell>
          <cell r="CP89">
            <v>193580</v>
          </cell>
          <cell r="CQ89">
            <v>130080</v>
          </cell>
          <cell r="CR89">
            <v>234480</v>
          </cell>
          <cell r="CS89">
            <v>162400</v>
          </cell>
          <cell r="CT89">
            <v>217700</v>
          </cell>
          <cell r="CU89">
            <v>213600</v>
          </cell>
          <cell r="CV89">
            <v>203772</v>
          </cell>
          <cell r="CW89">
            <v>217830</v>
          </cell>
          <cell r="CX89">
            <v>223950</v>
          </cell>
          <cell r="CY89">
            <v>189100</v>
          </cell>
          <cell r="CZ89">
            <v>98300</v>
          </cell>
          <cell r="DA89">
            <v>73500</v>
          </cell>
          <cell r="DB89">
            <v>227200</v>
          </cell>
          <cell r="DC89">
            <v>112330</v>
          </cell>
          <cell r="DD89">
            <v>259020</v>
          </cell>
          <cell r="DE89">
            <v>83050</v>
          </cell>
          <cell r="DF89">
            <v>229420</v>
          </cell>
          <cell r="DG89">
            <v>220700</v>
          </cell>
          <cell r="DH89">
            <v>79400</v>
          </cell>
          <cell r="DI89">
            <v>15100</v>
          </cell>
          <cell r="DJ89">
            <v>96320</v>
          </cell>
          <cell r="DK89">
            <v>209194</v>
          </cell>
          <cell r="DL89">
            <v>200500</v>
          </cell>
          <cell r="DM89">
            <v>248600</v>
          </cell>
          <cell r="DN89">
            <v>173480</v>
          </cell>
          <cell r="DO89">
            <v>218600</v>
          </cell>
          <cell r="DP89">
            <v>133200</v>
          </cell>
          <cell r="DQ89">
            <v>99600</v>
          </cell>
          <cell r="DR89">
            <v>160380</v>
          </cell>
          <cell r="DS89">
            <v>193200</v>
          </cell>
          <cell r="DT89">
            <v>111903</v>
          </cell>
          <cell r="DU89">
            <v>138600</v>
          </cell>
          <cell r="DV89">
            <v>255850</v>
          </cell>
          <cell r="DW89">
            <v>179100</v>
          </cell>
          <cell r="DX89">
            <v>446050</v>
          </cell>
          <cell r="DY89">
            <v>173450</v>
          </cell>
          <cell r="DZ89">
            <v>269096</v>
          </cell>
          <cell r="EA89">
            <v>86900</v>
          </cell>
          <cell r="EB89">
            <v>178550</v>
          </cell>
          <cell r="EC89">
            <v>208450</v>
          </cell>
          <cell r="ED89">
            <v>220236.53904800001</v>
          </cell>
          <cell r="EE89">
            <v>196500</v>
          </cell>
          <cell r="EF89">
            <v>221250</v>
          </cell>
          <cell r="EG89">
            <v>156178.5</v>
          </cell>
          <cell r="EH89" t="str">
            <v>ACTIVO</v>
          </cell>
          <cell r="EI89" t="str">
            <v/>
          </cell>
          <cell r="EJ89" t="str">
            <v/>
          </cell>
          <cell r="EK89">
            <v>183611.52156192</v>
          </cell>
          <cell r="EL89">
            <v>30601.920260319999</v>
          </cell>
        </row>
        <row r="90">
          <cell r="F90">
            <v>405115</v>
          </cell>
          <cell r="G90" t="str">
            <v>CREMA PASSIONATA</v>
          </cell>
          <cell r="H90">
            <v>36</v>
          </cell>
          <cell r="V90">
            <v>82</v>
          </cell>
          <cell r="W90">
            <v>504</v>
          </cell>
          <cell r="X90">
            <v>95</v>
          </cell>
          <cell r="Y90">
            <v>147</v>
          </cell>
          <cell r="Z90">
            <v>157</v>
          </cell>
          <cell r="AA90">
            <v>205</v>
          </cell>
          <cell r="AB90">
            <v>379</v>
          </cell>
          <cell r="AC90">
            <v>244</v>
          </cell>
          <cell r="AD90">
            <v>628</v>
          </cell>
          <cell r="AE90">
            <v>84</v>
          </cell>
          <cell r="AF90">
            <v>241</v>
          </cell>
          <cell r="AG90">
            <v>254</v>
          </cell>
          <cell r="AH90">
            <v>430</v>
          </cell>
          <cell r="AI90">
            <v>251</v>
          </cell>
          <cell r="AJ90">
            <v>228</v>
          </cell>
          <cell r="AK90">
            <v>210</v>
          </cell>
          <cell r="AL90">
            <v>178</v>
          </cell>
          <cell r="AM90">
            <v>218</v>
          </cell>
          <cell r="AN90">
            <v>230</v>
          </cell>
          <cell r="AO90">
            <v>225</v>
          </cell>
          <cell r="AP90">
            <v>199</v>
          </cell>
          <cell r="AQ90">
            <v>248</v>
          </cell>
          <cell r="AR90">
            <v>360</v>
          </cell>
          <cell r="AS90">
            <v>119</v>
          </cell>
          <cell r="AT90">
            <v>141</v>
          </cell>
          <cell r="AU90">
            <v>191</v>
          </cell>
          <cell r="AV90">
            <v>240</v>
          </cell>
          <cell r="AW90">
            <v>366</v>
          </cell>
          <cell r="AX90">
            <v>199</v>
          </cell>
          <cell r="AZ90">
            <v>125</v>
          </cell>
          <cell r="BA90">
            <v>68</v>
          </cell>
          <cell r="BB90">
            <v>363</v>
          </cell>
          <cell r="BC90">
            <v>230</v>
          </cell>
          <cell r="BD90">
            <v>189</v>
          </cell>
          <cell r="BE90">
            <v>166</v>
          </cell>
          <cell r="BF90">
            <v>8</v>
          </cell>
          <cell r="BG90">
            <v>187</v>
          </cell>
          <cell r="BH90">
            <v>99</v>
          </cell>
          <cell r="BI90">
            <v>144</v>
          </cell>
          <cell r="BJ90">
            <v>73</v>
          </cell>
          <cell r="BK90">
            <v>271</v>
          </cell>
          <cell r="BL90">
            <v>225</v>
          </cell>
          <cell r="BM90">
            <v>223</v>
          </cell>
          <cell r="BN90">
            <v>58</v>
          </cell>
          <cell r="BO90">
            <v>216</v>
          </cell>
          <cell r="BP90">
            <v>146</v>
          </cell>
          <cell r="BQ90">
            <v>146</v>
          </cell>
          <cell r="BR90">
            <v>174</v>
          </cell>
          <cell r="BS90">
            <v>278</v>
          </cell>
          <cell r="BT90">
            <v>174</v>
          </cell>
          <cell r="BU90">
            <v>112</v>
          </cell>
          <cell r="BV90">
            <v>52</v>
          </cell>
          <cell r="BW90">
            <v>188</v>
          </cell>
          <cell r="BX90">
            <v>500</v>
          </cell>
          <cell r="BY90">
            <v>374</v>
          </cell>
          <cell r="BZ90">
            <v>45</v>
          </cell>
          <cell r="CA90">
            <v>477</v>
          </cell>
          <cell r="CB90">
            <v>167</v>
          </cell>
          <cell r="CC90">
            <v>347</v>
          </cell>
          <cell r="CD90">
            <v>120</v>
          </cell>
          <cell r="CE90">
            <v>120</v>
          </cell>
          <cell r="CF90">
            <v>97</v>
          </cell>
          <cell r="CG90">
            <v>335</v>
          </cell>
          <cell r="CH90">
            <v>140</v>
          </cell>
          <cell r="CI90">
            <v>120</v>
          </cell>
          <cell r="CJ90">
            <v>4</v>
          </cell>
          <cell r="CK90">
            <v>151</v>
          </cell>
          <cell r="CL90">
            <v>307</v>
          </cell>
          <cell r="CM90">
            <v>55</v>
          </cell>
          <cell r="CN90">
            <v>85</v>
          </cell>
          <cell r="CO90">
            <v>275</v>
          </cell>
          <cell r="CP90">
            <v>308</v>
          </cell>
          <cell r="CQ90">
            <v>199</v>
          </cell>
          <cell r="CR90">
            <v>215</v>
          </cell>
          <cell r="CS90">
            <v>120</v>
          </cell>
          <cell r="CT90">
            <v>322</v>
          </cell>
          <cell r="CU90">
            <v>60</v>
          </cell>
          <cell r="CV90">
            <v>268</v>
          </cell>
          <cell r="CW90">
            <v>181</v>
          </cell>
          <cell r="CX90">
            <v>162</v>
          </cell>
          <cell r="CY90">
            <v>143</v>
          </cell>
          <cell r="CZ90">
            <v>126</v>
          </cell>
          <cell r="DA90">
            <v>242</v>
          </cell>
          <cell r="DB90">
            <v>83</v>
          </cell>
          <cell r="DC90">
            <v>250</v>
          </cell>
          <cell r="DD90">
            <v>138</v>
          </cell>
          <cell r="DE90">
            <v>237</v>
          </cell>
          <cell r="DF90">
            <v>164</v>
          </cell>
          <cell r="DG90">
            <v>40</v>
          </cell>
          <cell r="DH90">
            <v>40</v>
          </cell>
          <cell r="DJ90">
            <v>277</v>
          </cell>
          <cell r="DK90">
            <v>198</v>
          </cell>
          <cell r="DL90">
            <v>232</v>
          </cell>
          <cell r="DM90">
            <v>130</v>
          </cell>
          <cell r="DN90">
            <v>184</v>
          </cell>
          <cell r="DO90">
            <v>192</v>
          </cell>
          <cell r="DP90">
            <v>186</v>
          </cell>
          <cell r="DQ90">
            <v>224</v>
          </cell>
          <cell r="DR90">
            <v>204</v>
          </cell>
          <cell r="DS90">
            <v>204</v>
          </cell>
          <cell r="DT90">
            <v>232</v>
          </cell>
          <cell r="DU90">
            <v>160</v>
          </cell>
          <cell r="DV90">
            <v>80</v>
          </cell>
          <cell r="DW90">
            <v>200</v>
          </cell>
          <cell r="DX90">
            <v>236</v>
          </cell>
          <cell r="DY90">
            <v>320</v>
          </cell>
          <cell r="DZ90">
            <v>360</v>
          </cell>
          <cell r="EB90">
            <v>252</v>
          </cell>
          <cell r="EC90">
            <v>163</v>
          </cell>
          <cell r="ED90">
            <v>11.8</v>
          </cell>
          <cell r="EH90" t="str">
            <v>SIN USO</v>
          </cell>
          <cell r="EI90" t="str">
            <v>B</v>
          </cell>
          <cell r="EJ90">
            <v>900</v>
          </cell>
          <cell r="EK90">
            <v>202.29000000000002</v>
          </cell>
          <cell r="EL90">
            <v>33.715000000000003</v>
          </cell>
        </row>
        <row r="91">
          <cell r="F91">
            <v>103612</v>
          </cell>
          <cell r="G91" t="str">
            <v>CREMA VEGETAL MASTER MARTINI</v>
          </cell>
          <cell r="H91">
            <v>1370</v>
          </cell>
          <cell r="I91">
            <v>837</v>
          </cell>
          <cell r="AA91">
            <v>407</v>
          </cell>
          <cell r="AB91">
            <v>1535</v>
          </cell>
          <cell r="AC91">
            <v>2534</v>
          </cell>
          <cell r="AD91">
            <v>3297</v>
          </cell>
          <cell r="AE91">
            <v>4286</v>
          </cell>
          <cell r="AF91">
            <v>2274</v>
          </cell>
          <cell r="AG91">
            <v>2890</v>
          </cell>
          <cell r="AH91">
            <v>2393</v>
          </cell>
          <cell r="AI91">
            <v>2877</v>
          </cell>
          <cell r="AJ91">
            <v>3120</v>
          </cell>
          <cell r="AK91">
            <v>3855</v>
          </cell>
          <cell r="AL91">
            <v>2948</v>
          </cell>
          <cell r="AM91">
            <v>3767</v>
          </cell>
          <cell r="AN91">
            <v>3541</v>
          </cell>
          <cell r="AO91">
            <v>3699</v>
          </cell>
          <cell r="AP91">
            <v>3199</v>
          </cell>
          <cell r="AQ91">
            <v>3247</v>
          </cell>
          <cell r="AR91">
            <v>2963</v>
          </cell>
          <cell r="AS91">
            <v>1273</v>
          </cell>
          <cell r="AT91">
            <v>3736</v>
          </cell>
          <cell r="AU91">
            <v>3086</v>
          </cell>
          <cell r="AV91">
            <v>3238</v>
          </cell>
          <cell r="AW91">
            <v>2749</v>
          </cell>
          <cell r="AX91">
            <v>3462</v>
          </cell>
          <cell r="AY91">
            <v>3187</v>
          </cell>
          <cell r="AZ91">
            <v>3775</v>
          </cell>
          <cell r="BA91">
            <v>3789</v>
          </cell>
          <cell r="BB91">
            <v>3574</v>
          </cell>
          <cell r="BC91">
            <v>3518</v>
          </cell>
          <cell r="BD91">
            <v>4594</v>
          </cell>
          <cell r="BE91">
            <v>4580</v>
          </cell>
          <cell r="BF91">
            <v>4506.0499999999993</v>
          </cell>
          <cell r="BG91">
            <v>3556</v>
          </cell>
          <cell r="BH91">
            <v>1715</v>
          </cell>
          <cell r="BI91">
            <v>3506</v>
          </cell>
          <cell r="BJ91">
            <v>3468</v>
          </cell>
          <cell r="BK91">
            <v>3896</v>
          </cell>
          <cell r="BL91">
            <v>3381</v>
          </cell>
          <cell r="BM91">
            <v>3810</v>
          </cell>
          <cell r="BN91">
            <v>3431</v>
          </cell>
          <cell r="BO91">
            <v>3977</v>
          </cell>
          <cell r="BP91">
            <v>2991</v>
          </cell>
          <cell r="BQ91">
            <v>2877</v>
          </cell>
          <cell r="BR91">
            <v>4093</v>
          </cell>
          <cell r="BS91">
            <v>1571</v>
          </cell>
          <cell r="BT91">
            <v>3716</v>
          </cell>
          <cell r="BU91">
            <v>3415</v>
          </cell>
          <cell r="BV91">
            <v>4319</v>
          </cell>
          <cell r="BW91">
            <v>3336</v>
          </cell>
          <cell r="BX91">
            <v>3334</v>
          </cell>
          <cell r="BY91">
            <v>4228</v>
          </cell>
          <cell r="BZ91">
            <v>5558</v>
          </cell>
          <cell r="CA91">
            <v>4210</v>
          </cell>
          <cell r="CB91">
            <v>3933</v>
          </cell>
          <cell r="CC91">
            <v>2653</v>
          </cell>
          <cell r="CD91">
            <v>3690</v>
          </cell>
          <cell r="CE91">
            <v>4709</v>
          </cell>
          <cell r="CF91">
            <v>3387</v>
          </cell>
          <cell r="CG91">
            <v>3695</v>
          </cell>
          <cell r="CH91">
            <v>3164</v>
          </cell>
          <cell r="CI91">
            <v>2797</v>
          </cell>
          <cell r="CJ91">
            <v>3178</v>
          </cell>
          <cell r="CK91">
            <v>3146</v>
          </cell>
          <cell r="CL91">
            <v>3642</v>
          </cell>
          <cell r="CM91">
            <v>3390</v>
          </cell>
          <cell r="CN91">
            <v>3352</v>
          </cell>
          <cell r="CO91">
            <v>3181</v>
          </cell>
          <cell r="CP91">
            <v>3735</v>
          </cell>
          <cell r="CQ91">
            <v>3623</v>
          </cell>
          <cell r="CR91">
            <v>3531</v>
          </cell>
          <cell r="CS91">
            <v>2185</v>
          </cell>
          <cell r="CT91">
            <v>3648</v>
          </cell>
          <cell r="CU91">
            <v>3708</v>
          </cell>
          <cell r="CV91">
            <v>3870</v>
          </cell>
          <cell r="CW91">
            <v>3495</v>
          </cell>
          <cell r="CX91">
            <v>3126</v>
          </cell>
          <cell r="CY91">
            <v>3205</v>
          </cell>
          <cell r="CZ91">
            <v>3622</v>
          </cell>
          <cell r="DA91">
            <v>3158</v>
          </cell>
          <cell r="DB91">
            <v>3166</v>
          </cell>
          <cell r="DC91">
            <v>3296</v>
          </cell>
          <cell r="DD91">
            <v>2686</v>
          </cell>
          <cell r="DE91">
            <v>2841</v>
          </cell>
          <cell r="DF91">
            <v>4149</v>
          </cell>
          <cell r="DG91">
            <v>3771</v>
          </cell>
          <cell r="DH91">
            <v>1902</v>
          </cell>
          <cell r="DI91">
            <v>969</v>
          </cell>
          <cell r="DJ91">
            <v>3914</v>
          </cell>
          <cell r="DK91">
            <v>3736</v>
          </cell>
          <cell r="DL91">
            <v>3403</v>
          </cell>
          <cell r="DM91">
            <v>2966</v>
          </cell>
          <cell r="DN91">
            <v>2652</v>
          </cell>
          <cell r="DO91">
            <v>2521</v>
          </cell>
          <cell r="DP91">
            <v>2112</v>
          </cell>
          <cell r="DQ91">
            <v>1563</v>
          </cell>
          <cell r="DR91">
            <v>2005</v>
          </cell>
          <cell r="DS91">
            <v>2364</v>
          </cell>
          <cell r="DT91">
            <v>3163</v>
          </cell>
          <cell r="DU91">
            <v>2835</v>
          </cell>
          <cell r="DV91">
            <v>2282</v>
          </cell>
          <cell r="DW91">
            <v>2746</v>
          </cell>
          <cell r="DX91">
            <v>3201</v>
          </cell>
          <cell r="DY91">
            <v>3982</v>
          </cell>
          <cell r="DZ91">
            <v>3847</v>
          </cell>
          <cell r="EA91">
            <v>3098</v>
          </cell>
          <cell r="EB91">
            <v>2896</v>
          </cell>
          <cell r="EC91">
            <v>1880</v>
          </cell>
          <cell r="ED91">
            <v>2579</v>
          </cell>
          <cell r="EE91">
            <v>2796</v>
          </cell>
          <cell r="EF91">
            <v>2200</v>
          </cell>
          <cell r="EG91">
            <v>3169</v>
          </cell>
          <cell r="EH91" t="str">
            <v>ACTIVO</v>
          </cell>
          <cell r="EI91" t="str">
            <v>A</v>
          </cell>
          <cell r="EJ91">
            <v>720</v>
          </cell>
          <cell r="EK91">
            <v>2755.16</v>
          </cell>
          <cell r="EL91">
            <v>459.19333333333333</v>
          </cell>
        </row>
        <row r="92">
          <cell r="F92">
            <v>107098</v>
          </cell>
          <cell r="G92" t="str">
            <v>CREMA PASTELERA ESPECIAL PURATOS</v>
          </cell>
          <cell r="H92">
            <v>670</v>
          </cell>
          <cell r="I92">
            <v>400</v>
          </cell>
          <cell r="J92">
            <v>460</v>
          </cell>
          <cell r="K92">
            <v>495</v>
          </cell>
          <cell r="L92">
            <v>460</v>
          </cell>
          <cell r="M92">
            <v>650</v>
          </cell>
          <cell r="N92">
            <v>570</v>
          </cell>
          <cell r="O92">
            <v>590</v>
          </cell>
          <cell r="P92">
            <v>1620</v>
          </cell>
          <cell r="Q92">
            <v>1180</v>
          </cell>
          <cell r="R92">
            <v>1250</v>
          </cell>
          <cell r="S92">
            <v>1801</v>
          </cell>
          <cell r="T92">
            <v>1380</v>
          </cell>
          <cell r="U92">
            <v>1559</v>
          </cell>
          <cell r="V92">
            <v>1250</v>
          </cell>
          <cell r="W92">
            <v>1620</v>
          </cell>
          <cell r="X92">
            <v>1180</v>
          </cell>
          <cell r="Y92">
            <v>3530</v>
          </cell>
          <cell r="Z92">
            <v>3500</v>
          </cell>
          <cell r="AA92">
            <v>2580</v>
          </cell>
          <cell r="AB92">
            <v>1380</v>
          </cell>
          <cell r="AC92">
            <v>1250</v>
          </cell>
          <cell r="AD92">
            <v>2730</v>
          </cell>
          <cell r="AE92">
            <v>3670</v>
          </cell>
          <cell r="AF92">
            <v>1090</v>
          </cell>
          <cell r="AG92">
            <v>1340</v>
          </cell>
          <cell r="AH92">
            <v>1262</v>
          </cell>
          <cell r="AI92">
            <v>1578</v>
          </cell>
          <cell r="AJ92">
            <v>1680</v>
          </cell>
          <cell r="AK92">
            <v>1470</v>
          </cell>
          <cell r="AL92">
            <v>2380</v>
          </cell>
          <cell r="AM92">
            <v>1840</v>
          </cell>
          <cell r="AN92">
            <v>1550</v>
          </cell>
          <cell r="AO92">
            <v>1530</v>
          </cell>
          <cell r="AP92">
            <v>1200</v>
          </cell>
          <cell r="AQ92">
            <v>1400</v>
          </cell>
          <cell r="AR92">
            <v>1860</v>
          </cell>
          <cell r="AS92">
            <v>370</v>
          </cell>
          <cell r="AT92">
            <v>1680</v>
          </cell>
          <cell r="AU92">
            <v>1380</v>
          </cell>
          <cell r="AV92">
            <v>1720</v>
          </cell>
          <cell r="AW92">
            <v>1190</v>
          </cell>
          <cell r="AX92">
            <v>1520</v>
          </cell>
          <cell r="AY92">
            <v>1350</v>
          </cell>
          <cell r="AZ92">
            <v>1300</v>
          </cell>
          <cell r="BA92">
            <v>1670</v>
          </cell>
          <cell r="BB92">
            <v>1170</v>
          </cell>
          <cell r="BC92">
            <v>1420</v>
          </cell>
          <cell r="BD92">
            <v>1530</v>
          </cell>
          <cell r="BE92">
            <v>1204.5</v>
          </cell>
          <cell r="BF92">
            <v>1940</v>
          </cell>
          <cell r="BG92">
            <v>1790</v>
          </cell>
          <cell r="BH92">
            <v>640</v>
          </cell>
          <cell r="BI92">
            <v>1500</v>
          </cell>
          <cell r="BJ92">
            <v>1270</v>
          </cell>
          <cell r="BK92">
            <v>2010</v>
          </cell>
          <cell r="BL92">
            <v>1930</v>
          </cell>
          <cell r="BM92">
            <v>1750</v>
          </cell>
          <cell r="BN92">
            <v>1980</v>
          </cell>
          <cell r="BO92">
            <v>1240</v>
          </cell>
          <cell r="BP92">
            <v>1520</v>
          </cell>
          <cell r="BQ92">
            <v>1450</v>
          </cell>
          <cell r="BR92">
            <v>2070</v>
          </cell>
          <cell r="BS92">
            <v>1710</v>
          </cell>
          <cell r="BT92">
            <v>1650</v>
          </cell>
          <cell r="BU92">
            <v>1580</v>
          </cell>
          <cell r="BV92">
            <v>1710</v>
          </cell>
          <cell r="BW92">
            <v>1460</v>
          </cell>
          <cell r="BX92">
            <v>1840</v>
          </cell>
          <cell r="BY92">
            <v>2010</v>
          </cell>
          <cell r="BZ92">
            <v>2590</v>
          </cell>
          <cell r="CA92">
            <v>1090</v>
          </cell>
          <cell r="CB92">
            <v>1510</v>
          </cell>
          <cell r="CC92">
            <v>1440</v>
          </cell>
          <cell r="CD92">
            <v>1500</v>
          </cell>
          <cell r="CE92">
            <v>2470</v>
          </cell>
          <cell r="CF92">
            <v>1210</v>
          </cell>
          <cell r="CG92">
            <v>1660</v>
          </cell>
          <cell r="CH92">
            <v>1840</v>
          </cell>
          <cell r="CI92">
            <v>2570</v>
          </cell>
          <cell r="CJ92">
            <v>1980</v>
          </cell>
          <cell r="CK92">
            <v>1530</v>
          </cell>
          <cell r="CL92">
            <v>1380</v>
          </cell>
          <cell r="CM92">
            <v>2050</v>
          </cell>
          <cell r="CN92">
            <v>1570</v>
          </cell>
          <cell r="CO92">
            <v>1840</v>
          </cell>
          <cell r="CP92">
            <v>1530</v>
          </cell>
          <cell r="CQ92">
            <v>1650</v>
          </cell>
          <cell r="CR92">
            <v>1860</v>
          </cell>
          <cell r="CS92">
            <v>480</v>
          </cell>
          <cell r="CT92">
            <v>1860</v>
          </cell>
          <cell r="CU92">
            <v>1790</v>
          </cell>
          <cell r="CV92">
            <v>2350</v>
          </cell>
          <cell r="CW92">
            <v>1570</v>
          </cell>
          <cell r="CX92">
            <v>1540</v>
          </cell>
          <cell r="CY92">
            <v>1820</v>
          </cell>
          <cell r="CZ92">
            <v>1620</v>
          </cell>
          <cell r="DA92">
            <v>1760</v>
          </cell>
          <cell r="DB92">
            <v>1390</v>
          </cell>
          <cell r="DC92">
            <v>1750</v>
          </cell>
          <cell r="DD92">
            <v>1810</v>
          </cell>
          <cell r="DE92">
            <v>1360</v>
          </cell>
          <cell r="DF92">
            <v>2110</v>
          </cell>
          <cell r="DG92">
            <v>1540</v>
          </cell>
          <cell r="DH92">
            <v>730</v>
          </cell>
          <cell r="DI92">
            <v>560</v>
          </cell>
          <cell r="DJ92">
            <v>1990</v>
          </cell>
          <cell r="DK92">
            <v>1620</v>
          </cell>
          <cell r="DL92">
            <v>1570</v>
          </cell>
          <cell r="DM92">
            <v>1460</v>
          </cell>
          <cell r="DN92">
            <v>1580</v>
          </cell>
          <cell r="DO92">
            <v>2000</v>
          </cell>
          <cell r="DP92">
            <v>1710</v>
          </cell>
          <cell r="DQ92">
            <v>1420</v>
          </cell>
          <cell r="DR92">
            <v>1850</v>
          </cell>
          <cell r="DS92">
            <v>1870</v>
          </cell>
          <cell r="DT92">
            <v>1510</v>
          </cell>
          <cell r="DU92">
            <v>1960</v>
          </cell>
          <cell r="DV92">
            <v>2000</v>
          </cell>
          <cell r="DW92">
            <v>1580</v>
          </cell>
          <cell r="DX92">
            <v>1740</v>
          </cell>
          <cell r="DY92">
            <v>2070</v>
          </cell>
          <cell r="DZ92">
            <v>2200</v>
          </cell>
          <cell r="EA92">
            <v>3410</v>
          </cell>
          <cell r="EB92">
            <v>2040</v>
          </cell>
          <cell r="EC92">
            <v>1720</v>
          </cell>
          <cell r="ED92">
            <v>2180</v>
          </cell>
          <cell r="EE92">
            <v>2070</v>
          </cell>
          <cell r="EF92">
            <v>1857</v>
          </cell>
          <cell r="EG92">
            <v>2860</v>
          </cell>
          <cell r="EH92" t="str">
            <v>ACTIVO</v>
          </cell>
          <cell r="EI92" t="str">
            <v>A</v>
          </cell>
          <cell r="EK92">
            <v>1873.08</v>
          </cell>
          <cell r="EL92">
            <v>312.18</v>
          </cell>
        </row>
        <row r="93">
          <cell r="F93">
            <v>107104</v>
          </cell>
          <cell r="G93" t="str">
            <v>CREMA LACTEA DIWATTS</v>
          </cell>
          <cell r="H93">
            <v>8990</v>
          </cell>
          <cell r="I93">
            <v>6572</v>
          </cell>
          <cell r="J93">
            <v>5213</v>
          </cell>
          <cell r="K93">
            <v>6382</v>
          </cell>
          <cell r="L93">
            <v>8709</v>
          </cell>
          <cell r="M93">
            <v>7346</v>
          </cell>
          <cell r="N93">
            <v>6776</v>
          </cell>
          <cell r="O93">
            <v>5965</v>
          </cell>
          <cell r="P93">
            <v>6104</v>
          </cell>
          <cell r="Q93">
            <v>8228</v>
          </cell>
          <cell r="R93">
            <v>9812</v>
          </cell>
          <cell r="S93">
            <v>6285</v>
          </cell>
          <cell r="T93">
            <v>5871</v>
          </cell>
          <cell r="U93">
            <v>8530</v>
          </cell>
          <cell r="V93">
            <v>12069</v>
          </cell>
          <cell r="W93">
            <v>6686</v>
          </cell>
          <cell r="X93">
            <v>10494</v>
          </cell>
          <cell r="Y93">
            <v>7988</v>
          </cell>
          <cell r="Z93">
            <v>13239</v>
          </cell>
          <cell r="AA93">
            <v>7237</v>
          </cell>
          <cell r="AB93">
            <v>7979</v>
          </cell>
          <cell r="AC93">
            <v>7461</v>
          </cell>
          <cell r="AD93">
            <v>9982</v>
          </cell>
          <cell r="AE93">
            <v>12730</v>
          </cell>
          <cell r="AF93">
            <v>6608</v>
          </cell>
          <cell r="AG93">
            <v>8435</v>
          </cell>
          <cell r="AH93">
            <v>6878</v>
          </cell>
          <cell r="AI93">
            <v>8929</v>
          </cell>
          <cell r="AJ93">
            <v>9268</v>
          </cell>
          <cell r="AK93">
            <v>10395</v>
          </cell>
          <cell r="AL93">
            <v>8811</v>
          </cell>
          <cell r="AM93">
            <v>11074</v>
          </cell>
          <cell r="AN93">
            <v>10525</v>
          </cell>
          <cell r="AO93">
            <v>11099</v>
          </cell>
          <cell r="AP93">
            <v>9354</v>
          </cell>
          <cell r="AQ93">
            <v>10047</v>
          </cell>
          <cell r="AR93">
            <v>9496</v>
          </cell>
          <cell r="AS93">
            <v>3812</v>
          </cell>
          <cell r="AT93">
            <v>11146</v>
          </cell>
          <cell r="AU93">
            <v>9415</v>
          </cell>
          <cell r="AV93">
            <v>9927</v>
          </cell>
          <cell r="AW93">
            <v>8053</v>
          </cell>
          <cell r="AX93">
            <v>10666</v>
          </cell>
          <cell r="AY93">
            <v>9367</v>
          </cell>
          <cell r="AZ93">
            <v>11370</v>
          </cell>
          <cell r="BA93">
            <v>11420</v>
          </cell>
          <cell r="BB93">
            <v>10733</v>
          </cell>
          <cell r="BC93">
            <v>10738</v>
          </cell>
          <cell r="BD93">
            <v>12168</v>
          </cell>
          <cell r="BE93">
            <v>14776</v>
          </cell>
          <cell r="BF93">
            <v>14398.150000000001</v>
          </cell>
          <cell r="BG93">
            <v>10648</v>
          </cell>
          <cell r="BH93">
            <v>5141</v>
          </cell>
          <cell r="BI93">
            <v>11379</v>
          </cell>
          <cell r="BJ93">
            <v>11402</v>
          </cell>
          <cell r="BK93">
            <v>11917</v>
          </cell>
          <cell r="BL93">
            <v>10124</v>
          </cell>
          <cell r="BM93">
            <v>11394</v>
          </cell>
          <cell r="BN93">
            <v>10753</v>
          </cell>
          <cell r="BO93">
            <v>11678</v>
          </cell>
          <cell r="BP93">
            <v>8983</v>
          </cell>
          <cell r="BQ93">
            <v>8851</v>
          </cell>
          <cell r="BR93">
            <v>12137</v>
          </cell>
          <cell r="BS93">
            <v>10376</v>
          </cell>
          <cell r="BT93">
            <v>11815</v>
          </cell>
          <cell r="BU93">
            <v>10450</v>
          </cell>
          <cell r="BV93">
            <v>13896</v>
          </cell>
          <cell r="BW93">
            <v>10284</v>
          </cell>
          <cell r="BX93">
            <v>9972</v>
          </cell>
          <cell r="BY93">
            <v>12718</v>
          </cell>
          <cell r="BZ93">
            <v>16698</v>
          </cell>
          <cell r="CA93">
            <v>12416</v>
          </cell>
          <cell r="CB93">
            <v>11750</v>
          </cell>
          <cell r="CC93">
            <v>8071</v>
          </cell>
          <cell r="CD93">
            <v>10856</v>
          </cell>
          <cell r="CE93">
            <v>14380</v>
          </cell>
          <cell r="CF93">
            <v>9004</v>
          </cell>
          <cell r="CG93">
            <v>10992</v>
          </cell>
          <cell r="CH93">
            <v>10178</v>
          </cell>
          <cell r="CI93">
            <v>9038</v>
          </cell>
          <cell r="CJ93">
            <v>10014</v>
          </cell>
          <cell r="CK93">
            <v>9672</v>
          </cell>
          <cell r="CL93">
            <v>11174</v>
          </cell>
          <cell r="CM93">
            <v>9719</v>
          </cell>
          <cell r="CN93">
            <v>11445</v>
          </cell>
          <cell r="CO93">
            <v>9219</v>
          </cell>
          <cell r="CP93">
            <v>11030</v>
          </cell>
          <cell r="CQ93">
            <v>10953</v>
          </cell>
          <cell r="CR93">
            <v>10605</v>
          </cell>
          <cell r="CS93">
            <v>6568</v>
          </cell>
          <cell r="CT93">
            <v>10966</v>
          </cell>
          <cell r="CU93">
            <v>11336</v>
          </cell>
          <cell r="CV93">
            <v>11742</v>
          </cell>
          <cell r="CW93">
            <v>10505</v>
          </cell>
          <cell r="CX93">
            <v>9458</v>
          </cell>
          <cell r="CY93">
            <v>9710</v>
          </cell>
          <cell r="CZ93">
            <v>11403</v>
          </cell>
          <cell r="DA93">
            <v>9806</v>
          </cell>
          <cell r="DB93">
            <v>9669</v>
          </cell>
          <cell r="DC93">
            <v>9812</v>
          </cell>
          <cell r="DD93">
            <v>8044</v>
          </cell>
          <cell r="DE93">
            <v>8755</v>
          </cell>
          <cell r="DF93">
            <v>13499</v>
          </cell>
          <cell r="DG93">
            <v>11369</v>
          </cell>
          <cell r="DH93">
            <v>5458</v>
          </cell>
          <cell r="DI93">
            <v>2939</v>
          </cell>
          <cell r="DJ93">
            <v>11670</v>
          </cell>
          <cell r="DK93">
            <v>11131</v>
          </cell>
          <cell r="DL93">
            <v>10045</v>
          </cell>
          <cell r="DM93">
            <v>8672</v>
          </cell>
          <cell r="DN93">
            <v>9213</v>
          </cell>
          <cell r="DO93">
            <v>11516</v>
          </cell>
          <cell r="DP93">
            <v>8631</v>
          </cell>
          <cell r="DQ93">
            <v>6455</v>
          </cell>
          <cell r="DR93">
            <v>8352</v>
          </cell>
          <cell r="DS93">
            <v>8744</v>
          </cell>
          <cell r="DT93">
            <v>11883</v>
          </cell>
          <cell r="DU93">
            <v>10577</v>
          </cell>
          <cell r="DV93">
            <v>8658</v>
          </cell>
          <cell r="DW93">
            <v>9948</v>
          </cell>
          <cell r="DX93">
            <v>11313</v>
          </cell>
          <cell r="DY93">
            <v>13147</v>
          </cell>
          <cell r="DZ93">
            <v>14366</v>
          </cell>
          <cell r="EA93">
            <v>11008</v>
          </cell>
          <cell r="EB93">
            <v>10952</v>
          </cell>
          <cell r="EC93">
            <v>7761</v>
          </cell>
          <cell r="ED93">
            <v>9991</v>
          </cell>
          <cell r="EE93">
            <v>9490</v>
          </cell>
          <cell r="EF93">
            <v>9879</v>
          </cell>
          <cell r="EG93">
            <v>11942</v>
          </cell>
          <cell r="EH93" t="str">
            <v>ACTIVO</v>
          </cell>
          <cell r="EI93" t="str">
            <v>A</v>
          </cell>
          <cell r="EJ93">
            <v>624</v>
          </cell>
          <cell r="EK93">
            <v>9931.32</v>
          </cell>
          <cell r="EL93">
            <v>1655.22</v>
          </cell>
        </row>
        <row r="94">
          <cell r="F94">
            <v>107142</v>
          </cell>
          <cell r="G94" t="str">
            <v>CREMA LACTEA SOPROLE</v>
          </cell>
          <cell r="H94">
            <v>389</v>
          </cell>
          <cell r="I94">
            <v>1423</v>
          </cell>
          <cell r="J94">
            <v>1171</v>
          </cell>
          <cell r="K94">
            <v>1067</v>
          </cell>
          <cell r="L94">
            <v>829</v>
          </cell>
          <cell r="M94">
            <v>1072</v>
          </cell>
          <cell r="N94">
            <v>1112</v>
          </cell>
          <cell r="O94">
            <v>1008</v>
          </cell>
          <cell r="P94">
            <v>686</v>
          </cell>
          <cell r="Q94">
            <v>570</v>
          </cell>
          <cell r="R94">
            <v>911</v>
          </cell>
          <cell r="S94">
            <v>376</v>
          </cell>
          <cell r="T94">
            <v>807</v>
          </cell>
          <cell r="U94">
            <v>1047</v>
          </cell>
          <cell r="V94">
            <v>522</v>
          </cell>
          <cell r="W94">
            <v>675</v>
          </cell>
          <cell r="X94">
            <v>940</v>
          </cell>
          <cell r="Y94">
            <v>479</v>
          </cell>
          <cell r="Z94">
            <v>367</v>
          </cell>
          <cell r="AA94">
            <v>854</v>
          </cell>
          <cell r="AB94">
            <v>1109</v>
          </cell>
          <cell r="AC94">
            <v>667</v>
          </cell>
          <cell r="AD94">
            <v>707</v>
          </cell>
          <cell r="AE94">
            <v>497</v>
          </cell>
          <cell r="AF94">
            <v>760</v>
          </cell>
          <cell r="AG94">
            <v>906</v>
          </cell>
          <cell r="AH94">
            <v>1477</v>
          </cell>
          <cell r="AI94">
            <v>539</v>
          </cell>
          <cell r="AJ94">
            <v>819</v>
          </cell>
          <cell r="AK94">
            <v>1250</v>
          </cell>
          <cell r="AL94">
            <v>549</v>
          </cell>
          <cell r="AM94">
            <v>401</v>
          </cell>
          <cell r="AN94">
            <v>1014</v>
          </cell>
          <cell r="AO94">
            <v>781</v>
          </cell>
          <cell r="AP94">
            <v>499</v>
          </cell>
          <cell r="AQ94">
            <v>134</v>
          </cell>
          <cell r="AR94">
            <v>321</v>
          </cell>
          <cell r="AS94">
            <v>65</v>
          </cell>
          <cell r="AT94">
            <v>887</v>
          </cell>
          <cell r="AU94">
            <v>779</v>
          </cell>
          <cell r="AV94">
            <v>1764</v>
          </cell>
          <cell r="AW94">
            <v>512</v>
          </cell>
          <cell r="AX94">
            <v>1141</v>
          </cell>
          <cell r="AY94">
            <v>987</v>
          </cell>
          <cell r="AZ94">
            <v>1253</v>
          </cell>
          <cell r="BA94">
            <v>318</v>
          </cell>
          <cell r="BB94">
            <v>1397</v>
          </cell>
          <cell r="BC94">
            <v>940</v>
          </cell>
          <cell r="BD94">
            <v>380</v>
          </cell>
          <cell r="BE94">
            <v>479</v>
          </cell>
          <cell r="BF94">
            <v>937</v>
          </cell>
          <cell r="BG94">
            <v>601</v>
          </cell>
          <cell r="BH94">
            <v>128</v>
          </cell>
          <cell r="BI94">
            <v>1063</v>
          </cell>
          <cell r="BJ94">
            <v>530</v>
          </cell>
          <cell r="BK94">
            <v>1074</v>
          </cell>
          <cell r="BL94">
            <v>877</v>
          </cell>
          <cell r="BM94">
            <v>741</v>
          </cell>
          <cell r="BN94">
            <v>328</v>
          </cell>
          <cell r="BO94">
            <v>478</v>
          </cell>
          <cell r="BP94">
            <v>503</v>
          </cell>
          <cell r="BQ94">
            <v>1666</v>
          </cell>
          <cell r="BR94">
            <v>740</v>
          </cell>
          <cell r="BS94">
            <v>689</v>
          </cell>
          <cell r="BT94">
            <v>1272</v>
          </cell>
          <cell r="BU94">
            <v>801</v>
          </cell>
          <cell r="BV94">
            <v>668</v>
          </cell>
          <cell r="BW94">
            <v>977</v>
          </cell>
          <cell r="BX94">
            <v>477</v>
          </cell>
          <cell r="BY94">
            <v>731</v>
          </cell>
          <cell r="BZ94">
            <v>206</v>
          </cell>
          <cell r="CA94">
            <v>761</v>
          </cell>
          <cell r="CB94">
            <v>1408</v>
          </cell>
          <cell r="CC94">
            <v>925</v>
          </cell>
          <cell r="CD94">
            <v>454</v>
          </cell>
          <cell r="CE94">
            <v>153</v>
          </cell>
          <cell r="CF94">
            <v>104</v>
          </cell>
          <cell r="CG94">
            <v>1180</v>
          </cell>
          <cell r="CH94">
            <v>372</v>
          </cell>
          <cell r="CI94">
            <v>215</v>
          </cell>
          <cell r="CJ94">
            <v>1070</v>
          </cell>
          <cell r="CK94">
            <v>782</v>
          </cell>
          <cell r="CL94">
            <v>177</v>
          </cell>
          <cell r="CM94">
            <v>1090</v>
          </cell>
          <cell r="CN94">
            <v>796</v>
          </cell>
          <cell r="CO94">
            <v>504</v>
          </cell>
          <cell r="CP94">
            <v>619</v>
          </cell>
          <cell r="CQ94">
            <v>1293</v>
          </cell>
          <cell r="CR94">
            <v>735</v>
          </cell>
          <cell r="CS94">
            <v>132</v>
          </cell>
          <cell r="CT94">
            <v>656</v>
          </cell>
          <cell r="CU94">
            <v>811</v>
          </cell>
          <cell r="CV94">
            <v>1216</v>
          </cell>
          <cell r="CW94">
            <v>693</v>
          </cell>
          <cell r="CX94">
            <v>1280</v>
          </cell>
          <cell r="CY94">
            <v>771</v>
          </cell>
          <cell r="CZ94">
            <v>792</v>
          </cell>
          <cell r="DA94">
            <v>929</v>
          </cell>
          <cell r="DB94">
            <v>850</v>
          </cell>
          <cell r="DC94">
            <v>881</v>
          </cell>
          <cell r="DD94">
            <v>498</v>
          </cell>
          <cell r="DE94">
            <v>816</v>
          </cell>
          <cell r="DF94">
            <v>580</v>
          </cell>
          <cell r="DG94">
            <v>633</v>
          </cell>
          <cell r="DH94">
            <v>287</v>
          </cell>
          <cell r="DI94">
            <v>300</v>
          </cell>
          <cell r="DJ94">
            <v>702</v>
          </cell>
          <cell r="DK94">
            <v>1507</v>
          </cell>
          <cell r="DL94">
            <v>1166</v>
          </cell>
          <cell r="DM94">
            <v>1101</v>
          </cell>
          <cell r="DN94">
            <v>862</v>
          </cell>
          <cell r="DO94">
            <v>901</v>
          </cell>
          <cell r="DP94">
            <v>1047</v>
          </cell>
          <cell r="DQ94">
            <v>711</v>
          </cell>
          <cell r="DR94">
            <v>522</v>
          </cell>
          <cell r="DS94">
            <v>533</v>
          </cell>
          <cell r="DT94">
            <v>285</v>
          </cell>
          <cell r="DU94">
            <v>1055</v>
          </cell>
          <cell r="DV94">
            <v>1133</v>
          </cell>
          <cell r="DW94">
            <v>1947</v>
          </cell>
          <cell r="DX94">
            <v>1082</v>
          </cell>
          <cell r="DY94">
            <v>2119</v>
          </cell>
          <cell r="DZ94">
            <v>1638</v>
          </cell>
          <cell r="EA94">
            <v>444</v>
          </cell>
          <cell r="EB94">
            <v>1057</v>
          </cell>
          <cell r="EC94">
            <v>849</v>
          </cell>
          <cell r="ED94">
            <v>1491.126</v>
          </cell>
          <cell r="EE94">
            <v>1281</v>
          </cell>
          <cell r="EF94">
            <v>957</v>
          </cell>
          <cell r="EG94">
            <v>1365</v>
          </cell>
          <cell r="EH94" t="str">
            <v>ACTIVO</v>
          </cell>
          <cell r="EI94" t="str">
            <v>A</v>
          </cell>
          <cell r="EJ94">
            <v>528</v>
          </cell>
          <cell r="EK94">
            <v>1042.2050400000001</v>
          </cell>
          <cell r="EL94">
            <v>173.70084</v>
          </cell>
        </row>
        <row r="95">
          <cell r="F95">
            <v>107209</v>
          </cell>
          <cell r="G95" t="str">
            <v>CREMA WHIP TOPPIN RICH</v>
          </cell>
          <cell r="H95">
            <v>2356</v>
          </cell>
          <cell r="I95">
            <v>5940</v>
          </cell>
          <cell r="J95">
            <v>5564</v>
          </cell>
          <cell r="K95">
            <v>5860</v>
          </cell>
          <cell r="L95">
            <v>3880</v>
          </cell>
          <cell r="M95">
            <v>4428</v>
          </cell>
          <cell r="N95">
            <v>4948</v>
          </cell>
          <cell r="O95">
            <v>5316</v>
          </cell>
          <cell r="P95">
            <v>3336</v>
          </cell>
          <cell r="Q95">
            <v>3264</v>
          </cell>
          <cell r="R95">
            <v>3792</v>
          </cell>
          <cell r="S95">
            <v>1723</v>
          </cell>
          <cell r="T95">
            <v>3380</v>
          </cell>
          <cell r="U95">
            <v>5440</v>
          </cell>
          <cell r="V95">
            <v>2168</v>
          </cell>
          <cell r="W95">
            <v>4748</v>
          </cell>
          <cell r="X95">
            <v>4340</v>
          </cell>
          <cell r="Y95">
            <v>2712</v>
          </cell>
          <cell r="Z95">
            <v>1960</v>
          </cell>
          <cell r="AA95">
            <v>4612.5</v>
          </cell>
          <cell r="AB95">
            <v>5979.5</v>
          </cell>
          <cell r="AC95">
            <v>4308</v>
          </cell>
          <cell r="AD95">
            <v>4360</v>
          </cell>
          <cell r="AE95">
            <v>2648</v>
          </cell>
          <cell r="AF95">
            <v>4007</v>
          </cell>
          <cell r="AG95">
            <v>5020</v>
          </cell>
          <cell r="AH95">
            <v>3517</v>
          </cell>
          <cell r="AI95">
            <v>4019</v>
          </cell>
          <cell r="AJ95">
            <v>5060</v>
          </cell>
          <cell r="AK95">
            <v>6764</v>
          </cell>
          <cell r="AL95">
            <v>4260</v>
          </cell>
          <cell r="AM95">
            <v>2684</v>
          </cell>
          <cell r="AN95">
            <v>5056</v>
          </cell>
          <cell r="AO95">
            <v>4356</v>
          </cell>
          <cell r="AP95">
            <v>3688</v>
          </cell>
          <cell r="AQ95">
            <v>4624</v>
          </cell>
          <cell r="AR95">
            <v>5120</v>
          </cell>
          <cell r="AS95">
            <v>568</v>
          </cell>
          <cell r="AT95">
            <v>4892</v>
          </cell>
          <cell r="AU95">
            <v>4725</v>
          </cell>
          <cell r="AV95">
            <v>7654</v>
          </cell>
          <cell r="AW95">
            <v>5332</v>
          </cell>
          <cell r="AX95">
            <v>7503.2160000000003</v>
          </cell>
          <cell r="AY95">
            <v>5220</v>
          </cell>
          <cell r="AZ95">
            <v>7007</v>
          </cell>
          <cell r="BA95">
            <v>5600</v>
          </cell>
          <cell r="BB95">
            <v>7573.5</v>
          </cell>
          <cell r="BC95">
            <v>6154</v>
          </cell>
          <cell r="BD95">
            <v>4660</v>
          </cell>
          <cell r="BE95">
            <v>4880</v>
          </cell>
          <cell r="BF95">
            <v>4620</v>
          </cell>
          <cell r="BG95">
            <v>4499</v>
          </cell>
          <cell r="BH95">
            <v>1428</v>
          </cell>
          <cell r="BI95">
            <v>6512</v>
          </cell>
          <cell r="BJ95">
            <v>4644</v>
          </cell>
          <cell r="BK95">
            <v>8764</v>
          </cell>
          <cell r="BL95">
            <v>6104</v>
          </cell>
          <cell r="BM95">
            <v>6102</v>
          </cell>
          <cell r="BN95">
            <v>5386</v>
          </cell>
          <cell r="BO95">
            <v>6388</v>
          </cell>
          <cell r="BP95">
            <v>3164</v>
          </cell>
          <cell r="BQ95">
            <v>8207.5</v>
          </cell>
          <cell r="BR95">
            <v>6309</v>
          </cell>
          <cell r="BS95">
            <v>5350</v>
          </cell>
          <cell r="BT95">
            <v>7608</v>
          </cell>
          <cell r="BU95">
            <v>5916</v>
          </cell>
          <cell r="BV95">
            <v>5424</v>
          </cell>
          <cell r="BW95">
            <v>6944</v>
          </cell>
          <cell r="BX95">
            <v>5800</v>
          </cell>
          <cell r="BY95">
            <v>6600</v>
          </cell>
          <cell r="BZ95">
            <v>2462</v>
          </cell>
          <cell r="CA95">
            <v>5924</v>
          </cell>
          <cell r="CB95">
            <v>8737</v>
          </cell>
          <cell r="CC95">
            <v>9108</v>
          </cell>
          <cell r="CD95">
            <v>6070</v>
          </cell>
          <cell r="CE95">
            <v>3772</v>
          </cell>
          <cell r="CF95">
            <v>4724</v>
          </cell>
          <cell r="CG95">
            <v>6736</v>
          </cell>
          <cell r="CH95">
            <v>4168</v>
          </cell>
          <cell r="CI95">
            <v>5284</v>
          </cell>
          <cell r="CJ95">
            <v>6972</v>
          </cell>
          <cell r="CK95">
            <v>6392</v>
          </cell>
          <cell r="CL95">
            <v>4896</v>
          </cell>
          <cell r="CM95">
            <v>6342</v>
          </cell>
          <cell r="CN95">
            <v>6108</v>
          </cell>
          <cell r="CO95">
            <v>5936</v>
          </cell>
          <cell r="CP95">
            <v>7668</v>
          </cell>
          <cell r="CQ95">
            <v>6744</v>
          </cell>
          <cell r="CR95">
            <v>6632</v>
          </cell>
          <cell r="CS95">
            <v>2380</v>
          </cell>
          <cell r="CT95">
            <v>5052</v>
          </cell>
          <cell r="CU95">
            <v>5188</v>
          </cell>
          <cell r="CV95">
            <v>6016</v>
          </cell>
          <cell r="CW95">
            <v>5984</v>
          </cell>
          <cell r="CX95">
            <v>7016</v>
          </cell>
          <cell r="CY95">
            <v>3544</v>
          </cell>
          <cell r="CZ95">
            <v>5868</v>
          </cell>
          <cell r="DA95">
            <v>4280</v>
          </cell>
          <cell r="DB95">
            <v>5860</v>
          </cell>
          <cell r="DC95">
            <v>4304</v>
          </cell>
          <cell r="DD95">
            <v>3612</v>
          </cell>
          <cell r="DE95">
            <v>3916</v>
          </cell>
          <cell r="DF95">
            <v>4744</v>
          </cell>
          <cell r="DG95">
            <v>3060</v>
          </cell>
          <cell r="DH95">
            <v>2556</v>
          </cell>
          <cell r="DI95">
            <v>1200</v>
          </cell>
          <cell r="DJ95">
            <v>4212</v>
          </cell>
          <cell r="DK95">
            <v>6104</v>
          </cell>
          <cell r="DL95">
            <v>7576</v>
          </cell>
          <cell r="DM95">
            <v>6089</v>
          </cell>
          <cell r="DN95">
            <v>5744</v>
          </cell>
          <cell r="DO95">
            <v>5400</v>
          </cell>
          <cell r="DP95">
            <v>5872</v>
          </cell>
          <cell r="DQ95">
            <v>4964</v>
          </cell>
          <cell r="DR95">
            <v>4988</v>
          </cell>
          <cell r="DS95">
            <v>7140</v>
          </cell>
          <cell r="DT95">
            <v>3816</v>
          </cell>
          <cell r="DU95">
            <v>5044</v>
          </cell>
          <cell r="DV95">
            <v>5856</v>
          </cell>
          <cell r="DW95">
            <v>5780</v>
          </cell>
          <cell r="DX95">
            <v>6940</v>
          </cell>
          <cell r="DY95">
            <v>9212</v>
          </cell>
          <cell r="DZ95">
            <v>6264</v>
          </cell>
          <cell r="EA95">
            <v>1148</v>
          </cell>
          <cell r="EB95">
            <v>6404</v>
          </cell>
          <cell r="EC95">
            <v>6896</v>
          </cell>
          <cell r="ED95">
            <v>5804</v>
          </cell>
          <cell r="EE95">
            <v>5744</v>
          </cell>
          <cell r="EF95">
            <v>5380</v>
          </cell>
          <cell r="EG95">
            <v>5148</v>
          </cell>
          <cell r="EH95" t="str">
            <v>ACTIVO</v>
          </cell>
          <cell r="EI95" t="str">
            <v>A</v>
          </cell>
          <cell r="EJ95">
            <v>600</v>
          </cell>
          <cell r="EK95">
            <v>5549</v>
          </cell>
          <cell r="EL95">
            <v>924.83333333333337</v>
          </cell>
        </row>
        <row r="96">
          <cell r="F96">
            <v>107237</v>
          </cell>
          <cell r="G96" t="str">
            <v>CREMA CHOCOLATE RICHS</v>
          </cell>
          <cell r="H96">
            <v>376</v>
          </cell>
          <cell r="I96">
            <v>252</v>
          </cell>
          <cell r="J96">
            <v>232</v>
          </cell>
          <cell r="K96">
            <v>352</v>
          </cell>
          <cell r="L96">
            <v>284</v>
          </cell>
          <cell r="M96">
            <v>336</v>
          </cell>
          <cell r="N96">
            <v>388</v>
          </cell>
          <cell r="O96">
            <v>352</v>
          </cell>
          <cell r="P96">
            <v>344</v>
          </cell>
          <cell r="Q96">
            <v>340</v>
          </cell>
          <cell r="R96">
            <v>392</v>
          </cell>
          <cell r="S96">
            <v>164</v>
          </cell>
          <cell r="T96">
            <v>88</v>
          </cell>
          <cell r="U96">
            <v>376</v>
          </cell>
          <cell r="V96">
            <v>408</v>
          </cell>
          <cell r="W96">
            <v>368</v>
          </cell>
          <cell r="X96">
            <v>412</v>
          </cell>
          <cell r="Y96">
            <v>404</v>
          </cell>
          <cell r="Z96">
            <v>892</v>
          </cell>
          <cell r="AA96">
            <v>392</v>
          </cell>
          <cell r="AB96">
            <v>436</v>
          </cell>
          <cell r="AC96">
            <v>408</v>
          </cell>
          <cell r="AD96">
            <v>472</v>
          </cell>
          <cell r="AE96">
            <v>572</v>
          </cell>
          <cell r="AF96">
            <v>372</v>
          </cell>
          <cell r="AG96">
            <v>508</v>
          </cell>
          <cell r="AH96">
            <v>833</v>
          </cell>
          <cell r="AI96">
            <v>572</v>
          </cell>
          <cell r="AJ96">
            <v>668</v>
          </cell>
          <cell r="AK96">
            <v>524</v>
          </cell>
          <cell r="AL96">
            <v>624</v>
          </cell>
          <cell r="AM96">
            <v>604</v>
          </cell>
          <cell r="AN96">
            <v>540</v>
          </cell>
          <cell r="AO96">
            <v>532</v>
          </cell>
          <cell r="AP96">
            <v>612</v>
          </cell>
          <cell r="AQ96">
            <v>560</v>
          </cell>
          <cell r="AR96">
            <v>588</v>
          </cell>
          <cell r="AS96">
            <v>140</v>
          </cell>
          <cell r="AT96">
            <v>660</v>
          </cell>
          <cell r="AU96">
            <v>604</v>
          </cell>
          <cell r="AV96">
            <v>568</v>
          </cell>
          <cell r="AW96">
            <v>520</v>
          </cell>
          <cell r="AX96">
            <v>620</v>
          </cell>
          <cell r="AY96">
            <v>560</v>
          </cell>
          <cell r="AZ96">
            <v>612</v>
          </cell>
          <cell r="BA96">
            <v>740</v>
          </cell>
          <cell r="BB96">
            <v>540</v>
          </cell>
          <cell r="BC96">
            <v>576</v>
          </cell>
          <cell r="BD96">
            <v>552</v>
          </cell>
          <cell r="BE96">
            <v>676</v>
          </cell>
          <cell r="BF96">
            <v>864</v>
          </cell>
          <cell r="BG96">
            <v>548</v>
          </cell>
          <cell r="BH96">
            <v>392</v>
          </cell>
          <cell r="BI96">
            <v>572</v>
          </cell>
          <cell r="BJ96">
            <v>388</v>
          </cell>
          <cell r="BK96">
            <v>488</v>
          </cell>
          <cell r="BL96">
            <v>620</v>
          </cell>
          <cell r="BM96">
            <v>584</v>
          </cell>
          <cell r="BN96">
            <v>677</v>
          </cell>
          <cell r="BO96">
            <v>516</v>
          </cell>
          <cell r="BP96">
            <v>584</v>
          </cell>
          <cell r="BQ96">
            <v>504</v>
          </cell>
          <cell r="BR96">
            <v>780</v>
          </cell>
          <cell r="BS96">
            <v>520</v>
          </cell>
          <cell r="BT96">
            <v>532</v>
          </cell>
          <cell r="BU96">
            <v>516</v>
          </cell>
          <cell r="BV96">
            <v>816</v>
          </cell>
          <cell r="BW96">
            <v>744</v>
          </cell>
          <cell r="BX96">
            <v>972</v>
          </cell>
          <cell r="BY96">
            <v>816</v>
          </cell>
          <cell r="BZ96">
            <v>752</v>
          </cell>
          <cell r="CA96">
            <v>540</v>
          </cell>
          <cell r="CB96">
            <v>808</v>
          </cell>
          <cell r="CC96">
            <v>564</v>
          </cell>
          <cell r="CD96">
            <v>1148</v>
          </cell>
          <cell r="CE96">
            <v>1168</v>
          </cell>
          <cell r="CF96">
            <v>1224</v>
          </cell>
          <cell r="CG96">
            <v>780</v>
          </cell>
          <cell r="CH96">
            <v>692</v>
          </cell>
          <cell r="CI96">
            <v>860</v>
          </cell>
          <cell r="CJ96">
            <v>456</v>
          </cell>
          <cell r="CK96">
            <v>468</v>
          </cell>
          <cell r="CL96">
            <v>828</v>
          </cell>
          <cell r="CM96">
            <v>900</v>
          </cell>
          <cell r="CN96">
            <v>520</v>
          </cell>
          <cell r="CO96">
            <v>920</v>
          </cell>
          <cell r="CP96">
            <v>932</v>
          </cell>
          <cell r="CQ96">
            <v>1052</v>
          </cell>
          <cell r="CR96">
            <v>704</v>
          </cell>
          <cell r="CS96">
            <v>224</v>
          </cell>
          <cell r="CT96">
            <v>864</v>
          </cell>
          <cell r="CU96">
            <v>756</v>
          </cell>
          <cell r="CV96">
            <v>1112</v>
          </cell>
          <cell r="CW96">
            <v>388</v>
          </cell>
          <cell r="CX96">
            <v>872</v>
          </cell>
          <cell r="CY96">
            <v>872</v>
          </cell>
          <cell r="CZ96">
            <v>940</v>
          </cell>
          <cell r="DA96">
            <v>640</v>
          </cell>
          <cell r="DB96">
            <v>1316</v>
          </cell>
          <cell r="DC96">
            <v>764</v>
          </cell>
          <cell r="DD96">
            <v>480</v>
          </cell>
          <cell r="DE96">
            <v>380</v>
          </cell>
          <cell r="DF96">
            <v>764</v>
          </cell>
          <cell r="DG96">
            <v>444</v>
          </cell>
          <cell r="DH96">
            <v>464</v>
          </cell>
          <cell r="DI96">
            <v>140</v>
          </cell>
          <cell r="DJ96">
            <v>959.8</v>
          </cell>
          <cell r="DK96">
            <v>736</v>
          </cell>
          <cell r="DL96">
            <v>628</v>
          </cell>
          <cell r="DM96">
            <v>536</v>
          </cell>
          <cell r="DN96">
            <v>1240</v>
          </cell>
          <cell r="DO96">
            <v>1060</v>
          </cell>
          <cell r="DP96">
            <v>688</v>
          </cell>
          <cell r="DQ96">
            <v>584</v>
          </cell>
          <cell r="DR96">
            <v>992</v>
          </cell>
          <cell r="DS96">
            <v>816</v>
          </cell>
          <cell r="DT96">
            <v>1516</v>
          </cell>
          <cell r="DU96">
            <v>1972</v>
          </cell>
          <cell r="DV96">
            <v>904</v>
          </cell>
          <cell r="DW96">
            <v>1280</v>
          </cell>
          <cell r="DX96">
            <v>1476</v>
          </cell>
          <cell r="DY96">
            <v>558</v>
          </cell>
          <cell r="DZ96">
            <v>1612</v>
          </cell>
          <cell r="EA96">
            <v>552</v>
          </cell>
          <cell r="EB96">
            <v>508</v>
          </cell>
          <cell r="EC96">
            <v>1664</v>
          </cell>
          <cell r="ED96">
            <v>728</v>
          </cell>
          <cell r="EE96">
            <v>1036</v>
          </cell>
          <cell r="EF96">
            <v>1756</v>
          </cell>
          <cell r="EG96">
            <v>556</v>
          </cell>
          <cell r="EH96" t="str">
            <v>ACTIVO</v>
          </cell>
          <cell r="EI96" t="str">
            <v>A</v>
          </cell>
          <cell r="EJ96">
            <v>960</v>
          </cell>
          <cell r="EK96">
            <v>979.91199999999992</v>
          </cell>
          <cell r="EL96">
            <v>163.31866666666664</v>
          </cell>
        </row>
        <row r="97">
          <cell r="F97">
            <v>107242</v>
          </cell>
          <cell r="G97" t="str">
            <v>CREMA RELLENO SABOR NARANJA ESP. QUINTA SC 1X5 Kg</v>
          </cell>
          <cell r="H97">
            <v>2385</v>
          </cell>
          <cell r="I97">
            <v>2345</v>
          </cell>
          <cell r="J97">
            <v>3205</v>
          </cell>
          <cell r="K97">
            <v>3155</v>
          </cell>
          <cell r="L97">
            <v>3040</v>
          </cell>
          <cell r="M97">
            <v>2505</v>
          </cell>
          <cell r="N97">
            <v>1520</v>
          </cell>
          <cell r="O97">
            <v>2120</v>
          </cell>
          <cell r="P97">
            <v>2485</v>
          </cell>
          <cell r="Q97">
            <v>2100</v>
          </cell>
          <cell r="R97">
            <v>2275</v>
          </cell>
          <cell r="S97">
            <v>1700</v>
          </cell>
          <cell r="T97">
            <v>1670</v>
          </cell>
          <cell r="U97">
            <v>2105</v>
          </cell>
          <cell r="V97">
            <v>1745</v>
          </cell>
          <cell r="W97">
            <v>2490</v>
          </cell>
          <cell r="X97">
            <v>3860</v>
          </cell>
          <cell r="Y97">
            <v>1785</v>
          </cell>
          <cell r="Z97">
            <v>830</v>
          </cell>
          <cell r="AA97">
            <v>1910</v>
          </cell>
          <cell r="AB97">
            <v>2204</v>
          </cell>
          <cell r="AC97">
            <v>1790</v>
          </cell>
          <cell r="AD97">
            <v>2925</v>
          </cell>
          <cell r="AE97">
            <v>2465</v>
          </cell>
          <cell r="AF97">
            <v>1405</v>
          </cell>
          <cell r="AG97">
            <v>2040</v>
          </cell>
          <cell r="AH97">
            <v>2299</v>
          </cell>
          <cell r="AI97">
            <v>2325</v>
          </cell>
          <cell r="AJ97">
            <v>1930</v>
          </cell>
          <cell r="AK97">
            <v>2175</v>
          </cell>
          <cell r="AL97">
            <v>2245</v>
          </cell>
          <cell r="AM97">
            <v>2760</v>
          </cell>
          <cell r="AN97">
            <v>1650</v>
          </cell>
          <cell r="AO97">
            <v>1635</v>
          </cell>
          <cell r="AP97">
            <v>2050</v>
          </cell>
          <cell r="AQ97">
            <v>1615</v>
          </cell>
          <cell r="AR97">
            <v>1680</v>
          </cell>
          <cell r="AS97">
            <v>1575</v>
          </cell>
          <cell r="AT97">
            <v>1490</v>
          </cell>
          <cell r="AU97">
            <v>1340</v>
          </cell>
          <cell r="AV97">
            <v>1460</v>
          </cell>
          <cell r="AW97">
            <v>2705</v>
          </cell>
          <cell r="AX97">
            <v>2230</v>
          </cell>
          <cell r="AY97">
            <v>1370</v>
          </cell>
          <cell r="AZ97">
            <v>1790</v>
          </cell>
          <cell r="BA97">
            <v>1625</v>
          </cell>
          <cell r="BB97">
            <v>2075</v>
          </cell>
          <cell r="BC97">
            <v>1615</v>
          </cell>
          <cell r="BD97">
            <v>1705</v>
          </cell>
          <cell r="BE97">
            <v>1705</v>
          </cell>
          <cell r="BF97">
            <v>1335</v>
          </cell>
          <cell r="BG97">
            <v>2295</v>
          </cell>
          <cell r="BH97">
            <v>1255</v>
          </cell>
          <cell r="BI97">
            <v>1500</v>
          </cell>
          <cell r="BJ97">
            <v>1125</v>
          </cell>
          <cell r="BK97">
            <v>2280</v>
          </cell>
          <cell r="BL97">
            <v>1695</v>
          </cell>
          <cell r="BM97">
            <v>1685</v>
          </cell>
          <cell r="BN97">
            <v>2215</v>
          </cell>
          <cell r="BO97">
            <v>2360</v>
          </cell>
          <cell r="BP97">
            <v>1460</v>
          </cell>
          <cell r="BQ97">
            <v>1180</v>
          </cell>
          <cell r="BR97">
            <v>2645</v>
          </cell>
          <cell r="BS97">
            <v>3245</v>
          </cell>
          <cell r="BT97">
            <v>3670</v>
          </cell>
          <cell r="BU97">
            <v>950</v>
          </cell>
          <cell r="BV97">
            <v>1755</v>
          </cell>
          <cell r="BW97">
            <v>2440</v>
          </cell>
          <cell r="BX97">
            <v>3635</v>
          </cell>
          <cell r="BY97">
            <v>1815</v>
          </cell>
          <cell r="BZ97">
            <v>400</v>
          </cell>
          <cell r="CA97">
            <v>1380</v>
          </cell>
          <cell r="CB97">
            <v>2095</v>
          </cell>
          <cell r="CC97">
            <v>2600</v>
          </cell>
          <cell r="CD97">
            <v>1575</v>
          </cell>
          <cell r="CE97">
            <v>430</v>
          </cell>
          <cell r="CF97">
            <v>3050</v>
          </cell>
          <cell r="CG97">
            <v>2055</v>
          </cell>
          <cell r="CH97">
            <v>775</v>
          </cell>
          <cell r="CI97">
            <v>2460</v>
          </cell>
          <cell r="CK97">
            <v>2925</v>
          </cell>
          <cell r="CL97">
            <v>1800</v>
          </cell>
          <cell r="CM97">
            <v>1990</v>
          </cell>
          <cell r="CN97">
            <v>2255</v>
          </cell>
          <cell r="CO97">
            <v>2020</v>
          </cell>
          <cell r="CP97">
            <v>2415</v>
          </cell>
          <cell r="CQ97">
            <v>3090</v>
          </cell>
          <cell r="CR97">
            <v>3475</v>
          </cell>
          <cell r="CS97">
            <v>1635</v>
          </cell>
          <cell r="CT97">
            <v>2110</v>
          </cell>
          <cell r="CU97">
            <v>170</v>
          </cell>
          <cell r="CV97">
            <v>2640</v>
          </cell>
          <cell r="CW97">
            <v>1195</v>
          </cell>
          <cell r="CX97">
            <v>2600</v>
          </cell>
          <cell r="CY97">
            <v>1160</v>
          </cell>
          <cell r="CZ97">
            <v>1580</v>
          </cell>
          <cell r="DA97">
            <v>3390</v>
          </cell>
          <cell r="DB97">
            <v>2540</v>
          </cell>
          <cell r="DC97">
            <v>2730</v>
          </cell>
          <cell r="DD97">
            <v>1490</v>
          </cell>
          <cell r="DE97">
            <v>1915</v>
          </cell>
          <cell r="DF97">
            <v>530</v>
          </cell>
          <cell r="DG97">
            <v>165</v>
          </cell>
          <cell r="DH97">
            <v>135</v>
          </cell>
          <cell r="DI97">
            <v>160</v>
          </cell>
          <cell r="DJ97">
            <v>1940</v>
          </cell>
          <cell r="DK97">
            <v>1665</v>
          </cell>
          <cell r="DL97">
            <v>1575</v>
          </cell>
          <cell r="DM97">
            <v>2115</v>
          </cell>
          <cell r="DN97">
            <v>2775</v>
          </cell>
          <cell r="DO97">
            <v>1205</v>
          </cell>
          <cell r="DP97">
            <v>1820</v>
          </cell>
          <cell r="DQ97">
            <v>2015</v>
          </cell>
          <cell r="DR97">
            <v>1650</v>
          </cell>
          <cell r="DS97">
            <v>1490</v>
          </cell>
          <cell r="DT97">
            <v>925</v>
          </cell>
          <cell r="DU97">
            <v>1560</v>
          </cell>
          <cell r="DV97">
            <v>1085</v>
          </cell>
          <cell r="DW97">
            <v>1120</v>
          </cell>
          <cell r="DX97">
            <v>2150</v>
          </cell>
          <cell r="DY97">
            <v>3905</v>
          </cell>
          <cell r="DZ97">
            <v>1575</v>
          </cell>
          <cell r="EB97">
            <v>2185</v>
          </cell>
          <cell r="EC97">
            <v>1730</v>
          </cell>
          <cell r="ED97">
            <v>2315</v>
          </cell>
          <cell r="EE97">
            <v>1910</v>
          </cell>
          <cell r="EF97">
            <v>1730</v>
          </cell>
          <cell r="EG97">
            <v>1650</v>
          </cell>
          <cell r="EH97" t="str">
            <v>ACTIVO</v>
          </cell>
          <cell r="EI97" t="str">
            <v>A</v>
          </cell>
          <cell r="EJ97">
            <v>500</v>
          </cell>
          <cell r="EK97">
            <v>1760.4166666666667</v>
          </cell>
          <cell r="EL97">
            <v>293.40277777777777</v>
          </cell>
        </row>
        <row r="98">
          <cell r="F98">
            <v>405533</v>
          </cell>
          <cell r="G98" t="str">
            <v>ULTRA RICH CLASICA UHT</v>
          </cell>
          <cell r="BW98">
            <v>205</v>
          </cell>
          <cell r="BX98">
            <v>1529.3078230000001</v>
          </cell>
          <cell r="BY98">
            <v>1189</v>
          </cell>
          <cell r="BZ98">
            <v>1909</v>
          </cell>
          <cell r="CA98">
            <v>880</v>
          </cell>
          <cell r="CB98">
            <v>849</v>
          </cell>
          <cell r="CC98">
            <v>878</v>
          </cell>
          <cell r="CD98">
            <v>971</v>
          </cell>
          <cell r="CE98">
            <v>1750</v>
          </cell>
          <cell r="CF98">
            <v>1064</v>
          </cell>
          <cell r="CG98">
            <v>1079</v>
          </cell>
          <cell r="CH98">
            <v>955</v>
          </cell>
          <cell r="CI98">
            <v>1167</v>
          </cell>
          <cell r="CJ98">
            <v>1112</v>
          </cell>
          <cell r="CK98">
            <v>1120</v>
          </cell>
          <cell r="CL98">
            <v>1050</v>
          </cell>
          <cell r="CM98">
            <v>1587</v>
          </cell>
          <cell r="CN98">
            <v>1088</v>
          </cell>
          <cell r="CO98">
            <v>1161</v>
          </cell>
          <cell r="CP98">
            <v>1111</v>
          </cell>
          <cell r="CQ98">
            <v>850</v>
          </cell>
          <cell r="CR98">
            <v>829</v>
          </cell>
          <cell r="CS98">
            <v>222</v>
          </cell>
          <cell r="CT98">
            <v>1555</v>
          </cell>
          <cell r="CU98">
            <v>1625</v>
          </cell>
          <cell r="CV98">
            <v>1969</v>
          </cell>
          <cell r="CW98">
            <v>1471</v>
          </cell>
          <cell r="CX98">
            <v>1325</v>
          </cell>
          <cell r="CY98">
            <v>1475</v>
          </cell>
          <cell r="CZ98">
            <v>1032</v>
          </cell>
          <cell r="DA98">
            <v>1404</v>
          </cell>
          <cell r="DB98">
            <v>1026</v>
          </cell>
          <cell r="DC98">
            <v>1241</v>
          </cell>
          <cell r="DD98">
            <v>1017</v>
          </cell>
          <cell r="DE98">
            <v>893</v>
          </cell>
          <cell r="DF98">
            <v>1290</v>
          </cell>
          <cell r="DG98">
            <v>849</v>
          </cell>
          <cell r="DH98">
            <v>504</v>
          </cell>
          <cell r="DI98">
            <v>281</v>
          </cell>
          <cell r="DJ98">
            <v>1271</v>
          </cell>
          <cell r="DK98">
            <v>1049</v>
          </cell>
          <cell r="DL98">
            <v>1012</v>
          </cell>
          <cell r="DM98">
            <v>1159</v>
          </cell>
          <cell r="DN98">
            <v>942</v>
          </cell>
          <cell r="DO98">
            <v>1221</v>
          </cell>
          <cell r="DP98">
            <v>992</v>
          </cell>
          <cell r="DQ98">
            <v>1008</v>
          </cell>
          <cell r="DR98">
            <v>1007</v>
          </cell>
          <cell r="DS98">
            <v>1183</v>
          </cell>
          <cell r="DT98">
            <v>1230</v>
          </cell>
          <cell r="DU98">
            <v>1431</v>
          </cell>
          <cell r="DV98">
            <v>1314</v>
          </cell>
          <cell r="DW98">
            <v>1311</v>
          </cell>
          <cell r="DX98">
            <v>1185</v>
          </cell>
          <cell r="DY98">
            <v>995</v>
          </cell>
          <cell r="DZ98">
            <v>1590</v>
          </cell>
          <cell r="EA98">
            <v>1255</v>
          </cell>
          <cell r="EB98">
            <v>1062</v>
          </cell>
          <cell r="EC98">
            <v>890</v>
          </cell>
          <cell r="ED98">
            <v>990</v>
          </cell>
          <cell r="EE98">
            <v>1316</v>
          </cell>
          <cell r="EF98">
            <v>929.94</v>
          </cell>
          <cell r="EG98">
            <v>1688</v>
          </cell>
          <cell r="EH98" t="str">
            <v>ACTIVO</v>
          </cell>
          <cell r="EI98" t="str">
            <v>A</v>
          </cell>
          <cell r="EJ98" t="str">
            <v/>
          </cell>
          <cell r="EK98">
            <v>1132.4775999999999</v>
          </cell>
          <cell r="EL98">
            <v>188.74626666666666</v>
          </cell>
        </row>
        <row r="99">
          <cell r="F99">
            <v>405559</v>
          </cell>
          <cell r="G99" t="str">
            <v>CREAM CHEESE BALDE MILKAUT SANTA ROSA</v>
          </cell>
          <cell r="CY99">
            <v>25.2</v>
          </cell>
          <cell r="CZ99">
            <v>82.800000000000011</v>
          </cell>
          <cell r="DA99">
            <v>104.39999999999999</v>
          </cell>
          <cell r="DB99">
            <v>126.00000000000001</v>
          </cell>
          <cell r="DC99">
            <v>135.20000000000002</v>
          </cell>
          <cell r="DD99">
            <v>115.20000000000003</v>
          </cell>
          <cell r="DE99">
            <v>64.8</v>
          </cell>
          <cell r="DF99">
            <v>3.6</v>
          </cell>
          <cell r="DH99">
            <v>28.2</v>
          </cell>
          <cell r="DJ99">
            <v>99.000000000000014</v>
          </cell>
          <cell r="DK99">
            <v>57.600000000000009</v>
          </cell>
          <cell r="DL99">
            <v>102.60000000000001</v>
          </cell>
          <cell r="DM99">
            <v>118.8</v>
          </cell>
          <cell r="DN99">
            <v>86.40000000000002</v>
          </cell>
          <cell r="DO99">
            <v>57.600000000000009</v>
          </cell>
          <cell r="DP99">
            <v>57.600000000000009</v>
          </cell>
          <cell r="DQ99">
            <v>61.20000000000001</v>
          </cell>
          <cell r="DR99">
            <v>28.8</v>
          </cell>
          <cell r="DS99">
            <v>103.5</v>
          </cell>
          <cell r="DT99">
            <v>73.8</v>
          </cell>
          <cell r="DU99">
            <v>57.600000000000009</v>
          </cell>
          <cell r="DV99">
            <v>68.400000000000006</v>
          </cell>
          <cell r="DW99">
            <v>64.800000000000011</v>
          </cell>
          <cell r="DX99">
            <v>26.1</v>
          </cell>
          <cell r="DY99">
            <v>107.6</v>
          </cell>
          <cell r="DZ99">
            <v>115.2</v>
          </cell>
          <cell r="EA99">
            <v>180.00000000000003</v>
          </cell>
          <cell r="EB99">
            <v>122.39999999999999</v>
          </cell>
          <cell r="EC99">
            <v>54.000000000000007</v>
          </cell>
          <cell r="ED99">
            <v>140.4</v>
          </cell>
          <cell r="EE99">
            <v>75.599999999999994</v>
          </cell>
          <cell r="EF99">
            <v>133.6</v>
          </cell>
          <cell r="EG99">
            <v>147.59999999999997</v>
          </cell>
          <cell r="EH99" t="str">
            <v>ACTIVO</v>
          </cell>
          <cell r="EI99" t="str">
            <v>C</v>
          </cell>
          <cell r="EJ99" t="str">
            <v/>
          </cell>
          <cell r="EK99">
            <v>89.174999999999997</v>
          </cell>
          <cell r="EL99">
            <v>14.862499999999999</v>
          </cell>
        </row>
        <row r="100">
          <cell r="F100">
            <v>107254</v>
          </cell>
          <cell r="G100" t="str">
            <v>CREMA PASTELERA JUMBO PURATOS</v>
          </cell>
          <cell r="H100">
            <v>640</v>
          </cell>
          <cell r="I100">
            <v>1200</v>
          </cell>
          <cell r="J100">
            <v>1050</v>
          </cell>
          <cell r="K100">
            <v>970</v>
          </cell>
          <cell r="L100">
            <v>800</v>
          </cell>
          <cell r="M100">
            <v>970</v>
          </cell>
          <cell r="N100">
            <v>750</v>
          </cell>
          <cell r="O100">
            <v>760</v>
          </cell>
          <cell r="P100">
            <v>1060</v>
          </cell>
          <cell r="Q100">
            <v>80</v>
          </cell>
          <cell r="S100">
            <v>28</v>
          </cell>
          <cell r="U100">
            <v>30.036000000000001</v>
          </cell>
          <cell r="EH100" t="str">
            <v>SIN USO</v>
          </cell>
          <cell r="EI100" t="str">
            <v/>
          </cell>
          <cell r="EJ100" t="str">
            <v/>
          </cell>
          <cell r="EK100">
            <v>0</v>
          </cell>
          <cell r="EL100">
            <v>0</v>
          </cell>
        </row>
        <row r="101">
          <cell r="F101">
            <v>107283</v>
          </cell>
          <cell r="G101" t="str">
            <v>CREMA CHANTIFESTA RICHS</v>
          </cell>
          <cell r="H101">
            <v>1101</v>
          </cell>
          <cell r="I101">
            <v>1099</v>
          </cell>
          <cell r="J101">
            <v>1106</v>
          </cell>
          <cell r="K101">
            <v>1143</v>
          </cell>
          <cell r="L101">
            <v>1270</v>
          </cell>
          <cell r="M101">
            <v>1384</v>
          </cell>
          <cell r="N101">
            <v>1276</v>
          </cell>
          <cell r="O101">
            <v>1201</v>
          </cell>
          <cell r="P101">
            <v>1036</v>
          </cell>
          <cell r="Q101">
            <v>1035</v>
          </cell>
          <cell r="R101">
            <v>1147</v>
          </cell>
          <cell r="S101">
            <v>1277</v>
          </cell>
          <cell r="T101">
            <v>1168</v>
          </cell>
          <cell r="U101">
            <v>1350</v>
          </cell>
          <cell r="V101">
            <v>1129</v>
          </cell>
          <cell r="W101">
            <v>968</v>
          </cell>
          <cell r="X101">
            <v>1238</v>
          </cell>
          <cell r="Y101">
            <v>1385</v>
          </cell>
          <cell r="Z101">
            <v>1669</v>
          </cell>
          <cell r="AA101">
            <v>983</v>
          </cell>
          <cell r="AB101">
            <v>1225</v>
          </cell>
          <cell r="AC101">
            <v>1187</v>
          </cell>
          <cell r="AD101">
            <v>1243</v>
          </cell>
          <cell r="AE101">
            <v>1115</v>
          </cell>
          <cell r="AF101">
            <v>1021</v>
          </cell>
          <cell r="AG101">
            <v>1325</v>
          </cell>
          <cell r="AH101">
            <v>1265</v>
          </cell>
          <cell r="AI101">
            <v>1032</v>
          </cell>
          <cell r="AJ101">
            <v>1276</v>
          </cell>
          <cell r="AK101">
            <v>1131</v>
          </cell>
          <cell r="AL101">
            <v>1111</v>
          </cell>
          <cell r="AM101">
            <v>1675</v>
          </cell>
          <cell r="AN101">
            <v>1472</v>
          </cell>
          <cell r="AO101">
            <v>1036</v>
          </cell>
          <cell r="AP101">
            <v>975</v>
          </cell>
          <cell r="AQ101">
            <v>969</v>
          </cell>
          <cell r="AR101">
            <v>905</v>
          </cell>
          <cell r="AS101">
            <v>178</v>
          </cell>
          <cell r="AT101">
            <v>1129</v>
          </cell>
          <cell r="AU101">
            <v>700</v>
          </cell>
          <cell r="AV101">
            <v>712</v>
          </cell>
          <cell r="AW101">
            <v>1008</v>
          </cell>
          <cell r="AX101">
            <v>815</v>
          </cell>
          <cell r="AY101">
            <v>697</v>
          </cell>
          <cell r="AZ101">
            <v>1105</v>
          </cell>
          <cell r="BA101">
            <v>904</v>
          </cell>
          <cell r="BB101">
            <v>953</v>
          </cell>
          <cell r="BC101">
            <v>1057</v>
          </cell>
          <cell r="BD101">
            <v>914</v>
          </cell>
          <cell r="BE101">
            <v>815</v>
          </cell>
          <cell r="BF101">
            <v>1007</v>
          </cell>
          <cell r="BG101">
            <v>921</v>
          </cell>
          <cell r="BH101">
            <v>773</v>
          </cell>
          <cell r="BI101">
            <v>854</v>
          </cell>
          <cell r="BJ101">
            <v>585</v>
          </cell>
          <cell r="BK101">
            <v>960</v>
          </cell>
          <cell r="BL101">
            <v>813</v>
          </cell>
          <cell r="BM101">
            <v>939</v>
          </cell>
          <cell r="BN101">
            <v>1075</v>
          </cell>
          <cell r="BO101">
            <v>727</v>
          </cell>
          <cell r="BP101">
            <v>761</v>
          </cell>
          <cell r="BQ101">
            <v>1144</v>
          </cell>
          <cell r="BR101">
            <v>834</v>
          </cell>
          <cell r="BS101">
            <v>811</v>
          </cell>
          <cell r="BT101">
            <v>808</v>
          </cell>
          <cell r="BU101">
            <v>865</v>
          </cell>
          <cell r="BV101">
            <v>792</v>
          </cell>
          <cell r="BW101">
            <v>645</v>
          </cell>
          <cell r="BX101">
            <v>0.69217700000000004</v>
          </cell>
          <cell r="EH101" t="str">
            <v>SIN USO</v>
          </cell>
          <cell r="EI101" t="str">
            <v>B</v>
          </cell>
          <cell r="EJ101">
            <v>720</v>
          </cell>
          <cell r="EK101">
            <v>0</v>
          </cell>
          <cell r="EL101">
            <v>0</v>
          </cell>
        </row>
        <row r="102">
          <cell r="F102">
            <v>107342</v>
          </cell>
          <cell r="G102" t="str">
            <v>CREMA CHANTYPACK PURATOS</v>
          </cell>
          <cell r="K102">
            <v>1786</v>
          </cell>
          <cell r="L102">
            <v>2958</v>
          </cell>
          <cell r="M102">
            <v>2460</v>
          </cell>
          <cell r="N102">
            <v>2247</v>
          </cell>
          <cell r="O102">
            <v>1985</v>
          </cell>
          <cell r="P102">
            <v>1226</v>
          </cell>
          <cell r="U102">
            <v>2713</v>
          </cell>
          <cell r="V102">
            <v>4094</v>
          </cell>
          <cell r="W102">
            <v>2464</v>
          </cell>
          <cell r="X102">
            <v>3518</v>
          </cell>
          <cell r="Y102">
            <v>2652</v>
          </cell>
          <cell r="Z102">
            <v>4394</v>
          </cell>
          <cell r="AA102">
            <v>2043</v>
          </cell>
          <cell r="AB102">
            <v>1159</v>
          </cell>
          <cell r="BS102">
            <v>1879</v>
          </cell>
          <cell r="BT102">
            <v>281</v>
          </cell>
          <cell r="BZ102">
            <v>69</v>
          </cell>
          <cell r="DF102">
            <v>156</v>
          </cell>
          <cell r="DN102">
            <v>441</v>
          </cell>
          <cell r="DO102">
            <v>943</v>
          </cell>
          <cell r="DP102">
            <v>587</v>
          </cell>
          <cell r="DQ102">
            <v>599</v>
          </cell>
          <cell r="DR102">
            <v>965</v>
          </cell>
          <cell r="DS102">
            <v>1281</v>
          </cell>
          <cell r="DT102">
            <v>638</v>
          </cell>
          <cell r="DU102">
            <v>697</v>
          </cell>
          <cell r="DV102">
            <v>707</v>
          </cell>
          <cell r="DW102">
            <v>667</v>
          </cell>
          <cell r="DX102">
            <v>604</v>
          </cell>
          <cell r="DY102">
            <v>655</v>
          </cell>
          <cell r="DZ102">
            <v>1015</v>
          </cell>
          <cell r="EA102">
            <v>1619</v>
          </cell>
          <cell r="EB102">
            <v>716</v>
          </cell>
          <cell r="EC102">
            <v>601</v>
          </cell>
          <cell r="ED102">
            <v>688</v>
          </cell>
          <cell r="EE102">
            <v>1088</v>
          </cell>
          <cell r="EF102">
            <v>1179</v>
          </cell>
          <cell r="EG102">
            <v>1555</v>
          </cell>
          <cell r="EH102" t="str">
            <v>ACTIVO</v>
          </cell>
          <cell r="EI102" t="str">
            <v>C</v>
          </cell>
          <cell r="EJ102" t="str">
            <v/>
          </cell>
          <cell r="EK102">
            <v>862.25</v>
          </cell>
          <cell r="EL102">
            <v>143.70833333333334</v>
          </cell>
        </row>
        <row r="103">
          <cell r="F103">
            <v>170179</v>
          </cell>
          <cell r="G103" t="str">
            <v>CREMA AMBIENTE ICING PURATOS</v>
          </cell>
          <cell r="H103">
            <v>80</v>
          </cell>
          <cell r="I103">
            <v>29</v>
          </cell>
          <cell r="J103">
            <v>121</v>
          </cell>
          <cell r="K103">
            <v>120</v>
          </cell>
          <cell r="EH103" t="str">
            <v>SIN USO</v>
          </cell>
          <cell r="EI103" t="str">
            <v>C</v>
          </cell>
          <cell r="EJ103" t="str">
            <v/>
          </cell>
          <cell r="EK103">
            <v>0</v>
          </cell>
          <cell r="EL103">
            <v>0</v>
          </cell>
        </row>
        <row r="104">
          <cell r="F104">
            <v>405197</v>
          </cell>
          <cell r="G104" t="str">
            <v>CREMA HULALA MEL</v>
          </cell>
          <cell r="H104">
            <v>1434</v>
          </cell>
          <cell r="I104">
            <v>1867</v>
          </cell>
          <cell r="J104">
            <v>1794</v>
          </cell>
          <cell r="K104">
            <v>580</v>
          </cell>
          <cell r="P104">
            <v>801</v>
          </cell>
          <cell r="Q104">
            <v>2672</v>
          </cell>
          <cell r="R104">
            <v>3330</v>
          </cell>
          <cell r="S104">
            <v>2396</v>
          </cell>
          <cell r="T104">
            <v>1867</v>
          </cell>
          <cell r="U104">
            <v>339</v>
          </cell>
          <cell r="EH104" t="str">
            <v>SIN USO</v>
          </cell>
          <cell r="EI104" t="str">
            <v/>
          </cell>
          <cell r="EJ104" t="str">
            <v/>
          </cell>
          <cell r="EK104">
            <v>0</v>
          </cell>
          <cell r="EL104">
            <v>0</v>
          </cell>
        </row>
        <row r="105">
          <cell r="F105">
            <v>405161</v>
          </cell>
          <cell r="G105" t="str">
            <v>CREMA NATA RICH</v>
          </cell>
          <cell r="BT105">
            <v>112</v>
          </cell>
          <cell r="ED105">
            <v>600</v>
          </cell>
          <cell r="EH105" t="str">
            <v>SIN USO</v>
          </cell>
          <cell r="EI105" t="str">
            <v>C</v>
          </cell>
          <cell r="EJ105" t="str">
            <v/>
          </cell>
          <cell r="EK105">
            <v>600</v>
          </cell>
          <cell r="EL105">
            <v>100</v>
          </cell>
        </row>
        <row r="106">
          <cell r="F106">
            <v>107337</v>
          </cell>
          <cell r="G106" t="str">
            <v>CREMA AMBIENTE PURATOS</v>
          </cell>
          <cell r="K106">
            <v>66</v>
          </cell>
          <cell r="M106">
            <v>116</v>
          </cell>
          <cell r="N106">
            <v>64</v>
          </cell>
          <cell r="O106">
            <v>464</v>
          </cell>
          <cell r="P106">
            <v>200</v>
          </cell>
          <cell r="Q106">
            <v>474</v>
          </cell>
          <cell r="R106">
            <v>274</v>
          </cell>
          <cell r="S106">
            <v>204</v>
          </cell>
          <cell r="T106">
            <v>262</v>
          </cell>
          <cell r="U106">
            <v>359</v>
          </cell>
          <cell r="V106">
            <v>548</v>
          </cell>
          <cell r="W106">
            <v>558</v>
          </cell>
          <cell r="X106">
            <v>892</v>
          </cell>
          <cell r="Y106">
            <v>235</v>
          </cell>
          <cell r="Z106">
            <v>126</v>
          </cell>
          <cell r="AA106">
            <v>248</v>
          </cell>
          <cell r="AB106">
            <v>360</v>
          </cell>
          <cell r="AC106">
            <v>367</v>
          </cell>
          <cell r="AD106">
            <v>478</v>
          </cell>
          <cell r="AE106">
            <v>274</v>
          </cell>
          <cell r="AF106">
            <v>309</v>
          </cell>
          <cell r="AG106">
            <v>379</v>
          </cell>
          <cell r="AH106">
            <v>352</v>
          </cell>
          <cell r="AI106">
            <v>312</v>
          </cell>
          <cell r="AJ106">
            <v>302</v>
          </cell>
          <cell r="AK106">
            <v>517</v>
          </cell>
          <cell r="AL106">
            <v>642</v>
          </cell>
          <cell r="AM106">
            <v>80</v>
          </cell>
          <cell r="AN106">
            <v>139</v>
          </cell>
          <cell r="AO106">
            <v>194</v>
          </cell>
          <cell r="AP106">
            <v>86</v>
          </cell>
          <cell r="AQ106">
            <v>157</v>
          </cell>
          <cell r="AR106">
            <v>58</v>
          </cell>
          <cell r="EH106" t="str">
            <v>SIN USO</v>
          </cell>
          <cell r="EI106" t="str">
            <v/>
          </cell>
          <cell r="EJ106" t="str">
            <v/>
          </cell>
          <cell r="EK106">
            <v>0</v>
          </cell>
          <cell r="EL106">
            <v>0</v>
          </cell>
        </row>
        <row r="107">
          <cell r="F107">
            <v>405673</v>
          </cell>
          <cell r="G107" t="str">
            <v>CREMA VEGETAL AMBIANTE</v>
          </cell>
          <cell r="ED107">
            <v>79</v>
          </cell>
          <cell r="EE107">
            <v>118</v>
          </cell>
          <cell r="EF107">
            <v>134</v>
          </cell>
          <cell r="EG107">
            <v>234</v>
          </cell>
          <cell r="EH107" t="str">
            <v>ACTIVO</v>
          </cell>
          <cell r="EI107" t="str">
            <v/>
          </cell>
          <cell r="EJ107" t="str">
            <v/>
          </cell>
          <cell r="EK107">
            <v>141.25</v>
          </cell>
          <cell r="EL107">
            <v>23.541666666666668</v>
          </cell>
        </row>
        <row r="108">
          <cell r="F108">
            <v>170183</v>
          </cell>
          <cell r="G108" t="str">
            <v>CREMA AMBIANTE NATA PURATOS</v>
          </cell>
          <cell r="ED108">
            <v>277</v>
          </cell>
          <cell r="EE108">
            <v>324</v>
          </cell>
          <cell r="EF108">
            <v>168</v>
          </cell>
          <cell r="EG108">
            <v>32</v>
          </cell>
          <cell r="EH108" t="str">
            <v>ACTIVO</v>
          </cell>
          <cell r="EI108" t="str">
            <v/>
          </cell>
          <cell r="EJ108" t="str">
            <v/>
          </cell>
          <cell r="EK108">
            <v>200.25</v>
          </cell>
          <cell r="EL108">
            <v>33.375</v>
          </cell>
        </row>
        <row r="109">
          <cell r="H109">
            <v>19827</v>
          </cell>
          <cell r="I109">
            <v>21964</v>
          </cell>
          <cell r="J109">
            <v>19916</v>
          </cell>
          <cell r="K109">
            <v>21976</v>
          </cell>
          <cell r="L109">
            <v>22230</v>
          </cell>
          <cell r="M109">
            <v>21267</v>
          </cell>
          <cell r="N109">
            <v>19651</v>
          </cell>
          <cell r="O109">
            <v>19761</v>
          </cell>
          <cell r="P109">
            <v>18898</v>
          </cell>
          <cell r="Q109">
            <v>19943</v>
          </cell>
          <cell r="R109">
            <v>23183</v>
          </cell>
          <cell r="S109">
            <v>15954</v>
          </cell>
          <cell r="T109">
            <v>16493</v>
          </cell>
          <cell r="U109">
            <v>23848.036</v>
          </cell>
          <cell r="V109">
            <v>24015</v>
          </cell>
          <cell r="W109">
            <v>21081</v>
          </cell>
          <cell r="X109">
            <v>26969</v>
          </cell>
          <cell r="Y109">
            <v>21317</v>
          </cell>
          <cell r="Z109">
            <v>27134</v>
          </cell>
          <cell r="AA109">
            <v>21471.5</v>
          </cell>
          <cell r="AB109">
            <v>23745.5</v>
          </cell>
          <cell r="AC109">
            <v>20216</v>
          </cell>
          <cell r="AD109">
            <v>26822</v>
          </cell>
          <cell r="AE109">
            <v>28341</v>
          </cell>
          <cell r="AF109">
            <v>18087</v>
          </cell>
          <cell r="AG109">
            <v>23097</v>
          </cell>
          <cell r="AH109">
            <v>20706</v>
          </cell>
          <cell r="AI109">
            <v>22434</v>
          </cell>
          <cell r="AJ109">
            <v>24351</v>
          </cell>
          <cell r="AK109">
            <v>28291</v>
          </cell>
          <cell r="AL109">
            <v>23748</v>
          </cell>
          <cell r="AM109">
            <v>25103</v>
          </cell>
          <cell r="AN109">
            <v>25717</v>
          </cell>
          <cell r="AO109">
            <v>25087</v>
          </cell>
          <cell r="AP109">
            <v>21862</v>
          </cell>
          <cell r="AQ109">
            <v>23001</v>
          </cell>
          <cell r="AR109">
            <v>23351</v>
          </cell>
          <cell r="AS109">
            <v>8100</v>
          </cell>
          <cell r="AT109">
            <v>25761</v>
          </cell>
          <cell r="AU109">
            <v>22220</v>
          </cell>
          <cell r="AV109">
            <v>27283</v>
          </cell>
          <cell r="AW109">
            <v>22435</v>
          </cell>
          <cell r="AX109">
            <v>28156.216</v>
          </cell>
          <cell r="AY109">
            <v>22738</v>
          </cell>
          <cell r="AZ109">
            <v>28337</v>
          </cell>
          <cell r="BA109">
            <v>26134</v>
          </cell>
          <cell r="BB109">
            <v>28378.5</v>
          </cell>
          <cell r="BC109">
            <v>26248</v>
          </cell>
          <cell r="BD109">
            <v>26692</v>
          </cell>
          <cell r="BE109">
            <v>29281.5</v>
          </cell>
          <cell r="BF109">
            <v>29615.200000000001</v>
          </cell>
          <cell r="BG109">
            <v>25045</v>
          </cell>
          <cell r="BH109">
            <v>11571</v>
          </cell>
          <cell r="BI109">
            <v>27030</v>
          </cell>
          <cell r="BJ109">
            <v>23485</v>
          </cell>
          <cell r="BK109">
            <v>31660</v>
          </cell>
          <cell r="BL109">
            <v>25769</v>
          </cell>
          <cell r="BM109">
            <v>27228</v>
          </cell>
          <cell r="BN109">
            <v>25903</v>
          </cell>
          <cell r="BO109">
            <v>27580</v>
          </cell>
          <cell r="BP109">
            <v>20112</v>
          </cell>
          <cell r="BQ109">
            <v>26025.5</v>
          </cell>
          <cell r="BR109">
            <v>29782</v>
          </cell>
          <cell r="BS109">
            <v>26429</v>
          </cell>
          <cell r="BT109">
            <v>31638</v>
          </cell>
          <cell r="BU109">
            <v>24605</v>
          </cell>
          <cell r="BV109">
            <v>29432</v>
          </cell>
          <cell r="BW109">
            <v>27223</v>
          </cell>
          <cell r="BX109">
            <v>28060</v>
          </cell>
          <cell r="BY109">
            <v>30481</v>
          </cell>
          <cell r="BZ109">
            <v>30689</v>
          </cell>
          <cell r="CA109">
            <v>27678</v>
          </cell>
          <cell r="CB109">
            <v>31257</v>
          </cell>
          <cell r="CC109">
            <v>26586</v>
          </cell>
          <cell r="CD109">
            <v>26384</v>
          </cell>
          <cell r="CE109">
            <v>28952</v>
          </cell>
          <cell r="CF109">
            <v>23864</v>
          </cell>
          <cell r="CG109">
            <v>28512</v>
          </cell>
          <cell r="CH109">
            <v>22284</v>
          </cell>
          <cell r="CI109">
            <v>24511</v>
          </cell>
          <cell r="CJ109">
            <v>24786</v>
          </cell>
          <cell r="CK109">
            <v>26186</v>
          </cell>
          <cell r="CL109">
            <v>25254</v>
          </cell>
          <cell r="CM109">
            <v>27123</v>
          </cell>
          <cell r="CN109">
            <v>27219</v>
          </cell>
          <cell r="CO109">
            <v>25056</v>
          </cell>
          <cell r="CP109">
            <v>29348</v>
          </cell>
          <cell r="CQ109">
            <v>29454</v>
          </cell>
          <cell r="CR109">
            <v>28586</v>
          </cell>
          <cell r="CS109">
            <v>13946</v>
          </cell>
          <cell r="CT109">
            <v>27033</v>
          </cell>
          <cell r="CU109">
            <v>25444</v>
          </cell>
          <cell r="CV109">
            <v>31183</v>
          </cell>
          <cell r="CW109">
            <v>25482</v>
          </cell>
          <cell r="CX109">
            <v>27379</v>
          </cell>
          <cell r="CY109">
            <v>22725.200000000001</v>
          </cell>
          <cell r="CZ109">
            <v>27065.8</v>
          </cell>
          <cell r="DA109">
            <v>25713.4</v>
          </cell>
          <cell r="DB109">
            <v>26026</v>
          </cell>
          <cell r="DC109">
            <v>25163.200000000001</v>
          </cell>
          <cell r="DD109">
            <v>19890.2</v>
          </cell>
          <cell r="DE109">
            <v>21177.8</v>
          </cell>
          <cell r="DF109">
            <v>27989.599999999999</v>
          </cell>
          <cell r="DG109">
            <v>21871</v>
          </cell>
          <cell r="DH109">
            <v>12104.2</v>
          </cell>
          <cell r="DI109">
            <v>6549</v>
          </cell>
          <cell r="DJ109">
            <v>27034.799999999999</v>
          </cell>
          <cell r="DK109">
            <v>27803.599999999999</v>
          </cell>
          <cell r="DL109">
            <v>27309.599999999999</v>
          </cell>
          <cell r="DM109">
            <v>24346.799999999999</v>
          </cell>
          <cell r="DN109">
            <v>25719.4</v>
          </cell>
          <cell r="DO109">
            <v>27016.6</v>
          </cell>
          <cell r="DP109">
            <v>23702.6</v>
          </cell>
          <cell r="DQ109">
            <v>19604.2</v>
          </cell>
          <cell r="DR109">
            <v>22563.8</v>
          </cell>
          <cell r="DS109">
            <v>25728.5</v>
          </cell>
          <cell r="DT109">
            <v>25271.8</v>
          </cell>
          <cell r="DU109">
            <v>27348.6</v>
          </cell>
          <cell r="DV109">
            <v>24087.4</v>
          </cell>
          <cell r="DW109">
            <v>26643.8</v>
          </cell>
          <cell r="DX109">
            <v>29953.1</v>
          </cell>
          <cell r="DY109">
            <v>37070.6</v>
          </cell>
          <cell r="DZ109">
            <v>34582.199999999997</v>
          </cell>
          <cell r="EA109">
            <v>22714</v>
          </cell>
          <cell r="EB109">
            <v>28194.400000000001</v>
          </cell>
          <cell r="EC109">
            <v>24208</v>
          </cell>
          <cell r="ED109">
            <v>27874.326000000001</v>
          </cell>
          <cell r="EE109">
            <v>27248.6</v>
          </cell>
          <cell r="EF109">
            <v>26303.539999999997</v>
          </cell>
          <cell r="EG109">
            <v>30346.6</v>
          </cell>
          <cell r="EH109" t="str">
            <v>ACTIVO</v>
          </cell>
          <cell r="EI109" t="str">
            <v/>
          </cell>
          <cell r="EJ109" t="str">
            <v/>
          </cell>
          <cell r="EK109">
            <v>25969.034640000002</v>
          </cell>
          <cell r="EL109">
            <v>4328.1724400000003</v>
          </cell>
        </row>
        <row r="110">
          <cell r="F110">
            <v>107344</v>
          </cell>
          <cell r="G110" t="str">
            <v>CUPULA TORTA ALTA  15PP (98-5) MOLDESPAC</v>
          </cell>
          <cell r="H110">
            <v>420</v>
          </cell>
          <cell r="M110">
            <v>4100</v>
          </cell>
          <cell r="N110">
            <v>38970</v>
          </cell>
          <cell r="O110">
            <v>36560</v>
          </cell>
          <cell r="P110">
            <v>29680</v>
          </cell>
          <cell r="AH110">
            <v>11980</v>
          </cell>
          <cell r="AJ110">
            <v>2240</v>
          </cell>
          <cell r="BD110">
            <v>50336</v>
          </cell>
          <cell r="BE110">
            <v>49241.5</v>
          </cell>
          <cell r="BF110">
            <v>2552.5</v>
          </cell>
          <cell r="BH110">
            <v>1890</v>
          </cell>
          <cell r="BI110">
            <v>4150</v>
          </cell>
          <cell r="BJ110">
            <v>12320</v>
          </cell>
          <cell r="BK110">
            <v>23710</v>
          </cell>
          <cell r="BL110">
            <v>20750</v>
          </cell>
          <cell r="BM110">
            <v>29300</v>
          </cell>
          <cell r="BN110">
            <v>27020</v>
          </cell>
          <cell r="BO110">
            <v>20210</v>
          </cell>
          <cell r="BP110">
            <v>14650</v>
          </cell>
          <cell r="BQ110">
            <v>13990</v>
          </cell>
          <cell r="BR110">
            <v>7780</v>
          </cell>
          <cell r="BS110">
            <v>8970</v>
          </cell>
          <cell r="BT110">
            <v>15230</v>
          </cell>
          <cell r="BU110">
            <v>8540</v>
          </cell>
          <cell r="BV110">
            <v>4410</v>
          </cell>
          <cell r="BW110">
            <v>6440</v>
          </cell>
          <cell r="BZ110">
            <v>7700</v>
          </cell>
          <cell r="CA110">
            <v>12670</v>
          </cell>
          <cell r="CB110">
            <v>19110</v>
          </cell>
          <cell r="CC110">
            <v>18410</v>
          </cell>
          <cell r="CD110">
            <v>22260</v>
          </cell>
          <cell r="CE110">
            <v>9100</v>
          </cell>
          <cell r="CF110">
            <v>10850</v>
          </cell>
          <cell r="CG110">
            <v>17570</v>
          </cell>
          <cell r="CH110">
            <v>5880</v>
          </cell>
          <cell r="CI110">
            <v>3220</v>
          </cell>
          <cell r="CJ110">
            <v>33390</v>
          </cell>
          <cell r="CK110">
            <v>23100</v>
          </cell>
          <cell r="CL110">
            <v>16660</v>
          </cell>
          <cell r="CM110">
            <v>18390</v>
          </cell>
          <cell r="CN110">
            <v>15260</v>
          </cell>
          <cell r="CO110">
            <v>53480</v>
          </cell>
          <cell r="CP110">
            <v>19740</v>
          </cell>
          <cell r="CQ110">
            <v>19600</v>
          </cell>
          <cell r="CR110">
            <v>20510</v>
          </cell>
          <cell r="CS110">
            <v>9520</v>
          </cell>
          <cell r="CT110">
            <v>18690</v>
          </cell>
          <cell r="CU110">
            <v>14410</v>
          </cell>
          <cell r="CV110">
            <v>19040</v>
          </cell>
          <cell r="CW110">
            <v>21210</v>
          </cell>
          <cell r="CX110">
            <v>17080</v>
          </cell>
          <cell r="CY110">
            <v>14210</v>
          </cell>
          <cell r="CZ110">
            <v>17500</v>
          </cell>
          <cell r="DA110">
            <v>7790</v>
          </cell>
          <cell r="DB110">
            <v>17010</v>
          </cell>
          <cell r="DC110">
            <v>14840</v>
          </cell>
          <cell r="DD110">
            <v>15610</v>
          </cell>
          <cell r="DE110">
            <v>13861</v>
          </cell>
          <cell r="DG110">
            <v>700</v>
          </cell>
          <cell r="DJ110">
            <v>4760</v>
          </cell>
          <cell r="DL110">
            <v>7490</v>
          </cell>
          <cell r="DM110">
            <v>70</v>
          </cell>
          <cell r="DO110">
            <v>2100</v>
          </cell>
          <cell r="DY110">
            <v>4480</v>
          </cell>
          <cell r="DZ110">
            <v>8960</v>
          </cell>
          <cell r="EA110">
            <v>4480</v>
          </cell>
          <cell r="EC110">
            <v>2240</v>
          </cell>
          <cell r="ED110">
            <v>2240</v>
          </cell>
          <cell r="EE110">
            <v>6720</v>
          </cell>
          <cell r="EH110" t="str">
            <v>ACTIVO</v>
          </cell>
          <cell r="EI110" t="str">
            <v>A</v>
          </cell>
          <cell r="EJ110" t="str">
            <v/>
          </cell>
          <cell r="EK110">
            <v>4354</v>
          </cell>
          <cell r="EL110">
            <v>725.66666666666663</v>
          </cell>
        </row>
        <row r="111">
          <cell r="F111">
            <v>403231</v>
          </cell>
          <cell r="G111" t="str">
            <v>CUPULA TORTA ALTA  15PP (98-5) MONSALVE CENCOSUD</v>
          </cell>
          <cell r="H111">
            <v>4340</v>
          </cell>
          <cell r="N111">
            <v>2100</v>
          </cell>
          <cell r="P111">
            <v>350</v>
          </cell>
          <cell r="R111">
            <v>1330</v>
          </cell>
          <cell r="S111">
            <v>2240</v>
          </cell>
          <cell r="U111">
            <v>2240</v>
          </cell>
          <cell r="V111">
            <v>4480</v>
          </cell>
          <cell r="Y111">
            <v>4480</v>
          </cell>
          <cell r="Z111">
            <v>2240</v>
          </cell>
          <cell r="AB111">
            <v>2240</v>
          </cell>
          <cell r="AC111">
            <v>2240</v>
          </cell>
          <cell r="AG111">
            <v>2240</v>
          </cell>
          <cell r="AH111">
            <v>6640</v>
          </cell>
          <cell r="AK111">
            <v>2240</v>
          </cell>
          <cell r="AL111">
            <v>4480</v>
          </cell>
          <cell r="AM111">
            <v>2240</v>
          </cell>
          <cell r="AN111">
            <v>4480</v>
          </cell>
          <cell r="AO111">
            <v>490</v>
          </cell>
          <cell r="AP111">
            <v>2240</v>
          </cell>
          <cell r="AQ111">
            <v>7560</v>
          </cell>
          <cell r="AR111">
            <v>12430</v>
          </cell>
          <cell r="AT111">
            <v>1120</v>
          </cell>
          <cell r="AU111">
            <v>6860</v>
          </cell>
          <cell r="AV111">
            <v>3220</v>
          </cell>
          <cell r="AW111">
            <v>10920</v>
          </cell>
          <cell r="AX111">
            <v>19770</v>
          </cell>
          <cell r="AY111">
            <v>19250</v>
          </cell>
          <cell r="AZ111">
            <v>20750</v>
          </cell>
          <cell r="BA111">
            <v>18410</v>
          </cell>
          <cell r="BB111">
            <v>59986</v>
          </cell>
          <cell r="BC111">
            <v>51900</v>
          </cell>
          <cell r="BD111">
            <v>904</v>
          </cell>
          <cell r="BF111">
            <v>23627.5</v>
          </cell>
          <cell r="BG111">
            <v>16520</v>
          </cell>
          <cell r="BH111">
            <v>2870</v>
          </cell>
          <cell r="BI111">
            <v>25180</v>
          </cell>
          <cell r="BJ111">
            <v>4690</v>
          </cell>
          <cell r="BL111">
            <v>560</v>
          </cell>
          <cell r="BO111">
            <v>350</v>
          </cell>
          <cell r="BP111">
            <v>4420</v>
          </cell>
          <cell r="BQ111">
            <v>13890</v>
          </cell>
          <cell r="BR111">
            <v>7110</v>
          </cell>
          <cell r="BS111">
            <v>2030</v>
          </cell>
          <cell r="BT111">
            <v>10290</v>
          </cell>
          <cell r="BU111">
            <v>15610</v>
          </cell>
          <cell r="BV111">
            <v>14980</v>
          </cell>
          <cell r="BW111">
            <v>21770</v>
          </cell>
          <cell r="BX111">
            <v>20650</v>
          </cell>
          <cell r="BY111">
            <v>25340</v>
          </cell>
          <cell r="BZ111">
            <v>2730</v>
          </cell>
          <cell r="CA111">
            <v>7910</v>
          </cell>
          <cell r="CB111">
            <v>16870</v>
          </cell>
          <cell r="CC111">
            <v>8750</v>
          </cell>
          <cell r="CD111">
            <v>5320</v>
          </cell>
          <cell r="CE111">
            <v>3220</v>
          </cell>
          <cell r="CF111">
            <v>6720</v>
          </cell>
          <cell r="CG111">
            <v>5950</v>
          </cell>
          <cell r="CH111">
            <v>8120</v>
          </cell>
          <cell r="CI111">
            <v>12320</v>
          </cell>
          <cell r="CJ111">
            <v>4900</v>
          </cell>
          <cell r="CK111">
            <v>6720</v>
          </cell>
          <cell r="CL111">
            <v>4340</v>
          </cell>
          <cell r="CM111">
            <v>6160</v>
          </cell>
          <cell r="CN111">
            <v>3500</v>
          </cell>
          <cell r="CO111">
            <v>560</v>
          </cell>
          <cell r="CP111">
            <v>22960</v>
          </cell>
          <cell r="CQ111">
            <v>4620</v>
          </cell>
          <cell r="CR111">
            <v>4620</v>
          </cell>
          <cell r="CS111">
            <v>350</v>
          </cell>
          <cell r="CU111">
            <v>4550</v>
          </cell>
          <cell r="CV111">
            <v>4620</v>
          </cell>
          <cell r="CX111">
            <v>6930</v>
          </cell>
          <cell r="CZ111">
            <v>6930</v>
          </cell>
          <cell r="DA111">
            <v>6700</v>
          </cell>
          <cell r="DB111">
            <v>4620</v>
          </cell>
          <cell r="EH111" t="str">
            <v>ACTIVO</v>
          </cell>
          <cell r="EI111" t="str">
            <v>B</v>
          </cell>
          <cell r="EJ111">
            <v>2240</v>
          </cell>
          <cell r="EK111">
            <v>0</v>
          </cell>
          <cell r="EL111">
            <v>0</v>
          </cell>
        </row>
        <row r="112">
          <cell r="F112">
            <v>405380</v>
          </cell>
          <cell r="G112" t="str">
            <v>CUPULA TORTA ALTA  15PP (98-5) FPS</v>
          </cell>
          <cell r="AM112">
            <v>30800</v>
          </cell>
          <cell r="AN112">
            <v>46000</v>
          </cell>
          <cell r="AO112">
            <v>6510</v>
          </cell>
          <cell r="AP112">
            <v>2240</v>
          </cell>
          <cell r="AQ112">
            <v>1540</v>
          </cell>
          <cell r="AR112">
            <v>940</v>
          </cell>
          <cell r="EH112" t="str">
            <v>SIN USO</v>
          </cell>
          <cell r="EI112" t="str">
            <v/>
          </cell>
          <cell r="EJ112" t="str">
            <v/>
          </cell>
          <cell r="EK112">
            <v>0</v>
          </cell>
          <cell r="EL112">
            <v>0</v>
          </cell>
        </row>
        <row r="113">
          <cell r="F113">
            <v>403212</v>
          </cell>
          <cell r="G113" t="str">
            <v>CUPULA BRAZO REINA MONSALVE</v>
          </cell>
          <cell r="I113">
            <v>690</v>
          </cell>
          <cell r="L113">
            <v>552</v>
          </cell>
          <cell r="M113">
            <v>342</v>
          </cell>
          <cell r="N113">
            <v>482</v>
          </cell>
          <cell r="O113">
            <v>210</v>
          </cell>
          <cell r="Q113">
            <v>0</v>
          </cell>
          <cell r="S113">
            <v>840</v>
          </cell>
          <cell r="EH113" t="str">
            <v>SIN USO</v>
          </cell>
          <cell r="EI113" t="str">
            <v/>
          </cell>
          <cell r="EJ113">
            <v>2240</v>
          </cell>
          <cell r="EK113">
            <v>0</v>
          </cell>
          <cell r="EL113">
            <v>0</v>
          </cell>
        </row>
        <row r="114">
          <cell r="F114">
            <v>405283</v>
          </cell>
          <cell r="G114" t="str">
            <v>CUPULA TORTA ALTA SISA FPS</v>
          </cell>
          <cell r="AA114">
            <v>4275</v>
          </cell>
          <cell r="AB114">
            <v>50400</v>
          </cell>
          <cell r="AC114">
            <v>43300</v>
          </cell>
          <cell r="AD114">
            <v>52700</v>
          </cell>
          <cell r="AE114">
            <v>65800</v>
          </cell>
          <cell r="AF114">
            <v>47600</v>
          </cell>
          <cell r="AG114">
            <v>47200</v>
          </cell>
          <cell r="AH114">
            <v>25920</v>
          </cell>
          <cell r="AI114">
            <v>48950</v>
          </cell>
          <cell r="AJ114">
            <v>53440</v>
          </cell>
          <cell r="AK114">
            <v>60915</v>
          </cell>
          <cell r="AL114">
            <v>73700</v>
          </cell>
          <cell r="AM114">
            <v>16100</v>
          </cell>
          <cell r="AN114">
            <v>2400</v>
          </cell>
          <cell r="AO114">
            <v>35000</v>
          </cell>
          <cell r="AP114">
            <v>41720</v>
          </cell>
          <cell r="AQ114">
            <v>41600</v>
          </cell>
          <cell r="AR114">
            <v>40600</v>
          </cell>
          <cell r="AS114">
            <v>21600</v>
          </cell>
          <cell r="AT114">
            <v>43900</v>
          </cell>
          <cell r="AU114">
            <v>41200</v>
          </cell>
          <cell r="AV114">
            <v>57790</v>
          </cell>
          <cell r="AW114">
            <v>22130</v>
          </cell>
          <cell r="AX114">
            <v>45680</v>
          </cell>
          <cell r="AY114">
            <v>28200</v>
          </cell>
          <cell r="EH114" t="str">
            <v>SIN USO</v>
          </cell>
          <cell r="EI114" t="str">
            <v/>
          </cell>
          <cell r="EJ114" t="str">
            <v/>
          </cell>
          <cell r="EK114">
            <v>0</v>
          </cell>
          <cell r="EL114">
            <v>0</v>
          </cell>
        </row>
        <row r="115">
          <cell r="F115">
            <v>405278</v>
          </cell>
          <cell r="G115" t="str">
            <v>CUPULA TORTA 15PP (98-45) MOLDESPAC</v>
          </cell>
          <cell r="H115">
            <v>1470</v>
          </cell>
          <cell r="Q115">
            <v>280</v>
          </cell>
          <cell r="R115">
            <v>1960</v>
          </cell>
          <cell r="Z115">
            <v>3120</v>
          </cell>
          <cell r="AC115">
            <v>700</v>
          </cell>
          <cell r="AO115">
            <v>1820</v>
          </cell>
          <cell r="AV115">
            <v>372</v>
          </cell>
          <cell r="AX115">
            <v>420</v>
          </cell>
          <cell r="BA115">
            <v>1330</v>
          </cell>
          <cell r="BB115">
            <v>5040</v>
          </cell>
          <cell r="BC115">
            <v>5530</v>
          </cell>
          <cell r="BD115">
            <v>5600</v>
          </cell>
          <cell r="BE115">
            <v>5180</v>
          </cell>
          <cell r="BF115">
            <v>4200</v>
          </cell>
          <cell r="BG115">
            <v>6790</v>
          </cell>
          <cell r="BH115">
            <v>3360</v>
          </cell>
          <cell r="BI115">
            <v>5180</v>
          </cell>
          <cell r="BJ115">
            <v>4089</v>
          </cell>
          <cell r="BK115">
            <v>6300</v>
          </cell>
          <cell r="BL115">
            <v>6090</v>
          </cell>
          <cell r="BM115">
            <v>5460</v>
          </cell>
          <cell r="BN115">
            <v>3920</v>
          </cell>
          <cell r="BO115">
            <v>4200</v>
          </cell>
          <cell r="BP115">
            <v>3990</v>
          </cell>
          <cell r="BQ115">
            <v>4200</v>
          </cell>
          <cell r="BR115">
            <v>7700</v>
          </cell>
          <cell r="BS115">
            <v>3360</v>
          </cell>
          <cell r="BU115">
            <v>2310</v>
          </cell>
          <cell r="BV115">
            <v>4410</v>
          </cell>
          <cell r="BW115">
            <v>4900</v>
          </cell>
          <cell r="BX115">
            <v>6860</v>
          </cell>
          <cell r="BY115">
            <v>7980</v>
          </cell>
          <cell r="BZ115">
            <v>7210</v>
          </cell>
          <cell r="CA115">
            <v>5041.0599999999995</v>
          </cell>
          <cell r="CB115">
            <v>5880</v>
          </cell>
          <cell r="CC115">
            <v>5040</v>
          </cell>
          <cell r="CD115">
            <v>5460</v>
          </cell>
          <cell r="CE115">
            <v>8680</v>
          </cell>
          <cell r="CF115">
            <v>7560</v>
          </cell>
          <cell r="CG115">
            <v>5810</v>
          </cell>
          <cell r="CH115">
            <v>3290</v>
          </cell>
          <cell r="CI115">
            <v>4900</v>
          </cell>
          <cell r="CJ115">
            <v>2730</v>
          </cell>
          <cell r="CK115">
            <v>6860</v>
          </cell>
          <cell r="CL115">
            <v>3360</v>
          </cell>
          <cell r="CM115">
            <v>3360</v>
          </cell>
          <cell r="CN115">
            <v>3990</v>
          </cell>
          <cell r="CP115">
            <v>2240</v>
          </cell>
          <cell r="CQ115">
            <v>6650</v>
          </cell>
          <cell r="CR115">
            <v>5110</v>
          </cell>
          <cell r="CS115">
            <v>2520</v>
          </cell>
          <cell r="CT115">
            <v>4900</v>
          </cell>
          <cell r="CU115">
            <v>4830</v>
          </cell>
          <cell r="CV115">
            <v>5110</v>
          </cell>
          <cell r="CW115">
            <v>4410</v>
          </cell>
          <cell r="CX115">
            <v>5740</v>
          </cell>
          <cell r="CY115">
            <v>7910</v>
          </cell>
          <cell r="CZ115">
            <v>4200</v>
          </cell>
          <cell r="DA115">
            <v>10990</v>
          </cell>
          <cell r="DB115">
            <v>7630</v>
          </cell>
          <cell r="DC115">
            <v>8610</v>
          </cell>
          <cell r="DD115">
            <v>4130</v>
          </cell>
          <cell r="DE115">
            <v>6371</v>
          </cell>
          <cell r="DF115">
            <v>5880</v>
          </cell>
          <cell r="DG115">
            <v>4410</v>
          </cell>
          <cell r="DH115">
            <v>2590</v>
          </cell>
          <cell r="DI115">
            <v>980</v>
          </cell>
          <cell r="DJ115">
            <v>5600</v>
          </cell>
          <cell r="DK115">
            <v>6370</v>
          </cell>
          <cell r="DL115">
            <v>4480</v>
          </cell>
          <cell r="DM115">
            <v>7350</v>
          </cell>
          <cell r="DN115">
            <v>7700</v>
          </cell>
          <cell r="DO115">
            <v>7560</v>
          </cell>
          <cell r="DP115">
            <v>5740</v>
          </cell>
          <cell r="DQ115">
            <v>6650</v>
          </cell>
          <cell r="DR115">
            <v>7350</v>
          </cell>
          <cell r="DS115">
            <v>3570</v>
          </cell>
          <cell r="DT115">
            <v>6720</v>
          </cell>
          <cell r="DU115">
            <v>3850</v>
          </cell>
          <cell r="DV115">
            <v>6160</v>
          </cell>
          <cell r="DW115">
            <v>5250</v>
          </cell>
          <cell r="DX115">
            <v>5811</v>
          </cell>
          <cell r="DY115">
            <v>10570</v>
          </cell>
          <cell r="DZ115">
            <v>9660</v>
          </cell>
          <cell r="EA115">
            <v>5040</v>
          </cell>
          <cell r="EB115">
            <v>8400</v>
          </cell>
          <cell r="EC115">
            <v>9100</v>
          </cell>
          <cell r="ED115">
            <v>6583</v>
          </cell>
          <cell r="EE115">
            <v>11900</v>
          </cell>
          <cell r="EF115">
            <v>14210</v>
          </cell>
          <cell r="EG115">
            <v>14070</v>
          </cell>
          <cell r="EH115" t="str">
            <v>ACTIVO</v>
          </cell>
          <cell r="EI115" t="str">
            <v>B</v>
          </cell>
          <cell r="EJ115">
            <v>2240</v>
          </cell>
          <cell r="EK115">
            <v>7226.96</v>
          </cell>
          <cell r="EL115">
            <v>1204.4933333333333</v>
          </cell>
        </row>
        <row r="116">
          <cell r="F116">
            <v>403210</v>
          </cell>
          <cell r="G116" t="str">
            <v>CUPULA TORTA 15PP (98-45) MONSALVE CENCOSUD</v>
          </cell>
          <cell r="H116">
            <v>3430</v>
          </cell>
          <cell r="I116">
            <v>3920</v>
          </cell>
          <cell r="J116">
            <v>2940</v>
          </cell>
          <cell r="K116">
            <v>3990</v>
          </cell>
          <cell r="L116">
            <v>4130</v>
          </cell>
          <cell r="M116">
            <v>5320</v>
          </cell>
          <cell r="N116">
            <v>4340</v>
          </cell>
          <cell r="O116">
            <v>3920</v>
          </cell>
          <cell r="P116">
            <v>3780</v>
          </cell>
          <cell r="Q116">
            <v>3710</v>
          </cell>
          <cell r="R116">
            <v>1960</v>
          </cell>
          <cell r="S116">
            <v>3780</v>
          </cell>
          <cell r="T116">
            <v>2940</v>
          </cell>
          <cell r="U116">
            <v>4480</v>
          </cell>
          <cell r="V116">
            <v>4060</v>
          </cell>
          <cell r="W116">
            <v>3360</v>
          </cell>
          <cell r="X116">
            <v>3990</v>
          </cell>
          <cell r="Y116">
            <v>7420</v>
          </cell>
          <cell r="Z116">
            <v>1990</v>
          </cell>
          <cell r="AA116">
            <v>3640</v>
          </cell>
          <cell r="AB116">
            <v>4340</v>
          </cell>
          <cell r="AC116">
            <v>3360</v>
          </cell>
          <cell r="AD116">
            <v>6860</v>
          </cell>
          <cell r="AE116">
            <v>5600</v>
          </cell>
          <cell r="AF116">
            <v>4620</v>
          </cell>
          <cell r="AG116">
            <v>4480</v>
          </cell>
          <cell r="AH116">
            <v>5040</v>
          </cell>
          <cell r="AI116">
            <v>5250</v>
          </cell>
          <cell r="AJ116">
            <v>4480</v>
          </cell>
          <cell r="AK116">
            <v>4130</v>
          </cell>
          <cell r="AL116">
            <v>6720</v>
          </cell>
          <cell r="AM116">
            <v>5740</v>
          </cell>
          <cell r="AN116">
            <v>4760</v>
          </cell>
          <cell r="AO116">
            <v>3710</v>
          </cell>
          <cell r="AP116">
            <v>6790</v>
          </cell>
          <cell r="AQ116">
            <v>5880</v>
          </cell>
          <cell r="AR116">
            <v>5880</v>
          </cell>
          <cell r="AS116">
            <v>3500</v>
          </cell>
          <cell r="AT116">
            <v>5040</v>
          </cell>
          <cell r="AU116">
            <v>4970</v>
          </cell>
          <cell r="AV116">
            <v>3478</v>
          </cell>
          <cell r="AW116">
            <v>5950</v>
          </cell>
          <cell r="AX116">
            <v>5320</v>
          </cell>
          <cell r="AY116">
            <v>4480</v>
          </cell>
          <cell r="AZ116">
            <v>5180</v>
          </cell>
          <cell r="BA116">
            <v>5250</v>
          </cell>
          <cell r="BB116">
            <v>1330</v>
          </cell>
          <cell r="BN116">
            <v>1960</v>
          </cell>
          <cell r="BO116">
            <v>2800</v>
          </cell>
          <cell r="BS116">
            <v>2940</v>
          </cell>
          <cell r="BT116">
            <v>6160</v>
          </cell>
          <cell r="BU116">
            <v>981.05600000000004</v>
          </cell>
          <cell r="BV116">
            <v>70</v>
          </cell>
          <cell r="BW116">
            <v>280</v>
          </cell>
          <cell r="BX116">
            <v>70</v>
          </cell>
          <cell r="CA116">
            <v>69</v>
          </cell>
          <cell r="CB116">
            <v>2240</v>
          </cell>
          <cell r="CJ116">
            <v>140</v>
          </cell>
          <cell r="CM116">
            <v>5180</v>
          </cell>
          <cell r="CN116">
            <v>3430</v>
          </cell>
          <cell r="CO116">
            <v>6440</v>
          </cell>
          <cell r="CP116">
            <v>4760</v>
          </cell>
          <cell r="CQ116">
            <v>630</v>
          </cell>
          <cell r="CR116">
            <v>4200</v>
          </cell>
          <cell r="CS116">
            <v>420</v>
          </cell>
          <cell r="CT116">
            <v>2310</v>
          </cell>
          <cell r="CU116">
            <v>560</v>
          </cell>
          <cell r="CV116">
            <v>4410</v>
          </cell>
          <cell r="CX116">
            <v>630</v>
          </cell>
          <cell r="CY116">
            <v>350</v>
          </cell>
          <cell r="DC116">
            <v>70</v>
          </cell>
          <cell r="EH116" t="str">
            <v>ACTIVO</v>
          </cell>
          <cell r="EI116" t="str">
            <v>C</v>
          </cell>
          <cell r="EJ116">
            <v>2240</v>
          </cell>
          <cell r="EK116">
            <v>0</v>
          </cell>
          <cell r="EL116">
            <v>0</v>
          </cell>
        </row>
        <row r="117">
          <cell r="F117">
            <v>403225</v>
          </cell>
          <cell r="G117" t="str">
            <v>CUPULA 170B DEANDES</v>
          </cell>
          <cell r="H117">
            <v>1320</v>
          </cell>
          <cell r="I117">
            <v>1560</v>
          </cell>
          <cell r="J117">
            <v>1320</v>
          </cell>
          <cell r="K117">
            <v>1440</v>
          </cell>
          <cell r="L117">
            <v>1560</v>
          </cell>
          <cell r="M117">
            <v>1560</v>
          </cell>
          <cell r="N117">
            <v>1440</v>
          </cell>
          <cell r="O117">
            <v>1560</v>
          </cell>
          <cell r="P117">
            <v>1680</v>
          </cell>
          <cell r="Q117">
            <v>1220</v>
          </cell>
          <cell r="AH117">
            <v>2400</v>
          </cell>
          <cell r="AI117">
            <v>840</v>
          </cell>
          <cell r="AM117">
            <v>960</v>
          </cell>
          <cell r="AN117">
            <v>1680</v>
          </cell>
          <cell r="AO117">
            <v>1800</v>
          </cell>
          <cell r="BF117">
            <v>120</v>
          </cell>
          <cell r="EH117" t="str">
            <v>SIN USO</v>
          </cell>
          <cell r="EI117" t="str">
            <v/>
          </cell>
          <cell r="EJ117">
            <v>2160</v>
          </cell>
          <cell r="EK117">
            <v>0</v>
          </cell>
          <cell r="EL117">
            <v>0</v>
          </cell>
        </row>
        <row r="118">
          <cell r="F118">
            <v>403232</v>
          </cell>
          <cell r="G118" t="str">
            <v>CUPULA TARTA 1025-3 MONSALVE</v>
          </cell>
          <cell r="H118">
            <v>1190</v>
          </cell>
          <cell r="I118">
            <v>1400</v>
          </cell>
          <cell r="J118">
            <v>1120</v>
          </cell>
          <cell r="K118">
            <v>1400</v>
          </cell>
          <cell r="L118">
            <v>700</v>
          </cell>
          <cell r="EH118" t="str">
            <v>SIN USO</v>
          </cell>
          <cell r="EI118" t="str">
            <v/>
          </cell>
          <cell r="EJ118" t="str">
            <v/>
          </cell>
          <cell r="EK118">
            <v>0</v>
          </cell>
          <cell r="EL118">
            <v>0</v>
          </cell>
        </row>
        <row r="119">
          <cell r="F119">
            <v>107339</v>
          </cell>
          <cell r="G119" t="str">
            <v>CUPULA TARTA 1025-3 MOLDES PAC</v>
          </cell>
          <cell r="H119">
            <v>350</v>
          </cell>
          <cell r="L119">
            <v>700</v>
          </cell>
          <cell r="M119">
            <v>1400</v>
          </cell>
          <cell r="N119">
            <v>1470</v>
          </cell>
          <cell r="O119">
            <v>1330</v>
          </cell>
          <cell r="P119">
            <v>1400</v>
          </cell>
          <cell r="Q119">
            <v>1260</v>
          </cell>
          <cell r="R119">
            <v>1400</v>
          </cell>
          <cell r="S119">
            <v>1400</v>
          </cell>
          <cell r="T119">
            <v>1470</v>
          </cell>
          <cell r="U119">
            <v>1470</v>
          </cell>
          <cell r="V119">
            <v>1960</v>
          </cell>
          <cell r="W119">
            <v>1610</v>
          </cell>
          <cell r="X119">
            <v>1680</v>
          </cell>
          <cell r="Y119">
            <v>1540</v>
          </cell>
          <cell r="Z119">
            <v>2030</v>
          </cell>
          <cell r="AA119">
            <v>1400</v>
          </cell>
          <cell r="AB119">
            <v>2170</v>
          </cell>
          <cell r="AC119">
            <v>2100</v>
          </cell>
          <cell r="AD119">
            <v>3290</v>
          </cell>
          <cell r="AE119">
            <v>6020</v>
          </cell>
          <cell r="AF119">
            <v>3710</v>
          </cell>
          <cell r="AG119">
            <v>4690</v>
          </cell>
          <cell r="AH119">
            <v>5320</v>
          </cell>
          <cell r="AI119">
            <v>6160</v>
          </cell>
          <cell r="AJ119">
            <v>5810</v>
          </cell>
          <cell r="AK119">
            <v>6580</v>
          </cell>
          <cell r="AL119">
            <v>5250</v>
          </cell>
          <cell r="AM119">
            <v>6370</v>
          </cell>
          <cell r="AN119">
            <v>5530</v>
          </cell>
          <cell r="AO119">
            <v>5460</v>
          </cell>
          <cell r="AP119">
            <v>6860</v>
          </cell>
          <cell r="AQ119">
            <v>6370</v>
          </cell>
          <cell r="AR119">
            <v>6720</v>
          </cell>
          <cell r="AS119">
            <v>3920</v>
          </cell>
          <cell r="AT119">
            <v>5740</v>
          </cell>
          <cell r="AU119">
            <v>6720</v>
          </cell>
          <cell r="AV119">
            <v>6230</v>
          </cell>
          <cell r="AW119">
            <v>6090</v>
          </cell>
          <cell r="AX119">
            <v>6510</v>
          </cell>
          <cell r="AY119">
            <v>6230</v>
          </cell>
          <cell r="AZ119">
            <v>7896</v>
          </cell>
          <cell r="BA119">
            <v>6160</v>
          </cell>
          <cell r="BB119">
            <v>5404</v>
          </cell>
          <cell r="BC119">
            <v>6090</v>
          </cell>
          <cell r="BD119">
            <v>6090</v>
          </cell>
          <cell r="BE119">
            <v>6860</v>
          </cell>
          <cell r="BF119">
            <v>6860</v>
          </cell>
          <cell r="BG119">
            <v>6510</v>
          </cell>
          <cell r="BJ119">
            <v>210</v>
          </cell>
          <cell r="BK119">
            <v>3234</v>
          </cell>
          <cell r="BL119">
            <v>4298</v>
          </cell>
          <cell r="BM119">
            <v>6930</v>
          </cell>
          <cell r="BN119">
            <v>6720</v>
          </cell>
          <cell r="BO119">
            <v>5712</v>
          </cell>
          <cell r="BP119">
            <v>7070</v>
          </cell>
          <cell r="BQ119">
            <v>5530</v>
          </cell>
          <cell r="BR119">
            <v>7790</v>
          </cell>
          <cell r="BS119">
            <v>6160</v>
          </cell>
          <cell r="BT119">
            <v>6860</v>
          </cell>
          <cell r="BU119">
            <v>6930</v>
          </cell>
          <cell r="BV119">
            <v>6230</v>
          </cell>
          <cell r="BW119">
            <v>6440</v>
          </cell>
          <cell r="BX119">
            <v>6930</v>
          </cell>
          <cell r="BY119">
            <v>7560</v>
          </cell>
          <cell r="BZ119">
            <v>6160</v>
          </cell>
          <cell r="CA119">
            <v>3850</v>
          </cell>
          <cell r="CB119">
            <v>4410</v>
          </cell>
          <cell r="CC119">
            <v>4830</v>
          </cell>
          <cell r="CD119">
            <v>5040</v>
          </cell>
          <cell r="CE119">
            <v>8190</v>
          </cell>
          <cell r="CF119">
            <v>4620</v>
          </cell>
          <cell r="CG119">
            <v>4970</v>
          </cell>
          <cell r="CH119">
            <v>5110</v>
          </cell>
          <cell r="CI119">
            <v>3780</v>
          </cell>
          <cell r="CJ119">
            <v>9170</v>
          </cell>
          <cell r="CK119">
            <v>6300</v>
          </cell>
          <cell r="CL119">
            <v>5530</v>
          </cell>
          <cell r="CM119">
            <v>6300</v>
          </cell>
          <cell r="CN119">
            <v>9030</v>
          </cell>
          <cell r="CO119">
            <v>7070</v>
          </cell>
          <cell r="CP119">
            <v>7980</v>
          </cell>
          <cell r="CQ119">
            <v>6440</v>
          </cell>
          <cell r="CR119">
            <v>7000</v>
          </cell>
          <cell r="CS119">
            <v>2030</v>
          </cell>
          <cell r="CT119">
            <v>6930</v>
          </cell>
          <cell r="CU119">
            <v>6860</v>
          </cell>
          <cell r="CV119">
            <v>6440</v>
          </cell>
          <cell r="CW119">
            <v>5670</v>
          </cell>
          <cell r="CX119">
            <v>5320</v>
          </cell>
          <cell r="CY119">
            <v>5810</v>
          </cell>
          <cell r="CZ119">
            <v>5250</v>
          </cell>
          <cell r="DA119">
            <v>5110</v>
          </cell>
          <cell r="DB119">
            <v>4620</v>
          </cell>
          <cell r="DC119">
            <v>7420</v>
          </cell>
          <cell r="DD119">
            <v>5390</v>
          </cell>
          <cell r="DE119">
            <v>3431</v>
          </cell>
          <cell r="DF119">
            <v>7000</v>
          </cell>
          <cell r="DG119">
            <v>5600</v>
          </cell>
          <cell r="DH119">
            <v>2800</v>
          </cell>
          <cell r="DI119">
            <v>1680</v>
          </cell>
          <cell r="DJ119">
            <v>5520</v>
          </cell>
          <cell r="DK119">
            <v>5150</v>
          </cell>
          <cell r="DL119">
            <v>5700</v>
          </cell>
          <cell r="DM119">
            <v>4920</v>
          </cell>
          <cell r="DN119">
            <v>4780</v>
          </cell>
          <cell r="DO119">
            <v>4480</v>
          </cell>
          <cell r="DP119">
            <v>4200</v>
          </cell>
          <cell r="DQ119">
            <v>4690</v>
          </cell>
          <cell r="DR119">
            <v>4830</v>
          </cell>
          <cell r="DS119">
            <v>4970</v>
          </cell>
          <cell r="DT119">
            <v>4760</v>
          </cell>
          <cell r="DU119">
            <v>5530</v>
          </cell>
          <cell r="DV119">
            <v>5810</v>
          </cell>
          <cell r="DW119">
            <v>8610</v>
          </cell>
          <cell r="DX119">
            <v>5321</v>
          </cell>
          <cell r="DY119">
            <v>5460</v>
          </cell>
          <cell r="DZ119">
            <v>7140</v>
          </cell>
          <cell r="EA119">
            <v>5810</v>
          </cell>
          <cell r="EB119">
            <v>6160</v>
          </cell>
          <cell r="EC119">
            <v>6160</v>
          </cell>
          <cell r="ED119">
            <v>6160</v>
          </cell>
          <cell r="EE119">
            <v>5530</v>
          </cell>
          <cell r="EF119">
            <v>4830</v>
          </cell>
          <cell r="EG119">
            <v>7280</v>
          </cell>
          <cell r="EH119" t="str">
            <v>ACTIVO</v>
          </cell>
          <cell r="EI119" t="str">
            <v>B</v>
          </cell>
          <cell r="EJ119">
            <v>2240</v>
          </cell>
          <cell r="EK119">
            <v>5419.24</v>
          </cell>
          <cell r="EL119">
            <v>903.20666666666659</v>
          </cell>
        </row>
        <row r="120">
          <cell r="F120">
            <v>403338</v>
          </cell>
          <cell r="G120" t="str">
            <v>BLISTER 7189 1 PASTEL DEANDES</v>
          </cell>
          <cell r="H120">
            <v>10200</v>
          </cell>
          <cell r="I120">
            <v>10800</v>
          </cell>
          <cell r="J120">
            <v>7800</v>
          </cell>
          <cell r="K120">
            <v>11600</v>
          </cell>
          <cell r="L120">
            <v>9600</v>
          </cell>
          <cell r="M120">
            <v>9600</v>
          </cell>
          <cell r="N120">
            <v>9000</v>
          </cell>
          <cell r="O120">
            <v>8600</v>
          </cell>
          <cell r="P120">
            <v>6000</v>
          </cell>
          <cell r="Q120">
            <v>3600</v>
          </cell>
          <cell r="R120">
            <v>4200</v>
          </cell>
          <cell r="S120">
            <v>1200</v>
          </cell>
          <cell r="T120">
            <v>1200</v>
          </cell>
          <cell r="U120">
            <v>3600</v>
          </cell>
          <cell r="V120">
            <v>3600</v>
          </cell>
          <cell r="W120">
            <v>2300</v>
          </cell>
          <cell r="X120">
            <v>3600</v>
          </cell>
          <cell r="Y120">
            <v>1800</v>
          </cell>
          <cell r="Z120">
            <v>1200</v>
          </cell>
          <cell r="AA120">
            <v>3600</v>
          </cell>
          <cell r="AB120">
            <v>3600</v>
          </cell>
          <cell r="AC120">
            <v>3600</v>
          </cell>
          <cell r="AD120">
            <v>2400</v>
          </cell>
          <cell r="AE120">
            <v>1200</v>
          </cell>
          <cell r="AF120">
            <v>9600</v>
          </cell>
          <cell r="AG120">
            <v>3600</v>
          </cell>
          <cell r="AH120">
            <v>3600</v>
          </cell>
          <cell r="AI120">
            <v>3600</v>
          </cell>
          <cell r="AJ120">
            <v>6000</v>
          </cell>
          <cell r="AK120">
            <v>3600</v>
          </cell>
          <cell r="AL120">
            <v>2400</v>
          </cell>
          <cell r="AM120">
            <v>1200</v>
          </cell>
          <cell r="AN120">
            <v>3600</v>
          </cell>
          <cell r="AO120">
            <v>3600</v>
          </cell>
          <cell r="AP120">
            <v>3600</v>
          </cell>
          <cell r="AQ120">
            <v>3600</v>
          </cell>
          <cell r="AR120">
            <v>3600</v>
          </cell>
          <cell r="AS120">
            <v>1200</v>
          </cell>
          <cell r="AT120">
            <v>3600</v>
          </cell>
          <cell r="AU120">
            <v>3600</v>
          </cell>
          <cell r="AV120">
            <v>3000</v>
          </cell>
          <cell r="AW120">
            <v>3000</v>
          </cell>
          <cell r="AX120">
            <v>4200</v>
          </cell>
          <cell r="AY120">
            <v>3600</v>
          </cell>
          <cell r="AZ120">
            <v>3000</v>
          </cell>
          <cell r="BA120">
            <v>3600</v>
          </cell>
          <cell r="BB120">
            <v>3600</v>
          </cell>
          <cell r="BC120">
            <v>3600</v>
          </cell>
          <cell r="BD120">
            <v>4200</v>
          </cell>
          <cell r="BE120">
            <v>3600</v>
          </cell>
          <cell r="BF120">
            <v>3600</v>
          </cell>
          <cell r="BG120">
            <v>3000</v>
          </cell>
          <cell r="BH120">
            <v>1800</v>
          </cell>
          <cell r="BI120">
            <v>7200</v>
          </cell>
          <cell r="BJ120">
            <v>3000</v>
          </cell>
          <cell r="BK120">
            <v>8400</v>
          </cell>
          <cell r="BL120">
            <v>3600</v>
          </cell>
          <cell r="BM120">
            <v>3600</v>
          </cell>
          <cell r="BN120">
            <v>3600</v>
          </cell>
          <cell r="BO120">
            <v>3600</v>
          </cell>
          <cell r="BP120">
            <v>8400</v>
          </cell>
          <cell r="BQ120">
            <v>3000</v>
          </cell>
          <cell r="BR120">
            <v>4200</v>
          </cell>
          <cell r="BS120">
            <v>3600</v>
          </cell>
          <cell r="BT120">
            <v>3600</v>
          </cell>
          <cell r="BU120">
            <v>3600</v>
          </cell>
          <cell r="BV120">
            <v>3600</v>
          </cell>
          <cell r="BW120">
            <v>3600</v>
          </cell>
          <cell r="BX120">
            <v>3600</v>
          </cell>
          <cell r="BY120">
            <v>3600</v>
          </cell>
          <cell r="BZ120">
            <v>3600</v>
          </cell>
          <cell r="CA120">
            <v>3600</v>
          </cell>
          <cell r="CB120">
            <v>4200</v>
          </cell>
          <cell r="CC120">
            <v>3600</v>
          </cell>
          <cell r="CD120">
            <v>3600</v>
          </cell>
          <cell r="CE120">
            <v>4200</v>
          </cell>
          <cell r="CF120">
            <v>3600</v>
          </cell>
          <cell r="CG120">
            <v>4200</v>
          </cell>
          <cell r="CH120">
            <v>3600</v>
          </cell>
          <cell r="CI120">
            <v>2400</v>
          </cell>
          <cell r="CJ120">
            <v>4200</v>
          </cell>
          <cell r="CK120">
            <v>5400</v>
          </cell>
          <cell r="CL120">
            <v>4200</v>
          </cell>
          <cell r="CM120">
            <v>1800</v>
          </cell>
          <cell r="CN120">
            <v>600</v>
          </cell>
          <cell r="CO120">
            <v>3600</v>
          </cell>
          <cell r="CP120">
            <v>4200</v>
          </cell>
          <cell r="CQ120">
            <v>3600</v>
          </cell>
          <cell r="CR120">
            <v>3000</v>
          </cell>
          <cell r="CS120">
            <v>1200</v>
          </cell>
          <cell r="CT120">
            <v>3600</v>
          </cell>
          <cell r="CU120">
            <v>1200</v>
          </cell>
          <cell r="CV120">
            <v>28800</v>
          </cell>
          <cell r="CX120">
            <v>1300</v>
          </cell>
          <cell r="CY120">
            <v>2600</v>
          </cell>
          <cell r="CZ120">
            <v>3100</v>
          </cell>
          <cell r="DA120">
            <v>2400</v>
          </cell>
          <cell r="DB120">
            <v>3200</v>
          </cell>
          <cell r="DC120">
            <v>3392</v>
          </cell>
          <cell r="DD120">
            <v>3600</v>
          </cell>
          <cell r="DE120">
            <v>3001</v>
          </cell>
          <cell r="DF120">
            <v>4000</v>
          </cell>
          <cell r="DG120">
            <v>3500</v>
          </cell>
          <cell r="DH120">
            <v>1900</v>
          </cell>
          <cell r="DI120">
            <v>1200</v>
          </cell>
          <cell r="DJ120">
            <v>3600</v>
          </cell>
          <cell r="DK120">
            <v>3600</v>
          </cell>
          <cell r="DL120">
            <v>3700</v>
          </cell>
          <cell r="DM120">
            <v>4100</v>
          </cell>
          <cell r="DN120">
            <v>3800</v>
          </cell>
          <cell r="DO120">
            <v>3600</v>
          </cell>
          <cell r="DP120">
            <v>3600</v>
          </cell>
          <cell r="DQ120">
            <v>3600</v>
          </cell>
          <cell r="DR120">
            <v>3600</v>
          </cell>
          <cell r="DS120">
            <v>3600</v>
          </cell>
          <cell r="DT120">
            <v>3600</v>
          </cell>
          <cell r="DU120">
            <v>3600</v>
          </cell>
          <cell r="DV120">
            <v>3600</v>
          </cell>
          <cell r="DW120">
            <v>3600</v>
          </cell>
          <cell r="DX120">
            <v>3001</v>
          </cell>
          <cell r="DY120">
            <v>3000</v>
          </cell>
          <cell r="DZ120">
            <v>4200</v>
          </cell>
          <cell r="EA120">
            <v>600</v>
          </cell>
          <cell r="EB120">
            <v>4800</v>
          </cell>
          <cell r="EC120">
            <v>4200</v>
          </cell>
          <cell r="ED120">
            <v>3600</v>
          </cell>
          <cell r="EE120">
            <v>3600</v>
          </cell>
          <cell r="EF120">
            <v>3600</v>
          </cell>
          <cell r="EG120">
            <v>4200</v>
          </cell>
          <cell r="EH120" t="str">
            <v>ACTIVO</v>
          </cell>
          <cell r="EI120" t="str">
            <v>C</v>
          </cell>
          <cell r="EJ120">
            <v>3000</v>
          </cell>
          <cell r="EK120">
            <v>3488.04</v>
          </cell>
          <cell r="EL120">
            <v>581.34</v>
          </cell>
        </row>
        <row r="121">
          <cell r="F121">
            <v>107281</v>
          </cell>
          <cell r="G121" t="str">
            <v>BLISTER 7189 1 PASTEL BUENAVENTURA</v>
          </cell>
          <cell r="CM121">
            <v>1800</v>
          </cell>
          <cell r="CN121">
            <v>3600</v>
          </cell>
          <cell r="CO121">
            <v>600</v>
          </cell>
          <cell r="CU121">
            <v>2400</v>
          </cell>
          <cell r="CV121">
            <v>3300</v>
          </cell>
          <cell r="CW121">
            <v>4000</v>
          </cell>
          <cell r="CX121">
            <v>2500</v>
          </cell>
          <cell r="CY121">
            <v>1300</v>
          </cell>
          <cell r="CZ121">
            <v>700</v>
          </cell>
          <cell r="DA121">
            <v>2100</v>
          </cell>
          <cell r="DB121">
            <v>600</v>
          </cell>
          <cell r="DC121">
            <v>1008</v>
          </cell>
          <cell r="DG121">
            <v>700</v>
          </cell>
          <cell r="EH121" t="str">
            <v>ACTIVO</v>
          </cell>
          <cell r="EI121" t="str">
            <v>C</v>
          </cell>
          <cell r="EJ121" t="str">
            <v/>
          </cell>
          <cell r="EK121">
            <v>0</v>
          </cell>
          <cell r="EL121">
            <v>0</v>
          </cell>
        </row>
        <row r="122">
          <cell r="F122">
            <v>405501</v>
          </cell>
          <cell r="G122" t="str">
            <v>BASE TORTA CON TOPE COEXPAN</v>
          </cell>
          <cell r="CR122">
            <v>4800</v>
          </cell>
          <cell r="CU122">
            <v>3600</v>
          </cell>
          <cell r="EH122" t="str">
            <v>SIN USO</v>
          </cell>
          <cell r="EI122" t="str">
            <v>C</v>
          </cell>
          <cell r="EJ122" t="str">
            <v/>
          </cell>
          <cell r="EK122">
            <v>0</v>
          </cell>
          <cell r="EL122">
            <v>0</v>
          </cell>
        </row>
        <row r="123">
          <cell r="F123">
            <v>405490</v>
          </cell>
          <cell r="G123" t="str">
            <v>CUPULA TARTA 1025-4 FOOD PACK</v>
          </cell>
          <cell r="H123">
            <v>910</v>
          </cell>
          <cell r="BH123">
            <v>3150</v>
          </cell>
          <cell r="BI123">
            <v>280</v>
          </cell>
          <cell r="EH123" t="str">
            <v>SIN USO</v>
          </cell>
          <cell r="EI123" t="str">
            <v>C</v>
          </cell>
          <cell r="EK123">
            <v>0</v>
          </cell>
          <cell r="EL123">
            <v>0</v>
          </cell>
        </row>
        <row r="124">
          <cell r="F124">
            <v>405489</v>
          </cell>
          <cell r="G124" t="str">
            <v>CUPULA TARTA 1025-5 MOLDES PAC</v>
          </cell>
          <cell r="BI124">
            <v>6090</v>
          </cell>
          <cell r="BJ124">
            <v>5950</v>
          </cell>
          <cell r="BK124">
            <v>2716</v>
          </cell>
          <cell r="BL124">
            <v>1792</v>
          </cell>
          <cell r="EH124" t="str">
            <v>SIN USO</v>
          </cell>
          <cell r="EI124" t="str">
            <v>C</v>
          </cell>
          <cell r="EJ124" t="str">
            <v/>
          </cell>
          <cell r="EK124">
            <v>0</v>
          </cell>
          <cell r="EL124">
            <v>0</v>
          </cell>
        </row>
        <row r="125">
          <cell r="F125">
            <v>403219</v>
          </cell>
          <cell r="G125" t="str">
            <v>CAPSULA OVALADA N° 10 ARRIAZA</v>
          </cell>
          <cell r="I125">
            <v>15000</v>
          </cell>
          <cell r="J125">
            <v>15000</v>
          </cell>
          <cell r="K125">
            <v>15000</v>
          </cell>
          <cell r="M125">
            <v>15000</v>
          </cell>
          <cell r="O125">
            <v>15000</v>
          </cell>
          <cell r="U125">
            <v>25000</v>
          </cell>
          <cell r="AC125">
            <v>10000</v>
          </cell>
          <cell r="AJ125">
            <v>15000</v>
          </cell>
          <cell r="AR125">
            <v>2000</v>
          </cell>
          <cell r="AT125">
            <v>14000</v>
          </cell>
          <cell r="BC125">
            <v>13000</v>
          </cell>
          <cell r="BH125">
            <v>10000</v>
          </cell>
          <cell r="BK125">
            <v>5000</v>
          </cell>
          <cell r="BN125">
            <v>1000</v>
          </cell>
          <cell r="BO125">
            <v>2000</v>
          </cell>
          <cell r="BP125">
            <v>3000</v>
          </cell>
          <cell r="BR125">
            <v>400</v>
          </cell>
          <cell r="BT125">
            <v>3000</v>
          </cell>
          <cell r="BW125">
            <v>5000</v>
          </cell>
          <cell r="CA125">
            <v>3000</v>
          </cell>
          <cell r="CD125">
            <v>5000</v>
          </cell>
          <cell r="CF125">
            <v>5000</v>
          </cell>
          <cell r="CH125">
            <v>5000</v>
          </cell>
          <cell r="CJ125">
            <v>16000</v>
          </cell>
          <cell r="CM125">
            <v>3000</v>
          </cell>
          <cell r="CO125">
            <v>12000</v>
          </cell>
          <cell r="CV125">
            <v>10000</v>
          </cell>
          <cell r="DC125">
            <v>9000</v>
          </cell>
          <cell r="DJ125">
            <v>10000</v>
          </cell>
          <cell r="DN125">
            <v>2000</v>
          </cell>
          <cell r="DP125">
            <v>5000</v>
          </cell>
          <cell r="DS125">
            <v>2000</v>
          </cell>
          <cell r="DT125">
            <v>1000</v>
          </cell>
          <cell r="DU125">
            <v>3000</v>
          </cell>
          <cell r="DV125">
            <v>7000</v>
          </cell>
          <cell r="DX125">
            <v>40000</v>
          </cell>
          <cell r="DY125">
            <v>2000</v>
          </cell>
          <cell r="DZ125">
            <v>1000</v>
          </cell>
          <cell r="EA125">
            <v>10000</v>
          </cell>
          <cell r="EE125">
            <v>11000</v>
          </cell>
          <cell r="EH125" t="str">
            <v>ACTIVO</v>
          </cell>
          <cell r="EI125" t="str">
            <v>C</v>
          </cell>
          <cell r="EJ125">
            <v>70000</v>
          </cell>
          <cell r="EK125">
            <v>7833.333333333333</v>
          </cell>
          <cell r="EL125">
            <v>1305.5555555555554</v>
          </cell>
        </row>
        <row r="126">
          <cell r="F126">
            <v>107300</v>
          </cell>
          <cell r="G126" t="str">
            <v>COMBO 88 ALTA 12 PP MOLDES PAC</v>
          </cell>
          <cell r="H126">
            <v>5430</v>
          </cell>
          <cell r="I126">
            <v>13790</v>
          </cell>
          <cell r="J126">
            <v>8750</v>
          </cell>
          <cell r="K126">
            <v>17460</v>
          </cell>
          <cell r="L126">
            <v>5600</v>
          </cell>
          <cell r="M126">
            <v>13930</v>
          </cell>
          <cell r="N126">
            <v>11270</v>
          </cell>
          <cell r="O126">
            <v>14840</v>
          </cell>
          <cell r="P126">
            <v>7980</v>
          </cell>
          <cell r="Q126">
            <v>13160</v>
          </cell>
          <cell r="R126">
            <v>4200</v>
          </cell>
          <cell r="S126">
            <v>8330</v>
          </cell>
          <cell r="T126">
            <v>6650</v>
          </cell>
          <cell r="U126">
            <v>10080</v>
          </cell>
          <cell r="V126">
            <v>7000</v>
          </cell>
          <cell r="W126">
            <v>11410</v>
          </cell>
          <cell r="X126">
            <v>12670</v>
          </cell>
          <cell r="Y126">
            <v>8890</v>
          </cell>
          <cell r="Z126">
            <v>3850</v>
          </cell>
          <cell r="AA126">
            <v>9170</v>
          </cell>
          <cell r="AB126">
            <v>10920</v>
          </cell>
          <cell r="AC126">
            <v>15540</v>
          </cell>
          <cell r="AD126">
            <v>14420</v>
          </cell>
          <cell r="AE126">
            <v>6850</v>
          </cell>
          <cell r="AF126">
            <v>8680</v>
          </cell>
          <cell r="AG126">
            <v>11760</v>
          </cell>
          <cell r="AH126">
            <v>9100</v>
          </cell>
          <cell r="AI126">
            <v>7840</v>
          </cell>
          <cell r="AJ126">
            <v>17160</v>
          </cell>
          <cell r="AK126">
            <v>10220</v>
          </cell>
          <cell r="AL126">
            <v>16170</v>
          </cell>
          <cell r="AM126">
            <v>6650</v>
          </cell>
          <cell r="AN126">
            <v>5460</v>
          </cell>
          <cell r="AO126">
            <v>9800</v>
          </cell>
          <cell r="AP126">
            <v>15120</v>
          </cell>
          <cell r="AQ126">
            <v>9170</v>
          </cell>
          <cell r="AR126">
            <v>12530</v>
          </cell>
          <cell r="AS126">
            <v>2800</v>
          </cell>
          <cell r="AT126">
            <v>11340</v>
          </cell>
          <cell r="AU126">
            <v>15730</v>
          </cell>
          <cell r="AV126">
            <v>6120</v>
          </cell>
          <cell r="AW126">
            <v>23760</v>
          </cell>
          <cell r="AX126">
            <v>15570</v>
          </cell>
          <cell r="AY126">
            <v>12070</v>
          </cell>
          <cell r="AZ126">
            <v>13680</v>
          </cell>
          <cell r="BA126">
            <v>10660</v>
          </cell>
          <cell r="BB126">
            <v>14760</v>
          </cell>
          <cell r="BC126">
            <v>9200</v>
          </cell>
          <cell r="BD126">
            <v>10540</v>
          </cell>
          <cell r="BE126">
            <v>16810</v>
          </cell>
          <cell r="BF126">
            <v>7750</v>
          </cell>
          <cell r="BG126">
            <v>10100</v>
          </cell>
          <cell r="BH126">
            <v>6220</v>
          </cell>
          <cell r="BI126">
            <v>3680</v>
          </cell>
          <cell r="BJ126">
            <v>10291</v>
          </cell>
          <cell r="BK126">
            <v>20791</v>
          </cell>
          <cell r="BL126">
            <v>14420</v>
          </cell>
          <cell r="BM126">
            <v>12570</v>
          </cell>
          <cell r="BN126">
            <v>13120</v>
          </cell>
          <cell r="BO126">
            <v>16280</v>
          </cell>
          <cell r="BP126">
            <v>12550</v>
          </cell>
          <cell r="BQ126">
            <v>6920</v>
          </cell>
          <cell r="BR126">
            <v>20210</v>
          </cell>
          <cell r="BS126">
            <v>19530</v>
          </cell>
          <cell r="BT126">
            <v>23910</v>
          </cell>
          <cell r="BU126">
            <v>8080</v>
          </cell>
          <cell r="BV126">
            <v>14870</v>
          </cell>
          <cell r="BW126">
            <v>8680</v>
          </cell>
          <cell r="BX126">
            <v>21030</v>
          </cell>
          <cell r="BY126">
            <v>16170</v>
          </cell>
          <cell r="BZ126">
            <v>4690</v>
          </cell>
          <cell r="CA126">
            <v>9610</v>
          </cell>
          <cell r="CB126">
            <v>10780</v>
          </cell>
          <cell r="CC126">
            <v>22050</v>
          </cell>
          <cell r="CD126">
            <v>11480</v>
          </cell>
          <cell r="CE126">
            <v>13400</v>
          </cell>
          <cell r="CF126">
            <v>16590</v>
          </cell>
          <cell r="CG126">
            <v>13680</v>
          </cell>
          <cell r="CH126">
            <v>9590</v>
          </cell>
          <cell r="CI126">
            <v>9360</v>
          </cell>
          <cell r="CJ126">
            <v>12110</v>
          </cell>
          <cell r="CK126">
            <v>10920</v>
          </cell>
          <cell r="CL126">
            <v>8400</v>
          </cell>
          <cell r="CM126">
            <v>15759</v>
          </cell>
          <cell r="CN126">
            <v>15190</v>
          </cell>
          <cell r="CO126">
            <v>14210</v>
          </cell>
          <cell r="CP126">
            <v>23660</v>
          </cell>
          <cell r="CQ126">
            <v>8820</v>
          </cell>
          <cell r="CR126">
            <v>7840</v>
          </cell>
          <cell r="CS126">
            <v>2450</v>
          </cell>
          <cell r="CT126">
            <v>12600</v>
          </cell>
          <cell r="CU126">
            <v>10220</v>
          </cell>
          <cell r="CV126">
            <v>6580</v>
          </cell>
          <cell r="CW126">
            <v>3360</v>
          </cell>
          <cell r="CX126">
            <v>8890</v>
          </cell>
          <cell r="CY126">
            <v>8890</v>
          </cell>
          <cell r="CZ126">
            <v>4900</v>
          </cell>
          <cell r="DA126">
            <v>6160</v>
          </cell>
          <cell r="DB126">
            <v>5040</v>
          </cell>
          <cell r="DC126">
            <v>6860</v>
          </cell>
          <cell r="DD126">
            <v>8890</v>
          </cell>
          <cell r="DE126">
            <v>3640</v>
          </cell>
          <cell r="DF126">
            <v>7020</v>
          </cell>
          <cell r="DG126">
            <v>6300</v>
          </cell>
          <cell r="DH126">
            <v>2240</v>
          </cell>
          <cell r="DI126">
            <v>2240</v>
          </cell>
          <cell r="DJ126">
            <v>11130</v>
          </cell>
          <cell r="DK126">
            <v>2240</v>
          </cell>
          <cell r="DL126">
            <v>10950</v>
          </cell>
          <cell r="DM126">
            <v>5250</v>
          </cell>
          <cell r="DN126">
            <v>11160</v>
          </cell>
          <cell r="DO126">
            <v>10550</v>
          </cell>
          <cell r="DP126">
            <v>6230</v>
          </cell>
          <cell r="DQ126">
            <v>15050</v>
          </cell>
          <cell r="DR126">
            <v>5110</v>
          </cell>
          <cell r="DS126">
            <v>16940</v>
          </cell>
          <cell r="DT126">
            <v>12460</v>
          </cell>
          <cell r="DU126">
            <v>8820</v>
          </cell>
          <cell r="DV126">
            <v>11760</v>
          </cell>
          <cell r="DW126">
            <v>12320</v>
          </cell>
          <cell r="DX126">
            <v>7070</v>
          </cell>
          <cell r="DY126">
            <v>70</v>
          </cell>
          <cell r="DZ126">
            <v>10430</v>
          </cell>
          <cell r="EA126">
            <v>6720</v>
          </cell>
          <cell r="EB126">
            <v>8120</v>
          </cell>
          <cell r="EC126">
            <v>7000</v>
          </cell>
          <cell r="ED126">
            <v>4060</v>
          </cell>
          <cell r="EE126">
            <v>13440</v>
          </cell>
          <cell r="EF126">
            <v>2310</v>
          </cell>
          <cell r="EG126">
            <v>6860</v>
          </cell>
          <cell r="EH126" t="str">
            <v>ACTIVO</v>
          </cell>
          <cell r="EI126" t="str">
            <v>A</v>
          </cell>
          <cell r="EJ126">
            <v>2240</v>
          </cell>
          <cell r="EK126">
            <v>8331.6</v>
          </cell>
          <cell r="EL126">
            <v>1388.6000000000001</v>
          </cell>
        </row>
        <row r="127">
          <cell r="F127">
            <v>405374</v>
          </cell>
          <cell r="G127" t="str">
            <v>COMBO 88 ALTA 12 PP FOOD PACK</v>
          </cell>
          <cell r="BI127">
            <v>1620</v>
          </cell>
          <cell r="EH127" t="str">
            <v>SIN USO</v>
          </cell>
          <cell r="EI127" t="str">
            <v>C</v>
          </cell>
          <cell r="EJ127" t="str">
            <v/>
          </cell>
          <cell r="EK127">
            <v>0</v>
          </cell>
          <cell r="EL127">
            <v>0</v>
          </cell>
        </row>
        <row r="128">
          <cell r="F128">
            <v>107323</v>
          </cell>
          <cell r="G128" t="str">
            <v>COMBO 88 ALTA 12 PP LISA MOLDES PAC</v>
          </cell>
          <cell r="H128">
            <v>120</v>
          </cell>
          <cell r="L128">
            <v>300</v>
          </cell>
          <cell r="M128">
            <v>720</v>
          </cell>
          <cell r="N128">
            <v>770</v>
          </cell>
          <cell r="O128">
            <v>140</v>
          </cell>
          <cell r="Q128">
            <v>2240</v>
          </cell>
          <cell r="V128">
            <v>690</v>
          </cell>
          <cell r="W128">
            <v>1880</v>
          </cell>
          <cell r="X128">
            <v>490</v>
          </cell>
          <cell r="Y128">
            <v>420</v>
          </cell>
          <cell r="Z128">
            <v>770</v>
          </cell>
          <cell r="AA128">
            <v>730</v>
          </cell>
          <cell r="AB128">
            <v>1320</v>
          </cell>
          <cell r="AC128">
            <v>1120</v>
          </cell>
          <cell r="AD128">
            <v>2120</v>
          </cell>
          <cell r="AE128">
            <v>420</v>
          </cell>
          <cell r="AF128">
            <v>900</v>
          </cell>
          <cell r="AG128">
            <v>660</v>
          </cell>
          <cell r="AH128">
            <v>960</v>
          </cell>
          <cell r="AI128">
            <v>900</v>
          </cell>
          <cell r="AJ128">
            <v>900</v>
          </cell>
          <cell r="AK128">
            <v>1200</v>
          </cell>
          <cell r="AL128">
            <v>1920</v>
          </cell>
          <cell r="AM128">
            <v>1320</v>
          </cell>
          <cell r="AN128">
            <v>720</v>
          </cell>
          <cell r="AO128">
            <v>780</v>
          </cell>
          <cell r="AP128">
            <v>600</v>
          </cell>
          <cell r="AQ128">
            <v>2980</v>
          </cell>
          <cell r="AR128">
            <v>1140</v>
          </cell>
          <cell r="AS128">
            <v>360</v>
          </cell>
          <cell r="AT128">
            <v>300</v>
          </cell>
          <cell r="AU128">
            <v>540</v>
          </cell>
          <cell r="AV128">
            <v>480</v>
          </cell>
          <cell r="AW128">
            <v>1290</v>
          </cell>
          <cell r="AX128">
            <v>450</v>
          </cell>
          <cell r="AZ128">
            <v>1330</v>
          </cell>
          <cell r="BA128">
            <v>3220</v>
          </cell>
          <cell r="BB128">
            <v>2100</v>
          </cell>
          <cell r="BC128">
            <v>1560</v>
          </cell>
          <cell r="BD128">
            <v>1800</v>
          </cell>
          <cell r="BE128">
            <v>1260</v>
          </cell>
          <cell r="BF128">
            <v>930</v>
          </cell>
          <cell r="BG128">
            <v>660</v>
          </cell>
          <cell r="BH128">
            <v>420</v>
          </cell>
          <cell r="BI128">
            <v>1440</v>
          </cell>
          <cell r="BJ128">
            <v>780</v>
          </cell>
          <cell r="BK128">
            <v>1129</v>
          </cell>
          <cell r="BV128">
            <v>0</v>
          </cell>
          <cell r="CO128">
            <v>560</v>
          </cell>
          <cell r="CP128">
            <v>560</v>
          </cell>
          <cell r="CQ128">
            <v>280</v>
          </cell>
          <cell r="CR128">
            <v>560</v>
          </cell>
          <cell r="CS128">
            <v>280</v>
          </cell>
          <cell r="CT128">
            <v>540</v>
          </cell>
          <cell r="CU128">
            <v>540</v>
          </cell>
          <cell r="CV128">
            <v>560</v>
          </cell>
          <cell r="CW128">
            <v>700</v>
          </cell>
          <cell r="CX128">
            <v>280</v>
          </cell>
          <cell r="CY128">
            <v>700</v>
          </cell>
          <cell r="CZ128">
            <v>770</v>
          </cell>
          <cell r="DA128">
            <v>1330</v>
          </cell>
          <cell r="DB128">
            <v>490</v>
          </cell>
          <cell r="DC128">
            <v>650</v>
          </cell>
          <cell r="DD128">
            <v>900</v>
          </cell>
          <cell r="DF128">
            <v>260</v>
          </cell>
          <cell r="DG128">
            <v>140</v>
          </cell>
          <cell r="DH128">
            <v>280</v>
          </cell>
          <cell r="DJ128">
            <v>800</v>
          </cell>
          <cell r="DK128">
            <v>660</v>
          </cell>
          <cell r="DL128">
            <v>510</v>
          </cell>
          <cell r="DM128">
            <v>1140</v>
          </cell>
          <cell r="DN128">
            <v>860</v>
          </cell>
          <cell r="DO128">
            <v>840</v>
          </cell>
          <cell r="DP128">
            <v>1320</v>
          </cell>
          <cell r="DQ128">
            <v>960</v>
          </cell>
          <cell r="DR128">
            <v>600</v>
          </cell>
          <cell r="DS128">
            <v>600</v>
          </cell>
          <cell r="DT128">
            <v>780</v>
          </cell>
          <cell r="DU128">
            <v>500</v>
          </cell>
          <cell r="DV128">
            <v>540</v>
          </cell>
          <cell r="DW128">
            <v>1180</v>
          </cell>
          <cell r="DX128">
            <v>1320</v>
          </cell>
          <cell r="DY128">
            <v>1700</v>
          </cell>
          <cell r="DZ128">
            <v>1200</v>
          </cell>
          <cell r="EA128">
            <v>60</v>
          </cell>
          <cell r="EB128">
            <v>740</v>
          </cell>
          <cell r="EC128">
            <v>900</v>
          </cell>
          <cell r="ED128">
            <v>380</v>
          </cell>
          <cell r="EE128">
            <v>800</v>
          </cell>
          <cell r="EF128">
            <v>500</v>
          </cell>
          <cell r="EG128">
            <v>120</v>
          </cell>
          <cell r="EH128" t="str">
            <v>ACTIVO</v>
          </cell>
          <cell r="EI128" t="str">
            <v>C</v>
          </cell>
          <cell r="EJ128">
            <v>2240</v>
          </cell>
          <cell r="EK128">
            <v>792.08333333333337</v>
          </cell>
          <cell r="EL128">
            <v>132.01388888888889</v>
          </cell>
        </row>
        <row r="129">
          <cell r="F129">
            <v>107345</v>
          </cell>
          <cell r="G129" t="str">
            <v>CUPULA 170BX DEANDES</v>
          </cell>
          <cell r="Q129">
            <v>340</v>
          </cell>
          <cell r="R129">
            <v>1800</v>
          </cell>
          <cell r="S129">
            <v>480</v>
          </cell>
          <cell r="T129">
            <v>480</v>
          </cell>
          <cell r="U129">
            <v>1680</v>
          </cell>
          <cell r="V129">
            <v>1920</v>
          </cell>
          <cell r="W129">
            <v>1680</v>
          </cell>
          <cell r="X129">
            <v>1680</v>
          </cell>
          <cell r="Y129">
            <v>960</v>
          </cell>
          <cell r="Z129">
            <v>480</v>
          </cell>
          <cell r="AA129">
            <v>3360</v>
          </cell>
          <cell r="AB129">
            <v>4320</v>
          </cell>
          <cell r="AC129">
            <v>1920</v>
          </cell>
          <cell r="AD129">
            <v>1440</v>
          </cell>
          <cell r="AE129">
            <v>480</v>
          </cell>
          <cell r="AF129">
            <v>1200</v>
          </cell>
          <cell r="AG129">
            <v>2400</v>
          </cell>
          <cell r="AH129">
            <v>1800</v>
          </cell>
          <cell r="AI129">
            <v>1560</v>
          </cell>
          <cell r="AJ129">
            <v>3240</v>
          </cell>
          <cell r="AK129">
            <v>2640</v>
          </cell>
          <cell r="AL129">
            <v>2640</v>
          </cell>
          <cell r="AM129">
            <v>1200</v>
          </cell>
          <cell r="AN129">
            <v>240</v>
          </cell>
          <cell r="AO129">
            <v>120</v>
          </cell>
          <cell r="AP129">
            <v>2760</v>
          </cell>
          <cell r="AQ129">
            <v>1920</v>
          </cell>
          <cell r="AR129">
            <v>1920</v>
          </cell>
          <cell r="AS129">
            <v>480</v>
          </cell>
          <cell r="AT129">
            <v>1680</v>
          </cell>
          <cell r="AU129">
            <v>2160</v>
          </cell>
          <cell r="AV129">
            <v>1920</v>
          </cell>
          <cell r="AW129">
            <v>1680</v>
          </cell>
          <cell r="AX129">
            <v>1680</v>
          </cell>
          <cell r="AY129">
            <v>1440</v>
          </cell>
          <cell r="AZ129">
            <v>1440</v>
          </cell>
          <cell r="BA129">
            <v>2400</v>
          </cell>
          <cell r="BB129">
            <v>1920</v>
          </cell>
          <cell r="BC129">
            <v>1680</v>
          </cell>
          <cell r="BD129">
            <v>1680</v>
          </cell>
          <cell r="BE129">
            <v>1920</v>
          </cell>
          <cell r="BF129">
            <v>1200</v>
          </cell>
          <cell r="BG129">
            <v>240</v>
          </cell>
          <cell r="BO129">
            <v>962</v>
          </cell>
          <cell r="BP129">
            <v>1920</v>
          </cell>
          <cell r="BQ129">
            <v>1920</v>
          </cell>
          <cell r="BR129">
            <v>1920</v>
          </cell>
          <cell r="BS129">
            <v>1920</v>
          </cell>
          <cell r="BT129">
            <v>1650</v>
          </cell>
          <cell r="BU129">
            <v>2400</v>
          </cell>
          <cell r="BV129">
            <v>2400</v>
          </cell>
          <cell r="BW129">
            <v>2880</v>
          </cell>
          <cell r="BX129">
            <v>2400</v>
          </cell>
          <cell r="BY129">
            <v>1680</v>
          </cell>
          <cell r="BZ129">
            <v>240</v>
          </cell>
          <cell r="CA129">
            <v>1920</v>
          </cell>
          <cell r="CB129">
            <v>2160</v>
          </cell>
          <cell r="CC129">
            <v>2640</v>
          </cell>
          <cell r="CD129">
            <v>2640</v>
          </cell>
          <cell r="CE129">
            <v>2640</v>
          </cell>
          <cell r="CF129">
            <v>2160</v>
          </cell>
          <cell r="CG129">
            <v>1920</v>
          </cell>
          <cell r="CH129">
            <v>2160</v>
          </cell>
          <cell r="CI129">
            <v>1200</v>
          </cell>
          <cell r="CJ129">
            <v>2640</v>
          </cell>
          <cell r="CK129">
            <v>1920</v>
          </cell>
          <cell r="CL129">
            <v>1680</v>
          </cell>
          <cell r="CM129">
            <v>1680</v>
          </cell>
          <cell r="CN129">
            <v>3120</v>
          </cell>
          <cell r="CO129">
            <v>2640</v>
          </cell>
          <cell r="CP129">
            <v>3120</v>
          </cell>
          <cell r="DH129">
            <v>960</v>
          </cell>
          <cell r="DI129">
            <v>480</v>
          </cell>
          <cell r="DJ129">
            <v>1440</v>
          </cell>
          <cell r="DK129">
            <v>390</v>
          </cell>
          <cell r="DM129">
            <v>1440</v>
          </cell>
          <cell r="DN129">
            <v>1440</v>
          </cell>
          <cell r="DO129">
            <v>1440</v>
          </cell>
          <cell r="DP129">
            <v>1680</v>
          </cell>
          <cell r="DQ129">
            <v>1440</v>
          </cell>
          <cell r="DR129">
            <v>1440</v>
          </cell>
          <cell r="DS129">
            <v>2400</v>
          </cell>
          <cell r="DT129">
            <v>1440</v>
          </cell>
          <cell r="DU129">
            <v>1920</v>
          </cell>
          <cell r="DV129">
            <v>1680</v>
          </cell>
          <cell r="DW129">
            <v>1440</v>
          </cell>
          <cell r="DX129">
            <v>1201</v>
          </cell>
          <cell r="DY129">
            <v>3120</v>
          </cell>
          <cell r="DZ129">
            <v>2640</v>
          </cell>
          <cell r="EA129">
            <v>1200</v>
          </cell>
          <cell r="EB129">
            <v>2880</v>
          </cell>
          <cell r="EC129">
            <v>1920</v>
          </cell>
          <cell r="ED129">
            <v>1920</v>
          </cell>
          <cell r="EE129">
            <v>1920</v>
          </cell>
          <cell r="EF129">
            <v>1680</v>
          </cell>
          <cell r="EG129">
            <v>1920</v>
          </cell>
          <cell r="EH129" t="str">
            <v>ACTIVO</v>
          </cell>
          <cell r="EI129" t="str">
            <v>C</v>
          </cell>
          <cell r="EJ129">
            <v>2400</v>
          </cell>
          <cell r="EK129">
            <v>1686.2916666666667</v>
          </cell>
          <cell r="EL129">
            <v>281.04861111111114</v>
          </cell>
        </row>
        <row r="130">
          <cell r="F130">
            <v>405226</v>
          </cell>
          <cell r="G130" t="str">
            <v>CUPULA 170 BX BUENAVENTURA</v>
          </cell>
          <cell r="H130">
            <v>150</v>
          </cell>
          <cell r="BF130">
            <v>360</v>
          </cell>
          <cell r="BG130">
            <v>1350</v>
          </cell>
          <cell r="BH130">
            <v>960</v>
          </cell>
          <cell r="BI130">
            <v>1680</v>
          </cell>
          <cell r="BJ130">
            <v>1140</v>
          </cell>
          <cell r="BK130">
            <v>2160</v>
          </cell>
          <cell r="BL130">
            <v>2220</v>
          </cell>
          <cell r="BM130">
            <v>2432</v>
          </cell>
          <cell r="BN130">
            <v>1680</v>
          </cell>
          <cell r="BO130">
            <v>718</v>
          </cell>
          <cell r="CP130">
            <v>4500</v>
          </cell>
          <cell r="CQ130">
            <v>2640</v>
          </cell>
          <cell r="CR130">
            <v>2640</v>
          </cell>
          <cell r="CS130">
            <v>960</v>
          </cell>
          <cell r="CT130">
            <v>2400</v>
          </cell>
          <cell r="CU130">
            <v>1440</v>
          </cell>
          <cell r="CV130">
            <v>1680</v>
          </cell>
          <cell r="CW130">
            <v>1440</v>
          </cell>
          <cell r="CX130">
            <v>1440</v>
          </cell>
          <cell r="CY130">
            <v>1740</v>
          </cell>
          <cell r="CZ130">
            <v>1650</v>
          </cell>
          <cell r="DA130">
            <v>1830</v>
          </cell>
          <cell r="DB130">
            <v>1440</v>
          </cell>
          <cell r="DC130">
            <v>1680</v>
          </cell>
          <cell r="DD130">
            <v>1440</v>
          </cell>
          <cell r="DE130">
            <v>1591</v>
          </cell>
          <cell r="DF130">
            <v>1680</v>
          </cell>
          <cell r="DG130">
            <v>1680</v>
          </cell>
          <cell r="DH130">
            <v>240</v>
          </cell>
          <cell r="DK130">
            <v>1320</v>
          </cell>
          <cell r="DL130">
            <v>1320</v>
          </cell>
          <cell r="EH130" t="str">
            <v>ACTIVO</v>
          </cell>
          <cell r="EI130" t="str">
            <v>C</v>
          </cell>
          <cell r="EJ130" t="str">
            <v/>
          </cell>
          <cell r="EK130">
            <v>1320</v>
          </cell>
          <cell r="EL130">
            <v>220</v>
          </cell>
        </row>
        <row r="131">
          <cell r="F131">
            <v>405228</v>
          </cell>
          <cell r="G131" t="str">
            <v>CUPULA TORTA ALTA SISA ECOPLASTIC</v>
          </cell>
          <cell r="H131">
            <v>32200</v>
          </cell>
          <cell r="I131">
            <v>48100</v>
          </cell>
          <cell r="J131">
            <v>43600</v>
          </cell>
          <cell r="K131">
            <v>46000</v>
          </cell>
          <cell r="L131">
            <v>45400</v>
          </cell>
          <cell r="M131">
            <v>44200</v>
          </cell>
          <cell r="P131">
            <v>9400</v>
          </cell>
          <cell r="Q131">
            <v>41100</v>
          </cell>
          <cell r="R131">
            <v>49600</v>
          </cell>
          <cell r="S131">
            <v>33190</v>
          </cell>
          <cell r="T131">
            <v>35000</v>
          </cell>
          <cell r="U131">
            <v>47310</v>
          </cell>
          <cell r="V131">
            <v>51600</v>
          </cell>
          <cell r="W131">
            <v>42300</v>
          </cell>
          <cell r="X131">
            <v>67500</v>
          </cell>
          <cell r="Y131">
            <v>51850</v>
          </cell>
          <cell r="Z131">
            <v>43625</v>
          </cell>
          <cell r="AA131">
            <v>38925</v>
          </cell>
          <cell r="AB131">
            <v>600</v>
          </cell>
          <cell r="EH131" t="str">
            <v>SIN USO</v>
          </cell>
          <cell r="EI131" t="str">
            <v/>
          </cell>
          <cell r="EJ131" t="str">
            <v/>
          </cell>
          <cell r="EK131">
            <v>0</v>
          </cell>
          <cell r="EL131">
            <v>0</v>
          </cell>
        </row>
        <row r="132">
          <cell r="F132">
            <v>404314</v>
          </cell>
          <cell r="G132" t="str">
            <v>CUPULA MEDIA TORTA FOOD PACK</v>
          </cell>
          <cell r="H132">
            <v>100</v>
          </cell>
          <cell r="AT132">
            <v>200</v>
          </cell>
          <cell r="AU132">
            <v>227</v>
          </cell>
          <cell r="AV132">
            <v>412</v>
          </cell>
          <cell r="AW132">
            <v>223</v>
          </cell>
          <cell r="AX132">
            <v>401</v>
          </cell>
          <cell r="AY132">
            <v>700</v>
          </cell>
          <cell r="AZ132">
            <v>440</v>
          </cell>
          <cell r="BA132">
            <v>1100</v>
          </cell>
          <cell r="BB132">
            <v>600</v>
          </cell>
          <cell r="BC132">
            <v>400</v>
          </cell>
          <cell r="BD132">
            <v>300</v>
          </cell>
          <cell r="BE132">
            <v>400</v>
          </cell>
          <cell r="BF132">
            <v>420</v>
          </cell>
          <cell r="BG132">
            <v>200</v>
          </cell>
          <cell r="BH132">
            <v>100</v>
          </cell>
          <cell r="BI132">
            <v>400</v>
          </cell>
          <cell r="BJ132">
            <v>1482</v>
          </cell>
          <cell r="BK132">
            <v>400</v>
          </cell>
          <cell r="BL132">
            <v>400</v>
          </cell>
          <cell r="BM132">
            <v>600</v>
          </cell>
          <cell r="BN132">
            <v>300</v>
          </cell>
          <cell r="BP132">
            <v>100</v>
          </cell>
          <cell r="BR132">
            <v>100</v>
          </cell>
          <cell r="BS132">
            <v>400</v>
          </cell>
          <cell r="BT132">
            <v>500</v>
          </cell>
          <cell r="BU132">
            <v>500</v>
          </cell>
          <cell r="BV132">
            <v>300</v>
          </cell>
          <cell r="BW132">
            <v>400</v>
          </cell>
          <cell r="BX132">
            <v>400</v>
          </cell>
          <cell r="BY132">
            <v>300</v>
          </cell>
          <cell r="BZ132">
            <v>100</v>
          </cell>
          <cell r="CA132">
            <v>300</v>
          </cell>
          <cell r="CB132">
            <v>403</v>
          </cell>
          <cell r="CC132">
            <v>400</v>
          </cell>
          <cell r="CD132">
            <v>400</v>
          </cell>
          <cell r="CE132">
            <v>300</v>
          </cell>
          <cell r="CF132">
            <v>300</v>
          </cell>
          <cell r="CG132">
            <v>200</v>
          </cell>
          <cell r="CH132">
            <v>300</v>
          </cell>
          <cell r="CI132">
            <v>100</v>
          </cell>
          <cell r="CJ132">
            <v>200</v>
          </cell>
          <cell r="CK132">
            <v>400</v>
          </cell>
          <cell r="CL132">
            <v>300</v>
          </cell>
          <cell r="CM132">
            <v>400</v>
          </cell>
          <cell r="CN132">
            <v>500</v>
          </cell>
          <cell r="CO132">
            <v>400</v>
          </cell>
          <cell r="CP132">
            <v>500</v>
          </cell>
          <cell r="CQ132">
            <v>400</v>
          </cell>
          <cell r="CR132">
            <v>300</v>
          </cell>
          <cell r="CT132">
            <v>400</v>
          </cell>
          <cell r="CU132">
            <v>400</v>
          </cell>
          <cell r="CV132">
            <v>400</v>
          </cell>
          <cell r="CW132">
            <v>400</v>
          </cell>
          <cell r="CX132">
            <v>400</v>
          </cell>
          <cell r="CY132">
            <v>400</v>
          </cell>
          <cell r="CZ132">
            <v>400</v>
          </cell>
          <cell r="DA132">
            <v>500</v>
          </cell>
          <cell r="DB132">
            <v>400</v>
          </cell>
          <cell r="DC132">
            <v>500</v>
          </cell>
          <cell r="DD132">
            <v>300</v>
          </cell>
          <cell r="DE132">
            <v>300</v>
          </cell>
          <cell r="DF132">
            <v>400</v>
          </cell>
          <cell r="DG132">
            <v>500</v>
          </cell>
          <cell r="DJ132">
            <v>400</v>
          </cell>
          <cell r="DK132">
            <v>400</v>
          </cell>
          <cell r="DL132">
            <v>300</v>
          </cell>
          <cell r="DM132">
            <v>300</v>
          </cell>
          <cell r="DN132">
            <v>400</v>
          </cell>
          <cell r="DO132">
            <v>400</v>
          </cell>
          <cell r="DP132">
            <v>500</v>
          </cell>
          <cell r="DQ132">
            <v>300</v>
          </cell>
          <cell r="DR132">
            <v>400</v>
          </cell>
          <cell r="DS132">
            <v>500</v>
          </cell>
          <cell r="DT132">
            <v>500</v>
          </cell>
          <cell r="DU132">
            <v>500</v>
          </cell>
          <cell r="DV132">
            <v>400</v>
          </cell>
          <cell r="DW132">
            <v>400</v>
          </cell>
          <cell r="DX132">
            <v>401</v>
          </cell>
          <cell r="DY132">
            <v>300</v>
          </cell>
          <cell r="DZ132">
            <v>400</v>
          </cell>
          <cell r="EA132">
            <v>200</v>
          </cell>
          <cell r="EB132">
            <v>400</v>
          </cell>
          <cell r="EC132">
            <v>500</v>
          </cell>
          <cell r="ED132">
            <v>400</v>
          </cell>
          <cell r="EE132">
            <v>400</v>
          </cell>
          <cell r="EF132">
            <v>400</v>
          </cell>
          <cell r="EG132">
            <v>400</v>
          </cell>
          <cell r="EH132" t="str">
            <v>ACTIVO</v>
          </cell>
          <cell r="EI132" t="str">
            <v>C</v>
          </cell>
          <cell r="EJ132" t="str">
            <v/>
          </cell>
          <cell r="EK132">
            <v>395.875</v>
          </cell>
          <cell r="EL132">
            <v>65.979166666666671</v>
          </cell>
        </row>
        <row r="133">
          <cell r="F133">
            <v>405383</v>
          </cell>
          <cell r="G133" t="str">
            <v>ESTUCHE GALLETAS VERA Y GIANNINI</v>
          </cell>
          <cell r="AX133">
            <v>4800</v>
          </cell>
          <cell r="BG133">
            <v>4800</v>
          </cell>
          <cell r="BI133">
            <v>200</v>
          </cell>
          <cell r="BK133">
            <v>14400</v>
          </cell>
          <cell r="BT133">
            <v>4800</v>
          </cell>
          <cell r="BZ133">
            <v>4800</v>
          </cell>
          <cell r="CE133">
            <v>4800</v>
          </cell>
          <cell r="CI133">
            <v>4800</v>
          </cell>
          <cell r="CU133">
            <v>4800</v>
          </cell>
          <cell r="EH133" t="str">
            <v>ACTIVO</v>
          </cell>
          <cell r="EI133" t="str">
            <v>C</v>
          </cell>
          <cell r="EJ133">
            <v>0</v>
          </cell>
          <cell r="EK133">
            <v>0</v>
          </cell>
          <cell r="EL133">
            <v>0</v>
          </cell>
        </row>
        <row r="134">
          <cell r="F134">
            <v>405444</v>
          </cell>
          <cell r="G134" t="str">
            <v>CUPULA TORTA 15 PP ALTA COEXPAN</v>
          </cell>
          <cell r="H134">
            <v>10000</v>
          </cell>
          <cell r="AY134">
            <v>6000</v>
          </cell>
          <cell r="AZ134">
            <v>28800</v>
          </cell>
          <cell r="BA134">
            <v>36500</v>
          </cell>
          <cell r="BB134">
            <v>900</v>
          </cell>
          <cell r="BF134">
            <v>30380</v>
          </cell>
          <cell r="BG134">
            <v>36700</v>
          </cell>
          <cell r="BH134">
            <v>13800</v>
          </cell>
          <cell r="BI134">
            <v>31600</v>
          </cell>
          <cell r="BJ134">
            <v>29500</v>
          </cell>
          <cell r="BK134">
            <v>37900</v>
          </cell>
          <cell r="BL134">
            <v>34500</v>
          </cell>
          <cell r="BM134">
            <v>26100</v>
          </cell>
          <cell r="BN134">
            <v>29400</v>
          </cell>
          <cell r="BO134">
            <v>35400</v>
          </cell>
          <cell r="BP134">
            <v>21600</v>
          </cell>
          <cell r="BQ134">
            <v>32000</v>
          </cell>
          <cell r="BR134">
            <v>39680</v>
          </cell>
          <cell r="BS134">
            <v>40520</v>
          </cell>
          <cell r="BT134">
            <v>37700</v>
          </cell>
          <cell r="BU134">
            <v>36900</v>
          </cell>
          <cell r="BV134">
            <v>40940</v>
          </cell>
          <cell r="BW134">
            <v>36100</v>
          </cell>
          <cell r="BX134">
            <v>42200</v>
          </cell>
          <cell r="BY134">
            <v>37800</v>
          </cell>
          <cell r="BZ134">
            <v>43200</v>
          </cell>
          <cell r="CA134">
            <v>40900</v>
          </cell>
          <cell r="CB134">
            <v>29000</v>
          </cell>
          <cell r="CC134">
            <v>29000</v>
          </cell>
          <cell r="CD134">
            <v>33000</v>
          </cell>
          <cell r="CE134">
            <v>45000</v>
          </cell>
          <cell r="CF134">
            <v>34300</v>
          </cell>
          <cell r="CG134">
            <v>33800</v>
          </cell>
          <cell r="CH134">
            <v>31500</v>
          </cell>
          <cell r="CI134">
            <v>23700</v>
          </cell>
          <cell r="CJ134">
            <v>22900</v>
          </cell>
          <cell r="CK134">
            <v>38100</v>
          </cell>
          <cell r="CL134">
            <v>32400</v>
          </cell>
          <cell r="CM134">
            <v>41000</v>
          </cell>
          <cell r="CN134">
            <v>42600</v>
          </cell>
          <cell r="CO134">
            <v>5000</v>
          </cell>
          <cell r="CP134">
            <v>26100</v>
          </cell>
          <cell r="CQ134">
            <v>38200</v>
          </cell>
          <cell r="CR134">
            <v>47600</v>
          </cell>
          <cell r="CS134">
            <v>20800</v>
          </cell>
          <cell r="CT134">
            <v>40800</v>
          </cell>
          <cell r="CU134">
            <v>39100</v>
          </cell>
          <cell r="CV134">
            <v>40100</v>
          </cell>
          <cell r="CW134">
            <v>39100</v>
          </cell>
          <cell r="CX134">
            <v>39600</v>
          </cell>
          <cell r="CY134">
            <v>28700</v>
          </cell>
          <cell r="CZ134">
            <v>39800</v>
          </cell>
          <cell r="DA134">
            <v>38400</v>
          </cell>
          <cell r="DB134">
            <v>41800</v>
          </cell>
          <cell r="DC134">
            <v>38200</v>
          </cell>
          <cell r="DD134">
            <v>36400</v>
          </cell>
          <cell r="DE134">
            <v>35101</v>
          </cell>
          <cell r="DF134">
            <v>58200</v>
          </cell>
          <cell r="DG134">
            <v>50200</v>
          </cell>
          <cell r="DH134">
            <v>28600</v>
          </cell>
          <cell r="DI134">
            <v>17200</v>
          </cell>
          <cell r="DJ134">
            <v>50500</v>
          </cell>
          <cell r="DK134">
            <v>60500</v>
          </cell>
          <cell r="DL134">
            <v>54900</v>
          </cell>
          <cell r="DM134">
            <v>55900</v>
          </cell>
          <cell r="DN134">
            <v>55200</v>
          </cell>
          <cell r="DO134">
            <v>59000</v>
          </cell>
          <cell r="DP134">
            <v>50504</v>
          </cell>
          <cell r="DQ134">
            <v>48500</v>
          </cell>
          <cell r="DR134">
            <v>51100</v>
          </cell>
          <cell r="DS134">
            <v>48900</v>
          </cell>
          <cell r="DT134">
            <v>49600</v>
          </cell>
          <cell r="DU134">
            <v>64100</v>
          </cell>
          <cell r="DV134">
            <v>53300</v>
          </cell>
          <cell r="DW134">
            <v>57700</v>
          </cell>
          <cell r="DX134">
            <v>70601</v>
          </cell>
          <cell r="DY134">
            <v>78700</v>
          </cell>
          <cell r="DZ134">
            <v>63800</v>
          </cell>
          <cell r="EA134">
            <v>49000</v>
          </cell>
          <cell r="EB134">
            <v>64000</v>
          </cell>
          <cell r="EC134">
            <v>77200</v>
          </cell>
          <cell r="ED134">
            <v>61500</v>
          </cell>
          <cell r="EE134">
            <v>70200</v>
          </cell>
          <cell r="EF134">
            <v>63500</v>
          </cell>
          <cell r="EG134">
            <v>67100</v>
          </cell>
          <cell r="EH134" t="str">
            <v>ACTIVO</v>
          </cell>
          <cell r="EI134" t="str">
            <v>A</v>
          </cell>
          <cell r="EJ134">
            <v>100</v>
          </cell>
          <cell r="EK134">
            <v>57700.2</v>
          </cell>
          <cell r="EL134">
            <v>9616.6999999999989</v>
          </cell>
        </row>
        <row r="135">
          <cell r="F135">
            <v>405445</v>
          </cell>
          <cell r="G135" t="str">
            <v>BASE TORTA 15PP ALTA COEXPAN</v>
          </cell>
          <cell r="H135">
            <v>10000</v>
          </cell>
          <cell r="AY135">
            <v>6000</v>
          </cell>
          <cell r="AZ135">
            <v>28600</v>
          </cell>
          <cell r="BA135">
            <v>36400</v>
          </cell>
          <cell r="BB135">
            <v>600</v>
          </cell>
          <cell r="BF135">
            <v>24200</v>
          </cell>
          <cell r="BG135">
            <v>36800</v>
          </cell>
          <cell r="BH135">
            <v>14000</v>
          </cell>
          <cell r="BI135">
            <v>32000</v>
          </cell>
          <cell r="BJ135">
            <v>30000</v>
          </cell>
          <cell r="BK135">
            <v>41300</v>
          </cell>
          <cell r="BL135">
            <v>32600</v>
          </cell>
          <cell r="BM135">
            <v>25400</v>
          </cell>
          <cell r="BN135">
            <v>29600</v>
          </cell>
          <cell r="BO135">
            <v>35800</v>
          </cell>
          <cell r="BP135">
            <v>22800</v>
          </cell>
          <cell r="BQ135">
            <v>32200</v>
          </cell>
          <cell r="BR135">
            <v>39500</v>
          </cell>
          <cell r="BS135">
            <v>38800</v>
          </cell>
          <cell r="BT135">
            <v>41700</v>
          </cell>
          <cell r="BU135">
            <v>37600</v>
          </cell>
          <cell r="BV135">
            <v>40201</v>
          </cell>
          <cell r="BW135">
            <v>39800</v>
          </cell>
          <cell r="BX135">
            <v>41400</v>
          </cell>
          <cell r="BY135">
            <v>38800</v>
          </cell>
          <cell r="BZ135">
            <v>43800</v>
          </cell>
          <cell r="CA135">
            <v>41400</v>
          </cell>
          <cell r="CB135">
            <v>29600</v>
          </cell>
          <cell r="CC135">
            <v>29600</v>
          </cell>
          <cell r="CD135">
            <v>33800</v>
          </cell>
          <cell r="CE135">
            <v>45200</v>
          </cell>
          <cell r="CF135">
            <v>35600</v>
          </cell>
          <cell r="CG135">
            <v>34500</v>
          </cell>
          <cell r="CH135">
            <v>32600</v>
          </cell>
          <cell r="CI135">
            <v>25000</v>
          </cell>
          <cell r="CJ135">
            <v>21200</v>
          </cell>
          <cell r="CK135">
            <v>40200</v>
          </cell>
          <cell r="CL135">
            <v>33400</v>
          </cell>
          <cell r="CM135">
            <v>42000</v>
          </cell>
          <cell r="CN135">
            <v>43000</v>
          </cell>
          <cell r="CO135">
            <v>2900</v>
          </cell>
          <cell r="CP135">
            <v>26800</v>
          </cell>
          <cell r="CQ135">
            <v>39800</v>
          </cell>
          <cell r="CR135">
            <v>48600</v>
          </cell>
          <cell r="CS135">
            <v>21800</v>
          </cell>
          <cell r="CT135">
            <v>42400</v>
          </cell>
          <cell r="CU135">
            <v>37000</v>
          </cell>
          <cell r="CV135">
            <v>41800</v>
          </cell>
          <cell r="CW135">
            <v>41400</v>
          </cell>
          <cell r="CX135">
            <v>41200</v>
          </cell>
          <cell r="CY135">
            <v>29600</v>
          </cell>
          <cell r="CZ135">
            <v>41600</v>
          </cell>
          <cell r="DA135">
            <v>38400</v>
          </cell>
          <cell r="DB135">
            <v>42900</v>
          </cell>
          <cell r="DC135">
            <v>38600</v>
          </cell>
          <cell r="DD135">
            <v>37400</v>
          </cell>
          <cell r="DE135">
            <v>36001</v>
          </cell>
          <cell r="DF135">
            <v>60000</v>
          </cell>
          <cell r="DG135">
            <v>51000</v>
          </cell>
          <cell r="DH135">
            <v>30000</v>
          </cell>
          <cell r="DI135">
            <v>17400</v>
          </cell>
          <cell r="DJ135">
            <v>52400</v>
          </cell>
          <cell r="DK135">
            <v>61200</v>
          </cell>
          <cell r="DL135">
            <v>55500</v>
          </cell>
          <cell r="DM135">
            <v>57200</v>
          </cell>
          <cell r="DN135">
            <v>57600</v>
          </cell>
          <cell r="DO135">
            <v>57700</v>
          </cell>
          <cell r="DP135">
            <v>50800</v>
          </cell>
          <cell r="DQ135">
            <v>48600</v>
          </cell>
          <cell r="DR135">
            <v>52200</v>
          </cell>
          <cell r="DS135">
            <v>51200</v>
          </cell>
          <cell r="DT135">
            <v>51000</v>
          </cell>
          <cell r="DU135">
            <v>65200</v>
          </cell>
          <cell r="DV135">
            <v>50600</v>
          </cell>
          <cell r="DW135">
            <v>56700</v>
          </cell>
          <cell r="DX135">
            <v>72121</v>
          </cell>
          <cell r="DY135">
            <v>83800</v>
          </cell>
          <cell r="DZ135">
            <v>64800</v>
          </cell>
          <cell r="EA135">
            <v>49400</v>
          </cell>
          <cell r="EB135">
            <v>65200</v>
          </cell>
          <cell r="EC135">
            <v>78600</v>
          </cell>
          <cell r="ED135">
            <v>58800</v>
          </cell>
          <cell r="EE135">
            <v>68300</v>
          </cell>
          <cell r="EF135">
            <v>64800</v>
          </cell>
          <cell r="EG135">
            <v>68100</v>
          </cell>
          <cell r="EH135" t="str">
            <v>ACTIVO</v>
          </cell>
          <cell r="EI135" t="str">
            <v>A</v>
          </cell>
          <cell r="EJ135">
            <v>200</v>
          </cell>
          <cell r="EK135">
            <v>58368.84</v>
          </cell>
          <cell r="EL135">
            <v>9728.14</v>
          </cell>
        </row>
        <row r="136">
          <cell r="F136">
            <v>403244</v>
          </cell>
          <cell r="G136" t="str">
            <v>CUPULA 271 BX DEANDES</v>
          </cell>
          <cell r="BP136">
            <v>2400</v>
          </cell>
          <cell r="CW136">
            <v>4500</v>
          </cell>
          <cell r="EH136" t="str">
            <v>SIN USO</v>
          </cell>
          <cell r="EI136" t="str">
            <v>C</v>
          </cell>
          <cell r="EJ136" t="str">
            <v/>
          </cell>
          <cell r="EK136">
            <v>0</v>
          </cell>
          <cell r="EL136">
            <v>0</v>
          </cell>
        </row>
        <row r="137">
          <cell r="F137">
            <v>403248</v>
          </cell>
          <cell r="G137" t="str">
            <v>CUPULA 15 PP ALTA WALMART</v>
          </cell>
          <cell r="CU137">
            <v>9600</v>
          </cell>
          <cell r="EH137" t="str">
            <v>SIN USO</v>
          </cell>
          <cell r="EI137" t="str">
            <v>C</v>
          </cell>
          <cell r="EJ137" t="str">
            <v/>
          </cell>
          <cell r="EK137">
            <v>0</v>
          </cell>
          <cell r="EL137">
            <v>0</v>
          </cell>
        </row>
        <row r="138">
          <cell r="F138">
            <v>403251</v>
          </cell>
          <cell r="G138" t="str">
            <v>CUPULA 98-9 ALTA 12 PP MONSALVE</v>
          </cell>
          <cell r="BJ138">
            <v>1960</v>
          </cell>
          <cell r="EH138" t="str">
            <v>SIN USO</v>
          </cell>
          <cell r="EI138" t="str">
            <v>C</v>
          </cell>
          <cell r="EJ138">
            <v>1920</v>
          </cell>
          <cell r="EK138">
            <v>0</v>
          </cell>
          <cell r="EL138">
            <v>0</v>
          </cell>
        </row>
        <row r="139">
          <cell r="F139">
            <v>403216</v>
          </cell>
          <cell r="G139" t="str">
            <v>CUPULA 170A DEANDES</v>
          </cell>
          <cell r="BJ139">
            <v>480</v>
          </cell>
          <cell r="EH139" t="str">
            <v>SIN USO</v>
          </cell>
          <cell r="EI139" t="str">
            <v>C</v>
          </cell>
          <cell r="EJ139">
            <v>2400</v>
          </cell>
          <cell r="EK139">
            <v>0</v>
          </cell>
          <cell r="EL139">
            <v>0</v>
          </cell>
        </row>
        <row r="140">
          <cell r="F140">
            <v>403252</v>
          </cell>
          <cell r="G140" t="str">
            <v>CUPULA LISA BAJA FOOD PACK</v>
          </cell>
          <cell r="DD140">
            <v>100</v>
          </cell>
          <cell r="EH140" t="str">
            <v>SIN USO</v>
          </cell>
          <cell r="EI140" t="str">
            <v>C</v>
          </cell>
          <cell r="EJ140" t="str">
            <v/>
          </cell>
          <cell r="EK140">
            <v>0</v>
          </cell>
          <cell r="EL140">
            <v>0</v>
          </cell>
        </row>
        <row r="141">
          <cell r="F141">
            <v>405375</v>
          </cell>
          <cell r="G141" t="str">
            <v>CUPULA TORTA ALTA  15PP (98-5) FOOD PACK</v>
          </cell>
          <cell r="EF141">
            <v>4480</v>
          </cell>
          <cell r="EH141" t="str">
            <v>ACTIVO</v>
          </cell>
          <cell r="EI141" t="str">
            <v/>
          </cell>
          <cell r="EJ141" t="str">
            <v/>
          </cell>
          <cell r="EK141">
            <v>4480</v>
          </cell>
          <cell r="EL141">
            <v>746.66666666666663</v>
          </cell>
        </row>
        <row r="142">
          <cell r="H142">
            <v>81630</v>
          </cell>
          <cell r="I142">
            <v>95260</v>
          </cell>
          <cell r="J142">
            <v>80530</v>
          </cell>
          <cell r="K142">
            <v>96890</v>
          </cell>
          <cell r="L142">
            <v>68542</v>
          </cell>
          <cell r="M142">
            <v>96172</v>
          </cell>
          <cell r="N142">
            <v>69842</v>
          </cell>
          <cell r="O142">
            <v>82160</v>
          </cell>
          <cell r="P142">
            <v>60270</v>
          </cell>
          <cell r="Q142">
            <v>66910</v>
          </cell>
          <cell r="R142">
            <v>66450</v>
          </cell>
          <cell r="S142">
            <v>51460</v>
          </cell>
          <cell r="T142">
            <v>47740</v>
          </cell>
          <cell r="U142">
            <v>95860</v>
          </cell>
          <cell r="V142">
            <v>75310</v>
          </cell>
          <cell r="W142">
            <v>64540</v>
          </cell>
          <cell r="X142">
            <v>91610</v>
          </cell>
          <cell r="Y142">
            <v>77360</v>
          </cell>
          <cell r="Z142">
            <v>59305</v>
          </cell>
          <cell r="AA142">
            <v>65100</v>
          </cell>
          <cell r="AB142">
            <v>79910</v>
          </cell>
          <cell r="AC142">
            <v>83880</v>
          </cell>
          <cell r="AD142">
            <v>83230</v>
          </cell>
          <cell r="AE142">
            <v>86370</v>
          </cell>
          <cell r="AF142">
            <v>76310</v>
          </cell>
          <cell r="AG142">
            <v>77030</v>
          </cell>
          <cell r="AH142">
            <v>72760</v>
          </cell>
          <cell r="AI142">
            <v>75100</v>
          </cell>
          <cell r="AJ142">
            <v>108270</v>
          </cell>
          <cell r="AK142">
            <v>91525</v>
          </cell>
          <cell r="AL142">
            <v>113280</v>
          </cell>
          <cell r="AM142">
            <v>72580</v>
          </cell>
          <cell r="AN142">
            <v>74870</v>
          </cell>
          <cell r="AO142">
            <v>69090</v>
          </cell>
          <cell r="AP142">
            <v>81930</v>
          </cell>
          <cell r="AQ142">
            <v>80620</v>
          </cell>
          <cell r="AR142">
            <v>87760</v>
          </cell>
          <cell r="AS142">
            <v>33860</v>
          </cell>
          <cell r="AT142">
            <v>86920</v>
          </cell>
          <cell r="AU142">
            <v>82007</v>
          </cell>
          <cell r="AV142">
            <v>83022</v>
          </cell>
          <cell r="AW142">
            <v>75043</v>
          </cell>
          <cell r="AX142">
            <v>104801</v>
          </cell>
          <cell r="AY142">
            <v>87970</v>
          </cell>
          <cell r="AZ142">
            <v>111116</v>
          </cell>
          <cell r="BA142">
            <v>125030</v>
          </cell>
          <cell r="BB142">
            <v>96240</v>
          </cell>
          <cell r="BC142">
            <v>92960</v>
          </cell>
          <cell r="BD142">
            <v>81450</v>
          </cell>
          <cell r="BE142">
            <v>85271.5</v>
          </cell>
          <cell r="BF142">
            <v>106200</v>
          </cell>
          <cell r="BG142">
            <v>123670</v>
          </cell>
          <cell r="BH142">
            <v>58570</v>
          </cell>
          <cell r="BI142">
            <v>120700</v>
          </cell>
          <cell r="BJ142">
            <v>105892</v>
          </cell>
          <cell r="BK142">
            <v>167440</v>
          </cell>
          <cell r="BL142">
            <v>121230</v>
          </cell>
          <cell r="BM142">
            <v>112392</v>
          </cell>
          <cell r="BN142">
            <v>118320</v>
          </cell>
          <cell r="BO142">
            <v>128032</v>
          </cell>
          <cell r="BP142">
            <v>102900</v>
          </cell>
          <cell r="BQ142">
            <v>113650</v>
          </cell>
          <cell r="BR142">
            <v>136390</v>
          </cell>
          <cell r="BS142">
            <v>128230</v>
          </cell>
          <cell r="BT142">
            <v>155400</v>
          </cell>
          <cell r="BU142">
            <v>123451.056</v>
          </cell>
          <cell r="BV142">
            <v>132411</v>
          </cell>
          <cell r="BW142">
            <v>136290</v>
          </cell>
          <cell r="BX142">
            <v>145540</v>
          </cell>
          <cell r="BY142">
            <v>139230</v>
          </cell>
          <cell r="BZ142">
            <v>124230</v>
          </cell>
          <cell r="CA142">
            <v>130270.06</v>
          </cell>
          <cell r="CB142">
            <v>124653</v>
          </cell>
          <cell r="CC142">
            <v>124320</v>
          </cell>
          <cell r="CD142">
            <v>128000</v>
          </cell>
          <cell r="CE142">
            <v>144730</v>
          </cell>
          <cell r="CF142">
            <v>127300</v>
          </cell>
          <cell r="CG142">
            <v>122600</v>
          </cell>
          <cell r="CH142">
            <v>107150</v>
          </cell>
          <cell r="CI142">
            <v>90780</v>
          </cell>
          <cell r="CJ142">
            <v>129580</v>
          </cell>
          <cell r="CK142">
            <v>139920</v>
          </cell>
          <cell r="CL142">
            <v>110270</v>
          </cell>
          <cell r="CM142">
            <v>146829</v>
          </cell>
          <cell r="CN142">
            <v>143820</v>
          </cell>
          <cell r="CO142">
            <v>109460</v>
          </cell>
          <cell r="CP142">
            <v>147120</v>
          </cell>
          <cell r="CQ142">
            <v>131680</v>
          </cell>
          <cell r="CR142">
            <v>156780</v>
          </cell>
          <cell r="CS142">
            <v>62330</v>
          </cell>
          <cell r="CT142">
            <v>135570</v>
          </cell>
          <cell r="CU142">
            <v>141510</v>
          </cell>
          <cell r="CV142">
            <v>172840</v>
          </cell>
          <cell r="CW142">
            <v>126190</v>
          </cell>
          <cell r="CX142">
            <v>131310</v>
          </cell>
          <cell r="CY142">
            <v>102210</v>
          </cell>
          <cell r="CZ142">
            <v>126800</v>
          </cell>
          <cell r="DA142">
            <v>121710</v>
          </cell>
          <cell r="DB142">
            <v>129750</v>
          </cell>
          <cell r="DC142">
            <v>130830</v>
          </cell>
          <cell r="DD142">
            <v>114160</v>
          </cell>
          <cell r="DE142">
            <v>103297</v>
          </cell>
          <cell r="DF142">
            <v>144440</v>
          </cell>
          <cell r="DG142">
            <v>124730</v>
          </cell>
          <cell r="DH142">
            <v>69610</v>
          </cell>
          <cell r="DI142">
            <v>41180</v>
          </cell>
          <cell r="DJ142">
            <v>146150</v>
          </cell>
          <cell r="DK142">
            <v>141830</v>
          </cell>
          <cell r="DL142">
            <v>144850</v>
          </cell>
          <cell r="DM142">
            <v>137670</v>
          </cell>
          <cell r="DN142">
            <v>144940</v>
          </cell>
          <cell r="DO142">
            <v>147670</v>
          </cell>
          <cell r="DP142">
            <v>129574</v>
          </cell>
          <cell r="DQ142">
            <v>129790</v>
          </cell>
          <cell r="DR142">
            <v>126630</v>
          </cell>
          <cell r="DS142">
            <v>134680</v>
          </cell>
          <cell r="DT142">
            <v>131860</v>
          </cell>
          <cell r="DU142">
            <v>157020</v>
          </cell>
          <cell r="DV142">
            <v>140850</v>
          </cell>
          <cell r="DW142">
            <v>147200</v>
          </cell>
          <cell r="DX142">
            <v>206847</v>
          </cell>
          <cell r="DY142">
            <v>193200</v>
          </cell>
          <cell r="DZ142">
            <v>174230</v>
          </cell>
          <cell r="EA142">
            <v>132510</v>
          </cell>
          <cell r="EB142">
            <v>160700</v>
          </cell>
          <cell r="EC142">
            <v>187820</v>
          </cell>
          <cell r="ED142">
            <v>145643</v>
          </cell>
          <cell r="EE142">
            <v>193810</v>
          </cell>
          <cell r="EF142">
            <v>160310</v>
          </cell>
          <cell r="EG142">
            <v>170050</v>
          </cell>
          <cell r="EH142" t="str">
            <v>ACTIVO</v>
          </cell>
          <cell r="EI142" t="str">
            <v/>
          </cell>
          <cell r="EJ142" t="str">
            <v/>
          </cell>
          <cell r="EK142">
            <v>149080.56</v>
          </cell>
          <cell r="EL142">
            <v>24846.76</v>
          </cell>
        </row>
        <row r="143">
          <cell r="F143">
            <v>404718</v>
          </cell>
          <cell r="G143" t="str">
            <v>ETIQUETA BLANCA 100x80 SISA</v>
          </cell>
          <cell r="I143">
            <v>13000</v>
          </cell>
          <cell r="J143">
            <v>22000</v>
          </cell>
          <cell r="K143">
            <v>10000</v>
          </cell>
          <cell r="L143">
            <v>14000</v>
          </cell>
          <cell r="M143">
            <v>12000</v>
          </cell>
          <cell r="P143">
            <v>12000</v>
          </cell>
          <cell r="Q143">
            <v>6000</v>
          </cell>
          <cell r="S143">
            <v>2000</v>
          </cell>
          <cell r="T143">
            <v>16000</v>
          </cell>
          <cell r="U143">
            <v>2000</v>
          </cell>
          <cell r="V143">
            <v>2000</v>
          </cell>
          <cell r="W143">
            <v>2000</v>
          </cell>
          <cell r="X143">
            <v>4000</v>
          </cell>
          <cell r="Y143">
            <v>2000</v>
          </cell>
          <cell r="AA143">
            <v>2000</v>
          </cell>
          <cell r="AB143">
            <v>4000</v>
          </cell>
          <cell r="AC143">
            <v>2000</v>
          </cell>
          <cell r="AD143">
            <v>4000</v>
          </cell>
          <cell r="AE143">
            <v>4000</v>
          </cell>
          <cell r="AF143">
            <v>2000</v>
          </cell>
          <cell r="AG143">
            <v>4000</v>
          </cell>
          <cell r="AH143">
            <v>2000</v>
          </cell>
          <cell r="AI143">
            <v>2000</v>
          </cell>
          <cell r="AJ143">
            <v>4000</v>
          </cell>
          <cell r="AK143">
            <v>3000</v>
          </cell>
          <cell r="AL143">
            <v>2000</v>
          </cell>
          <cell r="AM143">
            <v>4000</v>
          </cell>
          <cell r="AN143">
            <v>2000</v>
          </cell>
          <cell r="AO143">
            <v>2000</v>
          </cell>
          <cell r="AP143">
            <v>2000</v>
          </cell>
          <cell r="AQ143">
            <v>2000</v>
          </cell>
          <cell r="AR143">
            <v>2000</v>
          </cell>
          <cell r="AS143">
            <v>4000</v>
          </cell>
          <cell r="AT143">
            <v>4000</v>
          </cell>
          <cell r="AU143">
            <v>4000</v>
          </cell>
          <cell r="AV143">
            <v>2000</v>
          </cell>
          <cell r="AW143">
            <v>2000</v>
          </cell>
          <cell r="AX143">
            <v>4000</v>
          </cell>
          <cell r="AY143">
            <v>4000</v>
          </cell>
          <cell r="BA143">
            <v>5000</v>
          </cell>
          <cell r="BB143">
            <v>6000</v>
          </cell>
          <cell r="BD143">
            <v>2000</v>
          </cell>
          <cell r="BE143">
            <v>8000</v>
          </cell>
          <cell r="BF143">
            <v>2</v>
          </cell>
          <cell r="BG143">
            <v>7998</v>
          </cell>
          <cell r="BH143">
            <v>4000</v>
          </cell>
          <cell r="BJ143">
            <v>4000</v>
          </cell>
          <cell r="BK143">
            <v>8000</v>
          </cell>
          <cell r="BM143">
            <v>2000</v>
          </cell>
          <cell r="BN143">
            <v>2000</v>
          </cell>
          <cell r="BO143">
            <v>2000</v>
          </cell>
          <cell r="BQ143">
            <v>12000</v>
          </cell>
          <cell r="BR143">
            <v>4000</v>
          </cell>
          <cell r="BT143">
            <v>8000</v>
          </cell>
          <cell r="BV143">
            <v>9000</v>
          </cell>
          <cell r="BW143">
            <v>4000</v>
          </cell>
          <cell r="BX143">
            <v>4000</v>
          </cell>
          <cell r="BY143">
            <v>2000</v>
          </cell>
          <cell r="CA143">
            <v>4000</v>
          </cell>
          <cell r="CB143">
            <v>4000</v>
          </cell>
          <cell r="CD143">
            <v>2000</v>
          </cell>
          <cell r="CE143">
            <v>4000</v>
          </cell>
          <cell r="CF143">
            <v>4000</v>
          </cell>
          <cell r="CG143">
            <v>8000</v>
          </cell>
          <cell r="CI143">
            <v>4000</v>
          </cell>
          <cell r="CJ143">
            <v>6000</v>
          </cell>
          <cell r="CL143">
            <v>2000</v>
          </cell>
          <cell r="CM143">
            <v>4000</v>
          </cell>
          <cell r="CN143">
            <v>5000</v>
          </cell>
          <cell r="CO143">
            <v>2000</v>
          </cell>
          <cell r="CP143">
            <v>2000</v>
          </cell>
          <cell r="CQ143">
            <v>2000</v>
          </cell>
          <cell r="CT143">
            <v>4000</v>
          </cell>
          <cell r="CU143">
            <v>2000</v>
          </cell>
          <cell r="CV143">
            <v>1000</v>
          </cell>
          <cell r="CW143">
            <v>1000</v>
          </cell>
          <cell r="CX143">
            <v>3000</v>
          </cell>
          <cell r="CY143">
            <v>10000</v>
          </cell>
          <cell r="CZ143">
            <v>2000</v>
          </cell>
          <cell r="DB143">
            <v>4000</v>
          </cell>
          <cell r="DC143">
            <v>2000</v>
          </cell>
          <cell r="DD143">
            <v>4000</v>
          </cell>
          <cell r="DE143">
            <v>5000</v>
          </cell>
          <cell r="DF143">
            <v>2000</v>
          </cell>
          <cell r="DG143">
            <v>2000</v>
          </cell>
          <cell r="DJ143">
            <v>2000</v>
          </cell>
          <cell r="DK143">
            <v>4000</v>
          </cell>
          <cell r="DL143">
            <v>2000</v>
          </cell>
          <cell r="DM143">
            <v>2000</v>
          </cell>
          <cell r="DN143">
            <v>2000</v>
          </cell>
          <cell r="DO143">
            <v>2000</v>
          </cell>
          <cell r="DP143">
            <v>2000</v>
          </cell>
          <cell r="DQ143">
            <v>2000</v>
          </cell>
          <cell r="DR143">
            <v>2000</v>
          </cell>
          <cell r="DS143">
            <v>2000</v>
          </cell>
          <cell r="DT143">
            <v>4000</v>
          </cell>
          <cell r="DU143">
            <v>6000</v>
          </cell>
          <cell r="DV143">
            <v>8000</v>
          </cell>
          <cell r="DW143">
            <v>2000</v>
          </cell>
          <cell r="DX143">
            <v>2000</v>
          </cell>
          <cell r="DY143">
            <v>2000</v>
          </cell>
          <cell r="DZ143">
            <v>6000</v>
          </cell>
          <cell r="EA143">
            <v>2000</v>
          </cell>
          <cell r="EB143">
            <v>4000</v>
          </cell>
          <cell r="EC143">
            <v>2000</v>
          </cell>
          <cell r="ED143">
            <v>3000</v>
          </cell>
          <cell r="EE143">
            <v>2000</v>
          </cell>
          <cell r="EF143">
            <v>2000</v>
          </cell>
          <cell r="EG143">
            <v>8000</v>
          </cell>
          <cell r="EH143" t="str">
            <v>ACTIVO</v>
          </cell>
          <cell r="EI143" t="str">
            <v>C</v>
          </cell>
          <cell r="EJ143">
            <v>20000</v>
          </cell>
          <cell r="EK143">
            <v>3125</v>
          </cell>
          <cell r="EL143">
            <v>520.83333333333337</v>
          </cell>
        </row>
        <row r="144">
          <cell r="F144">
            <v>404719</v>
          </cell>
          <cell r="G144" t="str">
            <v>ETIQUETA BLANCA 100x120 SISA</v>
          </cell>
          <cell r="AH144">
            <v>4000</v>
          </cell>
          <cell r="AL144">
            <v>10000</v>
          </cell>
          <cell r="AP144">
            <v>10000</v>
          </cell>
          <cell r="AV144">
            <v>20000</v>
          </cell>
          <cell r="BB144">
            <v>30000</v>
          </cell>
          <cell r="BD144">
            <v>30000</v>
          </cell>
          <cell r="BN144">
            <v>30000</v>
          </cell>
          <cell r="BS144">
            <v>0</v>
          </cell>
          <cell r="BT144">
            <v>5000</v>
          </cell>
          <cell r="CE144">
            <v>10000</v>
          </cell>
          <cell r="CF144">
            <v>24000</v>
          </cell>
          <cell r="CG144">
            <v>3000</v>
          </cell>
          <cell r="CJ144">
            <v>20000</v>
          </cell>
          <cell r="CT144">
            <v>2000</v>
          </cell>
          <cell r="CU144">
            <v>40000</v>
          </cell>
          <cell r="CW144">
            <v>4000</v>
          </cell>
          <cell r="DB144">
            <v>30000</v>
          </cell>
          <cell r="DC144">
            <v>28000</v>
          </cell>
          <cell r="EH144" t="str">
            <v>CURICO</v>
          </cell>
          <cell r="EI144" t="str">
            <v>C</v>
          </cell>
          <cell r="EJ144" t="str">
            <v/>
          </cell>
          <cell r="EK144">
            <v>0</v>
          </cell>
          <cell r="EL144">
            <v>0</v>
          </cell>
        </row>
        <row r="145">
          <cell r="F145">
            <v>404720</v>
          </cell>
          <cell r="G145" t="str">
            <v>ETIQUETA BLANCA 100x50</v>
          </cell>
          <cell r="N145">
            <v>30000</v>
          </cell>
          <cell r="P145">
            <v>2500</v>
          </cell>
          <cell r="R145">
            <v>20000</v>
          </cell>
          <cell r="Y145">
            <v>30000</v>
          </cell>
          <cell r="AG145">
            <v>20000</v>
          </cell>
          <cell r="AI145">
            <v>40000</v>
          </cell>
          <cell r="AO145">
            <v>50000</v>
          </cell>
          <cell r="AW145">
            <v>30000</v>
          </cell>
          <cell r="BD145">
            <v>10000</v>
          </cell>
          <cell r="BE145">
            <v>30000</v>
          </cell>
          <cell r="BN145">
            <v>30000</v>
          </cell>
          <cell r="BP145">
            <v>30000</v>
          </cell>
          <cell r="CB145">
            <v>50000</v>
          </cell>
          <cell r="CH145">
            <v>50000</v>
          </cell>
          <cell r="CU145">
            <v>50000</v>
          </cell>
          <cell r="DD145">
            <v>50000</v>
          </cell>
          <cell r="DN145">
            <v>30000</v>
          </cell>
          <cell r="DR145">
            <v>70000</v>
          </cell>
          <cell r="ED145">
            <v>260000</v>
          </cell>
          <cell r="EG145">
            <v>60000</v>
          </cell>
          <cell r="EH145" t="str">
            <v>CURICO</v>
          </cell>
          <cell r="EI145" t="str">
            <v>C</v>
          </cell>
          <cell r="EJ145" t="str">
            <v/>
          </cell>
          <cell r="EK145">
            <v>105000</v>
          </cell>
          <cell r="EL145">
            <v>17500</v>
          </cell>
        </row>
        <row r="146">
          <cell r="F146">
            <v>404722</v>
          </cell>
          <cell r="G146" t="str">
            <v>ETIQUETA BLANCA 30X40</v>
          </cell>
          <cell r="J146">
            <v>60000</v>
          </cell>
          <cell r="P146">
            <v>100000</v>
          </cell>
          <cell r="U146">
            <v>50000</v>
          </cell>
          <cell r="AC146">
            <v>40000</v>
          </cell>
          <cell r="AE146">
            <v>60000</v>
          </cell>
          <cell r="AI146">
            <v>50000</v>
          </cell>
          <cell r="AL146">
            <v>30000</v>
          </cell>
          <cell r="AO146">
            <v>30000</v>
          </cell>
          <cell r="AR146">
            <v>60000</v>
          </cell>
          <cell r="AW146">
            <v>50000</v>
          </cell>
          <cell r="BB146">
            <v>50000</v>
          </cell>
          <cell r="BD146">
            <v>50000</v>
          </cell>
          <cell r="BL146">
            <v>60000</v>
          </cell>
          <cell r="BQ146">
            <v>60000</v>
          </cell>
          <cell r="BT146">
            <v>50000</v>
          </cell>
          <cell r="BY146">
            <v>50000</v>
          </cell>
          <cell r="CA146">
            <v>10000</v>
          </cell>
          <cell r="CB146">
            <v>20000</v>
          </cell>
          <cell r="CD146">
            <v>13000</v>
          </cell>
          <cell r="CE146">
            <v>57000</v>
          </cell>
          <cell r="CF146">
            <v>50000</v>
          </cell>
          <cell r="CK146">
            <v>100000</v>
          </cell>
          <cell r="CM146">
            <v>10000</v>
          </cell>
          <cell r="CP146">
            <v>110000</v>
          </cell>
          <cell r="CT146">
            <v>5000</v>
          </cell>
          <cell r="CU146">
            <v>200000</v>
          </cell>
          <cell r="CW146">
            <v>20000</v>
          </cell>
          <cell r="CY146">
            <v>150000</v>
          </cell>
          <cell r="DL146">
            <v>150000</v>
          </cell>
          <cell r="DP146">
            <v>100000</v>
          </cell>
          <cell r="DW146">
            <v>100000</v>
          </cell>
          <cell r="EF146">
            <v>150000</v>
          </cell>
          <cell r="EH146" t="str">
            <v>CURICO</v>
          </cell>
          <cell r="EI146" t="str">
            <v>C</v>
          </cell>
          <cell r="EJ146" t="str">
            <v/>
          </cell>
          <cell r="EK146">
            <v>125000</v>
          </cell>
          <cell r="EL146">
            <v>20833.333333333332</v>
          </cell>
        </row>
        <row r="147">
          <cell r="F147">
            <v>404731</v>
          </cell>
          <cell r="G147" t="str">
            <v>ETIQUETA  4,2X6cm IMPR.PASTEL 5 COLOR + BARNIZ UV</v>
          </cell>
          <cell r="I147">
            <v>2500</v>
          </cell>
          <cell r="J147">
            <v>5500</v>
          </cell>
          <cell r="K147">
            <v>3000</v>
          </cell>
          <cell r="L147">
            <v>7500</v>
          </cell>
          <cell r="O147">
            <v>2000</v>
          </cell>
          <cell r="P147">
            <v>2000</v>
          </cell>
          <cell r="Q147">
            <v>2000</v>
          </cell>
          <cell r="T147">
            <v>2000</v>
          </cell>
          <cell r="U147">
            <v>2000</v>
          </cell>
          <cell r="V147">
            <v>2000</v>
          </cell>
          <cell r="W147">
            <v>2000</v>
          </cell>
          <cell r="X147">
            <v>2000</v>
          </cell>
          <cell r="AA147">
            <v>2000</v>
          </cell>
          <cell r="AB147">
            <v>4000</v>
          </cell>
          <cell r="AC147">
            <v>2000</v>
          </cell>
          <cell r="AE147">
            <v>2000</v>
          </cell>
          <cell r="AF147">
            <v>2000</v>
          </cell>
          <cell r="AG147">
            <v>2500</v>
          </cell>
          <cell r="AH147">
            <v>2000</v>
          </cell>
          <cell r="AI147">
            <v>2000</v>
          </cell>
          <cell r="AJ147">
            <v>2000</v>
          </cell>
          <cell r="AK147">
            <v>2500</v>
          </cell>
          <cell r="AM147">
            <v>2500</v>
          </cell>
          <cell r="AN147">
            <v>2500</v>
          </cell>
          <cell r="AO147">
            <v>5000</v>
          </cell>
          <cell r="AQ147">
            <v>2500</v>
          </cell>
          <cell r="AS147">
            <v>2500</v>
          </cell>
          <cell r="AT147">
            <v>2500</v>
          </cell>
          <cell r="AV147">
            <v>2500</v>
          </cell>
          <cell r="AW147">
            <v>2500</v>
          </cell>
          <cell r="AX147">
            <v>5000</v>
          </cell>
          <cell r="AY147">
            <v>2500</v>
          </cell>
          <cell r="BA147">
            <v>5000</v>
          </cell>
          <cell r="BD147">
            <v>2500</v>
          </cell>
          <cell r="BE147">
            <v>2500</v>
          </cell>
          <cell r="BF147">
            <v>1</v>
          </cell>
          <cell r="BG147">
            <v>4999</v>
          </cell>
          <cell r="BH147">
            <v>2500</v>
          </cell>
          <cell r="BK147">
            <v>5000</v>
          </cell>
          <cell r="BM147">
            <v>2500</v>
          </cell>
          <cell r="BN147">
            <v>2500</v>
          </cell>
          <cell r="BO147">
            <v>10000</v>
          </cell>
          <cell r="BQ147">
            <v>2500</v>
          </cell>
          <cell r="BR147">
            <v>2500</v>
          </cell>
          <cell r="BT147">
            <v>5000</v>
          </cell>
          <cell r="BV147">
            <v>2500</v>
          </cell>
          <cell r="BW147">
            <v>2500</v>
          </cell>
          <cell r="BX147">
            <v>2500</v>
          </cell>
          <cell r="BY147">
            <v>5000</v>
          </cell>
          <cell r="CA147">
            <v>10000</v>
          </cell>
          <cell r="CB147">
            <v>2500</v>
          </cell>
          <cell r="CD147">
            <v>2500</v>
          </cell>
          <cell r="CE147">
            <v>5000</v>
          </cell>
          <cell r="CF147">
            <v>5000</v>
          </cell>
          <cell r="CG147">
            <v>2500</v>
          </cell>
          <cell r="CI147">
            <v>10000</v>
          </cell>
          <cell r="CJ147">
            <v>2500</v>
          </cell>
          <cell r="CL147">
            <v>2500</v>
          </cell>
          <cell r="CM147">
            <v>5000</v>
          </cell>
          <cell r="CN147">
            <v>3000</v>
          </cell>
          <cell r="CU147">
            <v>12500</v>
          </cell>
          <cell r="CV147">
            <v>2500</v>
          </cell>
          <cell r="CW147">
            <v>2500</v>
          </cell>
          <cell r="CY147">
            <v>3500</v>
          </cell>
          <cell r="CZ147">
            <v>5000</v>
          </cell>
          <cell r="DB147">
            <v>2500</v>
          </cell>
          <cell r="DC147">
            <v>1500</v>
          </cell>
          <cell r="DF147">
            <v>5000</v>
          </cell>
          <cell r="DG147">
            <v>2500</v>
          </cell>
          <cell r="DJ147">
            <v>2500</v>
          </cell>
          <cell r="DK147">
            <v>5000</v>
          </cell>
          <cell r="DL147">
            <v>2500</v>
          </cell>
          <cell r="DN147">
            <v>5000</v>
          </cell>
          <cell r="DO147">
            <v>2500</v>
          </cell>
          <cell r="DQ147">
            <v>1500</v>
          </cell>
          <cell r="DR147">
            <v>2500</v>
          </cell>
          <cell r="DS147">
            <v>2500</v>
          </cell>
          <cell r="DT147">
            <v>2500</v>
          </cell>
          <cell r="DU147">
            <v>2500</v>
          </cell>
          <cell r="DX147">
            <v>2500</v>
          </cell>
          <cell r="DY147">
            <v>2500</v>
          </cell>
          <cell r="EB147">
            <v>2500</v>
          </cell>
          <cell r="ED147">
            <v>2500</v>
          </cell>
          <cell r="EH147" t="str">
            <v>SIN USO</v>
          </cell>
          <cell r="EI147" t="str">
            <v>C</v>
          </cell>
          <cell r="EJ147">
            <v>10000</v>
          </cell>
          <cell r="EK147">
            <v>2785.7142857142858</v>
          </cell>
          <cell r="EL147">
            <v>464.28571428571428</v>
          </cell>
        </row>
        <row r="148">
          <cell r="F148">
            <v>405461</v>
          </cell>
          <cell r="G148" t="str">
            <v>ETIQUETA CIRCULAR 4cm IMPR. PASTEL SISA</v>
          </cell>
          <cell r="CP148">
            <v>2500</v>
          </cell>
          <cell r="CT148">
            <v>6000</v>
          </cell>
          <cell r="DE148">
            <v>2500</v>
          </cell>
          <cell r="DG148">
            <v>5000</v>
          </cell>
          <cell r="DU148">
            <v>2500</v>
          </cell>
          <cell r="DZ148">
            <v>2500</v>
          </cell>
          <cell r="EG148">
            <v>5000</v>
          </cell>
          <cell r="EH148" t="str">
            <v>ACTIVO</v>
          </cell>
          <cell r="EI148" t="str">
            <v>C</v>
          </cell>
          <cell r="EJ148" t="str">
            <v/>
          </cell>
          <cell r="EK148">
            <v>3333.3333333333335</v>
          </cell>
          <cell r="EL148">
            <v>555.55555555555554</v>
          </cell>
        </row>
        <row r="149">
          <cell r="F149">
            <v>404735</v>
          </cell>
          <cell r="G149" t="str">
            <v>ETIQUETA CIRCULAR 9,8cm IMPR. TARTA  5 COL +UV</v>
          </cell>
          <cell r="I149">
            <v>2000</v>
          </cell>
          <cell r="J149">
            <v>2000</v>
          </cell>
          <cell r="K149">
            <v>2000</v>
          </cell>
          <cell r="O149">
            <v>2000</v>
          </cell>
          <cell r="P149">
            <v>2000</v>
          </cell>
          <cell r="Q149">
            <v>2000</v>
          </cell>
          <cell r="T149">
            <v>2000</v>
          </cell>
          <cell r="U149">
            <v>2000</v>
          </cell>
          <cell r="V149">
            <v>2000</v>
          </cell>
          <cell r="W149">
            <v>2000</v>
          </cell>
          <cell r="X149">
            <v>2000</v>
          </cell>
          <cell r="AA149">
            <v>2000</v>
          </cell>
          <cell r="AB149">
            <v>4000</v>
          </cell>
          <cell r="AC149">
            <v>2000</v>
          </cell>
          <cell r="AE149">
            <v>2000</v>
          </cell>
          <cell r="AF149">
            <v>2000</v>
          </cell>
          <cell r="AH149">
            <v>2000</v>
          </cell>
          <cell r="AI149">
            <v>2000</v>
          </cell>
          <cell r="AJ149">
            <v>2000</v>
          </cell>
          <cell r="AK149">
            <v>2000</v>
          </cell>
          <cell r="AL149">
            <v>2000</v>
          </cell>
          <cell r="AM149">
            <v>2000</v>
          </cell>
          <cell r="AN149">
            <v>2000</v>
          </cell>
          <cell r="AP149">
            <v>2000</v>
          </cell>
          <cell r="AQ149">
            <v>2000</v>
          </cell>
          <cell r="AS149">
            <v>1000</v>
          </cell>
          <cell r="AT149">
            <v>2000</v>
          </cell>
          <cell r="AV149">
            <v>2000</v>
          </cell>
          <cell r="AW149">
            <v>2000</v>
          </cell>
          <cell r="AX149">
            <v>3000</v>
          </cell>
          <cell r="AY149">
            <v>2000</v>
          </cell>
          <cell r="BA149">
            <v>6000</v>
          </cell>
          <cell r="BD149">
            <v>2000</v>
          </cell>
          <cell r="BE149">
            <v>2000</v>
          </cell>
          <cell r="BF149">
            <v>2</v>
          </cell>
          <cell r="BG149">
            <v>3998</v>
          </cell>
          <cell r="BH149">
            <v>2000</v>
          </cell>
          <cell r="BJ149">
            <v>1000</v>
          </cell>
          <cell r="BK149">
            <v>4000</v>
          </cell>
          <cell r="BM149">
            <v>2000</v>
          </cell>
          <cell r="BN149">
            <v>2000</v>
          </cell>
          <cell r="BO149">
            <v>4000</v>
          </cell>
          <cell r="BQ149">
            <v>2000</v>
          </cell>
          <cell r="BR149">
            <v>2000</v>
          </cell>
          <cell r="BT149">
            <v>4000</v>
          </cell>
          <cell r="BV149">
            <v>2000</v>
          </cell>
          <cell r="BW149">
            <v>2000</v>
          </cell>
          <cell r="BX149">
            <v>2000</v>
          </cell>
          <cell r="CA149">
            <v>4000</v>
          </cell>
          <cell r="CB149">
            <v>2000</v>
          </cell>
          <cell r="CD149">
            <v>2000</v>
          </cell>
          <cell r="CE149">
            <v>2000</v>
          </cell>
          <cell r="CF149">
            <v>4000</v>
          </cell>
          <cell r="CG149">
            <v>2000</v>
          </cell>
          <cell r="CI149">
            <v>4000</v>
          </cell>
          <cell r="CJ149">
            <v>2000</v>
          </cell>
          <cell r="CL149">
            <v>2000</v>
          </cell>
          <cell r="CM149">
            <v>2000</v>
          </cell>
          <cell r="CN149">
            <v>4000</v>
          </cell>
          <cell r="CO149">
            <v>2000</v>
          </cell>
          <cell r="CP149">
            <v>2000</v>
          </cell>
          <cell r="CT149">
            <v>4000</v>
          </cell>
          <cell r="CU149">
            <v>4000</v>
          </cell>
          <cell r="CV149">
            <v>2000</v>
          </cell>
          <cell r="CW149">
            <v>5000</v>
          </cell>
          <cell r="CY149">
            <v>3000</v>
          </cell>
          <cell r="CZ149">
            <v>2000</v>
          </cell>
          <cell r="DB149">
            <v>2000</v>
          </cell>
          <cell r="DC149">
            <v>1000</v>
          </cell>
          <cell r="DE149">
            <v>1000</v>
          </cell>
          <cell r="DF149">
            <v>1000</v>
          </cell>
          <cell r="DG149">
            <v>1000</v>
          </cell>
          <cell r="DJ149">
            <v>1000</v>
          </cell>
          <cell r="DK149">
            <v>2000</v>
          </cell>
          <cell r="DL149">
            <v>2000</v>
          </cell>
          <cell r="DN149">
            <v>1000</v>
          </cell>
          <cell r="DO149">
            <v>1000</v>
          </cell>
          <cell r="DP149">
            <v>3000</v>
          </cell>
          <cell r="DQ149">
            <v>2000</v>
          </cell>
          <cell r="DR149">
            <v>4000</v>
          </cell>
          <cell r="DS149">
            <v>2000</v>
          </cell>
          <cell r="DT149">
            <v>3000</v>
          </cell>
          <cell r="DU149">
            <v>2000</v>
          </cell>
          <cell r="DW149">
            <v>2000</v>
          </cell>
          <cell r="DX149">
            <v>2000</v>
          </cell>
          <cell r="DY149">
            <v>4000</v>
          </cell>
          <cell r="DZ149">
            <v>2000</v>
          </cell>
          <cell r="EB149">
            <v>4000</v>
          </cell>
          <cell r="EC149">
            <v>3000</v>
          </cell>
          <cell r="ED149">
            <v>2000</v>
          </cell>
          <cell r="EF149">
            <v>3000</v>
          </cell>
          <cell r="EG149">
            <v>2000</v>
          </cell>
          <cell r="EH149" t="str">
            <v>ACTIVO</v>
          </cell>
          <cell r="EI149" t="str">
            <v>C</v>
          </cell>
          <cell r="EJ149">
            <v>10000</v>
          </cell>
          <cell r="EK149">
            <v>2350</v>
          </cell>
          <cell r="EL149">
            <v>391.66666666666669</v>
          </cell>
        </row>
        <row r="150">
          <cell r="F150">
            <v>404736</v>
          </cell>
          <cell r="G150" t="str">
            <v>ETIQUETA CIRCULAR 9,8cm IMPR. PIE  5 COL +UV</v>
          </cell>
          <cell r="I150">
            <v>2000</v>
          </cell>
          <cell r="J150">
            <v>2000</v>
          </cell>
          <cell r="K150">
            <v>2000</v>
          </cell>
          <cell r="O150">
            <v>2000</v>
          </cell>
          <cell r="P150">
            <v>2000</v>
          </cell>
          <cell r="Q150">
            <v>2000</v>
          </cell>
          <cell r="S150">
            <v>2000</v>
          </cell>
          <cell r="T150">
            <v>2000</v>
          </cell>
          <cell r="U150">
            <v>2000</v>
          </cell>
          <cell r="V150">
            <v>2000</v>
          </cell>
          <cell r="W150">
            <v>2000</v>
          </cell>
          <cell r="X150">
            <v>2000</v>
          </cell>
          <cell r="Z150">
            <v>2000</v>
          </cell>
          <cell r="AA150">
            <v>2000</v>
          </cell>
          <cell r="AB150">
            <v>4000</v>
          </cell>
          <cell r="AC150">
            <v>2000</v>
          </cell>
          <cell r="AE150">
            <v>3000</v>
          </cell>
          <cell r="AF150">
            <v>2000</v>
          </cell>
          <cell r="AH150">
            <v>2000</v>
          </cell>
          <cell r="AI150">
            <v>2000</v>
          </cell>
          <cell r="AJ150">
            <v>2000</v>
          </cell>
          <cell r="AK150">
            <v>2000</v>
          </cell>
          <cell r="AL150">
            <v>2000</v>
          </cell>
          <cell r="AM150">
            <v>2000</v>
          </cell>
          <cell r="AN150">
            <v>2000</v>
          </cell>
          <cell r="AO150">
            <v>1000</v>
          </cell>
          <cell r="AP150">
            <v>2000</v>
          </cell>
          <cell r="AQ150">
            <v>2000</v>
          </cell>
          <cell r="AS150">
            <v>2000</v>
          </cell>
          <cell r="AT150">
            <v>2000</v>
          </cell>
          <cell r="AV150">
            <v>2000</v>
          </cell>
          <cell r="AW150">
            <v>2000</v>
          </cell>
          <cell r="AX150">
            <v>3000</v>
          </cell>
          <cell r="AY150">
            <v>3000</v>
          </cell>
          <cell r="BA150">
            <v>6000</v>
          </cell>
          <cell r="BC150">
            <v>1000</v>
          </cell>
          <cell r="BD150">
            <v>3000</v>
          </cell>
          <cell r="BE150">
            <v>3000</v>
          </cell>
          <cell r="BF150">
            <v>3</v>
          </cell>
          <cell r="BG150">
            <v>6997</v>
          </cell>
          <cell r="BH150">
            <v>2000</v>
          </cell>
          <cell r="BK150">
            <v>6000</v>
          </cell>
          <cell r="BM150">
            <v>3000</v>
          </cell>
          <cell r="BN150">
            <v>3000</v>
          </cell>
          <cell r="BO150">
            <v>5000</v>
          </cell>
          <cell r="BQ150">
            <v>2000</v>
          </cell>
          <cell r="BR150">
            <v>2000</v>
          </cell>
          <cell r="BT150">
            <v>5000</v>
          </cell>
          <cell r="BV150">
            <v>2000</v>
          </cell>
          <cell r="BW150">
            <v>4000</v>
          </cell>
          <cell r="BX150">
            <v>2000</v>
          </cell>
          <cell r="BY150">
            <v>2000</v>
          </cell>
          <cell r="CA150">
            <v>4000</v>
          </cell>
          <cell r="CB150">
            <v>2000</v>
          </cell>
          <cell r="CD150">
            <v>2000</v>
          </cell>
          <cell r="CE150">
            <v>2000</v>
          </cell>
          <cell r="CF150">
            <v>5000</v>
          </cell>
          <cell r="CG150">
            <v>2000</v>
          </cell>
          <cell r="CI150">
            <v>4000</v>
          </cell>
          <cell r="CJ150">
            <v>3000</v>
          </cell>
          <cell r="CL150">
            <v>2000</v>
          </cell>
          <cell r="CM150">
            <v>2000</v>
          </cell>
          <cell r="CN150">
            <v>4000</v>
          </cell>
          <cell r="CO150">
            <v>2000</v>
          </cell>
          <cell r="CP150">
            <v>3000</v>
          </cell>
          <cell r="CR150">
            <v>2000</v>
          </cell>
          <cell r="CT150">
            <v>4000</v>
          </cell>
          <cell r="CU150">
            <v>2000</v>
          </cell>
          <cell r="CV150">
            <v>2000</v>
          </cell>
          <cell r="CW150">
            <v>2000</v>
          </cell>
          <cell r="CY150">
            <v>3000</v>
          </cell>
          <cell r="CZ150">
            <v>2000</v>
          </cell>
          <cell r="DB150">
            <v>2000</v>
          </cell>
          <cell r="DC150">
            <v>1000</v>
          </cell>
          <cell r="DE150">
            <v>1000</v>
          </cell>
          <cell r="DF150">
            <v>1000</v>
          </cell>
          <cell r="DG150">
            <v>1000</v>
          </cell>
          <cell r="DJ150">
            <v>1000</v>
          </cell>
          <cell r="DK150">
            <v>2000</v>
          </cell>
          <cell r="DL150">
            <v>1000</v>
          </cell>
          <cell r="DM150">
            <v>1000</v>
          </cell>
          <cell r="DN150">
            <v>1000</v>
          </cell>
          <cell r="DO150">
            <v>1000</v>
          </cell>
          <cell r="DP150">
            <v>1000</v>
          </cell>
          <cell r="DQ150">
            <v>1000</v>
          </cell>
          <cell r="DR150">
            <v>1000</v>
          </cell>
          <cell r="DS150">
            <v>1000</v>
          </cell>
          <cell r="DT150">
            <v>1000</v>
          </cell>
          <cell r="DU150">
            <v>1000</v>
          </cell>
          <cell r="DV150">
            <v>1000</v>
          </cell>
          <cell r="DW150">
            <v>1000</v>
          </cell>
          <cell r="DX150">
            <v>1000</v>
          </cell>
          <cell r="DY150">
            <v>3000</v>
          </cell>
          <cell r="DZ150">
            <v>3000</v>
          </cell>
          <cell r="EB150">
            <v>2000</v>
          </cell>
          <cell r="EC150">
            <v>1000</v>
          </cell>
          <cell r="ED150">
            <v>1000</v>
          </cell>
          <cell r="EE150">
            <v>1000</v>
          </cell>
          <cell r="EF150">
            <v>2000</v>
          </cell>
          <cell r="EG150">
            <v>1000</v>
          </cell>
          <cell r="EH150" t="str">
            <v>ACTIVO</v>
          </cell>
          <cell r="EI150" t="str">
            <v>C</v>
          </cell>
          <cell r="EJ150">
            <v>10000</v>
          </cell>
          <cell r="EK150">
            <v>1304.3478260869565</v>
          </cell>
          <cell r="EL150">
            <v>217.39130434782609</v>
          </cell>
        </row>
        <row r="151">
          <cell r="F151">
            <v>404739</v>
          </cell>
          <cell r="G151" t="str">
            <v>ETIQUETA CIRCULAR 9cm IMPR. TORTA CREMA MANJAR</v>
          </cell>
          <cell r="I151">
            <v>5000</v>
          </cell>
          <cell r="J151">
            <v>6000</v>
          </cell>
          <cell r="K151">
            <v>5000</v>
          </cell>
          <cell r="M151">
            <v>3000</v>
          </cell>
          <cell r="N151">
            <v>1000</v>
          </cell>
          <cell r="O151">
            <v>7000</v>
          </cell>
          <cell r="P151">
            <v>2000</v>
          </cell>
          <cell r="Q151">
            <v>2000</v>
          </cell>
          <cell r="S151">
            <v>8000</v>
          </cell>
          <cell r="T151">
            <v>2000</v>
          </cell>
          <cell r="U151">
            <v>2000</v>
          </cell>
          <cell r="V151">
            <v>3000</v>
          </cell>
          <cell r="W151">
            <v>2000</v>
          </cell>
          <cell r="X151">
            <v>3000</v>
          </cell>
          <cell r="AA151">
            <v>2000</v>
          </cell>
          <cell r="AB151">
            <v>8000</v>
          </cell>
          <cell r="AC151">
            <v>3000</v>
          </cell>
          <cell r="AE151">
            <v>2000</v>
          </cell>
          <cell r="AF151">
            <v>6000</v>
          </cell>
          <cell r="AG151">
            <v>5000</v>
          </cell>
          <cell r="AH151">
            <v>3000</v>
          </cell>
          <cell r="AI151">
            <v>3000</v>
          </cell>
          <cell r="AJ151">
            <v>3000</v>
          </cell>
          <cell r="AK151">
            <v>5000</v>
          </cell>
          <cell r="AM151">
            <v>4000</v>
          </cell>
          <cell r="AN151">
            <v>2000</v>
          </cell>
          <cell r="AO151">
            <v>3000</v>
          </cell>
          <cell r="AQ151">
            <v>2000</v>
          </cell>
          <cell r="AS151">
            <v>2000</v>
          </cell>
          <cell r="AT151">
            <v>2000</v>
          </cell>
          <cell r="AV151">
            <v>2000</v>
          </cell>
          <cell r="AW151">
            <v>2000</v>
          </cell>
          <cell r="AX151">
            <v>5000</v>
          </cell>
          <cell r="BA151">
            <v>10000</v>
          </cell>
          <cell r="BE151">
            <v>8000</v>
          </cell>
          <cell r="BK151">
            <v>3000</v>
          </cell>
          <cell r="BL151">
            <v>3000</v>
          </cell>
          <cell r="BO151">
            <v>8000</v>
          </cell>
          <cell r="BR151">
            <v>7000</v>
          </cell>
          <cell r="BS151">
            <v>8000</v>
          </cell>
          <cell r="BT151">
            <v>8000</v>
          </cell>
          <cell r="BW151">
            <v>2000</v>
          </cell>
          <cell r="BX151">
            <v>2000</v>
          </cell>
          <cell r="BY151">
            <v>1000</v>
          </cell>
          <cell r="BZ151">
            <v>2000</v>
          </cell>
          <cell r="CA151">
            <v>4000</v>
          </cell>
          <cell r="CB151">
            <v>8000</v>
          </cell>
          <cell r="CD151">
            <v>2000</v>
          </cell>
          <cell r="CF151">
            <v>1000</v>
          </cell>
          <cell r="CG151">
            <v>4000</v>
          </cell>
          <cell r="CI151">
            <v>8000</v>
          </cell>
          <cell r="CM151">
            <v>5000</v>
          </cell>
          <cell r="CN151">
            <v>10000</v>
          </cell>
          <cell r="CO151">
            <v>4000</v>
          </cell>
          <cell r="CP151">
            <v>4000</v>
          </cell>
          <cell r="DX151">
            <v>8000</v>
          </cell>
          <cell r="EB151">
            <v>8000</v>
          </cell>
          <cell r="EG151">
            <v>3000</v>
          </cell>
          <cell r="EH151" t="str">
            <v>ACTIVO</v>
          </cell>
          <cell r="EI151" t="str">
            <v>C</v>
          </cell>
          <cell r="EJ151">
            <v>10000</v>
          </cell>
          <cell r="EK151">
            <v>6333.333333333333</v>
          </cell>
          <cell r="EL151">
            <v>1055.5555555555554</v>
          </cell>
        </row>
        <row r="152">
          <cell r="F152">
            <v>404744</v>
          </cell>
          <cell r="G152" t="str">
            <v>ETIQUETA CIRCULAR 9cm IMPR. TORTA TRS LECHES</v>
          </cell>
          <cell r="I152">
            <v>3000</v>
          </cell>
          <cell r="J152">
            <v>3000</v>
          </cell>
          <cell r="K152">
            <v>2000</v>
          </cell>
          <cell r="O152">
            <v>6000</v>
          </cell>
          <cell r="P152">
            <v>3000</v>
          </cell>
          <cell r="Q152">
            <v>3000</v>
          </cell>
          <cell r="S152">
            <v>2000</v>
          </cell>
          <cell r="T152">
            <v>3000</v>
          </cell>
          <cell r="U152">
            <v>3000</v>
          </cell>
          <cell r="V152">
            <v>3000</v>
          </cell>
          <cell r="W152">
            <v>3000</v>
          </cell>
          <cell r="X152">
            <v>3000</v>
          </cell>
          <cell r="Y152">
            <v>7000</v>
          </cell>
          <cell r="Z152">
            <v>3000</v>
          </cell>
          <cell r="AA152">
            <v>3000</v>
          </cell>
          <cell r="AB152">
            <v>6000</v>
          </cell>
          <cell r="AC152">
            <v>3000</v>
          </cell>
          <cell r="AD152">
            <v>6000</v>
          </cell>
          <cell r="AE152">
            <v>3000</v>
          </cell>
          <cell r="AF152">
            <v>2000</v>
          </cell>
          <cell r="AG152">
            <v>3000</v>
          </cell>
          <cell r="AH152">
            <v>3000</v>
          </cell>
          <cell r="AI152">
            <v>5000</v>
          </cell>
          <cell r="AJ152">
            <v>3000</v>
          </cell>
          <cell r="AK152">
            <v>3000</v>
          </cell>
          <cell r="AL152">
            <v>4000</v>
          </cell>
          <cell r="AM152">
            <v>3000</v>
          </cell>
          <cell r="AN152">
            <v>3000</v>
          </cell>
          <cell r="AP152">
            <v>3000</v>
          </cell>
          <cell r="AQ152">
            <v>3000</v>
          </cell>
          <cell r="AR152">
            <v>1000</v>
          </cell>
          <cell r="AS152">
            <v>3000</v>
          </cell>
          <cell r="AT152">
            <v>3000</v>
          </cell>
          <cell r="AV152">
            <v>3000</v>
          </cell>
          <cell r="AW152">
            <v>2000</v>
          </cell>
          <cell r="AX152">
            <v>4000</v>
          </cell>
          <cell r="AY152">
            <v>1000</v>
          </cell>
          <cell r="BA152">
            <v>4000</v>
          </cell>
          <cell r="BB152">
            <v>1000</v>
          </cell>
          <cell r="BD152">
            <v>2000</v>
          </cell>
          <cell r="BE152">
            <v>2000</v>
          </cell>
          <cell r="BF152">
            <v>2</v>
          </cell>
          <cell r="BG152">
            <v>5998</v>
          </cell>
          <cell r="BH152">
            <v>2000</v>
          </cell>
          <cell r="BJ152">
            <v>2000</v>
          </cell>
          <cell r="BK152">
            <v>4000</v>
          </cell>
          <cell r="BM152">
            <v>2000</v>
          </cell>
          <cell r="BN152">
            <v>2000</v>
          </cell>
          <cell r="BO152">
            <v>4000</v>
          </cell>
          <cell r="BQ152">
            <v>2000</v>
          </cell>
          <cell r="BR152">
            <v>2000</v>
          </cell>
          <cell r="BT152">
            <v>4000</v>
          </cell>
          <cell r="BV152">
            <v>2000</v>
          </cell>
          <cell r="BW152">
            <v>3000</v>
          </cell>
          <cell r="BX152">
            <v>2000</v>
          </cell>
          <cell r="BY152">
            <v>6000</v>
          </cell>
          <cell r="CA152">
            <v>4000</v>
          </cell>
          <cell r="CB152">
            <v>2000</v>
          </cell>
          <cell r="CD152">
            <v>2000</v>
          </cell>
          <cell r="CE152">
            <v>4000</v>
          </cell>
          <cell r="CF152">
            <v>4000</v>
          </cell>
          <cell r="CG152">
            <v>2000</v>
          </cell>
          <cell r="CI152">
            <v>4000</v>
          </cell>
          <cell r="CJ152">
            <v>2000</v>
          </cell>
          <cell r="CL152">
            <v>2000</v>
          </cell>
          <cell r="CM152">
            <v>2000</v>
          </cell>
          <cell r="CN152">
            <v>4000</v>
          </cell>
          <cell r="CO152">
            <v>2000</v>
          </cell>
          <cell r="CP152">
            <v>2000</v>
          </cell>
          <cell r="CR152">
            <v>2000</v>
          </cell>
          <cell r="CT152">
            <v>4000</v>
          </cell>
          <cell r="CU152">
            <v>3000</v>
          </cell>
          <cell r="CV152">
            <v>2000</v>
          </cell>
          <cell r="CW152">
            <v>3000</v>
          </cell>
          <cell r="CX152">
            <v>3000</v>
          </cell>
          <cell r="CY152">
            <v>3000</v>
          </cell>
          <cell r="CZ152">
            <v>3000</v>
          </cell>
          <cell r="DB152">
            <v>3000</v>
          </cell>
          <cell r="DC152">
            <v>2000</v>
          </cell>
          <cell r="DE152">
            <v>3000</v>
          </cell>
          <cell r="DF152">
            <v>2000</v>
          </cell>
          <cell r="DG152">
            <v>3000</v>
          </cell>
          <cell r="DJ152">
            <v>2000</v>
          </cell>
          <cell r="DK152">
            <v>4000</v>
          </cell>
          <cell r="DL152">
            <v>2000</v>
          </cell>
          <cell r="DM152">
            <v>2000</v>
          </cell>
          <cell r="DN152">
            <v>2000</v>
          </cell>
          <cell r="DO152">
            <v>2000</v>
          </cell>
          <cell r="DP152">
            <v>2000</v>
          </cell>
          <cell r="DQ152">
            <v>1000</v>
          </cell>
          <cell r="DR152">
            <v>2000</v>
          </cell>
          <cell r="DS152">
            <v>2000</v>
          </cell>
          <cell r="DT152">
            <v>3000</v>
          </cell>
          <cell r="DU152">
            <v>2000</v>
          </cell>
          <cell r="DV152">
            <v>2000</v>
          </cell>
          <cell r="DW152">
            <v>2000</v>
          </cell>
          <cell r="DX152">
            <v>2000</v>
          </cell>
          <cell r="DY152">
            <v>5000</v>
          </cell>
          <cell r="DZ152">
            <v>5000</v>
          </cell>
          <cell r="EB152">
            <v>4000</v>
          </cell>
          <cell r="ED152">
            <v>2000</v>
          </cell>
          <cell r="EE152">
            <v>1000</v>
          </cell>
          <cell r="EF152">
            <v>5000</v>
          </cell>
          <cell r="EG152">
            <v>3000</v>
          </cell>
          <cell r="EH152" t="str">
            <v>ACTIVO</v>
          </cell>
          <cell r="EI152" t="str">
            <v>C</v>
          </cell>
          <cell r="EJ152">
            <v>10000</v>
          </cell>
          <cell r="EK152">
            <v>2590.909090909091</v>
          </cell>
          <cell r="EL152">
            <v>431.81818181818181</v>
          </cell>
        </row>
        <row r="153">
          <cell r="F153">
            <v>404748</v>
          </cell>
          <cell r="G153" t="str">
            <v>ETIQUETA BLANCA 40x200 SISA</v>
          </cell>
          <cell r="I153">
            <v>3000</v>
          </cell>
          <cell r="J153">
            <v>6000</v>
          </cell>
          <cell r="K153">
            <v>3000</v>
          </cell>
          <cell r="L153">
            <v>3000</v>
          </cell>
          <cell r="M153">
            <v>3000</v>
          </cell>
          <cell r="O153">
            <v>6000</v>
          </cell>
          <cell r="P153">
            <v>3000</v>
          </cell>
          <cell r="Q153">
            <v>3000</v>
          </cell>
          <cell r="T153">
            <v>4000</v>
          </cell>
          <cell r="U153">
            <v>5000</v>
          </cell>
          <cell r="V153">
            <v>3000</v>
          </cell>
          <cell r="W153">
            <v>3000</v>
          </cell>
          <cell r="X153">
            <v>28000</v>
          </cell>
          <cell r="Z153">
            <v>2000</v>
          </cell>
          <cell r="AA153">
            <v>3000</v>
          </cell>
          <cell r="AB153">
            <v>7000</v>
          </cell>
          <cell r="AC153">
            <v>3000</v>
          </cell>
          <cell r="AD153">
            <v>1000</v>
          </cell>
          <cell r="AE153">
            <v>5000</v>
          </cell>
          <cell r="AF153">
            <v>3000</v>
          </cell>
          <cell r="AG153">
            <v>4000</v>
          </cell>
          <cell r="AH153">
            <v>5000</v>
          </cell>
          <cell r="AI153">
            <v>6000</v>
          </cell>
          <cell r="AJ153">
            <v>4000</v>
          </cell>
          <cell r="AK153">
            <v>6000</v>
          </cell>
          <cell r="AL153">
            <v>4000</v>
          </cell>
          <cell r="AM153">
            <v>4000</v>
          </cell>
          <cell r="AN153">
            <v>4000</v>
          </cell>
          <cell r="AO153">
            <v>4000</v>
          </cell>
          <cell r="AP153">
            <v>4000</v>
          </cell>
          <cell r="AQ153">
            <v>4000</v>
          </cell>
          <cell r="AS153">
            <v>3000</v>
          </cell>
          <cell r="AT153">
            <v>6000</v>
          </cell>
          <cell r="AV153">
            <v>3000</v>
          </cell>
          <cell r="AW153">
            <v>3000</v>
          </cell>
          <cell r="AX153">
            <v>6000</v>
          </cell>
          <cell r="AY153">
            <v>4000</v>
          </cell>
          <cell r="BA153">
            <v>6000</v>
          </cell>
          <cell r="BB153">
            <v>4000</v>
          </cell>
          <cell r="BD153">
            <v>3000</v>
          </cell>
          <cell r="BE153">
            <v>4000</v>
          </cell>
          <cell r="BF153">
            <v>1003</v>
          </cell>
          <cell r="BG153">
            <v>4997</v>
          </cell>
          <cell r="BK153">
            <v>10000</v>
          </cell>
          <cell r="BO153">
            <v>3000</v>
          </cell>
          <cell r="BQ153">
            <v>3000</v>
          </cell>
          <cell r="BR153">
            <v>6000</v>
          </cell>
          <cell r="BT153">
            <v>3000</v>
          </cell>
          <cell r="BV153">
            <v>3000</v>
          </cell>
          <cell r="BX153">
            <v>3000</v>
          </cell>
          <cell r="CA153">
            <v>3000</v>
          </cell>
          <cell r="CB153">
            <v>3000</v>
          </cell>
          <cell r="CD153">
            <v>3000</v>
          </cell>
          <cell r="CE153">
            <v>6000</v>
          </cell>
          <cell r="CF153">
            <v>3000</v>
          </cell>
          <cell r="CG153">
            <v>3000</v>
          </cell>
          <cell r="CI153">
            <v>1000</v>
          </cell>
          <cell r="CJ153">
            <v>5000</v>
          </cell>
          <cell r="CL153">
            <v>3000</v>
          </cell>
          <cell r="CM153">
            <v>3000</v>
          </cell>
          <cell r="CN153">
            <v>3000</v>
          </cell>
          <cell r="CO153">
            <v>3000</v>
          </cell>
          <cell r="CP153">
            <v>3000</v>
          </cell>
          <cell r="CT153">
            <v>6000</v>
          </cell>
          <cell r="CV153">
            <v>3000</v>
          </cell>
          <cell r="CW153">
            <v>3000</v>
          </cell>
          <cell r="CX153">
            <v>3000</v>
          </cell>
          <cell r="CZ153">
            <v>3000</v>
          </cell>
          <cell r="DB153">
            <v>3000</v>
          </cell>
          <cell r="DC153">
            <v>2000</v>
          </cell>
          <cell r="DD153">
            <v>2000</v>
          </cell>
          <cell r="DE153">
            <v>2000</v>
          </cell>
          <cell r="DF153">
            <v>2000</v>
          </cell>
          <cell r="DG153">
            <v>2000</v>
          </cell>
          <cell r="DJ153">
            <v>2000</v>
          </cell>
          <cell r="DK153">
            <v>4000</v>
          </cell>
          <cell r="DL153">
            <v>2000</v>
          </cell>
          <cell r="DM153">
            <v>2000</v>
          </cell>
          <cell r="DN153">
            <v>2000</v>
          </cell>
          <cell r="DO153">
            <v>2000</v>
          </cell>
          <cell r="DQ153">
            <v>2000</v>
          </cell>
          <cell r="DR153">
            <v>2000</v>
          </cell>
          <cell r="DS153">
            <v>2000</v>
          </cell>
          <cell r="DT153">
            <v>3000</v>
          </cell>
          <cell r="DU153">
            <v>3000</v>
          </cell>
          <cell r="DV153">
            <v>3000</v>
          </cell>
          <cell r="DW153">
            <v>3000</v>
          </cell>
          <cell r="DX153">
            <v>3000</v>
          </cell>
          <cell r="DY153">
            <v>5000</v>
          </cell>
          <cell r="EB153">
            <v>6000</v>
          </cell>
          <cell r="ED153">
            <v>3000</v>
          </cell>
          <cell r="EF153">
            <v>4000</v>
          </cell>
          <cell r="EG153">
            <v>11000</v>
          </cell>
          <cell r="EH153" t="str">
            <v>ACTIVO</v>
          </cell>
          <cell r="EI153" t="str">
            <v>C</v>
          </cell>
          <cell r="EJ153">
            <v>10000</v>
          </cell>
          <cell r="EK153">
            <v>3368.4210526315787</v>
          </cell>
          <cell r="EL153">
            <v>561.40350877192975</v>
          </cell>
        </row>
        <row r="154">
          <cell r="F154">
            <v>405103</v>
          </cell>
          <cell r="G154" t="str">
            <v>ETIQUETA BLANCA 200X50 SISA OPP</v>
          </cell>
          <cell r="H154">
            <v>15000</v>
          </cell>
          <cell r="I154">
            <v>75000</v>
          </cell>
          <cell r="J154">
            <v>133000</v>
          </cell>
          <cell r="K154">
            <v>57000</v>
          </cell>
          <cell r="L154">
            <v>65000</v>
          </cell>
          <cell r="M154">
            <v>57000</v>
          </cell>
          <cell r="N154">
            <v>3000</v>
          </cell>
          <cell r="O154">
            <v>120000</v>
          </cell>
          <cell r="P154">
            <v>68000</v>
          </cell>
          <cell r="Q154">
            <v>63000</v>
          </cell>
          <cell r="R154">
            <v>11000</v>
          </cell>
          <cell r="S154">
            <v>85000</v>
          </cell>
          <cell r="T154">
            <v>89000</v>
          </cell>
          <cell r="U154">
            <v>63000</v>
          </cell>
          <cell r="V154">
            <v>77000</v>
          </cell>
          <cell r="W154">
            <v>33000</v>
          </cell>
          <cell r="X154">
            <v>127000</v>
          </cell>
          <cell r="Y154">
            <v>18000</v>
          </cell>
          <cell r="Z154">
            <v>89000</v>
          </cell>
          <cell r="AA154">
            <v>66000</v>
          </cell>
          <cell r="AB154">
            <v>142000</v>
          </cell>
          <cell r="AC154">
            <v>70000</v>
          </cell>
          <cell r="AD154">
            <v>33000</v>
          </cell>
          <cell r="AE154">
            <v>155000</v>
          </cell>
          <cell r="AF154">
            <v>68000</v>
          </cell>
          <cell r="AG154">
            <v>81000</v>
          </cell>
          <cell r="AH154">
            <v>79000</v>
          </cell>
          <cell r="AI154">
            <v>85000</v>
          </cell>
          <cell r="AJ154">
            <v>69000</v>
          </cell>
          <cell r="AK154">
            <v>94000</v>
          </cell>
          <cell r="AL154">
            <v>97000</v>
          </cell>
          <cell r="AM154">
            <v>81000</v>
          </cell>
          <cell r="AN154">
            <v>84000</v>
          </cell>
          <cell r="AO154">
            <v>87000</v>
          </cell>
          <cell r="AP154">
            <v>93000</v>
          </cell>
          <cell r="AQ154">
            <v>81000</v>
          </cell>
          <cell r="AR154">
            <v>15000</v>
          </cell>
          <cell r="AS154">
            <v>68000</v>
          </cell>
          <cell r="AT154">
            <v>147000</v>
          </cell>
          <cell r="AV154">
            <v>94000</v>
          </cell>
          <cell r="AW154">
            <v>57000</v>
          </cell>
          <cell r="AX154">
            <v>145000</v>
          </cell>
          <cell r="AY154">
            <v>39000</v>
          </cell>
          <cell r="AZ154">
            <v>61000</v>
          </cell>
          <cell r="BA154">
            <v>111000</v>
          </cell>
          <cell r="BB154">
            <v>95000</v>
          </cell>
          <cell r="BC154">
            <v>25000</v>
          </cell>
          <cell r="BD154">
            <v>121000</v>
          </cell>
          <cell r="BE154">
            <v>81000</v>
          </cell>
          <cell r="BF154">
            <v>5074</v>
          </cell>
          <cell r="BG154">
            <v>149326</v>
          </cell>
          <cell r="BH154">
            <v>81000</v>
          </cell>
          <cell r="BI154">
            <v>10000</v>
          </cell>
          <cell r="BJ154">
            <v>85000</v>
          </cell>
          <cell r="BK154">
            <v>152000</v>
          </cell>
          <cell r="BL154">
            <v>5000</v>
          </cell>
          <cell r="BM154">
            <v>87000</v>
          </cell>
          <cell r="BN154">
            <v>82000</v>
          </cell>
          <cell r="BO154">
            <v>152000</v>
          </cell>
          <cell r="BP154">
            <v>10000</v>
          </cell>
          <cell r="BQ154">
            <v>139000</v>
          </cell>
          <cell r="BR154">
            <v>151000</v>
          </cell>
          <cell r="BS154">
            <v>15000</v>
          </cell>
          <cell r="BT154">
            <v>130000</v>
          </cell>
          <cell r="BU154">
            <v>18000</v>
          </cell>
          <cell r="BV154">
            <v>91000</v>
          </cell>
          <cell r="BW154">
            <v>165000</v>
          </cell>
          <cell r="BX154">
            <v>112000</v>
          </cell>
          <cell r="BY154">
            <v>89000</v>
          </cell>
          <cell r="BZ154">
            <v>40000</v>
          </cell>
          <cell r="CA154">
            <v>159000</v>
          </cell>
          <cell r="CB154">
            <v>106000</v>
          </cell>
          <cell r="CC154">
            <v>20000</v>
          </cell>
          <cell r="CD154">
            <v>100000</v>
          </cell>
          <cell r="CE154">
            <v>96000</v>
          </cell>
          <cell r="CF154">
            <v>156000</v>
          </cell>
          <cell r="CG154">
            <v>84000</v>
          </cell>
          <cell r="CH154">
            <v>22000</v>
          </cell>
          <cell r="CI154">
            <v>147000</v>
          </cell>
          <cell r="CJ154">
            <v>84000</v>
          </cell>
          <cell r="CK154">
            <v>46000</v>
          </cell>
          <cell r="CL154">
            <v>74000</v>
          </cell>
          <cell r="CM154">
            <v>87000</v>
          </cell>
          <cell r="CN154">
            <v>148000</v>
          </cell>
          <cell r="CO154">
            <v>108000</v>
          </cell>
          <cell r="CP154">
            <v>116000</v>
          </cell>
          <cell r="CQ154">
            <v>108000</v>
          </cell>
          <cell r="CR154">
            <v>20000</v>
          </cell>
          <cell r="CT154">
            <v>157000</v>
          </cell>
          <cell r="CU154">
            <v>95000</v>
          </cell>
          <cell r="CV154">
            <v>100000</v>
          </cell>
          <cell r="CW154">
            <v>101000</v>
          </cell>
          <cell r="CX154">
            <v>50010</v>
          </cell>
          <cell r="CY154">
            <v>158000</v>
          </cell>
          <cell r="CZ154">
            <v>74000</v>
          </cell>
          <cell r="DA154">
            <v>19000</v>
          </cell>
          <cell r="DB154">
            <v>135990</v>
          </cell>
          <cell r="DC154">
            <v>85000</v>
          </cell>
          <cell r="DD154">
            <v>62000</v>
          </cell>
          <cell r="DE154">
            <v>94000</v>
          </cell>
          <cell r="DF154">
            <v>79000</v>
          </cell>
          <cell r="DG154">
            <v>58000</v>
          </cell>
          <cell r="DH154">
            <v>5000</v>
          </cell>
          <cell r="DJ154">
            <v>88000</v>
          </cell>
          <cell r="DK154">
            <v>154000</v>
          </cell>
          <cell r="DL154">
            <v>101000</v>
          </cell>
          <cell r="DM154">
            <v>75000</v>
          </cell>
          <cell r="DN154">
            <v>89000</v>
          </cell>
          <cell r="DO154">
            <v>87000</v>
          </cell>
          <cell r="DP154">
            <v>89000</v>
          </cell>
          <cell r="DQ154">
            <v>67000</v>
          </cell>
          <cell r="DR154">
            <v>72000</v>
          </cell>
          <cell r="DS154">
            <v>96000</v>
          </cell>
          <cell r="DT154">
            <v>140000</v>
          </cell>
          <cell r="DU154">
            <v>78000</v>
          </cell>
          <cell r="DV154">
            <v>101000</v>
          </cell>
          <cell r="DW154">
            <v>103000</v>
          </cell>
          <cell r="DX154">
            <v>83000</v>
          </cell>
          <cell r="DY154">
            <v>113000</v>
          </cell>
          <cell r="DZ154">
            <v>60000</v>
          </cell>
          <cell r="EA154">
            <v>25000</v>
          </cell>
          <cell r="EB154">
            <v>136000</v>
          </cell>
          <cell r="EC154">
            <v>92000</v>
          </cell>
          <cell r="ED154">
            <v>84000</v>
          </cell>
          <cell r="EE154">
            <v>101000</v>
          </cell>
          <cell r="EF154">
            <v>117000</v>
          </cell>
          <cell r="EG154">
            <v>92000</v>
          </cell>
          <cell r="EH154" t="str">
            <v>ACTIVO</v>
          </cell>
          <cell r="EI154" t="str">
            <v>B</v>
          </cell>
          <cell r="EJ154">
            <v>10000</v>
          </cell>
          <cell r="EK154">
            <v>93458.333333333328</v>
          </cell>
          <cell r="EL154">
            <v>15576.388888888889</v>
          </cell>
        </row>
        <row r="155">
          <cell r="F155">
            <v>405108</v>
          </cell>
          <cell r="G155" t="str">
            <v>ETIQUETA TORTA  MOCACCINO</v>
          </cell>
          <cell r="I155">
            <v>3000</v>
          </cell>
          <cell r="J155">
            <v>10000</v>
          </cell>
          <cell r="K155">
            <v>3000</v>
          </cell>
          <cell r="M155">
            <v>3000</v>
          </cell>
          <cell r="O155">
            <v>11000</v>
          </cell>
          <cell r="P155">
            <v>3000</v>
          </cell>
          <cell r="S155">
            <v>10000</v>
          </cell>
          <cell r="W155">
            <v>3000</v>
          </cell>
          <cell r="X155">
            <v>3000</v>
          </cell>
          <cell r="AA155">
            <v>6000</v>
          </cell>
          <cell r="AB155">
            <v>8000</v>
          </cell>
          <cell r="AC155">
            <v>3000</v>
          </cell>
          <cell r="AE155">
            <v>3000</v>
          </cell>
          <cell r="AF155">
            <v>2000</v>
          </cell>
          <cell r="AG155">
            <v>4000</v>
          </cell>
          <cell r="AH155">
            <v>5000</v>
          </cell>
          <cell r="AI155">
            <v>3000</v>
          </cell>
          <cell r="AJ155">
            <v>3000</v>
          </cell>
          <cell r="AK155">
            <v>3000</v>
          </cell>
          <cell r="AM155">
            <v>3000</v>
          </cell>
          <cell r="AN155">
            <v>5000</v>
          </cell>
          <cell r="AO155">
            <v>5000</v>
          </cell>
          <cell r="AQ155">
            <v>3000</v>
          </cell>
          <cell r="AS155">
            <v>3000</v>
          </cell>
          <cell r="AT155">
            <v>3000</v>
          </cell>
          <cell r="AV155">
            <v>3000</v>
          </cell>
          <cell r="AW155">
            <v>8000</v>
          </cell>
          <cell r="AY155">
            <v>3000</v>
          </cell>
          <cell r="BA155">
            <v>4000</v>
          </cell>
          <cell r="BD155">
            <v>11000</v>
          </cell>
          <cell r="BG155">
            <v>6000</v>
          </cell>
          <cell r="BK155">
            <v>12000</v>
          </cell>
          <cell r="BM155">
            <v>2000</v>
          </cell>
          <cell r="BN155">
            <v>6000</v>
          </cell>
          <cell r="BO155">
            <v>5000</v>
          </cell>
          <cell r="BQ155">
            <v>6000</v>
          </cell>
          <cell r="BR155">
            <v>10000</v>
          </cell>
          <cell r="BS155">
            <v>10000</v>
          </cell>
          <cell r="BT155">
            <v>8000</v>
          </cell>
          <cell r="BU155">
            <v>2000</v>
          </cell>
          <cell r="BV155">
            <v>15000</v>
          </cell>
          <cell r="BW155">
            <v>2000</v>
          </cell>
          <cell r="BX155">
            <v>4000</v>
          </cell>
          <cell r="CA155">
            <v>4000</v>
          </cell>
          <cell r="CB155">
            <v>4000</v>
          </cell>
          <cell r="CD155">
            <v>1000</v>
          </cell>
          <cell r="CE155">
            <v>4000</v>
          </cell>
          <cell r="CF155">
            <v>4000</v>
          </cell>
          <cell r="CG155">
            <v>3000</v>
          </cell>
          <cell r="CI155">
            <v>2000</v>
          </cell>
          <cell r="CJ155">
            <v>4000</v>
          </cell>
          <cell r="CM155">
            <v>4000</v>
          </cell>
          <cell r="CN155">
            <v>8000</v>
          </cell>
          <cell r="CP155">
            <v>4000</v>
          </cell>
          <cell r="CQ155">
            <v>5000</v>
          </cell>
          <cell r="CT155">
            <v>10000</v>
          </cell>
          <cell r="CW155">
            <v>4000</v>
          </cell>
          <cell r="CX155">
            <v>2000</v>
          </cell>
          <cell r="CY155">
            <v>4000</v>
          </cell>
          <cell r="DC155">
            <v>4000</v>
          </cell>
          <cell r="DF155">
            <v>4000</v>
          </cell>
          <cell r="DJ155">
            <v>4000</v>
          </cell>
          <cell r="DK155">
            <v>4000</v>
          </cell>
          <cell r="DL155">
            <v>4000</v>
          </cell>
          <cell r="DN155">
            <v>4000</v>
          </cell>
          <cell r="DO155">
            <v>4000</v>
          </cell>
          <cell r="DP155">
            <v>4000</v>
          </cell>
          <cell r="DR155">
            <v>4000</v>
          </cell>
          <cell r="DS155">
            <v>4000</v>
          </cell>
          <cell r="DT155">
            <v>3000</v>
          </cell>
          <cell r="DU155">
            <v>8000</v>
          </cell>
          <cell r="DV155">
            <v>1000</v>
          </cell>
          <cell r="DW155">
            <v>4000</v>
          </cell>
          <cell r="DY155">
            <v>4000</v>
          </cell>
          <cell r="ED155">
            <v>4000</v>
          </cell>
          <cell r="EE155">
            <v>4000</v>
          </cell>
          <cell r="EG155">
            <v>4000</v>
          </cell>
          <cell r="EH155" t="str">
            <v>ACTIVO</v>
          </cell>
          <cell r="EI155" t="str">
            <v>C</v>
          </cell>
          <cell r="EJ155">
            <v>10000</v>
          </cell>
          <cell r="EK155">
            <v>4000</v>
          </cell>
          <cell r="EL155">
            <v>666.66666666666663</v>
          </cell>
        </row>
        <row r="156">
          <cell r="F156">
            <v>405111</v>
          </cell>
          <cell r="G156" t="str">
            <v>ETIQUETA CIRCULAR TORTA AMOR</v>
          </cell>
          <cell r="I156">
            <v>2000</v>
          </cell>
          <cell r="J156">
            <v>2000</v>
          </cell>
          <cell r="K156">
            <v>2000</v>
          </cell>
          <cell r="M156">
            <v>3000</v>
          </cell>
          <cell r="O156">
            <v>2000</v>
          </cell>
          <cell r="P156">
            <v>2000</v>
          </cell>
          <cell r="Q156">
            <v>2000</v>
          </cell>
          <cell r="S156">
            <v>2000</v>
          </cell>
          <cell r="T156">
            <v>2000</v>
          </cell>
          <cell r="U156">
            <v>2000</v>
          </cell>
          <cell r="V156">
            <v>2000</v>
          </cell>
          <cell r="W156">
            <v>2000</v>
          </cell>
          <cell r="X156">
            <v>2000</v>
          </cell>
          <cell r="Y156">
            <v>6000</v>
          </cell>
          <cell r="Z156">
            <v>3000</v>
          </cell>
          <cell r="AA156">
            <v>2000</v>
          </cell>
          <cell r="AB156">
            <v>5000</v>
          </cell>
          <cell r="AC156">
            <v>3000</v>
          </cell>
          <cell r="AD156">
            <v>5000</v>
          </cell>
          <cell r="AE156">
            <v>3000</v>
          </cell>
          <cell r="AF156">
            <v>3000</v>
          </cell>
          <cell r="AG156">
            <v>3000</v>
          </cell>
          <cell r="AH156">
            <v>3000</v>
          </cell>
          <cell r="AI156">
            <v>5000</v>
          </cell>
          <cell r="AJ156">
            <v>3000</v>
          </cell>
          <cell r="AK156">
            <v>3000</v>
          </cell>
          <cell r="AL156">
            <v>3000</v>
          </cell>
          <cell r="AM156">
            <v>3000</v>
          </cell>
          <cell r="AN156">
            <v>3000</v>
          </cell>
          <cell r="AP156">
            <v>2000</v>
          </cell>
          <cell r="AQ156">
            <v>3000</v>
          </cell>
          <cell r="AR156">
            <v>1000</v>
          </cell>
          <cell r="AS156">
            <v>2000</v>
          </cell>
          <cell r="AT156">
            <v>2000</v>
          </cell>
          <cell r="AV156">
            <v>3000</v>
          </cell>
          <cell r="AW156">
            <v>2000</v>
          </cell>
          <cell r="AX156">
            <v>5000</v>
          </cell>
          <cell r="AY156">
            <v>1000</v>
          </cell>
          <cell r="BA156">
            <v>4000</v>
          </cell>
          <cell r="BB156">
            <v>2000</v>
          </cell>
          <cell r="BC156">
            <v>2000</v>
          </cell>
          <cell r="BD156">
            <v>3000</v>
          </cell>
          <cell r="BE156">
            <v>5000</v>
          </cell>
          <cell r="BF156">
            <v>3</v>
          </cell>
          <cell r="BG156">
            <v>4997</v>
          </cell>
          <cell r="BH156">
            <v>2000</v>
          </cell>
          <cell r="BK156">
            <v>4000</v>
          </cell>
          <cell r="BM156">
            <v>3000</v>
          </cell>
          <cell r="BN156">
            <v>2000</v>
          </cell>
          <cell r="BO156">
            <v>7000</v>
          </cell>
          <cell r="BQ156">
            <v>3000</v>
          </cell>
          <cell r="BR156">
            <v>3000</v>
          </cell>
          <cell r="BT156">
            <v>6000</v>
          </cell>
          <cell r="BV156">
            <v>3000</v>
          </cell>
          <cell r="BW156">
            <v>2000</v>
          </cell>
          <cell r="BX156">
            <v>2000</v>
          </cell>
          <cell r="BY156">
            <v>6000</v>
          </cell>
          <cell r="BZ156">
            <v>1000</v>
          </cell>
          <cell r="CA156">
            <v>6000</v>
          </cell>
          <cell r="CB156">
            <v>4000</v>
          </cell>
          <cell r="CD156">
            <v>3000</v>
          </cell>
          <cell r="CE156">
            <v>3000</v>
          </cell>
          <cell r="CF156">
            <v>6000</v>
          </cell>
          <cell r="CG156">
            <v>3000</v>
          </cell>
          <cell r="CI156">
            <v>6000</v>
          </cell>
          <cell r="CJ156">
            <v>2000</v>
          </cell>
          <cell r="CK156">
            <v>1000</v>
          </cell>
          <cell r="CL156">
            <v>2000</v>
          </cell>
          <cell r="CM156">
            <v>2000</v>
          </cell>
          <cell r="CN156">
            <v>4000</v>
          </cell>
          <cell r="CO156">
            <v>2000</v>
          </cell>
          <cell r="CP156">
            <v>2000</v>
          </cell>
          <cell r="CT156">
            <v>4000</v>
          </cell>
          <cell r="CU156">
            <v>3000</v>
          </cell>
          <cell r="CV156">
            <v>2000</v>
          </cell>
          <cell r="CW156">
            <v>3000</v>
          </cell>
          <cell r="CX156">
            <v>3000</v>
          </cell>
          <cell r="CY156">
            <v>3000</v>
          </cell>
          <cell r="CZ156">
            <v>3000</v>
          </cell>
          <cell r="DB156">
            <v>4000</v>
          </cell>
          <cell r="DC156">
            <v>3000</v>
          </cell>
          <cell r="DE156">
            <v>3000</v>
          </cell>
          <cell r="DF156">
            <v>3000</v>
          </cell>
          <cell r="DG156">
            <v>3000</v>
          </cell>
          <cell r="DJ156">
            <v>3000</v>
          </cell>
          <cell r="DK156">
            <v>6000</v>
          </cell>
          <cell r="DL156">
            <v>3000</v>
          </cell>
          <cell r="DN156">
            <v>3000</v>
          </cell>
          <cell r="DO156">
            <v>4000</v>
          </cell>
          <cell r="DP156">
            <v>3000</v>
          </cell>
          <cell r="DQ156">
            <v>3000</v>
          </cell>
          <cell r="DR156">
            <v>3000</v>
          </cell>
          <cell r="DS156">
            <v>3000</v>
          </cell>
          <cell r="DT156">
            <v>3000</v>
          </cell>
          <cell r="DU156">
            <v>3000</v>
          </cell>
          <cell r="DV156">
            <v>3000</v>
          </cell>
          <cell r="DW156">
            <v>3000</v>
          </cell>
          <cell r="DX156">
            <v>3000</v>
          </cell>
          <cell r="DY156">
            <v>5000</v>
          </cell>
          <cell r="DZ156">
            <v>5000</v>
          </cell>
          <cell r="EB156">
            <v>6000</v>
          </cell>
          <cell r="EC156">
            <v>3000</v>
          </cell>
          <cell r="ED156">
            <v>3000</v>
          </cell>
          <cell r="EF156">
            <v>4000</v>
          </cell>
          <cell r="EG156">
            <v>3000</v>
          </cell>
          <cell r="EH156" t="str">
            <v>ACTIVO</v>
          </cell>
          <cell r="EI156" t="str">
            <v>C</v>
          </cell>
          <cell r="EJ156">
            <v>10000</v>
          </cell>
          <cell r="EK156">
            <v>3571.4285714285716</v>
          </cell>
          <cell r="EL156">
            <v>595.2380952380953</v>
          </cell>
        </row>
        <row r="157">
          <cell r="F157">
            <v>405121</v>
          </cell>
          <cell r="G157" t="str">
            <v>ETIQUETAS CIRCULAR 9cm IMPR.TORTA TRES LECHES JUMB0</v>
          </cell>
          <cell r="I157">
            <v>2000</v>
          </cell>
          <cell r="J157">
            <v>2000</v>
          </cell>
          <cell r="K157">
            <v>2000</v>
          </cell>
          <cell r="L157">
            <v>2000</v>
          </cell>
          <cell r="O157">
            <v>2000</v>
          </cell>
          <cell r="P157">
            <v>2000</v>
          </cell>
          <cell r="Q157">
            <v>2000</v>
          </cell>
          <cell r="S157">
            <v>2000</v>
          </cell>
          <cell r="T157">
            <v>2000</v>
          </cell>
          <cell r="U157">
            <v>2000</v>
          </cell>
          <cell r="V157">
            <v>2000</v>
          </cell>
          <cell r="W157">
            <v>2000</v>
          </cell>
          <cell r="X157">
            <v>2000</v>
          </cell>
          <cell r="Z157">
            <v>5000</v>
          </cell>
          <cell r="AA157">
            <v>3000</v>
          </cell>
          <cell r="AB157">
            <v>4000</v>
          </cell>
          <cell r="AC157">
            <v>2000</v>
          </cell>
          <cell r="AD157">
            <v>5000</v>
          </cell>
          <cell r="AE157">
            <v>3000</v>
          </cell>
          <cell r="AF157">
            <v>2000</v>
          </cell>
          <cell r="AG157">
            <v>2000</v>
          </cell>
          <cell r="AH157">
            <v>2000</v>
          </cell>
          <cell r="AI157">
            <v>2000</v>
          </cell>
          <cell r="AJ157">
            <v>2000</v>
          </cell>
          <cell r="AK157">
            <v>3000</v>
          </cell>
          <cell r="AL157">
            <v>3000</v>
          </cell>
          <cell r="AM157">
            <v>2000</v>
          </cell>
          <cell r="AN157">
            <v>2000</v>
          </cell>
          <cell r="AO157">
            <v>2000</v>
          </cell>
          <cell r="AP157">
            <v>2000</v>
          </cell>
          <cell r="AQ157">
            <v>2000</v>
          </cell>
          <cell r="AS157">
            <v>2000</v>
          </cell>
          <cell r="AT157">
            <v>2000</v>
          </cell>
          <cell r="AV157">
            <v>2000</v>
          </cell>
          <cell r="AW157">
            <v>2000</v>
          </cell>
          <cell r="AX157">
            <v>2000</v>
          </cell>
          <cell r="AY157">
            <v>1000</v>
          </cell>
          <cell r="BA157">
            <v>3000</v>
          </cell>
          <cell r="BB157">
            <v>1000</v>
          </cell>
          <cell r="BD157">
            <v>1000</v>
          </cell>
          <cell r="BE157">
            <v>1000</v>
          </cell>
          <cell r="BF157">
            <v>1002</v>
          </cell>
          <cell r="BG157">
            <v>5998</v>
          </cell>
          <cell r="BH157">
            <v>3000</v>
          </cell>
          <cell r="BJ157">
            <v>2000</v>
          </cell>
          <cell r="BK157">
            <v>4000</v>
          </cell>
          <cell r="BM157">
            <v>2000</v>
          </cell>
          <cell r="BN157">
            <v>3000</v>
          </cell>
          <cell r="BO157">
            <v>4000</v>
          </cell>
          <cell r="BR157">
            <v>2000</v>
          </cell>
          <cell r="BT157">
            <v>4000</v>
          </cell>
          <cell r="BV157">
            <v>2000</v>
          </cell>
          <cell r="BW157">
            <v>2000</v>
          </cell>
          <cell r="BX157">
            <v>2000</v>
          </cell>
          <cell r="BY157">
            <v>5000</v>
          </cell>
          <cell r="CA157">
            <v>4000</v>
          </cell>
          <cell r="CB157">
            <v>2000</v>
          </cell>
          <cell r="CD157">
            <v>2000</v>
          </cell>
          <cell r="CE157">
            <v>7000</v>
          </cell>
          <cell r="CF157">
            <v>4000</v>
          </cell>
          <cell r="CG157">
            <v>2000</v>
          </cell>
          <cell r="CI157">
            <v>4000</v>
          </cell>
          <cell r="CJ157">
            <v>2000</v>
          </cell>
          <cell r="CL157">
            <v>2000</v>
          </cell>
          <cell r="CM157">
            <v>2000</v>
          </cell>
          <cell r="CN157">
            <v>4000</v>
          </cell>
          <cell r="CO157">
            <v>3000</v>
          </cell>
          <cell r="CP157">
            <v>2000</v>
          </cell>
          <cell r="CR157">
            <v>1000</v>
          </cell>
          <cell r="CT157">
            <v>4000</v>
          </cell>
          <cell r="CU157">
            <v>3000</v>
          </cell>
          <cell r="CV157">
            <v>2000</v>
          </cell>
          <cell r="CW157">
            <v>2000</v>
          </cell>
          <cell r="CX157">
            <v>2000</v>
          </cell>
          <cell r="CY157">
            <v>2000</v>
          </cell>
          <cell r="CZ157">
            <v>2000</v>
          </cell>
          <cell r="DB157">
            <v>2000</v>
          </cell>
          <cell r="DC157">
            <v>2000</v>
          </cell>
          <cell r="DE157">
            <v>3000</v>
          </cell>
          <cell r="DF157">
            <v>2000</v>
          </cell>
          <cell r="DG157">
            <v>3000</v>
          </cell>
          <cell r="DJ157">
            <v>2000</v>
          </cell>
          <cell r="DK157">
            <v>4000</v>
          </cell>
          <cell r="DL157">
            <v>2000</v>
          </cell>
          <cell r="DM157">
            <v>2000</v>
          </cell>
          <cell r="DO157">
            <v>3000</v>
          </cell>
          <cell r="DP157">
            <v>2000</v>
          </cell>
          <cell r="DQ157">
            <v>2000</v>
          </cell>
          <cell r="DR157">
            <v>2000</v>
          </cell>
          <cell r="DS157">
            <v>2000</v>
          </cell>
          <cell r="DT157">
            <v>2000</v>
          </cell>
          <cell r="DU157">
            <v>2000</v>
          </cell>
          <cell r="DV157">
            <v>2000</v>
          </cell>
          <cell r="DW157">
            <v>2000</v>
          </cell>
          <cell r="DX157">
            <v>2000</v>
          </cell>
          <cell r="DY157">
            <v>3000</v>
          </cell>
          <cell r="DZ157">
            <v>3000</v>
          </cell>
          <cell r="EB157">
            <v>4000</v>
          </cell>
          <cell r="EC157">
            <v>2000</v>
          </cell>
          <cell r="ED157">
            <v>2000</v>
          </cell>
          <cell r="EE157">
            <v>2000</v>
          </cell>
          <cell r="EF157">
            <v>3000</v>
          </cell>
          <cell r="EG157">
            <v>2000</v>
          </cell>
          <cell r="EH157" t="str">
            <v>ACTIVO</v>
          </cell>
          <cell r="EI157" t="str">
            <v>C</v>
          </cell>
          <cell r="EJ157">
            <v>10000</v>
          </cell>
          <cell r="EK157">
            <v>2363.6363636363635</v>
          </cell>
          <cell r="EL157">
            <v>393.93939393939394</v>
          </cell>
        </row>
        <row r="158">
          <cell r="F158">
            <v>405159</v>
          </cell>
          <cell r="G158" t="str">
            <v>ETIQUETA BLANCA 120X100 OPP</v>
          </cell>
          <cell r="AJ158">
            <v>20000</v>
          </cell>
          <cell r="AQ158">
            <v>8000</v>
          </cell>
          <cell r="AR158">
            <v>7000</v>
          </cell>
          <cell r="AV158">
            <v>3000</v>
          </cell>
          <cell r="AX158">
            <v>2000</v>
          </cell>
          <cell r="AY158">
            <v>2000</v>
          </cell>
          <cell r="DV158">
            <v>5000</v>
          </cell>
          <cell r="EG158">
            <v>2000</v>
          </cell>
          <cell r="EH158" t="str">
            <v>SIN USO</v>
          </cell>
          <cell r="EI158" t="str">
            <v/>
          </cell>
          <cell r="EJ158">
            <v>10000</v>
          </cell>
          <cell r="EK158">
            <v>3500</v>
          </cell>
          <cell r="EL158">
            <v>583.33333333333337</v>
          </cell>
        </row>
        <row r="159">
          <cell r="F159">
            <v>405160</v>
          </cell>
          <cell r="G159" t="str">
            <v>ETIQUETA 200X50 POLIPROPILENO IMPR. QUINTA</v>
          </cell>
          <cell r="P159">
            <v>3000</v>
          </cell>
          <cell r="S159">
            <v>3000</v>
          </cell>
          <cell r="U159">
            <v>3000</v>
          </cell>
          <cell r="Z159">
            <v>5000</v>
          </cell>
          <cell r="AB159">
            <v>2000</v>
          </cell>
          <cell r="AE159">
            <v>2000</v>
          </cell>
          <cell r="AG159">
            <v>2000</v>
          </cell>
          <cell r="AI159">
            <v>3000</v>
          </cell>
          <cell r="AK159">
            <v>5000</v>
          </cell>
          <cell r="AL159">
            <v>5000</v>
          </cell>
          <cell r="AN159">
            <v>5000</v>
          </cell>
          <cell r="AR159">
            <v>5000</v>
          </cell>
          <cell r="AV159">
            <v>5000</v>
          </cell>
          <cell r="AY159">
            <v>4000</v>
          </cell>
          <cell r="BB159">
            <v>4000</v>
          </cell>
          <cell r="BG159">
            <v>2000</v>
          </cell>
          <cell r="BM159">
            <v>2000</v>
          </cell>
          <cell r="BN159">
            <v>2000</v>
          </cell>
          <cell r="BP159">
            <v>5000</v>
          </cell>
          <cell r="BT159">
            <v>5000</v>
          </cell>
          <cell r="BV159">
            <v>2000</v>
          </cell>
          <cell r="BY159">
            <v>3000</v>
          </cell>
          <cell r="CD159">
            <v>5000</v>
          </cell>
          <cell r="CE159">
            <v>2000</v>
          </cell>
          <cell r="CG159">
            <v>2000</v>
          </cell>
          <cell r="CI159">
            <v>2000</v>
          </cell>
          <cell r="CN159">
            <v>5000</v>
          </cell>
          <cell r="DD159">
            <v>40000</v>
          </cell>
          <cell r="DX159">
            <v>15000</v>
          </cell>
          <cell r="DY159">
            <v>3000</v>
          </cell>
          <cell r="DZ159">
            <v>6000</v>
          </cell>
          <cell r="EA159">
            <v>10000</v>
          </cell>
          <cell r="EB159">
            <v>3000</v>
          </cell>
          <cell r="ED159">
            <v>3000</v>
          </cell>
          <cell r="EE159">
            <v>5000</v>
          </cell>
          <cell r="EF159">
            <v>10000</v>
          </cell>
          <cell r="EG159">
            <v>5000</v>
          </cell>
          <cell r="EH159" t="str">
            <v>ACTIVO</v>
          </cell>
          <cell r="EI159" t="str">
            <v>C</v>
          </cell>
          <cell r="EJ159">
            <v>10000</v>
          </cell>
          <cell r="EK159">
            <v>6666.666666666667</v>
          </cell>
          <cell r="EL159">
            <v>1111.1111111111111</v>
          </cell>
        </row>
        <row r="160">
          <cell r="F160">
            <v>405353</v>
          </cell>
          <cell r="G160" t="str">
            <v>ETIQ. CIRCULAR 90cm IMPR. TORTA CUSINE &amp; CO JUMBO COOKIES AND CREAM</v>
          </cell>
          <cell r="AJ160">
            <v>10000</v>
          </cell>
          <cell r="AQ160">
            <v>1000</v>
          </cell>
          <cell r="AR160">
            <v>1000</v>
          </cell>
          <cell r="AT160">
            <v>2000</v>
          </cell>
          <cell r="AU160">
            <v>4000</v>
          </cell>
          <cell r="AW160">
            <v>3000</v>
          </cell>
          <cell r="AY160">
            <v>2000</v>
          </cell>
          <cell r="AZ160">
            <v>3000</v>
          </cell>
          <cell r="BC160">
            <v>7000</v>
          </cell>
          <cell r="BD160">
            <v>1000</v>
          </cell>
          <cell r="BE160">
            <v>1000</v>
          </cell>
          <cell r="BH160">
            <v>1000</v>
          </cell>
          <cell r="BJ160">
            <v>4000</v>
          </cell>
          <cell r="BK160">
            <v>7000</v>
          </cell>
          <cell r="BO160">
            <v>9000</v>
          </cell>
          <cell r="BR160">
            <v>7000</v>
          </cell>
          <cell r="BS160">
            <v>2000</v>
          </cell>
          <cell r="BT160">
            <v>8000</v>
          </cell>
          <cell r="BX160">
            <v>4000</v>
          </cell>
          <cell r="BY160">
            <v>1000</v>
          </cell>
          <cell r="CA160">
            <v>4000</v>
          </cell>
          <cell r="CB160">
            <v>4000</v>
          </cell>
          <cell r="CD160">
            <v>4000</v>
          </cell>
          <cell r="CF160">
            <v>4000</v>
          </cell>
          <cell r="CI160">
            <v>4000</v>
          </cell>
          <cell r="CL160">
            <v>4000</v>
          </cell>
          <cell r="CN160">
            <v>8000</v>
          </cell>
          <cell r="CO160">
            <v>4000</v>
          </cell>
          <cell r="CP160">
            <v>4000</v>
          </cell>
          <cell r="CT160">
            <v>10000</v>
          </cell>
          <cell r="CV160">
            <v>4000</v>
          </cell>
          <cell r="CW160">
            <v>5000</v>
          </cell>
          <cell r="CY160">
            <v>2000</v>
          </cell>
          <cell r="CZ160">
            <v>5000</v>
          </cell>
          <cell r="DB160">
            <v>4000</v>
          </cell>
          <cell r="DE160">
            <v>4000</v>
          </cell>
          <cell r="DJ160">
            <v>4000</v>
          </cell>
          <cell r="DK160">
            <v>4000</v>
          </cell>
          <cell r="DM160">
            <v>4000</v>
          </cell>
          <cell r="DO160">
            <v>4000</v>
          </cell>
          <cell r="DP160">
            <v>4000</v>
          </cell>
          <cell r="DR160">
            <v>4000</v>
          </cell>
          <cell r="DS160">
            <v>5000</v>
          </cell>
          <cell r="DT160">
            <v>4000</v>
          </cell>
          <cell r="DU160">
            <v>4000</v>
          </cell>
          <cell r="DW160">
            <v>1000</v>
          </cell>
          <cell r="EB160">
            <v>4000</v>
          </cell>
          <cell r="EC160">
            <v>4000</v>
          </cell>
          <cell r="EE160">
            <v>4000</v>
          </cell>
          <cell r="EG160">
            <v>7000</v>
          </cell>
          <cell r="EH160" t="str">
            <v>ACTIVO</v>
          </cell>
          <cell r="EI160" t="str">
            <v>C</v>
          </cell>
          <cell r="EJ160" t="str">
            <v/>
          </cell>
          <cell r="EK160">
            <v>4071.4285714285716</v>
          </cell>
          <cell r="EL160">
            <v>678.57142857142856</v>
          </cell>
        </row>
        <row r="161">
          <cell r="F161">
            <v>405354</v>
          </cell>
          <cell r="G161" t="str">
            <v>ETIQ. CIRCULAR 90cm IMPR. JUMBO KUCHEN DE DURAZNO</v>
          </cell>
          <cell r="BV161">
            <v>1000</v>
          </cell>
          <cell r="EH161" t="str">
            <v>SIN USO</v>
          </cell>
          <cell r="EI161" t="str">
            <v>C</v>
          </cell>
          <cell r="EJ161" t="str">
            <v/>
          </cell>
          <cell r="EK161">
            <v>0</v>
          </cell>
          <cell r="EL161">
            <v>0</v>
          </cell>
        </row>
        <row r="162">
          <cell r="F162">
            <v>405357</v>
          </cell>
          <cell r="G162" t="str">
            <v>ETIQ. CIRCULAR 90cm IMPR. JUMBO KUCHEN DE STROISSEL MANZANA</v>
          </cell>
          <cell r="BV162">
            <v>1000</v>
          </cell>
          <cell r="EH162" t="str">
            <v>SIN USO</v>
          </cell>
          <cell r="EI162" t="str">
            <v>C</v>
          </cell>
          <cell r="EJ162" t="str">
            <v/>
          </cell>
          <cell r="EK162">
            <v>0</v>
          </cell>
          <cell r="EL162">
            <v>0</v>
          </cell>
        </row>
        <row r="163">
          <cell r="F163">
            <v>405360</v>
          </cell>
          <cell r="G163" t="str">
            <v>ETIQ. CIRCULAR 90cm IMPR. JUMBO KUCHEN DE FRAMBUESA</v>
          </cell>
          <cell r="BV163">
            <v>2000</v>
          </cell>
          <cell r="EH163" t="str">
            <v>SIN USO</v>
          </cell>
          <cell r="EI163" t="str">
            <v>C</v>
          </cell>
          <cell r="EJ163" t="str">
            <v/>
          </cell>
          <cell r="EK163">
            <v>0</v>
          </cell>
          <cell r="EL163">
            <v>0</v>
          </cell>
        </row>
        <row r="164">
          <cell r="F164">
            <v>405376</v>
          </cell>
          <cell r="G164" t="str">
            <v>ETIQUETA CIRCULAR 9cm TORTA SACHER</v>
          </cell>
          <cell r="AM164">
            <v>8000</v>
          </cell>
          <cell r="AS164">
            <v>1000</v>
          </cell>
          <cell r="BD164">
            <v>9000</v>
          </cell>
          <cell r="BO164">
            <v>14000</v>
          </cell>
          <cell r="BV164">
            <v>2000</v>
          </cell>
          <cell r="BW164">
            <v>4000</v>
          </cell>
          <cell r="BX164">
            <v>3500</v>
          </cell>
          <cell r="CA164">
            <v>2000</v>
          </cell>
          <cell r="CB164">
            <v>3000</v>
          </cell>
          <cell r="CD164">
            <v>10000</v>
          </cell>
          <cell r="CF164">
            <v>5000</v>
          </cell>
          <cell r="CG164">
            <v>3000</v>
          </cell>
          <cell r="CI164">
            <v>8000</v>
          </cell>
          <cell r="CL164">
            <v>7000</v>
          </cell>
          <cell r="CN164">
            <v>4000</v>
          </cell>
          <cell r="CO164">
            <v>4000</v>
          </cell>
          <cell r="CP164">
            <v>4000</v>
          </cell>
          <cell r="CR164">
            <v>4000</v>
          </cell>
          <cell r="CT164">
            <v>5000</v>
          </cell>
          <cell r="CV164">
            <v>3000</v>
          </cell>
          <cell r="CY164">
            <v>10000</v>
          </cell>
          <cell r="DC164">
            <v>8000</v>
          </cell>
          <cell r="DE164">
            <v>4000</v>
          </cell>
          <cell r="DG164">
            <v>4000</v>
          </cell>
          <cell r="DL164">
            <v>2000</v>
          </cell>
          <cell r="DM164">
            <v>8000</v>
          </cell>
          <cell r="DN164">
            <v>4000</v>
          </cell>
          <cell r="DO164">
            <v>4000</v>
          </cell>
          <cell r="DQ164">
            <v>4000</v>
          </cell>
          <cell r="DT164">
            <v>8000</v>
          </cell>
          <cell r="DW164">
            <v>4000</v>
          </cell>
          <cell r="DX164">
            <v>2000</v>
          </cell>
          <cell r="DY164">
            <v>4000</v>
          </cell>
          <cell r="EB164">
            <v>4000</v>
          </cell>
          <cell r="EC164">
            <v>4000</v>
          </cell>
          <cell r="EF164">
            <v>7000</v>
          </cell>
          <cell r="EH164" t="str">
            <v>ACTIVO</v>
          </cell>
          <cell r="EI164" t="str">
            <v>C</v>
          </cell>
          <cell r="EJ164">
            <v>10000</v>
          </cell>
          <cell r="EK164">
            <v>4583.333333333333</v>
          </cell>
          <cell r="EL164">
            <v>763.8888888888888</v>
          </cell>
        </row>
        <row r="165">
          <cell r="F165">
            <v>405377</v>
          </cell>
          <cell r="G165" t="str">
            <v>ETIQUETA CIRCULAR 9cm TORTA MANJAR LUCUMA</v>
          </cell>
          <cell r="H165">
            <v>2000</v>
          </cell>
          <cell r="AM165">
            <v>8000</v>
          </cell>
          <cell r="AQ165">
            <v>1000</v>
          </cell>
          <cell r="AT165">
            <v>1000</v>
          </cell>
          <cell r="AX165">
            <v>6000</v>
          </cell>
          <cell r="BA165">
            <v>2000</v>
          </cell>
          <cell r="BB165">
            <v>3000</v>
          </cell>
          <cell r="BD165">
            <v>4000</v>
          </cell>
          <cell r="BE165">
            <v>3000</v>
          </cell>
          <cell r="BJ165">
            <v>4000</v>
          </cell>
          <cell r="BM165">
            <v>8000</v>
          </cell>
          <cell r="BO165">
            <v>12000</v>
          </cell>
          <cell r="BQ165">
            <v>7000</v>
          </cell>
          <cell r="BR165">
            <v>3000</v>
          </cell>
          <cell r="BU165">
            <v>4000</v>
          </cell>
          <cell r="BW165">
            <v>10000</v>
          </cell>
          <cell r="BX165">
            <v>1000</v>
          </cell>
          <cell r="BY165">
            <v>1000</v>
          </cell>
          <cell r="BZ165">
            <v>2000</v>
          </cell>
          <cell r="CA165">
            <v>4000</v>
          </cell>
          <cell r="CB165">
            <v>3000</v>
          </cell>
          <cell r="CD165">
            <v>4000</v>
          </cell>
          <cell r="CE165">
            <v>4000</v>
          </cell>
          <cell r="CF165">
            <v>5000</v>
          </cell>
          <cell r="CI165">
            <v>8000</v>
          </cell>
          <cell r="CJ165">
            <v>4000</v>
          </cell>
          <cell r="CL165">
            <v>4000</v>
          </cell>
          <cell r="CM165">
            <v>7000</v>
          </cell>
          <cell r="CN165">
            <v>8000</v>
          </cell>
          <cell r="CO165">
            <v>4000</v>
          </cell>
          <cell r="CP165">
            <v>5000</v>
          </cell>
          <cell r="CQ165">
            <v>10000</v>
          </cell>
          <cell r="CT165">
            <v>5000</v>
          </cell>
          <cell r="CU165">
            <v>1000</v>
          </cell>
          <cell r="CV165">
            <v>10000</v>
          </cell>
          <cell r="CY165">
            <v>6000</v>
          </cell>
          <cell r="CZ165">
            <v>5000</v>
          </cell>
          <cell r="DC165">
            <v>4000</v>
          </cell>
          <cell r="DE165">
            <v>8000</v>
          </cell>
          <cell r="DH165">
            <v>3000</v>
          </cell>
          <cell r="DJ165">
            <v>4000</v>
          </cell>
          <cell r="DK165">
            <v>10000</v>
          </cell>
          <cell r="DL165">
            <v>4000</v>
          </cell>
          <cell r="DN165">
            <v>5000</v>
          </cell>
          <cell r="DO165">
            <v>2000</v>
          </cell>
          <cell r="DP165">
            <v>4000</v>
          </cell>
          <cell r="DQ165">
            <v>8000</v>
          </cell>
          <cell r="DR165">
            <v>4000</v>
          </cell>
          <cell r="DS165">
            <v>4000</v>
          </cell>
          <cell r="DT165">
            <v>8000</v>
          </cell>
          <cell r="DU165">
            <v>4000</v>
          </cell>
          <cell r="DW165">
            <v>8000</v>
          </cell>
          <cell r="DY165">
            <v>3000</v>
          </cell>
          <cell r="EB165">
            <v>8000</v>
          </cell>
          <cell r="ED165">
            <v>8000</v>
          </cell>
          <cell r="EE165">
            <v>1000</v>
          </cell>
          <cell r="EF165">
            <v>4000</v>
          </cell>
          <cell r="EG165">
            <v>3000</v>
          </cell>
          <cell r="EH165" t="str">
            <v>ACTIVO</v>
          </cell>
          <cell r="EI165" t="str">
            <v>C</v>
          </cell>
          <cell r="EJ165">
            <v>10000</v>
          </cell>
          <cell r="EK165">
            <v>5111.1111111111113</v>
          </cell>
          <cell r="EL165">
            <v>851.85185185185185</v>
          </cell>
        </row>
        <row r="166">
          <cell r="F166">
            <v>405378</v>
          </cell>
          <cell r="G166" t="str">
            <v>ETIQUETA CIRCULAR 9cm TORTA GUINDA CHOCOLATE</v>
          </cell>
          <cell r="H166">
            <v>1000</v>
          </cell>
          <cell r="AM166">
            <v>8000</v>
          </cell>
          <cell r="AQ166">
            <v>2000</v>
          </cell>
          <cell r="BA166">
            <v>1000</v>
          </cell>
          <cell r="BB166">
            <v>4000</v>
          </cell>
          <cell r="BG166">
            <v>2000</v>
          </cell>
          <cell r="BI166">
            <v>4000</v>
          </cell>
          <cell r="BN166">
            <v>4000</v>
          </cell>
          <cell r="BP166">
            <v>1000</v>
          </cell>
          <cell r="BQ166">
            <v>7000</v>
          </cell>
          <cell r="BS166">
            <v>4000</v>
          </cell>
          <cell r="BU166">
            <v>5000</v>
          </cell>
          <cell r="BV166">
            <v>11000</v>
          </cell>
          <cell r="BW166">
            <v>4000</v>
          </cell>
          <cell r="BX166">
            <v>4000</v>
          </cell>
          <cell r="BZ166">
            <v>1000</v>
          </cell>
          <cell r="CA166">
            <v>4000</v>
          </cell>
          <cell r="CB166">
            <v>7000</v>
          </cell>
          <cell r="CC166">
            <v>3000</v>
          </cell>
          <cell r="CF166">
            <v>4000</v>
          </cell>
          <cell r="CG166">
            <v>4000</v>
          </cell>
          <cell r="CJ166">
            <v>4000</v>
          </cell>
          <cell r="CL166">
            <v>7000</v>
          </cell>
          <cell r="CN166">
            <v>4000</v>
          </cell>
          <cell r="CO166">
            <v>4000</v>
          </cell>
          <cell r="CP166">
            <v>5000</v>
          </cell>
          <cell r="CT166">
            <v>1000</v>
          </cell>
          <cell r="EH166" t="str">
            <v>ACTIVO</v>
          </cell>
          <cell r="EI166" t="str">
            <v>C</v>
          </cell>
          <cell r="EJ166">
            <v>10000</v>
          </cell>
          <cell r="EK166">
            <v>0</v>
          </cell>
          <cell r="EL166">
            <v>0</v>
          </cell>
        </row>
        <row r="167">
          <cell r="F167">
            <v>405090</v>
          </cell>
          <cell r="G167" t="str">
            <v>ETIQUETA TORTA MERENGUE LUCUMA CONGELADA</v>
          </cell>
          <cell r="H167">
            <v>1000</v>
          </cell>
          <cell r="I167">
            <v>4000</v>
          </cell>
          <cell r="J167">
            <v>1000</v>
          </cell>
          <cell r="L167">
            <v>2000</v>
          </cell>
          <cell r="M167">
            <v>3000</v>
          </cell>
          <cell r="N167">
            <v>2000</v>
          </cell>
          <cell r="T167">
            <v>1000</v>
          </cell>
          <cell r="V167">
            <v>1000</v>
          </cell>
          <cell r="X167">
            <v>1000</v>
          </cell>
          <cell r="AA167">
            <v>1000</v>
          </cell>
          <cell r="AB167">
            <v>1000</v>
          </cell>
          <cell r="AE167">
            <v>1000</v>
          </cell>
          <cell r="AF167">
            <v>1000</v>
          </cell>
          <cell r="AK167">
            <v>2000</v>
          </cell>
          <cell r="AN167">
            <v>1000</v>
          </cell>
          <cell r="AO167">
            <v>1000</v>
          </cell>
          <cell r="AT167">
            <v>1000</v>
          </cell>
          <cell r="AU167">
            <v>1000</v>
          </cell>
          <cell r="AV167">
            <v>1000</v>
          </cell>
          <cell r="AW167">
            <v>2000</v>
          </cell>
          <cell r="AX167">
            <v>3000</v>
          </cell>
          <cell r="AZ167">
            <v>1000</v>
          </cell>
          <cell r="BA167">
            <v>1000</v>
          </cell>
          <cell r="BB167">
            <v>2000</v>
          </cell>
          <cell r="BC167">
            <v>1000</v>
          </cell>
          <cell r="BE167">
            <v>2000</v>
          </cell>
          <cell r="BH167">
            <v>1000</v>
          </cell>
          <cell r="BI167">
            <v>1000</v>
          </cell>
          <cell r="BJ167">
            <v>2000</v>
          </cell>
          <cell r="BK167">
            <v>2000</v>
          </cell>
          <cell r="BL167">
            <v>1000</v>
          </cell>
          <cell r="BO167">
            <v>1000</v>
          </cell>
          <cell r="BR167">
            <v>2000</v>
          </cell>
          <cell r="BS167">
            <v>1000</v>
          </cell>
          <cell r="BT167">
            <v>1000</v>
          </cell>
          <cell r="BV167">
            <v>1000</v>
          </cell>
          <cell r="BW167">
            <v>1000</v>
          </cell>
          <cell r="BX167">
            <v>2000</v>
          </cell>
          <cell r="BY167">
            <v>1000</v>
          </cell>
          <cell r="CA167">
            <v>1000</v>
          </cell>
          <cell r="CB167">
            <v>1000</v>
          </cell>
          <cell r="CD167">
            <v>2000</v>
          </cell>
          <cell r="CG167">
            <v>1000</v>
          </cell>
          <cell r="CI167">
            <v>2000</v>
          </cell>
          <cell r="CJ167">
            <v>1000</v>
          </cell>
          <cell r="CM167">
            <v>1000</v>
          </cell>
          <cell r="CN167">
            <v>3000</v>
          </cell>
          <cell r="CQ167">
            <v>1000</v>
          </cell>
          <cell r="CT167">
            <v>3000</v>
          </cell>
          <cell r="CU167">
            <v>1000</v>
          </cell>
          <cell r="CV167">
            <v>2000</v>
          </cell>
          <cell r="CX167">
            <v>2000</v>
          </cell>
          <cell r="CY167">
            <v>2000</v>
          </cell>
          <cell r="CZ167">
            <v>2000</v>
          </cell>
          <cell r="DB167">
            <v>1000</v>
          </cell>
          <cell r="DE167">
            <v>2000</v>
          </cell>
          <cell r="DF167">
            <v>2000</v>
          </cell>
          <cell r="DG167">
            <v>1000</v>
          </cell>
          <cell r="DJ167">
            <v>1000</v>
          </cell>
          <cell r="DK167">
            <v>4000</v>
          </cell>
          <cell r="DO167">
            <v>2000</v>
          </cell>
          <cell r="DQ167">
            <v>1000</v>
          </cell>
          <cell r="DT167">
            <v>1000</v>
          </cell>
          <cell r="DU167">
            <v>2000</v>
          </cell>
          <cell r="DW167">
            <v>1000</v>
          </cell>
          <cell r="DX167">
            <v>2000</v>
          </cell>
          <cell r="DY167">
            <v>2000</v>
          </cell>
          <cell r="EB167">
            <v>3000</v>
          </cell>
          <cell r="ED167">
            <v>1000</v>
          </cell>
          <cell r="EG167">
            <v>1000</v>
          </cell>
          <cell r="EH167" t="str">
            <v>ACTIVO</v>
          </cell>
          <cell r="EI167" t="str">
            <v>C</v>
          </cell>
          <cell r="EJ167">
            <v>10000</v>
          </cell>
          <cell r="EK167">
            <v>1750</v>
          </cell>
          <cell r="EL167">
            <v>291.66666666666669</v>
          </cell>
        </row>
        <row r="168">
          <cell r="F168">
            <v>405300</v>
          </cell>
          <cell r="G168" t="str">
            <v>ETIQ. CIRCULAR 9cm IMPR. PIE DE LIMÓN ESPECIAL JUMBO</v>
          </cell>
          <cell r="AB168">
            <v>1000</v>
          </cell>
          <cell r="AE168">
            <v>1000</v>
          </cell>
          <cell r="AF168">
            <v>6000</v>
          </cell>
          <cell r="AG168">
            <v>3000</v>
          </cell>
          <cell r="AH168">
            <v>2000</v>
          </cell>
          <cell r="AI168">
            <v>4000</v>
          </cell>
          <cell r="AJ168">
            <v>3000</v>
          </cell>
          <cell r="AK168">
            <v>2000</v>
          </cell>
          <cell r="AL168">
            <v>3000</v>
          </cell>
          <cell r="AM168">
            <v>3000</v>
          </cell>
          <cell r="AN168">
            <v>3000</v>
          </cell>
          <cell r="AO168">
            <v>3000</v>
          </cell>
          <cell r="AP168">
            <v>2000</v>
          </cell>
          <cell r="AQ168">
            <v>3000</v>
          </cell>
          <cell r="AS168">
            <v>3000</v>
          </cell>
          <cell r="AV168">
            <v>3000</v>
          </cell>
          <cell r="AW168">
            <v>3000</v>
          </cell>
          <cell r="AX168">
            <v>4000</v>
          </cell>
          <cell r="BA168">
            <v>6000</v>
          </cell>
          <cell r="BD168">
            <v>3000</v>
          </cell>
          <cell r="BE168">
            <v>3000</v>
          </cell>
          <cell r="BF168">
            <v>3</v>
          </cell>
          <cell r="BG168">
            <v>8997</v>
          </cell>
          <cell r="BH168">
            <v>3000</v>
          </cell>
          <cell r="BJ168">
            <v>3000</v>
          </cell>
          <cell r="BK168">
            <v>6000</v>
          </cell>
          <cell r="BM168">
            <v>1000</v>
          </cell>
          <cell r="BN168">
            <v>3000</v>
          </cell>
          <cell r="BO168">
            <v>6000</v>
          </cell>
          <cell r="BQ168">
            <v>3000</v>
          </cell>
          <cell r="BR168">
            <v>3000</v>
          </cell>
          <cell r="BT168">
            <v>6000</v>
          </cell>
          <cell r="BV168">
            <v>3000</v>
          </cell>
          <cell r="BW168">
            <v>3000</v>
          </cell>
          <cell r="BX168">
            <v>3000</v>
          </cell>
          <cell r="BY168">
            <v>7000</v>
          </cell>
          <cell r="CA168">
            <v>6000</v>
          </cell>
          <cell r="CB168">
            <v>3000</v>
          </cell>
          <cell r="CD168">
            <v>3000</v>
          </cell>
          <cell r="CE168">
            <v>6000</v>
          </cell>
          <cell r="CF168">
            <v>6000</v>
          </cell>
          <cell r="CG168">
            <v>3000</v>
          </cell>
          <cell r="CI168">
            <v>6000</v>
          </cell>
          <cell r="CJ168">
            <v>3000</v>
          </cell>
          <cell r="CL168">
            <v>3000</v>
          </cell>
          <cell r="CM168">
            <v>3000</v>
          </cell>
          <cell r="CN168">
            <v>6000</v>
          </cell>
          <cell r="CO168">
            <v>3000</v>
          </cell>
          <cell r="CP168">
            <v>3000</v>
          </cell>
          <cell r="CR168">
            <v>1000</v>
          </cell>
          <cell r="CT168">
            <v>6000</v>
          </cell>
          <cell r="CU168">
            <v>3000</v>
          </cell>
          <cell r="CV168">
            <v>3000</v>
          </cell>
          <cell r="CW168">
            <v>4000</v>
          </cell>
          <cell r="CY168">
            <v>4000</v>
          </cell>
          <cell r="CZ168">
            <v>3000</v>
          </cell>
          <cell r="DB168">
            <v>3000</v>
          </cell>
          <cell r="DC168">
            <v>2000</v>
          </cell>
          <cell r="DE168">
            <v>2000</v>
          </cell>
          <cell r="DF168">
            <v>2000</v>
          </cell>
          <cell r="DG168">
            <v>2000</v>
          </cell>
          <cell r="DJ168">
            <v>2000</v>
          </cell>
          <cell r="DK168">
            <v>4000</v>
          </cell>
          <cell r="DL168">
            <v>2000</v>
          </cell>
          <cell r="DM168">
            <v>2000</v>
          </cell>
          <cell r="DN168">
            <v>2000</v>
          </cell>
          <cell r="DO168">
            <v>2000</v>
          </cell>
          <cell r="DQ168">
            <v>2000</v>
          </cell>
          <cell r="DR168">
            <v>2000</v>
          </cell>
          <cell r="DS168">
            <v>2000</v>
          </cell>
          <cell r="DU168">
            <v>2000</v>
          </cell>
          <cell r="DV168">
            <v>2000</v>
          </cell>
          <cell r="DW168">
            <v>2000</v>
          </cell>
          <cell r="DX168">
            <v>2000</v>
          </cell>
          <cell r="DY168">
            <v>6000</v>
          </cell>
          <cell r="EB168">
            <v>4000</v>
          </cell>
          <cell r="EC168">
            <v>3000</v>
          </cell>
          <cell r="ED168">
            <v>2000</v>
          </cell>
          <cell r="EE168">
            <v>2000</v>
          </cell>
          <cell r="EF168">
            <v>4000</v>
          </cell>
          <cell r="EG168">
            <v>2000</v>
          </cell>
          <cell r="EH168" t="str">
            <v>ACTIVO</v>
          </cell>
          <cell r="EI168" t="str">
            <v>C</v>
          </cell>
          <cell r="EJ168">
            <v>10000</v>
          </cell>
          <cell r="EK168">
            <v>2550</v>
          </cell>
          <cell r="EL168">
            <v>425</v>
          </cell>
        </row>
        <row r="169">
          <cell r="F169">
            <v>393426</v>
          </cell>
          <cell r="G169" t="str">
            <v>ETIQUETA CIRCULAR 9cm TORTA DOÑA ISABEL</v>
          </cell>
          <cell r="Z169">
            <v>1001</v>
          </cell>
          <cell r="AA169">
            <v>1000</v>
          </cell>
          <cell r="AB169">
            <v>1999</v>
          </cell>
          <cell r="AC169">
            <v>1000</v>
          </cell>
          <cell r="AE169">
            <v>3000</v>
          </cell>
          <cell r="AF169">
            <v>1000</v>
          </cell>
          <cell r="AH169">
            <v>2000</v>
          </cell>
          <cell r="AI169">
            <v>2000</v>
          </cell>
          <cell r="AJ169">
            <v>2000</v>
          </cell>
          <cell r="AK169">
            <v>2000</v>
          </cell>
          <cell r="AL169">
            <v>2000</v>
          </cell>
          <cell r="AM169">
            <v>2000</v>
          </cell>
          <cell r="AN169">
            <v>2000</v>
          </cell>
          <cell r="AP169">
            <v>2000</v>
          </cell>
          <cell r="AQ169">
            <v>2000</v>
          </cell>
          <cell r="AS169">
            <v>1000</v>
          </cell>
          <cell r="AT169">
            <v>2000</v>
          </cell>
          <cell r="AV169">
            <v>2000</v>
          </cell>
          <cell r="AW169">
            <v>2000</v>
          </cell>
          <cell r="AX169">
            <v>3000</v>
          </cell>
          <cell r="AY169">
            <v>2000</v>
          </cell>
          <cell r="BA169">
            <v>2000</v>
          </cell>
          <cell r="BD169">
            <v>1000</v>
          </cell>
          <cell r="BE169">
            <v>1000</v>
          </cell>
          <cell r="BF169">
            <v>2</v>
          </cell>
          <cell r="BG169">
            <v>3998</v>
          </cell>
          <cell r="BH169">
            <v>3000</v>
          </cell>
          <cell r="BK169">
            <v>4000</v>
          </cell>
          <cell r="BM169">
            <v>1000</v>
          </cell>
          <cell r="BN169">
            <v>2000</v>
          </cell>
          <cell r="BO169">
            <v>4000</v>
          </cell>
          <cell r="BQ169">
            <v>2000</v>
          </cell>
          <cell r="BR169">
            <v>2000</v>
          </cell>
          <cell r="BT169">
            <v>4000</v>
          </cell>
          <cell r="BV169">
            <v>2000</v>
          </cell>
          <cell r="BW169">
            <v>1000</v>
          </cell>
          <cell r="BX169">
            <v>1000</v>
          </cell>
          <cell r="BY169">
            <v>3000</v>
          </cell>
          <cell r="CA169">
            <v>4000</v>
          </cell>
          <cell r="CB169">
            <v>2000</v>
          </cell>
          <cell r="CD169">
            <v>2000</v>
          </cell>
          <cell r="CE169">
            <v>3000</v>
          </cell>
          <cell r="CF169">
            <v>2000</v>
          </cell>
          <cell r="CG169">
            <v>1000</v>
          </cell>
          <cell r="CI169">
            <v>2000</v>
          </cell>
          <cell r="CJ169">
            <v>1000</v>
          </cell>
          <cell r="CL169">
            <v>1000</v>
          </cell>
          <cell r="CM169">
            <v>1000</v>
          </cell>
          <cell r="CN169">
            <v>2000</v>
          </cell>
          <cell r="CO169">
            <v>2000</v>
          </cell>
          <cell r="CP169">
            <v>2000</v>
          </cell>
          <cell r="CR169">
            <v>3000</v>
          </cell>
          <cell r="CT169">
            <v>3000</v>
          </cell>
          <cell r="CU169">
            <v>4000</v>
          </cell>
          <cell r="CV169">
            <v>3000</v>
          </cell>
          <cell r="CW169">
            <v>3000</v>
          </cell>
          <cell r="CY169">
            <v>2000</v>
          </cell>
          <cell r="CZ169">
            <v>2000</v>
          </cell>
          <cell r="DB169">
            <v>5000</v>
          </cell>
          <cell r="DC169">
            <v>2000</v>
          </cell>
          <cell r="DK169">
            <v>1000</v>
          </cell>
          <cell r="DL169">
            <v>5000</v>
          </cell>
          <cell r="DM169">
            <v>2000</v>
          </cell>
          <cell r="DN169">
            <v>1000</v>
          </cell>
          <cell r="DO169">
            <v>1000</v>
          </cell>
          <cell r="DP169">
            <v>1000</v>
          </cell>
          <cell r="DQ169">
            <v>1000</v>
          </cell>
          <cell r="DR169">
            <v>2000</v>
          </cell>
          <cell r="DS169">
            <v>2000</v>
          </cell>
          <cell r="DT169">
            <v>3000</v>
          </cell>
          <cell r="DU169">
            <v>2000</v>
          </cell>
          <cell r="DW169">
            <v>6000</v>
          </cell>
          <cell r="DX169">
            <v>2000</v>
          </cell>
          <cell r="DY169">
            <v>1000</v>
          </cell>
          <cell r="DZ169">
            <v>1000</v>
          </cell>
          <cell r="EB169">
            <v>7000</v>
          </cell>
          <cell r="ED169">
            <v>1000</v>
          </cell>
          <cell r="EH169" t="str">
            <v>ACTIVO</v>
          </cell>
          <cell r="EI169" t="str">
            <v>C</v>
          </cell>
          <cell r="EJ169">
            <v>10000</v>
          </cell>
          <cell r="EK169">
            <v>2294.1176470588234</v>
          </cell>
          <cell r="EL169">
            <v>382.35294117647055</v>
          </cell>
        </row>
        <row r="170">
          <cell r="F170">
            <v>405089</v>
          </cell>
          <cell r="G170" t="str">
            <v>ETIQUETA TORTA MERENGUE FRAMBUESA CONGELADA</v>
          </cell>
          <cell r="H170">
            <v>4000</v>
          </cell>
          <cell r="I170">
            <v>2000</v>
          </cell>
          <cell r="K170">
            <v>1000</v>
          </cell>
          <cell r="L170">
            <v>2000</v>
          </cell>
          <cell r="M170">
            <v>4000</v>
          </cell>
          <cell r="N170">
            <v>1000</v>
          </cell>
          <cell r="R170">
            <v>1000</v>
          </cell>
          <cell r="S170">
            <v>2000</v>
          </cell>
          <cell r="T170">
            <v>2000</v>
          </cell>
          <cell r="U170">
            <v>1000</v>
          </cell>
          <cell r="V170">
            <v>1000</v>
          </cell>
          <cell r="W170">
            <v>1000</v>
          </cell>
          <cell r="X170">
            <v>3000</v>
          </cell>
          <cell r="AA170">
            <v>2000</v>
          </cell>
          <cell r="AB170">
            <v>1000</v>
          </cell>
          <cell r="AE170">
            <v>1000</v>
          </cell>
          <cell r="AF170">
            <v>2000</v>
          </cell>
          <cell r="AG170">
            <v>1000</v>
          </cell>
          <cell r="AI170">
            <v>1000</v>
          </cell>
          <cell r="AJ170">
            <v>1000</v>
          </cell>
          <cell r="AK170">
            <v>1000</v>
          </cell>
          <cell r="AN170">
            <v>2000</v>
          </cell>
          <cell r="AO170">
            <v>2000</v>
          </cell>
          <cell r="AX170">
            <v>3000</v>
          </cell>
          <cell r="AY170">
            <v>3000</v>
          </cell>
          <cell r="AZ170">
            <v>1000</v>
          </cell>
          <cell r="BB170">
            <v>1000</v>
          </cell>
          <cell r="BC170">
            <v>1000</v>
          </cell>
          <cell r="BE170">
            <v>1000</v>
          </cell>
          <cell r="BF170">
            <v>2000</v>
          </cell>
          <cell r="BI170">
            <v>2000</v>
          </cell>
          <cell r="BJ170">
            <v>2000</v>
          </cell>
          <cell r="BK170">
            <v>2000</v>
          </cell>
          <cell r="BL170">
            <v>1000</v>
          </cell>
          <cell r="BM170">
            <v>1000</v>
          </cell>
          <cell r="BO170">
            <v>1000</v>
          </cell>
          <cell r="BQ170">
            <v>2000</v>
          </cell>
          <cell r="BR170">
            <v>2000</v>
          </cell>
          <cell r="BS170">
            <v>2000</v>
          </cell>
          <cell r="BT170">
            <v>1000</v>
          </cell>
          <cell r="BV170">
            <v>2000</v>
          </cell>
          <cell r="BW170">
            <v>3000</v>
          </cell>
          <cell r="BX170">
            <v>1000</v>
          </cell>
          <cell r="CA170">
            <v>2000</v>
          </cell>
          <cell r="CB170">
            <v>1000</v>
          </cell>
          <cell r="CD170">
            <v>3000</v>
          </cell>
          <cell r="CG170">
            <v>1000</v>
          </cell>
          <cell r="CI170">
            <v>3000</v>
          </cell>
          <cell r="CJ170">
            <v>1000</v>
          </cell>
          <cell r="CL170">
            <v>1000</v>
          </cell>
          <cell r="CM170">
            <v>1000</v>
          </cell>
          <cell r="CN170">
            <v>3000</v>
          </cell>
          <cell r="CO170">
            <v>1000</v>
          </cell>
          <cell r="CP170">
            <v>1000</v>
          </cell>
          <cell r="CQ170">
            <v>1000</v>
          </cell>
          <cell r="CT170">
            <v>3000</v>
          </cell>
          <cell r="CU170">
            <v>1000</v>
          </cell>
          <cell r="CV170">
            <v>2000</v>
          </cell>
          <cell r="CW170">
            <v>3000</v>
          </cell>
          <cell r="CY170">
            <v>3000</v>
          </cell>
          <cell r="CZ170">
            <v>2000</v>
          </cell>
          <cell r="DB170">
            <v>2000</v>
          </cell>
          <cell r="DC170">
            <v>1000</v>
          </cell>
          <cell r="DE170">
            <v>2000</v>
          </cell>
          <cell r="DF170">
            <v>1000</v>
          </cell>
          <cell r="DG170">
            <v>2000</v>
          </cell>
          <cell r="DH170">
            <v>1000</v>
          </cell>
          <cell r="DJ170">
            <v>2000</v>
          </cell>
          <cell r="DK170">
            <v>5000</v>
          </cell>
          <cell r="DL170">
            <v>2000</v>
          </cell>
          <cell r="DO170">
            <v>1000</v>
          </cell>
          <cell r="DQ170">
            <v>1000</v>
          </cell>
          <cell r="DR170">
            <v>1000</v>
          </cell>
          <cell r="DS170">
            <v>1000</v>
          </cell>
          <cell r="DT170">
            <v>2000</v>
          </cell>
          <cell r="DU170">
            <v>2000</v>
          </cell>
          <cell r="DW170">
            <v>2000</v>
          </cell>
          <cell r="DX170">
            <v>2000</v>
          </cell>
          <cell r="DY170">
            <v>3000</v>
          </cell>
          <cell r="EC170">
            <v>1000</v>
          </cell>
          <cell r="ED170">
            <v>1000</v>
          </cell>
          <cell r="EF170">
            <v>1000</v>
          </cell>
          <cell r="EG170">
            <v>1000</v>
          </cell>
          <cell r="EH170" t="str">
            <v>ACTIVO</v>
          </cell>
          <cell r="EI170" t="str">
            <v>C</v>
          </cell>
          <cell r="EJ170">
            <v>10000</v>
          </cell>
          <cell r="EK170">
            <v>1750</v>
          </cell>
          <cell r="EL170">
            <v>291.66666666666669</v>
          </cell>
        </row>
        <row r="171">
          <cell r="F171">
            <v>405168</v>
          </cell>
          <cell r="G171" t="str">
            <v>ETIQUETAS 22X32 BLANCA ADHESIVO ULTRA FRÍO</v>
          </cell>
          <cell r="H171">
            <v>10000</v>
          </cell>
          <cell r="I171">
            <v>10000</v>
          </cell>
          <cell r="M171">
            <v>20000</v>
          </cell>
          <cell r="N171">
            <v>60000</v>
          </cell>
          <cell r="S171">
            <v>10000</v>
          </cell>
          <cell r="T171">
            <v>20000</v>
          </cell>
          <cell r="U171">
            <v>10000</v>
          </cell>
          <cell r="W171">
            <v>10000</v>
          </cell>
          <cell r="X171">
            <v>50000</v>
          </cell>
          <cell r="Y171">
            <v>30000</v>
          </cell>
          <cell r="Z171">
            <v>20000</v>
          </cell>
          <cell r="AA171">
            <v>0</v>
          </cell>
          <cell r="AB171">
            <v>10000</v>
          </cell>
          <cell r="AD171">
            <v>20000</v>
          </cell>
          <cell r="AG171">
            <v>20000</v>
          </cell>
          <cell r="AM171">
            <v>20000</v>
          </cell>
          <cell r="AO171">
            <v>20000</v>
          </cell>
          <cell r="AP171">
            <v>20000</v>
          </cell>
          <cell r="AS171">
            <v>40000</v>
          </cell>
          <cell r="AT171">
            <v>30000</v>
          </cell>
          <cell r="AV171">
            <v>20000</v>
          </cell>
          <cell r="AX171">
            <v>20000</v>
          </cell>
          <cell r="AZ171">
            <v>20000</v>
          </cell>
          <cell r="BE171">
            <v>30000</v>
          </cell>
          <cell r="BV171">
            <v>20000</v>
          </cell>
          <cell r="BX171">
            <v>10000</v>
          </cell>
          <cell r="EH171" t="str">
            <v>SIN USO</v>
          </cell>
          <cell r="EI171" t="str">
            <v>C</v>
          </cell>
          <cell r="EJ171">
            <v>10000</v>
          </cell>
          <cell r="EK171">
            <v>0</v>
          </cell>
          <cell r="EL171">
            <v>0</v>
          </cell>
        </row>
        <row r="172">
          <cell r="F172">
            <v>404737</v>
          </cell>
          <cell r="G172" t="str">
            <v>ETIQUETA CIRCULAR 9cm IMPR. T.CREMA PIÑA 5 COL +UV</v>
          </cell>
          <cell r="I172">
            <v>5000</v>
          </cell>
          <cell r="J172">
            <v>5000</v>
          </cell>
          <cell r="K172">
            <v>3000</v>
          </cell>
          <cell r="L172">
            <v>3000</v>
          </cell>
          <cell r="M172">
            <v>3000</v>
          </cell>
          <cell r="N172">
            <v>1000</v>
          </cell>
          <cell r="O172">
            <v>3000</v>
          </cell>
          <cell r="P172">
            <v>4000</v>
          </cell>
          <cell r="Q172">
            <v>3000</v>
          </cell>
          <cell r="S172">
            <v>4000</v>
          </cell>
          <cell r="T172">
            <v>6000</v>
          </cell>
          <cell r="U172">
            <v>2000</v>
          </cell>
          <cell r="V172">
            <v>3000</v>
          </cell>
          <cell r="W172">
            <v>3000</v>
          </cell>
          <cell r="X172">
            <v>4000</v>
          </cell>
          <cell r="Y172">
            <v>1000</v>
          </cell>
          <cell r="AA172">
            <v>6000</v>
          </cell>
          <cell r="AB172">
            <v>8000</v>
          </cell>
          <cell r="AC172">
            <v>3000</v>
          </cell>
          <cell r="AE172">
            <v>3000</v>
          </cell>
          <cell r="AF172">
            <v>5000</v>
          </cell>
          <cell r="AH172">
            <v>4000</v>
          </cell>
          <cell r="AI172">
            <v>3000</v>
          </cell>
          <cell r="AJ172">
            <v>3000</v>
          </cell>
          <cell r="AK172">
            <v>3000</v>
          </cell>
          <cell r="AM172">
            <v>4000</v>
          </cell>
          <cell r="AN172">
            <v>3000</v>
          </cell>
          <cell r="AO172">
            <v>4000</v>
          </cell>
          <cell r="AP172">
            <v>4000</v>
          </cell>
          <cell r="AQ172">
            <v>3000</v>
          </cell>
          <cell r="AS172">
            <v>3000</v>
          </cell>
          <cell r="AT172">
            <v>4000</v>
          </cell>
          <cell r="AV172">
            <v>6000</v>
          </cell>
          <cell r="AX172">
            <v>5000</v>
          </cell>
          <cell r="AY172">
            <v>1000</v>
          </cell>
          <cell r="BA172">
            <v>7000</v>
          </cell>
          <cell r="BD172">
            <v>6000</v>
          </cell>
          <cell r="BF172">
            <v>4</v>
          </cell>
          <cell r="BG172">
            <v>3996</v>
          </cell>
          <cell r="BJ172">
            <v>1000</v>
          </cell>
          <cell r="BK172">
            <v>10000</v>
          </cell>
          <cell r="BM172">
            <v>4000</v>
          </cell>
          <cell r="BN172">
            <v>4000</v>
          </cell>
          <cell r="BO172">
            <v>4000</v>
          </cell>
          <cell r="BP172">
            <v>2000</v>
          </cell>
          <cell r="BQ172">
            <v>12000</v>
          </cell>
          <cell r="BR172">
            <v>4000</v>
          </cell>
          <cell r="BT172">
            <v>16000</v>
          </cell>
          <cell r="BV172">
            <v>8000</v>
          </cell>
          <cell r="BW172">
            <v>4000</v>
          </cell>
          <cell r="CA172">
            <v>12000</v>
          </cell>
          <cell r="CB172">
            <v>4000</v>
          </cell>
          <cell r="CE172">
            <v>1000</v>
          </cell>
          <cell r="CF172">
            <v>8000</v>
          </cell>
          <cell r="CJ172">
            <v>4000</v>
          </cell>
          <cell r="CM172">
            <v>4000</v>
          </cell>
          <cell r="CN172">
            <v>4000</v>
          </cell>
          <cell r="CP172">
            <v>4000</v>
          </cell>
          <cell r="CR172">
            <v>3000</v>
          </cell>
          <cell r="CT172">
            <v>5000</v>
          </cell>
          <cell r="CU172">
            <v>5000</v>
          </cell>
          <cell r="CW172">
            <v>5000</v>
          </cell>
          <cell r="CY172">
            <v>3000</v>
          </cell>
          <cell r="DB172">
            <v>5000</v>
          </cell>
          <cell r="DF172">
            <v>3000</v>
          </cell>
          <cell r="DG172">
            <v>4000</v>
          </cell>
          <cell r="DJ172">
            <v>8000</v>
          </cell>
          <cell r="DK172">
            <v>12000</v>
          </cell>
          <cell r="DL172">
            <v>9000</v>
          </cell>
          <cell r="DM172">
            <v>4000</v>
          </cell>
          <cell r="DN172">
            <v>4000</v>
          </cell>
          <cell r="DO172">
            <v>4000</v>
          </cell>
          <cell r="DP172">
            <v>4000</v>
          </cell>
          <cell r="DR172">
            <v>4000</v>
          </cell>
          <cell r="DS172">
            <v>5000</v>
          </cell>
          <cell r="DU172">
            <v>4000</v>
          </cell>
          <cell r="DW172">
            <v>4000</v>
          </cell>
          <cell r="DX172">
            <v>4000</v>
          </cell>
          <cell r="DY172">
            <v>1000</v>
          </cell>
          <cell r="EC172">
            <v>8000</v>
          </cell>
          <cell r="EG172">
            <v>7000</v>
          </cell>
          <cell r="EH172" t="str">
            <v>ACTIVO</v>
          </cell>
          <cell r="EI172" t="str">
            <v>C</v>
          </cell>
          <cell r="EJ172">
            <v>10000</v>
          </cell>
          <cell r="EK172">
            <v>5466.666666666667</v>
          </cell>
          <cell r="EL172">
            <v>911.1111111111112</v>
          </cell>
        </row>
        <row r="173">
          <cell r="F173">
            <v>404738</v>
          </cell>
          <cell r="G173" t="str">
            <v>ETIQUETA CIRCULAR 9cm IMPR. TORTA SELVA NEGRA</v>
          </cell>
          <cell r="I173">
            <v>5000</v>
          </cell>
          <cell r="J173">
            <v>9000</v>
          </cell>
          <cell r="K173">
            <v>3000</v>
          </cell>
          <cell r="L173">
            <v>3000</v>
          </cell>
          <cell r="M173">
            <v>1000</v>
          </cell>
          <cell r="N173">
            <v>1000</v>
          </cell>
          <cell r="O173">
            <v>8000</v>
          </cell>
          <cell r="P173">
            <v>4000</v>
          </cell>
          <cell r="Q173">
            <v>3000</v>
          </cell>
          <cell r="S173">
            <v>6000</v>
          </cell>
          <cell r="T173">
            <v>3000</v>
          </cell>
          <cell r="U173">
            <v>2000</v>
          </cell>
          <cell r="V173">
            <v>3000</v>
          </cell>
          <cell r="W173">
            <v>3000</v>
          </cell>
          <cell r="X173">
            <v>3000</v>
          </cell>
          <cell r="AA173">
            <v>4000</v>
          </cell>
          <cell r="AB173">
            <v>7000</v>
          </cell>
          <cell r="AC173">
            <v>3000</v>
          </cell>
          <cell r="AE173">
            <v>6000</v>
          </cell>
          <cell r="AF173">
            <v>4000</v>
          </cell>
          <cell r="AH173">
            <v>3000</v>
          </cell>
          <cell r="AI173">
            <v>3000</v>
          </cell>
          <cell r="AJ173">
            <v>3000</v>
          </cell>
          <cell r="AK173">
            <v>3000</v>
          </cell>
          <cell r="AL173">
            <v>2000</v>
          </cell>
          <cell r="AM173">
            <v>4000</v>
          </cell>
          <cell r="AN173">
            <v>3000</v>
          </cell>
          <cell r="AP173">
            <v>3000</v>
          </cell>
          <cell r="AQ173">
            <v>3000</v>
          </cell>
          <cell r="AS173">
            <v>3000</v>
          </cell>
          <cell r="AT173">
            <v>4000</v>
          </cell>
          <cell r="AV173">
            <v>10000</v>
          </cell>
          <cell r="AY173">
            <v>11000</v>
          </cell>
          <cell r="BB173">
            <v>9000</v>
          </cell>
          <cell r="BF173">
            <v>8</v>
          </cell>
          <cell r="BG173">
            <v>15992</v>
          </cell>
          <cell r="BH173">
            <v>8000</v>
          </cell>
          <cell r="BK173">
            <v>6000</v>
          </cell>
          <cell r="BM173">
            <v>2000</v>
          </cell>
          <cell r="BN173">
            <v>6000</v>
          </cell>
          <cell r="BO173">
            <v>8000</v>
          </cell>
          <cell r="BP173">
            <v>4000</v>
          </cell>
          <cell r="BQ173">
            <v>15000</v>
          </cell>
          <cell r="BR173">
            <v>4000</v>
          </cell>
          <cell r="BS173">
            <v>4000</v>
          </cell>
          <cell r="BT173">
            <v>12000</v>
          </cell>
          <cell r="BU173">
            <v>8000</v>
          </cell>
          <cell r="BX173">
            <v>8000</v>
          </cell>
          <cell r="BY173">
            <v>4000</v>
          </cell>
          <cell r="CA173">
            <v>4000</v>
          </cell>
          <cell r="CB173">
            <v>5000</v>
          </cell>
          <cell r="CD173">
            <v>4000</v>
          </cell>
          <cell r="CF173">
            <v>8000</v>
          </cell>
          <cell r="CG173">
            <v>8000</v>
          </cell>
          <cell r="CI173">
            <v>8000</v>
          </cell>
          <cell r="CJ173">
            <v>8000</v>
          </cell>
          <cell r="CM173">
            <v>8000</v>
          </cell>
          <cell r="CN173">
            <v>8000</v>
          </cell>
          <cell r="CO173">
            <v>4000</v>
          </cell>
          <cell r="CP173">
            <v>9000</v>
          </cell>
          <cell r="CQ173">
            <v>1000</v>
          </cell>
          <cell r="CT173">
            <v>5000</v>
          </cell>
          <cell r="CU173">
            <v>5000</v>
          </cell>
          <cell r="CV173">
            <v>5000</v>
          </cell>
          <cell r="CW173">
            <v>10000</v>
          </cell>
          <cell r="CX173">
            <v>1000</v>
          </cell>
          <cell r="CY173">
            <v>5000</v>
          </cell>
          <cell r="DB173">
            <v>7000</v>
          </cell>
          <cell r="DC173">
            <v>4000</v>
          </cell>
          <cell r="DF173">
            <v>4000</v>
          </cell>
          <cell r="DG173">
            <v>4000</v>
          </cell>
          <cell r="DK173">
            <v>8000</v>
          </cell>
          <cell r="DL173">
            <v>8000</v>
          </cell>
          <cell r="DM173">
            <v>4000</v>
          </cell>
          <cell r="DN173">
            <v>4000</v>
          </cell>
          <cell r="DO173">
            <v>4000</v>
          </cell>
          <cell r="DP173">
            <v>4000</v>
          </cell>
          <cell r="DQ173">
            <v>4000</v>
          </cell>
          <cell r="DR173">
            <v>2000</v>
          </cell>
          <cell r="DT173">
            <v>4000</v>
          </cell>
          <cell r="DU173">
            <v>5000</v>
          </cell>
          <cell r="DV173">
            <v>4000</v>
          </cell>
          <cell r="DX173">
            <v>4000</v>
          </cell>
          <cell r="DY173">
            <v>4000</v>
          </cell>
          <cell r="EB173">
            <v>8000</v>
          </cell>
          <cell r="EC173">
            <v>4000</v>
          </cell>
          <cell r="ED173">
            <v>4000</v>
          </cell>
          <cell r="EE173">
            <v>4000</v>
          </cell>
          <cell r="EG173">
            <v>4000</v>
          </cell>
          <cell r="EH173" t="str">
            <v>ACTIVO</v>
          </cell>
          <cell r="EI173" t="str">
            <v>C</v>
          </cell>
          <cell r="EJ173">
            <v>10000</v>
          </cell>
          <cell r="EK173">
            <v>4611.1111111111113</v>
          </cell>
          <cell r="EL173">
            <v>768.51851851851859</v>
          </cell>
        </row>
        <row r="174">
          <cell r="F174">
            <v>404745</v>
          </cell>
          <cell r="G174" t="str">
            <v>ETIQUETA CIRCULAR 9cm IMPR. TORTA YOGURT FRUTILLA</v>
          </cell>
          <cell r="I174">
            <v>3000</v>
          </cell>
          <cell r="J174">
            <v>3000</v>
          </cell>
          <cell r="K174">
            <v>3000</v>
          </cell>
          <cell r="M174">
            <v>3000</v>
          </cell>
          <cell r="O174">
            <v>3000</v>
          </cell>
          <cell r="P174">
            <v>3000</v>
          </cell>
          <cell r="Q174">
            <v>3000</v>
          </cell>
          <cell r="S174">
            <v>2000</v>
          </cell>
          <cell r="T174">
            <v>4000</v>
          </cell>
          <cell r="U174">
            <v>3000</v>
          </cell>
          <cell r="V174">
            <v>3000</v>
          </cell>
          <cell r="W174">
            <v>3000</v>
          </cell>
          <cell r="X174">
            <v>3000</v>
          </cell>
          <cell r="Z174">
            <v>5000</v>
          </cell>
          <cell r="AA174">
            <v>3000</v>
          </cell>
          <cell r="AB174">
            <v>6000</v>
          </cell>
          <cell r="AC174">
            <v>3000</v>
          </cell>
          <cell r="AE174">
            <v>3000</v>
          </cell>
          <cell r="AF174">
            <v>3000</v>
          </cell>
          <cell r="AH174">
            <v>3000</v>
          </cell>
          <cell r="AI174">
            <v>3000</v>
          </cell>
          <cell r="AJ174">
            <v>3000</v>
          </cell>
          <cell r="AK174">
            <v>3000</v>
          </cell>
          <cell r="AL174">
            <v>3000</v>
          </cell>
          <cell r="AM174">
            <v>2000</v>
          </cell>
          <cell r="AN174">
            <v>2000</v>
          </cell>
          <cell r="AP174">
            <v>2000</v>
          </cell>
          <cell r="AQ174">
            <v>2000</v>
          </cell>
          <cell r="AS174">
            <v>2000</v>
          </cell>
          <cell r="AT174">
            <v>2000</v>
          </cell>
          <cell r="AV174">
            <v>2000</v>
          </cell>
          <cell r="AW174">
            <v>2000</v>
          </cell>
          <cell r="AX174">
            <v>3000</v>
          </cell>
          <cell r="AY174">
            <v>2000</v>
          </cell>
          <cell r="BA174">
            <v>2000</v>
          </cell>
          <cell r="BC174">
            <v>1000</v>
          </cell>
          <cell r="BD174">
            <v>2000</v>
          </cell>
          <cell r="BE174">
            <v>2000</v>
          </cell>
          <cell r="BF174">
            <v>2</v>
          </cell>
          <cell r="BG174">
            <v>4998</v>
          </cell>
          <cell r="BH174">
            <v>3000</v>
          </cell>
          <cell r="BK174">
            <v>4000</v>
          </cell>
          <cell r="BM174">
            <v>2000</v>
          </cell>
          <cell r="BN174">
            <v>2001</v>
          </cell>
          <cell r="BO174">
            <v>3000</v>
          </cell>
          <cell r="BQ174">
            <v>2000</v>
          </cell>
          <cell r="BR174">
            <v>2000</v>
          </cell>
          <cell r="BT174">
            <v>4000</v>
          </cell>
          <cell r="BV174">
            <v>2000</v>
          </cell>
          <cell r="BW174">
            <v>2000</v>
          </cell>
          <cell r="BX174">
            <v>2000</v>
          </cell>
          <cell r="BY174">
            <v>4000</v>
          </cell>
          <cell r="CA174">
            <v>4000</v>
          </cell>
          <cell r="CB174">
            <v>2000</v>
          </cell>
          <cell r="CD174">
            <v>2000</v>
          </cell>
          <cell r="CE174">
            <v>3000</v>
          </cell>
          <cell r="CF174">
            <v>4000</v>
          </cell>
          <cell r="CG174">
            <v>2000</v>
          </cell>
          <cell r="CI174">
            <v>4000</v>
          </cell>
          <cell r="CJ174">
            <v>2000</v>
          </cell>
          <cell r="CL174">
            <v>2000</v>
          </cell>
          <cell r="CM174">
            <v>2000</v>
          </cell>
          <cell r="CN174">
            <v>4000</v>
          </cell>
          <cell r="CO174">
            <v>2000</v>
          </cell>
          <cell r="CP174">
            <v>3000</v>
          </cell>
          <cell r="CT174">
            <v>5000</v>
          </cell>
          <cell r="CU174">
            <v>3000</v>
          </cell>
          <cell r="CV174">
            <v>4000</v>
          </cell>
          <cell r="CW174">
            <v>3000</v>
          </cell>
          <cell r="CX174">
            <v>3000</v>
          </cell>
          <cell r="CY174">
            <v>3000</v>
          </cell>
          <cell r="CZ174">
            <v>3000</v>
          </cell>
          <cell r="DB174">
            <v>4000</v>
          </cell>
          <cell r="DC174">
            <v>2000</v>
          </cell>
          <cell r="DE174">
            <v>2000</v>
          </cell>
          <cell r="DF174">
            <v>2000</v>
          </cell>
          <cell r="DG174">
            <v>2000</v>
          </cell>
          <cell r="DJ174">
            <v>3000</v>
          </cell>
          <cell r="DK174">
            <v>4000</v>
          </cell>
          <cell r="DL174">
            <v>2000</v>
          </cell>
          <cell r="DM174">
            <v>2000</v>
          </cell>
          <cell r="DN174">
            <v>2000</v>
          </cell>
          <cell r="DO174">
            <v>2000</v>
          </cell>
          <cell r="DP174">
            <v>2000</v>
          </cell>
          <cell r="DQ174">
            <v>2000</v>
          </cell>
          <cell r="DR174">
            <v>2000</v>
          </cell>
          <cell r="DS174">
            <v>2000</v>
          </cell>
          <cell r="DT174">
            <v>4000</v>
          </cell>
          <cell r="DU174">
            <v>2000</v>
          </cell>
          <cell r="DV174">
            <v>2000</v>
          </cell>
          <cell r="DW174">
            <v>2000</v>
          </cell>
          <cell r="DX174">
            <v>2000</v>
          </cell>
          <cell r="DY174">
            <v>4000</v>
          </cell>
          <cell r="DZ174">
            <v>4000</v>
          </cell>
          <cell r="EB174">
            <v>4000</v>
          </cell>
          <cell r="EC174">
            <v>3000</v>
          </cell>
          <cell r="ED174">
            <v>2000</v>
          </cell>
          <cell r="EE174">
            <v>3000</v>
          </cell>
          <cell r="EF174">
            <v>3000</v>
          </cell>
          <cell r="EG174">
            <v>2000</v>
          </cell>
          <cell r="EH174" t="str">
            <v>ACTIVO</v>
          </cell>
          <cell r="EI174" t="str">
            <v>C</v>
          </cell>
          <cell r="EJ174">
            <v>10000</v>
          </cell>
          <cell r="EK174">
            <v>2608.695652173913</v>
          </cell>
          <cell r="EL174">
            <v>434.78260869565219</v>
          </cell>
        </row>
        <row r="175">
          <cell r="F175">
            <v>405031</v>
          </cell>
          <cell r="G175" t="str">
            <v>ETIQUETAS CIRCULAR 9cm IMPR. TORTA VIENA SISA</v>
          </cell>
          <cell r="I175">
            <v>2000</v>
          </cell>
          <cell r="J175">
            <v>2000</v>
          </cell>
          <cell r="K175">
            <v>2000</v>
          </cell>
          <cell r="L175">
            <v>2000</v>
          </cell>
          <cell r="M175">
            <v>3000</v>
          </cell>
          <cell r="O175">
            <v>2000</v>
          </cell>
          <cell r="P175">
            <v>2000</v>
          </cell>
          <cell r="Q175">
            <v>2000</v>
          </cell>
          <cell r="S175">
            <v>1000</v>
          </cell>
          <cell r="T175">
            <v>2000</v>
          </cell>
          <cell r="U175">
            <v>2000</v>
          </cell>
          <cell r="V175">
            <v>2000</v>
          </cell>
          <cell r="W175">
            <v>2000</v>
          </cell>
          <cell r="X175">
            <v>2000</v>
          </cell>
          <cell r="Z175">
            <v>5000</v>
          </cell>
          <cell r="AA175">
            <v>2000</v>
          </cell>
          <cell r="AB175">
            <v>4000</v>
          </cell>
          <cell r="AC175">
            <v>2000</v>
          </cell>
          <cell r="AE175">
            <v>8000</v>
          </cell>
          <cell r="AF175">
            <v>2000</v>
          </cell>
          <cell r="AG175">
            <v>3000</v>
          </cell>
          <cell r="AH175">
            <v>2000</v>
          </cell>
          <cell r="AI175">
            <v>3000</v>
          </cell>
          <cell r="AJ175">
            <v>2000</v>
          </cell>
          <cell r="AK175">
            <v>3000</v>
          </cell>
          <cell r="AL175">
            <v>5000</v>
          </cell>
          <cell r="AM175">
            <v>3000</v>
          </cell>
          <cell r="AN175">
            <v>3000</v>
          </cell>
          <cell r="AO175">
            <v>2000</v>
          </cell>
          <cell r="AQ175">
            <v>3000</v>
          </cell>
          <cell r="AS175">
            <v>3000</v>
          </cell>
          <cell r="AT175">
            <v>2000</v>
          </cell>
          <cell r="AV175">
            <v>2000</v>
          </cell>
          <cell r="AW175">
            <v>2000</v>
          </cell>
          <cell r="AX175">
            <v>2000</v>
          </cell>
          <cell r="AY175">
            <v>2000</v>
          </cell>
          <cell r="BA175">
            <v>4000</v>
          </cell>
          <cell r="BB175">
            <v>1000</v>
          </cell>
          <cell r="BD175">
            <v>2000</v>
          </cell>
          <cell r="BE175">
            <v>2000</v>
          </cell>
          <cell r="BF175">
            <v>2</v>
          </cell>
          <cell r="BG175">
            <v>3998</v>
          </cell>
          <cell r="BH175">
            <v>2000</v>
          </cell>
          <cell r="BJ175">
            <v>2000</v>
          </cell>
          <cell r="BK175">
            <v>4000</v>
          </cell>
          <cell r="BM175">
            <v>2000</v>
          </cell>
          <cell r="BN175">
            <v>2000</v>
          </cell>
          <cell r="BO175">
            <v>4000</v>
          </cell>
          <cell r="BQ175">
            <v>2000</v>
          </cell>
          <cell r="BR175">
            <v>2000</v>
          </cell>
          <cell r="BT175">
            <v>4000</v>
          </cell>
          <cell r="BV175">
            <v>2000</v>
          </cell>
          <cell r="BW175">
            <v>2000</v>
          </cell>
          <cell r="BX175">
            <v>2000</v>
          </cell>
          <cell r="BY175">
            <v>5000</v>
          </cell>
          <cell r="CA175">
            <v>4000</v>
          </cell>
          <cell r="CB175">
            <v>2000</v>
          </cell>
          <cell r="CD175">
            <v>2000</v>
          </cell>
          <cell r="CE175">
            <v>6000</v>
          </cell>
          <cell r="CF175">
            <v>4000</v>
          </cell>
          <cell r="CG175">
            <v>2000</v>
          </cell>
          <cell r="CI175">
            <v>4000</v>
          </cell>
          <cell r="CJ175">
            <v>2000</v>
          </cell>
          <cell r="CL175">
            <v>2000</v>
          </cell>
          <cell r="CM175">
            <v>2000</v>
          </cell>
          <cell r="CN175">
            <v>4000</v>
          </cell>
          <cell r="CO175">
            <v>2000</v>
          </cell>
          <cell r="CP175">
            <v>2000</v>
          </cell>
          <cell r="CQ175">
            <v>2000</v>
          </cell>
          <cell r="CT175">
            <v>4000</v>
          </cell>
          <cell r="CV175">
            <v>4000</v>
          </cell>
          <cell r="CW175">
            <v>2000</v>
          </cell>
          <cell r="CY175">
            <v>4000</v>
          </cell>
          <cell r="CZ175">
            <v>2000</v>
          </cell>
          <cell r="DB175">
            <v>4000</v>
          </cell>
          <cell r="DC175">
            <v>3000</v>
          </cell>
          <cell r="DE175">
            <v>3000</v>
          </cell>
          <cell r="DF175">
            <v>3000</v>
          </cell>
          <cell r="DG175">
            <v>3000</v>
          </cell>
          <cell r="DJ175">
            <v>2000</v>
          </cell>
          <cell r="DK175">
            <v>6000</v>
          </cell>
          <cell r="DL175">
            <v>3000</v>
          </cell>
          <cell r="DN175">
            <v>3000</v>
          </cell>
          <cell r="DO175">
            <v>3000</v>
          </cell>
          <cell r="DP175">
            <v>2000</v>
          </cell>
          <cell r="DQ175">
            <v>2000</v>
          </cell>
          <cell r="DR175">
            <v>2000</v>
          </cell>
          <cell r="DS175">
            <v>2000</v>
          </cell>
          <cell r="DU175">
            <v>2000</v>
          </cell>
          <cell r="DV175">
            <v>2000</v>
          </cell>
          <cell r="DW175">
            <v>2000</v>
          </cell>
          <cell r="DX175">
            <v>2000</v>
          </cell>
          <cell r="DY175">
            <v>6000</v>
          </cell>
          <cell r="DZ175">
            <v>6000</v>
          </cell>
          <cell r="EB175">
            <v>4000</v>
          </cell>
          <cell r="EC175">
            <v>2000</v>
          </cell>
          <cell r="ED175">
            <v>2000</v>
          </cell>
          <cell r="EE175">
            <v>2000</v>
          </cell>
          <cell r="EF175">
            <v>4000</v>
          </cell>
          <cell r="EG175">
            <v>2000</v>
          </cell>
          <cell r="EH175" t="str">
            <v>ACTIVO</v>
          </cell>
          <cell r="EI175" t="str">
            <v>C</v>
          </cell>
          <cell r="EJ175">
            <v>10000</v>
          </cell>
          <cell r="EK175">
            <v>2904.7619047619046</v>
          </cell>
          <cell r="EL175">
            <v>484.1269841269841</v>
          </cell>
        </row>
        <row r="176">
          <cell r="F176">
            <v>405036</v>
          </cell>
          <cell r="G176" t="str">
            <v>ETIQUETAS CIRCULAR 9cm IMPR. PANQUEQUE NARANJA</v>
          </cell>
          <cell r="I176">
            <v>3000</v>
          </cell>
          <cell r="J176">
            <v>4000</v>
          </cell>
          <cell r="K176">
            <v>2000</v>
          </cell>
          <cell r="L176">
            <v>3000</v>
          </cell>
          <cell r="M176">
            <v>2000</v>
          </cell>
          <cell r="N176">
            <v>1000</v>
          </cell>
          <cell r="O176">
            <v>7000</v>
          </cell>
          <cell r="P176">
            <v>3000</v>
          </cell>
          <cell r="Q176">
            <v>3000</v>
          </cell>
          <cell r="S176">
            <v>2000</v>
          </cell>
          <cell r="T176">
            <v>3000</v>
          </cell>
          <cell r="U176">
            <v>3000</v>
          </cell>
          <cell r="W176">
            <v>3000</v>
          </cell>
          <cell r="X176">
            <v>8000</v>
          </cell>
          <cell r="AA176">
            <v>3000</v>
          </cell>
          <cell r="AB176">
            <v>5000</v>
          </cell>
          <cell r="AC176">
            <v>6000</v>
          </cell>
          <cell r="AE176">
            <v>3000</v>
          </cell>
          <cell r="AF176">
            <v>3000</v>
          </cell>
          <cell r="AH176">
            <v>3000</v>
          </cell>
          <cell r="AI176">
            <v>3000</v>
          </cell>
          <cell r="AJ176">
            <v>3000</v>
          </cell>
          <cell r="AK176">
            <v>3000</v>
          </cell>
          <cell r="AL176">
            <v>3000</v>
          </cell>
          <cell r="AM176">
            <v>3000</v>
          </cell>
          <cell r="AN176">
            <v>3000</v>
          </cell>
          <cell r="AO176">
            <v>2000</v>
          </cell>
          <cell r="AP176">
            <v>4000</v>
          </cell>
          <cell r="AQ176">
            <v>3000</v>
          </cell>
          <cell r="AS176">
            <v>3000</v>
          </cell>
          <cell r="AT176">
            <v>4000</v>
          </cell>
          <cell r="AV176">
            <v>3000</v>
          </cell>
          <cell r="AW176">
            <v>3000</v>
          </cell>
          <cell r="AX176">
            <v>7000</v>
          </cell>
          <cell r="BA176">
            <v>6000</v>
          </cell>
          <cell r="BB176">
            <v>2000</v>
          </cell>
          <cell r="BD176">
            <v>3000</v>
          </cell>
          <cell r="BE176">
            <v>3000</v>
          </cell>
          <cell r="BF176">
            <v>3</v>
          </cell>
          <cell r="BG176">
            <v>3997</v>
          </cell>
          <cell r="BH176">
            <v>2000</v>
          </cell>
          <cell r="BJ176">
            <v>1000</v>
          </cell>
          <cell r="BK176">
            <v>4000</v>
          </cell>
          <cell r="BM176">
            <v>2000</v>
          </cell>
          <cell r="BN176">
            <v>2000</v>
          </cell>
          <cell r="BO176">
            <v>7000</v>
          </cell>
          <cell r="BQ176">
            <v>3000</v>
          </cell>
          <cell r="BR176">
            <v>3000</v>
          </cell>
          <cell r="BS176">
            <v>4000</v>
          </cell>
          <cell r="BT176">
            <v>7000</v>
          </cell>
          <cell r="BV176">
            <v>3000</v>
          </cell>
          <cell r="BW176">
            <v>4000</v>
          </cell>
          <cell r="BX176">
            <v>5000</v>
          </cell>
          <cell r="CA176">
            <v>8000</v>
          </cell>
          <cell r="CB176">
            <v>3000</v>
          </cell>
          <cell r="CD176">
            <v>3000</v>
          </cell>
          <cell r="CF176">
            <v>8000</v>
          </cell>
          <cell r="CG176">
            <v>3000</v>
          </cell>
          <cell r="CI176">
            <v>4000</v>
          </cell>
          <cell r="CJ176">
            <v>3000</v>
          </cell>
          <cell r="CL176">
            <v>1000</v>
          </cell>
          <cell r="CM176">
            <v>5000</v>
          </cell>
          <cell r="CN176">
            <v>4000</v>
          </cell>
          <cell r="CO176">
            <v>2000</v>
          </cell>
          <cell r="CP176">
            <v>4000</v>
          </cell>
          <cell r="CT176">
            <v>2000</v>
          </cell>
          <cell r="CU176">
            <v>5000</v>
          </cell>
          <cell r="CW176">
            <v>3000</v>
          </cell>
          <cell r="CY176">
            <v>3000</v>
          </cell>
          <cell r="CZ176">
            <v>4000</v>
          </cell>
          <cell r="DB176">
            <v>6000</v>
          </cell>
          <cell r="DC176">
            <v>2000</v>
          </cell>
          <cell r="DE176">
            <v>8000</v>
          </cell>
          <cell r="DG176">
            <v>3000</v>
          </cell>
          <cell r="DJ176">
            <v>2000</v>
          </cell>
          <cell r="DK176">
            <v>5000</v>
          </cell>
          <cell r="DL176">
            <v>4000</v>
          </cell>
          <cell r="DM176">
            <v>5000</v>
          </cell>
          <cell r="DN176">
            <v>6000</v>
          </cell>
          <cell r="DO176">
            <v>3000</v>
          </cell>
          <cell r="DP176">
            <v>4000</v>
          </cell>
          <cell r="DQ176">
            <v>5000</v>
          </cell>
          <cell r="DT176">
            <v>4000</v>
          </cell>
          <cell r="DU176">
            <v>5000</v>
          </cell>
          <cell r="DW176">
            <v>2000</v>
          </cell>
          <cell r="DX176">
            <v>4000</v>
          </cell>
          <cell r="DY176">
            <v>3000</v>
          </cell>
          <cell r="EB176">
            <v>8000</v>
          </cell>
          <cell r="EC176">
            <v>4000</v>
          </cell>
          <cell r="ED176">
            <v>5000</v>
          </cell>
          <cell r="EE176">
            <v>4000</v>
          </cell>
          <cell r="EG176">
            <v>2000</v>
          </cell>
          <cell r="EH176" t="str">
            <v>ACTIVO</v>
          </cell>
          <cell r="EI176" t="str">
            <v>C</v>
          </cell>
          <cell r="EJ176">
            <v>10000</v>
          </cell>
          <cell r="EK176">
            <v>4166.666666666667</v>
          </cell>
          <cell r="EL176">
            <v>694.44444444444446</v>
          </cell>
        </row>
        <row r="177">
          <cell r="F177">
            <v>405050</v>
          </cell>
          <cell r="G177" t="str">
            <v>ETIQUETAS 75X130 IMPRESAS CUATRICOMIA MAS UV (MAXIMA)</v>
          </cell>
          <cell r="I177">
            <v>2000</v>
          </cell>
          <cell r="J177">
            <v>8000</v>
          </cell>
          <cell r="K177">
            <v>2000</v>
          </cell>
          <cell r="L177">
            <v>3000</v>
          </cell>
          <cell r="O177">
            <v>2000</v>
          </cell>
          <cell r="P177">
            <v>2000</v>
          </cell>
          <cell r="Q177">
            <v>2000</v>
          </cell>
          <cell r="S177">
            <v>2000</v>
          </cell>
          <cell r="T177">
            <v>4000</v>
          </cell>
          <cell r="V177">
            <v>2000</v>
          </cell>
          <cell r="W177">
            <v>2000</v>
          </cell>
          <cell r="X177">
            <v>2000</v>
          </cell>
          <cell r="AA177">
            <v>2000</v>
          </cell>
          <cell r="AB177">
            <v>6000</v>
          </cell>
          <cell r="AC177">
            <v>2000</v>
          </cell>
          <cell r="AE177">
            <v>2000</v>
          </cell>
          <cell r="AF177">
            <v>2000</v>
          </cell>
          <cell r="AH177">
            <v>2000</v>
          </cell>
          <cell r="AI177">
            <v>2000</v>
          </cell>
          <cell r="AJ177">
            <v>2000</v>
          </cell>
          <cell r="AK177">
            <v>5000</v>
          </cell>
          <cell r="AM177">
            <v>2000</v>
          </cell>
          <cell r="AN177">
            <v>4000</v>
          </cell>
          <cell r="AP177">
            <v>2000</v>
          </cell>
          <cell r="AQ177">
            <v>2000</v>
          </cell>
          <cell r="AS177">
            <v>2000</v>
          </cell>
          <cell r="AT177">
            <v>2000</v>
          </cell>
          <cell r="AV177">
            <v>2000</v>
          </cell>
          <cell r="AW177">
            <v>2000</v>
          </cell>
          <cell r="EH177" t="str">
            <v>SIN USO</v>
          </cell>
          <cell r="EI177" t="str">
            <v/>
          </cell>
          <cell r="EJ177">
            <v>10000</v>
          </cell>
          <cell r="EK177">
            <v>0</v>
          </cell>
          <cell r="EL177">
            <v>0</v>
          </cell>
        </row>
        <row r="178">
          <cell r="F178">
            <v>405122</v>
          </cell>
          <cell r="G178" t="str">
            <v>ETIQUETAS CIRCULAR 9cm IMPR. TORTA LUCUMA JUMBO</v>
          </cell>
          <cell r="I178">
            <v>2000</v>
          </cell>
          <cell r="J178">
            <v>4000</v>
          </cell>
          <cell r="K178">
            <v>5000</v>
          </cell>
          <cell r="O178">
            <v>7000</v>
          </cell>
          <cell r="P178">
            <v>2000</v>
          </cell>
          <cell r="Q178">
            <v>2000</v>
          </cell>
          <cell r="S178">
            <v>2000</v>
          </cell>
          <cell r="T178">
            <v>2000</v>
          </cell>
          <cell r="U178">
            <v>5000</v>
          </cell>
          <cell r="V178">
            <v>2000</v>
          </cell>
          <cell r="W178">
            <v>2000</v>
          </cell>
          <cell r="X178">
            <v>3000</v>
          </cell>
          <cell r="AA178">
            <v>2000</v>
          </cell>
          <cell r="AB178">
            <v>4000</v>
          </cell>
          <cell r="AC178">
            <v>2000</v>
          </cell>
          <cell r="AE178">
            <v>6000</v>
          </cell>
          <cell r="AF178">
            <v>2000</v>
          </cell>
          <cell r="AG178">
            <v>2000</v>
          </cell>
          <cell r="AH178">
            <v>2000</v>
          </cell>
          <cell r="AI178">
            <v>2000</v>
          </cell>
          <cell r="AJ178">
            <v>2000</v>
          </cell>
          <cell r="AK178">
            <v>3000</v>
          </cell>
          <cell r="AL178">
            <v>3000</v>
          </cell>
          <cell r="AM178">
            <v>2000</v>
          </cell>
          <cell r="AN178">
            <v>2000</v>
          </cell>
          <cell r="AO178">
            <v>2000</v>
          </cell>
          <cell r="AP178">
            <v>2000</v>
          </cell>
          <cell r="AQ178">
            <v>4000</v>
          </cell>
          <cell r="AS178">
            <v>2000</v>
          </cell>
          <cell r="AT178">
            <v>2000</v>
          </cell>
          <cell r="AV178">
            <v>2000</v>
          </cell>
          <cell r="AW178">
            <v>2000</v>
          </cell>
          <cell r="AX178">
            <v>4000</v>
          </cell>
          <cell r="AY178">
            <v>2000</v>
          </cell>
          <cell r="BA178">
            <v>4000</v>
          </cell>
          <cell r="BB178">
            <v>1000</v>
          </cell>
          <cell r="BD178">
            <v>2000</v>
          </cell>
          <cell r="BE178">
            <v>2000</v>
          </cell>
          <cell r="BF178">
            <v>2</v>
          </cell>
          <cell r="BG178">
            <v>4998</v>
          </cell>
          <cell r="BH178">
            <v>2000</v>
          </cell>
          <cell r="BJ178">
            <v>3000</v>
          </cell>
          <cell r="BK178">
            <v>4000</v>
          </cell>
          <cell r="BM178">
            <v>2000</v>
          </cell>
          <cell r="BN178">
            <v>3000</v>
          </cell>
          <cell r="BO178">
            <v>6000</v>
          </cell>
          <cell r="BQ178">
            <v>3000</v>
          </cell>
          <cell r="BR178">
            <v>3000</v>
          </cell>
          <cell r="BT178">
            <v>7000</v>
          </cell>
          <cell r="BV178">
            <v>6000</v>
          </cell>
          <cell r="BW178">
            <v>2000</v>
          </cell>
          <cell r="BX178">
            <v>2000</v>
          </cell>
          <cell r="CA178">
            <v>5000</v>
          </cell>
          <cell r="CD178">
            <v>2000</v>
          </cell>
          <cell r="CF178">
            <v>5000</v>
          </cell>
          <cell r="CI178">
            <v>4000</v>
          </cell>
          <cell r="CJ178">
            <v>2000</v>
          </cell>
          <cell r="CL178">
            <v>2000</v>
          </cell>
          <cell r="CM178">
            <v>4000</v>
          </cell>
          <cell r="CN178">
            <v>2000</v>
          </cell>
          <cell r="CO178">
            <v>2000</v>
          </cell>
          <cell r="CP178">
            <v>2000</v>
          </cell>
          <cell r="CT178">
            <v>4000</v>
          </cell>
          <cell r="CU178">
            <v>3000</v>
          </cell>
          <cell r="CV178">
            <v>2000</v>
          </cell>
          <cell r="CW178">
            <v>4000</v>
          </cell>
          <cell r="CZ178">
            <v>2000</v>
          </cell>
          <cell r="DB178">
            <v>3000</v>
          </cell>
          <cell r="DE178">
            <v>4000</v>
          </cell>
          <cell r="DF178">
            <v>3000</v>
          </cell>
          <cell r="DG178">
            <v>2000</v>
          </cell>
          <cell r="DJ178">
            <v>2000</v>
          </cell>
          <cell r="DK178">
            <v>4000</v>
          </cell>
          <cell r="DL178">
            <v>4000</v>
          </cell>
          <cell r="DM178">
            <v>3000</v>
          </cell>
          <cell r="DN178">
            <v>1000</v>
          </cell>
          <cell r="DP178">
            <v>1000</v>
          </cell>
          <cell r="DR178">
            <v>2000</v>
          </cell>
          <cell r="DS178">
            <v>2000</v>
          </cell>
          <cell r="DT178">
            <v>5000</v>
          </cell>
          <cell r="DU178">
            <v>2000</v>
          </cell>
          <cell r="DV178">
            <v>4000</v>
          </cell>
          <cell r="DW178">
            <v>4000</v>
          </cell>
          <cell r="DX178">
            <v>2000</v>
          </cell>
          <cell r="DY178">
            <v>2000</v>
          </cell>
          <cell r="EB178">
            <v>2000</v>
          </cell>
          <cell r="ED178">
            <v>3000</v>
          </cell>
          <cell r="EE178">
            <v>3000</v>
          </cell>
          <cell r="EG178">
            <v>2000</v>
          </cell>
          <cell r="EH178" t="str">
            <v>ACTIVO</v>
          </cell>
          <cell r="EI178" t="str">
            <v>C</v>
          </cell>
          <cell r="EJ178">
            <v>10000</v>
          </cell>
          <cell r="EK178">
            <v>2666.6666666666665</v>
          </cell>
          <cell r="EL178">
            <v>444.4444444444444</v>
          </cell>
        </row>
        <row r="179">
          <cell r="F179">
            <v>405119</v>
          </cell>
          <cell r="G179" t="str">
            <v>ETIQUETAS CIRCULAR 9cm IMPR. TORTA PIÑA JUMBO</v>
          </cell>
          <cell r="I179">
            <v>3000</v>
          </cell>
          <cell r="J179">
            <v>3000</v>
          </cell>
          <cell r="K179">
            <v>3000</v>
          </cell>
          <cell r="O179">
            <v>6000</v>
          </cell>
          <cell r="P179">
            <v>3000</v>
          </cell>
          <cell r="Q179">
            <v>3000</v>
          </cell>
          <cell r="S179">
            <v>3000</v>
          </cell>
          <cell r="T179">
            <v>3000</v>
          </cell>
          <cell r="U179">
            <v>3000</v>
          </cell>
          <cell r="V179">
            <v>3000</v>
          </cell>
          <cell r="W179">
            <v>3000</v>
          </cell>
          <cell r="X179">
            <v>3000</v>
          </cell>
          <cell r="Y179">
            <v>1000</v>
          </cell>
          <cell r="Z179">
            <v>1000</v>
          </cell>
          <cell r="AA179">
            <v>3000</v>
          </cell>
          <cell r="AB179">
            <v>4000</v>
          </cell>
          <cell r="AC179">
            <v>1000</v>
          </cell>
          <cell r="AE179">
            <v>2000</v>
          </cell>
          <cell r="AF179">
            <v>5000</v>
          </cell>
          <cell r="AG179">
            <v>5000</v>
          </cell>
          <cell r="AH179">
            <v>1000</v>
          </cell>
          <cell r="AI179">
            <v>1000</v>
          </cell>
          <cell r="AJ179">
            <v>1000</v>
          </cell>
          <cell r="AK179">
            <v>1000</v>
          </cell>
          <cell r="AL179">
            <v>4000</v>
          </cell>
          <cell r="AM179">
            <v>3000</v>
          </cell>
          <cell r="AN179">
            <v>3000</v>
          </cell>
          <cell r="AO179">
            <v>1000</v>
          </cell>
          <cell r="AP179">
            <v>2000</v>
          </cell>
          <cell r="AQ179">
            <v>3000</v>
          </cell>
          <cell r="AS179">
            <v>3000</v>
          </cell>
          <cell r="AT179">
            <v>3000</v>
          </cell>
          <cell r="AV179">
            <v>3000</v>
          </cell>
          <cell r="AW179">
            <v>3000</v>
          </cell>
          <cell r="AX179">
            <v>4000</v>
          </cell>
          <cell r="AY179">
            <v>3000</v>
          </cell>
          <cell r="BA179">
            <v>6000</v>
          </cell>
          <cell r="BB179">
            <v>1000</v>
          </cell>
          <cell r="BD179">
            <v>3000</v>
          </cell>
          <cell r="BE179">
            <v>3000</v>
          </cell>
          <cell r="BF179">
            <v>3</v>
          </cell>
          <cell r="BG179">
            <v>6997</v>
          </cell>
          <cell r="BH179">
            <v>3000</v>
          </cell>
          <cell r="BJ179">
            <v>1000</v>
          </cell>
          <cell r="BK179">
            <v>6000</v>
          </cell>
          <cell r="BM179">
            <v>2000</v>
          </cell>
          <cell r="BN179">
            <v>1000</v>
          </cell>
          <cell r="BO179">
            <v>6000</v>
          </cell>
          <cell r="BQ179">
            <v>3000</v>
          </cell>
          <cell r="BR179">
            <v>3000</v>
          </cell>
          <cell r="BT179">
            <v>6000</v>
          </cell>
          <cell r="BV179">
            <v>3000</v>
          </cell>
          <cell r="BW179">
            <v>2000</v>
          </cell>
          <cell r="BX179">
            <v>2000</v>
          </cell>
          <cell r="BY179">
            <v>7000</v>
          </cell>
          <cell r="CA179">
            <v>6000</v>
          </cell>
          <cell r="CB179">
            <v>3000</v>
          </cell>
          <cell r="CD179">
            <v>3000</v>
          </cell>
          <cell r="CE179">
            <v>5000</v>
          </cell>
          <cell r="CF179">
            <v>4000</v>
          </cell>
          <cell r="CG179">
            <v>2000</v>
          </cell>
          <cell r="CI179">
            <v>4000</v>
          </cell>
          <cell r="CJ179">
            <v>3000</v>
          </cell>
          <cell r="CL179">
            <v>3000</v>
          </cell>
          <cell r="CM179">
            <v>3000</v>
          </cell>
          <cell r="CN179">
            <v>6000</v>
          </cell>
          <cell r="CO179">
            <v>3000</v>
          </cell>
          <cell r="CP179">
            <v>3000</v>
          </cell>
          <cell r="CT179">
            <v>6000</v>
          </cell>
          <cell r="CU179">
            <v>1000</v>
          </cell>
          <cell r="CV179">
            <v>4000</v>
          </cell>
          <cell r="CW179">
            <v>3000</v>
          </cell>
          <cell r="CY179">
            <v>4000</v>
          </cell>
          <cell r="CZ179">
            <v>3000</v>
          </cell>
          <cell r="DB179">
            <v>3000</v>
          </cell>
          <cell r="DC179">
            <v>2000</v>
          </cell>
          <cell r="DE179">
            <v>3000</v>
          </cell>
          <cell r="DF179">
            <v>2000</v>
          </cell>
          <cell r="DG179">
            <v>3000</v>
          </cell>
          <cell r="DJ179">
            <v>2000</v>
          </cell>
          <cell r="DK179">
            <v>4000</v>
          </cell>
          <cell r="DL179">
            <v>2000</v>
          </cell>
          <cell r="DM179">
            <v>2000</v>
          </cell>
          <cell r="DN179">
            <v>2000</v>
          </cell>
          <cell r="DO179">
            <v>2000</v>
          </cell>
          <cell r="DP179">
            <v>2000</v>
          </cell>
          <cell r="DQ179">
            <v>2000</v>
          </cell>
          <cell r="DR179">
            <v>2000</v>
          </cell>
          <cell r="DS179">
            <v>2000</v>
          </cell>
          <cell r="DT179">
            <v>4000</v>
          </cell>
          <cell r="DU179">
            <v>2000</v>
          </cell>
          <cell r="DV179">
            <v>2000</v>
          </cell>
          <cell r="DW179">
            <v>2000</v>
          </cell>
          <cell r="DX179">
            <v>2000</v>
          </cell>
          <cell r="DY179">
            <v>5000</v>
          </cell>
          <cell r="DZ179">
            <v>5000</v>
          </cell>
          <cell r="EB179">
            <v>4000</v>
          </cell>
          <cell r="ED179">
            <v>2000</v>
          </cell>
          <cell r="EE179">
            <v>2000</v>
          </cell>
          <cell r="EF179">
            <v>2000</v>
          </cell>
          <cell r="EG179">
            <v>3000</v>
          </cell>
          <cell r="EH179" t="str">
            <v>ACTIVO</v>
          </cell>
          <cell r="EI179" t="str">
            <v>C</v>
          </cell>
          <cell r="EJ179">
            <v>10000</v>
          </cell>
          <cell r="EK179">
            <v>2590.909090909091</v>
          </cell>
          <cell r="EL179">
            <v>431.81818181818181</v>
          </cell>
        </row>
        <row r="180">
          <cell r="F180">
            <v>405120</v>
          </cell>
          <cell r="G180" t="str">
            <v>ETIQUETAS CIRCULAR 9cm  TORTA SELVA NEGRA JUMBO</v>
          </cell>
          <cell r="I180">
            <v>3000</v>
          </cell>
          <cell r="J180">
            <v>3000</v>
          </cell>
          <cell r="K180">
            <v>6000</v>
          </cell>
          <cell r="O180">
            <v>9000</v>
          </cell>
          <cell r="P180">
            <v>3000</v>
          </cell>
          <cell r="Q180">
            <v>3000</v>
          </cell>
          <cell r="S180">
            <v>3000</v>
          </cell>
          <cell r="T180">
            <v>3000</v>
          </cell>
          <cell r="U180">
            <v>5000</v>
          </cell>
          <cell r="V180">
            <v>4000</v>
          </cell>
          <cell r="W180">
            <v>3000</v>
          </cell>
          <cell r="X180">
            <v>3000</v>
          </cell>
          <cell r="AA180">
            <v>3000</v>
          </cell>
          <cell r="AB180">
            <v>6000</v>
          </cell>
          <cell r="AC180">
            <v>3000</v>
          </cell>
          <cell r="AE180">
            <v>7000</v>
          </cell>
          <cell r="AF180">
            <v>3000</v>
          </cell>
          <cell r="AH180">
            <v>3000</v>
          </cell>
          <cell r="AI180">
            <v>3000</v>
          </cell>
          <cell r="AJ180">
            <v>3000</v>
          </cell>
          <cell r="AK180">
            <v>3000</v>
          </cell>
          <cell r="AL180">
            <v>4000</v>
          </cell>
          <cell r="AM180">
            <v>3000</v>
          </cell>
          <cell r="AN180">
            <v>3000</v>
          </cell>
          <cell r="AP180">
            <v>2000</v>
          </cell>
          <cell r="AQ180">
            <v>5000</v>
          </cell>
          <cell r="AS180">
            <v>3000</v>
          </cell>
          <cell r="AT180">
            <v>3000</v>
          </cell>
          <cell r="AV180">
            <v>3000</v>
          </cell>
          <cell r="AW180">
            <v>3000</v>
          </cell>
          <cell r="AX180">
            <v>4000</v>
          </cell>
          <cell r="AY180">
            <v>1000</v>
          </cell>
          <cell r="BA180">
            <v>6000</v>
          </cell>
          <cell r="BB180">
            <v>3000</v>
          </cell>
          <cell r="BD180">
            <v>3000</v>
          </cell>
          <cell r="BE180">
            <v>3000</v>
          </cell>
          <cell r="BF180">
            <v>1003</v>
          </cell>
          <cell r="BG180">
            <v>6997</v>
          </cell>
          <cell r="BH180">
            <v>3000</v>
          </cell>
          <cell r="BJ180">
            <v>1000</v>
          </cell>
          <cell r="BK180">
            <v>6000</v>
          </cell>
          <cell r="BM180">
            <v>2000</v>
          </cell>
          <cell r="BN180">
            <v>1000</v>
          </cell>
          <cell r="BO180">
            <v>8000</v>
          </cell>
          <cell r="BQ180">
            <v>4000</v>
          </cell>
          <cell r="BR180">
            <v>3000</v>
          </cell>
          <cell r="BT180">
            <v>8000</v>
          </cell>
          <cell r="BV180">
            <v>5000</v>
          </cell>
          <cell r="BW180">
            <v>3000</v>
          </cell>
          <cell r="BX180">
            <v>2000</v>
          </cell>
          <cell r="BY180">
            <v>2000</v>
          </cell>
          <cell r="BZ180">
            <v>3000</v>
          </cell>
          <cell r="CA180">
            <v>6000</v>
          </cell>
          <cell r="CB180">
            <v>2000</v>
          </cell>
          <cell r="CD180">
            <v>3000</v>
          </cell>
          <cell r="CE180">
            <v>1000</v>
          </cell>
          <cell r="CF180">
            <v>5000</v>
          </cell>
          <cell r="CG180">
            <v>6000</v>
          </cell>
          <cell r="CI180">
            <v>5000</v>
          </cell>
          <cell r="CK180">
            <v>1000</v>
          </cell>
          <cell r="CL180">
            <v>6000</v>
          </cell>
          <cell r="CN180">
            <v>4000</v>
          </cell>
          <cell r="CO180">
            <v>4000</v>
          </cell>
          <cell r="CP180">
            <v>1000</v>
          </cell>
          <cell r="CQ180">
            <v>3000</v>
          </cell>
          <cell r="CT180">
            <v>7000</v>
          </cell>
          <cell r="CU180">
            <v>6000</v>
          </cell>
          <cell r="CV180">
            <v>4000</v>
          </cell>
          <cell r="CW180">
            <v>1000</v>
          </cell>
          <cell r="CX180">
            <v>2000</v>
          </cell>
          <cell r="CY180">
            <v>6000</v>
          </cell>
          <cell r="DA180">
            <v>1000</v>
          </cell>
          <cell r="DB180">
            <v>3000</v>
          </cell>
          <cell r="DC180">
            <v>4000</v>
          </cell>
          <cell r="DE180">
            <v>3000</v>
          </cell>
          <cell r="DF180">
            <v>5000</v>
          </cell>
          <cell r="DG180">
            <v>1000</v>
          </cell>
          <cell r="DJ180">
            <v>4000</v>
          </cell>
          <cell r="DK180">
            <v>6000</v>
          </cell>
          <cell r="DL180">
            <v>6000</v>
          </cell>
          <cell r="DM180">
            <v>2000</v>
          </cell>
          <cell r="DN180">
            <v>5000</v>
          </cell>
          <cell r="DO180">
            <v>4000</v>
          </cell>
          <cell r="DP180">
            <v>2000</v>
          </cell>
          <cell r="DQ180">
            <v>2000</v>
          </cell>
          <cell r="DR180">
            <v>2000</v>
          </cell>
          <cell r="DS180">
            <v>2000</v>
          </cell>
          <cell r="DT180">
            <v>7000</v>
          </cell>
          <cell r="DU180">
            <v>2000</v>
          </cell>
          <cell r="DW180">
            <v>2000</v>
          </cell>
          <cell r="DX180">
            <v>3000</v>
          </cell>
          <cell r="DY180">
            <v>6000</v>
          </cell>
          <cell r="EB180">
            <v>5000</v>
          </cell>
          <cell r="EC180">
            <v>3000</v>
          </cell>
          <cell r="ED180">
            <v>6000</v>
          </cell>
          <cell r="EE180">
            <v>3000</v>
          </cell>
          <cell r="EF180">
            <v>5000</v>
          </cell>
          <cell r="EG180">
            <v>3000</v>
          </cell>
          <cell r="EH180" t="str">
            <v>ACTIVO</v>
          </cell>
          <cell r="EI180" t="str">
            <v>C</v>
          </cell>
          <cell r="EJ180">
            <v>10000</v>
          </cell>
          <cell r="EK180">
            <v>3809.5238095238096</v>
          </cell>
          <cell r="EL180">
            <v>634.92063492063494</v>
          </cell>
        </row>
        <row r="181">
          <cell r="F181">
            <v>405123</v>
          </cell>
          <cell r="G181" t="str">
            <v>ETIQUETAS CIRCULAR 9cm IMPR. TORTA VIENA JUMBO</v>
          </cell>
          <cell r="I181">
            <v>2000</v>
          </cell>
          <cell r="J181">
            <v>2000</v>
          </cell>
          <cell r="K181">
            <v>2000</v>
          </cell>
          <cell r="O181">
            <v>4000</v>
          </cell>
          <cell r="P181">
            <v>2000</v>
          </cell>
          <cell r="Q181">
            <v>2000</v>
          </cell>
          <cell r="S181">
            <v>1000</v>
          </cell>
          <cell r="T181">
            <v>2000</v>
          </cell>
          <cell r="U181">
            <v>2000</v>
          </cell>
          <cell r="V181">
            <v>2000</v>
          </cell>
          <cell r="W181">
            <v>2000</v>
          </cell>
          <cell r="X181">
            <v>2000</v>
          </cell>
          <cell r="Z181">
            <v>5000</v>
          </cell>
          <cell r="AA181">
            <v>2000</v>
          </cell>
          <cell r="AB181">
            <v>4000</v>
          </cell>
          <cell r="AC181">
            <v>2000</v>
          </cell>
          <cell r="AE181">
            <v>5000</v>
          </cell>
          <cell r="AF181">
            <v>2000</v>
          </cell>
          <cell r="AH181">
            <v>2000</v>
          </cell>
          <cell r="AI181">
            <v>2000</v>
          </cell>
          <cell r="AJ181">
            <v>2000</v>
          </cell>
          <cell r="AK181">
            <v>2000</v>
          </cell>
          <cell r="AL181">
            <v>4000</v>
          </cell>
          <cell r="AM181">
            <v>3000</v>
          </cell>
          <cell r="AN181">
            <v>3000</v>
          </cell>
          <cell r="AP181">
            <v>2000</v>
          </cell>
          <cell r="AQ181">
            <v>2000</v>
          </cell>
          <cell r="AS181">
            <v>3000</v>
          </cell>
          <cell r="AT181">
            <v>2000</v>
          </cell>
          <cell r="AV181">
            <v>2000</v>
          </cell>
          <cell r="AW181">
            <v>2000</v>
          </cell>
          <cell r="AX181">
            <v>3000</v>
          </cell>
          <cell r="AY181">
            <v>3000</v>
          </cell>
          <cell r="BA181">
            <v>4000</v>
          </cell>
          <cell r="BB181">
            <v>1000</v>
          </cell>
          <cell r="BD181">
            <v>2000</v>
          </cell>
          <cell r="BE181">
            <v>2000</v>
          </cell>
          <cell r="BF181">
            <v>2</v>
          </cell>
          <cell r="BG181">
            <v>5998</v>
          </cell>
          <cell r="BH181">
            <v>3000</v>
          </cell>
          <cell r="BJ181">
            <v>2000</v>
          </cell>
          <cell r="BK181">
            <v>4000</v>
          </cell>
          <cell r="BM181">
            <v>3000</v>
          </cell>
          <cell r="BN181">
            <v>2000</v>
          </cell>
          <cell r="BO181">
            <v>4000</v>
          </cell>
          <cell r="BQ181">
            <v>2000</v>
          </cell>
          <cell r="BR181">
            <v>2000</v>
          </cell>
          <cell r="BT181">
            <v>4000</v>
          </cell>
          <cell r="BV181">
            <v>2000</v>
          </cell>
          <cell r="BW181">
            <v>4000</v>
          </cell>
          <cell r="BX181">
            <v>2000</v>
          </cell>
          <cell r="BY181">
            <v>5000</v>
          </cell>
          <cell r="CA181">
            <v>4000</v>
          </cell>
          <cell r="CB181">
            <v>2000</v>
          </cell>
          <cell r="CD181">
            <v>2000</v>
          </cell>
          <cell r="CE181">
            <v>3000</v>
          </cell>
          <cell r="CF181">
            <v>4000</v>
          </cell>
          <cell r="CG181">
            <v>2000</v>
          </cell>
          <cell r="CI181">
            <v>4000</v>
          </cell>
          <cell r="CJ181">
            <v>2000</v>
          </cell>
          <cell r="CL181">
            <v>2000</v>
          </cell>
          <cell r="CM181">
            <v>2000</v>
          </cell>
          <cell r="CN181">
            <v>4000</v>
          </cell>
          <cell r="CO181">
            <v>2000</v>
          </cell>
          <cell r="CP181">
            <v>2000</v>
          </cell>
          <cell r="CQ181">
            <v>2000</v>
          </cell>
          <cell r="CT181">
            <v>4000</v>
          </cell>
          <cell r="CU181">
            <v>2000</v>
          </cell>
          <cell r="CV181">
            <v>2000</v>
          </cell>
          <cell r="CW181">
            <v>2000</v>
          </cell>
          <cell r="CY181">
            <v>3000</v>
          </cell>
          <cell r="CZ181">
            <v>2000</v>
          </cell>
          <cell r="DB181">
            <v>3000</v>
          </cell>
          <cell r="DC181">
            <v>2000</v>
          </cell>
          <cell r="DE181">
            <v>3000</v>
          </cell>
          <cell r="DF181">
            <v>2000</v>
          </cell>
          <cell r="DG181">
            <v>3000</v>
          </cell>
          <cell r="DJ181">
            <v>2000</v>
          </cell>
          <cell r="DK181">
            <v>4000</v>
          </cell>
          <cell r="DL181">
            <v>2000</v>
          </cell>
          <cell r="DM181">
            <v>2000</v>
          </cell>
          <cell r="DN181">
            <v>2000</v>
          </cell>
          <cell r="DO181">
            <v>2000</v>
          </cell>
          <cell r="DP181">
            <v>2000</v>
          </cell>
          <cell r="DQ181">
            <v>2000</v>
          </cell>
          <cell r="DR181">
            <v>2000</v>
          </cell>
          <cell r="DS181">
            <v>2000</v>
          </cell>
          <cell r="DT181">
            <v>2000</v>
          </cell>
          <cell r="DU181">
            <v>2000</v>
          </cell>
          <cell r="DV181">
            <v>2000</v>
          </cell>
          <cell r="DW181">
            <v>2000</v>
          </cell>
          <cell r="DX181">
            <v>2000</v>
          </cell>
          <cell r="DY181">
            <v>5000</v>
          </cell>
          <cell r="DZ181">
            <v>5000</v>
          </cell>
          <cell r="EB181">
            <v>4000</v>
          </cell>
          <cell r="EC181">
            <v>2000</v>
          </cell>
          <cell r="ED181">
            <v>2000</v>
          </cell>
          <cell r="EE181">
            <v>2000</v>
          </cell>
          <cell r="EF181">
            <v>3000</v>
          </cell>
          <cell r="EG181">
            <v>2000</v>
          </cell>
          <cell r="EH181" t="str">
            <v>ACTIVO</v>
          </cell>
          <cell r="EI181" t="str">
            <v>C</v>
          </cell>
          <cell r="EJ181">
            <v>10000</v>
          </cell>
          <cell r="EK181">
            <v>2478.2608695652175</v>
          </cell>
          <cell r="EL181">
            <v>413.04347826086956</v>
          </cell>
        </row>
        <row r="182">
          <cell r="F182">
            <v>405127</v>
          </cell>
          <cell r="G182" t="str">
            <v>ETIQ.CIRCULAR 9cm TORTA PANQUEQUE NARANJA JUMBO</v>
          </cell>
          <cell r="I182">
            <v>4000</v>
          </cell>
          <cell r="J182">
            <v>8000</v>
          </cell>
          <cell r="K182">
            <v>5000</v>
          </cell>
          <cell r="O182">
            <v>6000</v>
          </cell>
          <cell r="P182">
            <v>3000</v>
          </cell>
          <cell r="Q182">
            <v>7000</v>
          </cell>
          <cell r="S182">
            <v>2000</v>
          </cell>
          <cell r="T182">
            <v>3000</v>
          </cell>
          <cell r="V182">
            <v>6000</v>
          </cell>
          <cell r="W182">
            <v>3000</v>
          </cell>
          <cell r="X182">
            <v>6000</v>
          </cell>
          <cell r="Z182">
            <v>1000</v>
          </cell>
          <cell r="AA182">
            <v>3000</v>
          </cell>
          <cell r="AB182">
            <v>10000</v>
          </cell>
          <cell r="AC182">
            <v>3000</v>
          </cell>
          <cell r="AE182">
            <v>9000</v>
          </cell>
          <cell r="AF182">
            <v>3000</v>
          </cell>
          <cell r="AG182">
            <v>3000</v>
          </cell>
          <cell r="AH182">
            <v>3000</v>
          </cell>
          <cell r="AI182">
            <v>3000</v>
          </cell>
          <cell r="AJ182">
            <v>3000</v>
          </cell>
          <cell r="AK182">
            <v>3000</v>
          </cell>
          <cell r="AL182">
            <v>5000</v>
          </cell>
          <cell r="AM182">
            <v>3000</v>
          </cell>
          <cell r="AN182">
            <v>3000</v>
          </cell>
          <cell r="AP182">
            <v>2000</v>
          </cell>
          <cell r="AQ182">
            <v>6000</v>
          </cell>
          <cell r="AS182">
            <v>3000</v>
          </cell>
          <cell r="AT182">
            <v>3000</v>
          </cell>
          <cell r="AV182">
            <v>3000</v>
          </cell>
          <cell r="AW182">
            <v>3000</v>
          </cell>
          <cell r="AX182">
            <v>4000</v>
          </cell>
          <cell r="AY182">
            <v>3000</v>
          </cell>
          <cell r="BA182">
            <v>6000</v>
          </cell>
          <cell r="BB182">
            <v>1000</v>
          </cell>
          <cell r="BD182">
            <v>3000</v>
          </cell>
          <cell r="BE182">
            <v>3000</v>
          </cell>
          <cell r="BF182">
            <v>3</v>
          </cell>
          <cell r="BG182">
            <v>7997</v>
          </cell>
          <cell r="BH182">
            <v>3000</v>
          </cell>
          <cell r="BJ182">
            <v>1000</v>
          </cell>
          <cell r="BK182">
            <v>6000</v>
          </cell>
          <cell r="BM182">
            <v>1000</v>
          </cell>
          <cell r="BN182">
            <v>2000</v>
          </cell>
          <cell r="BO182">
            <v>6000</v>
          </cell>
          <cell r="BQ182">
            <v>3000</v>
          </cell>
          <cell r="BR182">
            <v>3000</v>
          </cell>
          <cell r="BS182">
            <v>3000</v>
          </cell>
          <cell r="BT182">
            <v>7000</v>
          </cell>
          <cell r="BV182">
            <v>4000</v>
          </cell>
          <cell r="BW182">
            <v>3000</v>
          </cell>
          <cell r="BX182">
            <v>7000</v>
          </cell>
          <cell r="BY182">
            <v>1000</v>
          </cell>
          <cell r="CA182">
            <v>8000</v>
          </cell>
          <cell r="CB182">
            <v>3000</v>
          </cell>
          <cell r="CD182">
            <v>3000</v>
          </cell>
          <cell r="CF182">
            <v>6000</v>
          </cell>
          <cell r="CG182">
            <v>5000</v>
          </cell>
          <cell r="CI182">
            <v>3000</v>
          </cell>
          <cell r="CJ182">
            <v>3000</v>
          </cell>
          <cell r="CL182">
            <v>5000</v>
          </cell>
          <cell r="CN182">
            <v>6000</v>
          </cell>
          <cell r="CO182">
            <v>4000</v>
          </cell>
          <cell r="CP182">
            <v>3000</v>
          </cell>
          <cell r="CQ182">
            <v>5000</v>
          </cell>
          <cell r="CR182">
            <v>1000</v>
          </cell>
          <cell r="CT182">
            <v>4000</v>
          </cell>
          <cell r="CU182">
            <v>2000</v>
          </cell>
          <cell r="CV182">
            <v>3000</v>
          </cell>
          <cell r="CW182">
            <v>4000</v>
          </cell>
          <cell r="CX182">
            <v>3000</v>
          </cell>
          <cell r="CY182">
            <v>5000</v>
          </cell>
          <cell r="CZ182">
            <v>4000</v>
          </cell>
          <cell r="DB182">
            <v>5000</v>
          </cell>
          <cell r="DC182">
            <v>4000</v>
          </cell>
          <cell r="DE182">
            <v>3000</v>
          </cell>
          <cell r="DF182">
            <v>1000</v>
          </cell>
          <cell r="DG182">
            <v>2000</v>
          </cell>
          <cell r="DJ182">
            <v>3000</v>
          </cell>
          <cell r="DK182">
            <v>3000</v>
          </cell>
          <cell r="DL182">
            <v>3000</v>
          </cell>
          <cell r="DM182">
            <v>8000</v>
          </cell>
          <cell r="DN182">
            <v>1000</v>
          </cell>
          <cell r="DO182">
            <v>4000</v>
          </cell>
          <cell r="DP182">
            <v>5000</v>
          </cell>
          <cell r="DQ182">
            <v>2000</v>
          </cell>
          <cell r="DR182">
            <v>5000</v>
          </cell>
          <cell r="DS182">
            <v>5000</v>
          </cell>
          <cell r="DT182">
            <v>5000</v>
          </cell>
          <cell r="DU182">
            <v>2000</v>
          </cell>
          <cell r="DW182">
            <v>3000</v>
          </cell>
          <cell r="DX182">
            <v>4000</v>
          </cell>
          <cell r="DY182">
            <v>6000</v>
          </cell>
          <cell r="EB182">
            <v>7000</v>
          </cell>
          <cell r="EC182">
            <v>3000</v>
          </cell>
          <cell r="ED182">
            <v>3000</v>
          </cell>
          <cell r="EE182">
            <v>6000</v>
          </cell>
          <cell r="EF182">
            <v>4000</v>
          </cell>
          <cell r="EG182">
            <v>3000</v>
          </cell>
          <cell r="EH182" t="str">
            <v>ACTIVO</v>
          </cell>
          <cell r="EI182" t="str">
            <v>C</v>
          </cell>
          <cell r="EJ182">
            <v>10000</v>
          </cell>
          <cell r="EK182">
            <v>4047.6190476190477</v>
          </cell>
          <cell r="EL182">
            <v>674.60317460317458</v>
          </cell>
        </row>
        <row r="183">
          <cell r="F183">
            <v>405130</v>
          </cell>
          <cell r="G183" t="str">
            <v>ETIQUETAS CIRCULAR 9cm IMPR. TORTA TRUFFA JUMBO</v>
          </cell>
          <cell r="I183">
            <v>2000</v>
          </cell>
          <cell r="J183">
            <v>2000</v>
          </cell>
          <cell r="K183">
            <v>1000</v>
          </cell>
          <cell r="O183">
            <v>2000</v>
          </cell>
          <cell r="P183">
            <v>2000</v>
          </cell>
          <cell r="Q183">
            <v>3000</v>
          </cell>
          <cell r="S183">
            <v>2000</v>
          </cell>
          <cell r="T183">
            <v>2000</v>
          </cell>
          <cell r="U183">
            <v>4000</v>
          </cell>
          <cell r="V183">
            <v>2000</v>
          </cell>
          <cell r="W183">
            <v>2000</v>
          </cell>
          <cell r="X183">
            <v>3000</v>
          </cell>
          <cell r="AA183">
            <v>2000</v>
          </cell>
          <cell r="AB183">
            <v>4000</v>
          </cell>
          <cell r="AC183">
            <v>2000</v>
          </cell>
          <cell r="AE183">
            <v>2000</v>
          </cell>
          <cell r="AF183">
            <v>2000</v>
          </cell>
          <cell r="AH183">
            <v>2000</v>
          </cell>
          <cell r="AI183">
            <v>2000</v>
          </cell>
          <cell r="AJ183">
            <v>2000</v>
          </cell>
          <cell r="AK183">
            <v>2000</v>
          </cell>
          <cell r="AL183">
            <v>2000</v>
          </cell>
          <cell r="AM183">
            <v>2000</v>
          </cell>
          <cell r="AN183">
            <v>2000</v>
          </cell>
          <cell r="AQ183">
            <v>1000</v>
          </cell>
          <cell r="AS183">
            <v>1000</v>
          </cell>
          <cell r="AT183">
            <v>1000</v>
          </cell>
          <cell r="AV183">
            <v>2000</v>
          </cell>
          <cell r="AW183">
            <v>1000</v>
          </cell>
          <cell r="AX183">
            <v>3000</v>
          </cell>
          <cell r="BA183">
            <v>1000</v>
          </cell>
          <cell r="BB183">
            <v>1000</v>
          </cell>
          <cell r="BD183">
            <v>1000</v>
          </cell>
          <cell r="BE183">
            <v>1000</v>
          </cell>
          <cell r="BF183">
            <v>1</v>
          </cell>
          <cell r="BG183">
            <v>1999</v>
          </cell>
          <cell r="BH183">
            <v>1000</v>
          </cell>
          <cell r="BK183">
            <v>2000</v>
          </cell>
          <cell r="BM183">
            <v>2000</v>
          </cell>
          <cell r="BN183">
            <v>1000</v>
          </cell>
          <cell r="BO183">
            <v>4000</v>
          </cell>
          <cell r="BQ183">
            <v>3000</v>
          </cell>
          <cell r="BR183">
            <v>3000</v>
          </cell>
          <cell r="BT183">
            <v>6000</v>
          </cell>
          <cell r="BV183">
            <v>1000</v>
          </cell>
          <cell r="BW183">
            <v>2000</v>
          </cell>
          <cell r="BX183">
            <v>2000</v>
          </cell>
          <cell r="CA183">
            <v>3000</v>
          </cell>
          <cell r="CF183">
            <v>2000</v>
          </cell>
          <cell r="CG183">
            <v>2000</v>
          </cell>
          <cell r="CJ183">
            <v>1000</v>
          </cell>
          <cell r="CK183">
            <v>1000</v>
          </cell>
          <cell r="CM183">
            <v>1000</v>
          </cell>
          <cell r="CN183">
            <v>2000</v>
          </cell>
          <cell r="CO183">
            <v>2000</v>
          </cell>
          <cell r="CP183">
            <v>2000</v>
          </cell>
          <cell r="CT183">
            <v>2000</v>
          </cell>
          <cell r="CU183">
            <v>3000</v>
          </cell>
          <cell r="CV183">
            <v>2000</v>
          </cell>
          <cell r="CX183">
            <v>2000</v>
          </cell>
          <cell r="DE183">
            <v>1000</v>
          </cell>
          <cell r="DK183">
            <v>1000</v>
          </cell>
          <cell r="DL183">
            <v>2000</v>
          </cell>
          <cell r="DM183">
            <v>1000</v>
          </cell>
          <cell r="DN183">
            <v>2000</v>
          </cell>
          <cell r="DO183">
            <v>1000</v>
          </cell>
          <cell r="DQ183">
            <v>2000</v>
          </cell>
          <cell r="DR183">
            <v>1000</v>
          </cell>
          <cell r="DS183">
            <v>1000</v>
          </cell>
          <cell r="DT183">
            <v>1000</v>
          </cell>
          <cell r="DU183">
            <v>1000</v>
          </cell>
          <cell r="DW183">
            <v>2000</v>
          </cell>
          <cell r="DX183">
            <v>2000</v>
          </cell>
          <cell r="DY183">
            <v>1000</v>
          </cell>
          <cell r="EB183">
            <v>4000</v>
          </cell>
          <cell r="ED183">
            <v>1000</v>
          </cell>
          <cell r="EG183">
            <v>1000</v>
          </cell>
          <cell r="EH183" t="str">
            <v>ACTIVO</v>
          </cell>
          <cell r="EI183" t="str">
            <v>C</v>
          </cell>
          <cell r="EJ183">
            <v>10000</v>
          </cell>
          <cell r="EK183">
            <v>1500</v>
          </cell>
          <cell r="EL183">
            <v>250</v>
          </cell>
        </row>
        <row r="184">
          <cell r="F184">
            <v>405131</v>
          </cell>
          <cell r="G184" t="str">
            <v>ETIQUETAS CIRCULAR 9cm IMPR. TORTA 4 LECHES JUMBO</v>
          </cell>
          <cell r="I184">
            <v>2000</v>
          </cell>
          <cell r="J184">
            <v>2000</v>
          </cell>
          <cell r="K184">
            <v>2000</v>
          </cell>
          <cell r="O184">
            <v>2000</v>
          </cell>
          <cell r="P184">
            <v>2000</v>
          </cell>
          <cell r="Q184">
            <v>2000</v>
          </cell>
          <cell r="S184">
            <v>1000</v>
          </cell>
          <cell r="T184">
            <v>2000</v>
          </cell>
          <cell r="U184">
            <v>2000</v>
          </cell>
          <cell r="V184">
            <v>2000</v>
          </cell>
          <cell r="W184">
            <v>2000</v>
          </cell>
          <cell r="X184">
            <v>2000</v>
          </cell>
          <cell r="Z184">
            <v>3000</v>
          </cell>
          <cell r="AA184">
            <v>2000</v>
          </cell>
          <cell r="AB184">
            <v>4000</v>
          </cell>
          <cell r="AC184">
            <v>2000</v>
          </cell>
          <cell r="AE184">
            <v>2000</v>
          </cell>
          <cell r="AF184">
            <v>2000</v>
          </cell>
          <cell r="AH184">
            <v>2000</v>
          </cell>
          <cell r="AI184">
            <v>2000</v>
          </cell>
          <cell r="AJ184">
            <v>2000</v>
          </cell>
          <cell r="AK184">
            <v>2000</v>
          </cell>
          <cell r="AL184">
            <v>2000</v>
          </cell>
          <cell r="AM184">
            <v>2000</v>
          </cell>
          <cell r="AN184">
            <v>2000</v>
          </cell>
          <cell r="AP184">
            <v>2000</v>
          </cell>
          <cell r="AQ184">
            <v>2000</v>
          </cell>
          <cell r="AS184">
            <v>2000</v>
          </cell>
          <cell r="AT184">
            <v>2000</v>
          </cell>
          <cell r="AV184">
            <v>2000</v>
          </cell>
          <cell r="AW184">
            <v>2000</v>
          </cell>
          <cell r="AX184">
            <v>2000</v>
          </cell>
          <cell r="AY184">
            <v>2000</v>
          </cell>
          <cell r="BA184">
            <v>4000</v>
          </cell>
          <cell r="BD184">
            <v>2000</v>
          </cell>
          <cell r="BE184">
            <v>2000</v>
          </cell>
          <cell r="BF184">
            <v>2</v>
          </cell>
          <cell r="BG184">
            <v>3998</v>
          </cell>
          <cell r="BH184">
            <v>2000</v>
          </cell>
          <cell r="BK184">
            <v>4000</v>
          </cell>
          <cell r="BM184">
            <v>3000</v>
          </cell>
          <cell r="BN184">
            <v>2000</v>
          </cell>
          <cell r="BO184">
            <v>2000</v>
          </cell>
          <cell r="BR184">
            <v>2000</v>
          </cell>
          <cell r="BS184">
            <v>1000</v>
          </cell>
          <cell r="BT184">
            <v>4000</v>
          </cell>
          <cell r="BV184">
            <v>2000</v>
          </cell>
          <cell r="BW184">
            <v>2000</v>
          </cell>
          <cell r="BX184">
            <v>2000</v>
          </cell>
          <cell r="BY184">
            <v>3000</v>
          </cell>
          <cell r="CA184">
            <v>4000</v>
          </cell>
          <cell r="CB184">
            <v>2000</v>
          </cell>
          <cell r="CD184">
            <v>2000</v>
          </cell>
          <cell r="CF184">
            <v>4000</v>
          </cell>
          <cell r="CG184">
            <v>2000</v>
          </cell>
          <cell r="CI184">
            <v>4000</v>
          </cell>
          <cell r="CJ184">
            <v>1000</v>
          </cell>
          <cell r="CL184">
            <v>1000</v>
          </cell>
          <cell r="CM184">
            <v>1000</v>
          </cell>
          <cell r="CN184">
            <v>2000</v>
          </cell>
          <cell r="CO184">
            <v>1000</v>
          </cell>
          <cell r="CP184">
            <v>1000</v>
          </cell>
          <cell r="CT184">
            <v>2000</v>
          </cell>
          <cell r="CU184">
            <v>1000</v>
          </cell>
          <cell r="CV184">
            <v>1000</v>
          </cell>
          <cell r="CW184">
            <v>1000</v>
          </cell>
          <cell r="CY184">
            <v>1000</v>
          </cell>
          <cell r="CZ184">
            <v>1000</v>
          </cell>
          <cell r="DB184">
            <v>1000</v>
          </cell>
          <cell r="DC184">
            <v>2000</v>
          </cell>
          <cell r="DE184">
            <v>3000</v>
          </cell>
          <cell r="DF184">
            <v>2000</v>
          </cell>
          <cell r="DG184">
            <v>2000</v>
          </cell>
          <cell r="DJ184">
            <v>1000</v>
          </cell>
          <cell r="DK184">
            <v>4000</v>
          </cell>
          <cell r="DL184">
            <v>2000</v>
          </cell>
          <cell r="DN184">
            <v>2000</v>
          </cell>
          <cell r="DO184">
            <v>2000</v>
          </cell>
          <cell r="DP184">
            <v>2000</v>
          </cell>
          <cell r="DQ184">
            <v>2000</v>
          </cell>
          <cell r="DR184">
            <v>2000</v>
          </cell>
          <cell r="DS184">
            <v>2000</v>
          </cell>
          <cell r="DT184">
            <v>2000</v>
          </cell>
          <cell r="DU184">
            <v>2000</v>
          </cell>
          <cell r="DV184">
            <v>2000</v>
          </cell>
          <cell r="DW184">
            <v>2000</v>
          </cell>
          <cell r="DX184">
            <v>2000</v>
          </cell>
          <cell r="DY184">
            <v>3000</v>
          </cell>
          <cell r="DZ184">
            <v>3000</v>
          </cell>
          <cell r="EB184">
            <v>4000</v>
          </cell>
          <cell r="ED184">
            <v>2000</v>
          </cell>
          <cell r="EE184">
            <v>2000</v>
          </cell>
          <cell r="EF184">
            <v>2000</v>
          </cell>
          <cell r="EG184">
            <v>2000</v>
          </cell>
          <cell r="EH184" t="str">
            <v>ACTIVO</v>
          </cell>
          <cell r="EI184" t="str">
            <v>C</v>
          </cell>
          <cell r="EJ184">
            <v>10000</v>
          </cell>
          <cell r="EK184">
            <v>2238.0952380952381</v>
          </cell>
          <cell r="EL184">
            <v>373.01587301587301</v>
          </cell>
        </row>
        <row r="185">
          <cell r="F185">
            <v>405126</v>
          </cell>
          <cell r="G185" t="str">
            <v>ETIQUETAS CIRCULAR 9cm IMPR. TORTA BOM BOM</v>
          </cell>
          <cell r="I185">
            <v>1000</v>
          </cell>
          <cell r="J185">
            <v>1000</v>
          </cell>
          <cell r="K185">
            <v>1000</v>
          </cell>
          <cell r="O185">
            <v>1000</v>
          </cell>
          <cell r="P185">
            <v>1000</v>
          </cell>
          <cell r="Q185">
            <v>3000</v>
          </cell>
          <cell r="S185">
            <v>1000</v>
          </cell>
          <cell r="T185">
            <v>1000</v>
          </cell>
          <cell r="U185">
            <v>4000</v>
          </cell>
          <cell r="V185">
            <v>1000</v>
          </cell>
          <cell r="W185">
            <v>1000</v>
          </cell>
          <cell r="X185">
            <v>2000</v>
          </cell>
          <cell r="AA185">
            <v>1000</v>
          </cell>
          <cell r="AB185">
            <v>2000</v>
          </cell>
          <cell r="AC185">
            <v>1000</v>
          </cell>
          <cell r="AE185">
            <v>1000</v>
          </cell>
          <cell r="AF185">
            <v>1000</v>
          </cell>
          <cell r="AH185">
            <v>1000</v>
          </cell>
          <cell r="AI185">
            <v>1000</v>
          </cell>
          <cell r="AJ185">
            <v>1000</v>
          </cell>
          <cell r="AK185">
            <v>2000</v>
          </cell>
          <cell r="AL185">
            <v>2000</v>
          </cell>
          <cell r="AM185">
            <v>2000</v>
          </cell>
          <cell r="AN185">
            <v>2000</v>
          </cell>
          <cell r="AQ185">
            <v>1000</v>
          </cell>
          <cell r="AS185">
            <v>1000</v>
          </cell>
          <cell r="AT185">
            <v>1000</v>
          </cell>
          <cell r="AV185">
            <v>1000</v>
          </cell>
          <cell r="AW185">
            <v>1000</v>
          </cell>
          <cell r="AX185">
            <v>1000</v>
          </cell>
          <cell r="AZ185">
            <v>1000</v>
          </cell>
          <cell r="BA185">
            <v>2000</v>
          </cell>
          <cell r="BD185">
            <v>1000</v>
          </cell>
          <cell r="BE185">
            <v>1000</v>
          </cell>
          <cell r="BF185">
            <v>1</v>
          </cell>
          <cell r="BG185">
            <v>2999</v>
          </cell>
          <cell r="BH185">
            <v>1000</v>
          </cell>
          <cell r="BJ185">
            <v>1000</v>
          </cell>
          <cell r="BK185">
            <v>2000</v>
          </cell>
          <cell r="BM185">
            <v>3000</v>
          </cell>
          <cell r="BN185">
            <v>2000</v>
          </cell>
          <cell r="BO185">
            <v>5000</v>
          </cell>
          <cell r="BQ185">
            <v>3000</v>
          </cell>
          <cell r="BR185">
            <v>3000</v>
          </cell>
          <cell r="BT185">
            <v>6000</v>
          </cell>
          <cell r="BV185">
            <v>1000</v>
          </cell>
          <cell r="BW185">
            <v>2000</v>
          </cell>
          <cell r="BX185">
            <v>2000</v>
          </cell>
          <cell r="CA185">
            <v>3000</v>
          </cell>
          <cell r="CD185">
            <v>1000</v>
          </cell>
          <cell r="CE185">
            <v>1000</v>
          </cell>
          <cell r="CF185">
            <v>2000</v>
          </cell>
          <cell r="CG185">
            <v>2000</v>
          </cell>
          <cell r="CJ185">
            <v>2000</v>
          </cell>
          <cell r="CM185">
            <v>2000</v>
          </cell>
          <cell r="CN185">
            <v>3000</v>
          </cell>
          <cell r="CP185">
            <v>3000</v>
          </cell>
          <cell r="CT185">
            <v>4000</v>
          </cell>
          <cell r="CU185">
            <v>1000</v>
          </cell>
          <cell r="CV185">
            <v>1000</v>
          </cell>
          <cell r="CW185">
            <v>2000</v>
          </cell>
          <cell r="CX185">
            <v>1000</v>
          </cell>
          <cell r="CY185">
            <v>2000</v>
          </cell>
          <cell r="DB185">
            <v>2000</v>
          </cell>
          <cell r="DE185">
            <v>1000</v>
          </cell>
          <cell r="DF185">
            <v>1000</v>
          </cell>
          <cell r="DK185">
            <v>2000</v>
          </cell>
          <cell r="DL185">
            <v>2000</v>
          </cell>
          <cell r="DM185">
            <v>1000</v>
          </cell>
          <cell r="DN185">
            <v>2000</v>
          </cell>
          <cell r="DO185">
            <v>1000</v>
          </cell>
          <cell r="DQ185">
            <v>2000</v>
          </cell>
          <cell r="DR185">
            <v>1000</v>
          </cell>
          <cell r="DS185">
            <v>1000</v>
          </cell>
          <cell r="DT185">
            <v>1000</v>
          </cell>
          <cell r="DU185">
            <v>2000</v>
          </cell>
          <cell r="DW185">
            <v>2000</v>
          </cell>
          <cell r="DX185">
            <v>2000</v>
          </cell>
          <cell r="EB185">
            <v>3000</v>
          </cell>
          <cell r="ED185">
            <v>1000</v>
          </cell>
          <cell r="EH185" t="str">
            <v>ACTIVO</v>
          </cell>
          <cell r="EI185" t="str">
            <v>C</v>
          </cell>
          <cell r="EJ185">
            <v>10000</v>
          </cell>
          <cell r="EK185">
            <v>1642.8571428571429</v>
          </cell>
          <cell r="EL185">
            <v>273.8095238095238</v>
          </cell>
        </row>
        <row r="186">
          <cell r="F186">
            <v>405206</v>
          </cell>
          <cell r="G186" t="str">
            <v>ETIQ.CIRCULAR 9cm IMPR. TORTA SAN JORGE GUINDA ARTESANAL JUMBO</v>
          </cell>
          <cell r="I186">
            <v>1000</v>
          </cell>
          <cell r="J186">
            <v>1000</v>
          </cell>
          <cell r="K186">
            <v>1000</v>
          </cell>
          <cell r="M186">
            <v>2000</v>
          </cell>
          <cell r="O186">
            <v>1000</v>
          </cell>
          <cell r="P186">
            <v>2000</v>
          </cell>
          <cell r="Q186">
            <v>2000</v>
          </cell>
          <cell r="S186">
            <v>2000</v>
          </cell>
          <cell r="T186">
            <v>2000</v>
          </cell>
          <cell r="U186">
            <v>2000</v>
          </cell>
          <cell r="V186">
            <v>2000</v>
          </cell>
          <cell r="W186">
            <v>2000</v>
          </cell>
          <cell r="X186">
            <v>3000</v>
          </cell>
          <cell r="AA186">
            <v>2000</v>
          </cell>
          <cell r="AB186">
            <v>4000</v>
          </cell>
          <cell r="AC186">
            <v>2000</v>
          </cell>
          <cell r="AD186">
            <v>1000</v>
          </cell>
          <cell r="AE186">
            <v>2000</v>
          </cell>
          <cell r="AF186">
            <v>2000</v>
          </cell>
          <cell r="AH186">
            <v>2000</v>
          </cell>
          <cell r="AI186">
            <v>2000</v>
          </cell>
          <cell r="AJ186">
            <v>2000</v>
          </cell>
          <cell r="AK186">
            <v>3000</v>
          </cell>
          <cell r="AL186">
            <v>3000</v>
          </cell>
          <cell r="AM186">
            <v>3000</v>
          </cell>
          <cell r="AN186">
            <v>3000</v>
          </cell>
          <cell r="AQ186">
            <v>2000</v>
          </cell>
          <cell r="AS186">
            <v>2000</v>
          </cell>
          <cell r="AT186">
            <v>2000</v>
          </cell>
          <cell r="AU186">
            <v>1000</v>
          </cell>
          <cell r="AV186">
            <v>3000</v>
          </cell>
          <cell r="AW186">
            <v>3000</v>
          </cell>
          <cell r="AX186">
            <v>5000</v>
          </cell>
          <cell r="AY186">
            <v>1000</v>
          </cell>
          <cell r="BA186">
            <v>5000</v>
          </cell>
          <cell r="BB186">
            <v>2000</v>
          </cell>
          <cell r="BD186">
            <v>3000</v>
          </cell>
          <cell r="BE186">
            <v>3000</v>
          </cell>
          <cell r="BF186">
            <v>3</v>
          </cell>
          <cell r="BG186">
            <v>5997</v>
          </cell>
          <cell r="BH186">
            <v>3000</v>
          </cell>
          <cell r="BK186">
            <v>6000</v>
          </cell>
          <cell r="BM186">
            <v>9000</v>
          </cell>
          <cell r="BN186">
            <v>1000</v>
          </cell>
          <cell r="BO186">
            <v>4000</v>
          </cell>
          <cell r="BQ186">
            <v>2000</v>
          </cell>
          <cell r="BR186">
            <v>3000</v>
          </cell>
          <cell r="BT186">
            <v>6000</v>
          </cell>
          <cell r="BV186">
            <v>3000</v>
          </cell>
          <cell r="BW186">
            <v>4000</v>
          </cell>
          <cell r="BX186">
            <v>3000</v>
          </cell>
          <cell r="BY186">
            <v>3000</v>
          </cell>
          <cell r="CA186">
            <v>6000</v>
          </cell>
          <cell r="CB186">
            <v>3000</v>
          </cell>
          <cell r="CD186">
            <v>3000</v>
          </cell>
          <cell r="CE186">
            <v>3000</v>
          </cell>
          <cell r="CF186">
            <v>4000</v>
          </cell>
          <cell r="CG186">
            <v>2000</v>
          </cell>
          <cell r="CI186">
            <v>4000</v>
          </cell>
          <cell r="CJ186">
            <v>2000</v>
          </cell>
          <cell r="CL186">
            <v>2000</v>
          </cell>
          <cell r="CM186">
            <v>2000</v>
          </cell>
          <cell r="CN186">
            <v>4000</v>
          </cell>
          <cell r="CO186">
            <v>2000</v>
          </cell>
          <cell r="CP186">
            <v>2000</v>
          </cell>
          <cell r="CR186">
            <v>1000</v>
          </cell>
          <cell r="CT186">
            <v>4000</v>
          </cell>
          <cell r="CU186">
            <v>5000</v>
          </cell>
          <cell r="CV186">
            <v>2000</v>
          </cell>
          <cell r="CW186">
            <v>2000</v>
          </cell>
          <cell r="CY186">
            <v>2000</v>
          </cell>
          <cell r="CZ186">
            <v>2000</v>
          </cell>
          <cell r="DB186">
            <v>3000</v>
          </cell>
          <cell r="DC186">
            <v>3000</v>
          </cell>
          <cell r="DE186">
            <v>3000</v>
          </cell>
          <cell r="DF186">
            <v>2000</v>
          </cell>
          <cell r="DG186">
            <v>2000</v>
          </cell>
          <cell r="DJ186">
            <v>2000</v>
          </cell>
          <cell r="DK186">
            <v>4000</v>
          </cell>
          <cell r="DL186">
            <v>2000</v>
          </cell>
          <cell r="DN186">
            <v>2000</v>
          </cell>
          <cell r="DO186">
            <v>2000</v>
          </cell>
          <cell r="DQ186">
            <v>2000</v>
          </cell>
          <cell r="DR186">
            <v>2000</v>
          </cell>
          <cell r="DS186">
            <v>2000</v>
          </cell>
          <cell r="DT186">
            <v>2000</v>
          </cell>
          <cell r="DU186">
            <v>3000</v>
          </cell>
          <cell r="DV186">
            <v>2000</v>
          </cell>
          <cell r="DW186">
            <v>2000</v>
          </cell>
          <cell r="DX186">
            <v>2000</v>
          </cell>
          <cell r="DY186">
            <v>3000</v>
          </cell>
          <cell r="DZ186">
            <v>3000</v>
          </cell>
          <cell r="EB186">
            <v>5000</v>
          </cell>
          <cell r="EC186">
            <v>3000</v>
          </cell>
          <cell r="ED186">
            <v>3000</v>
          </cell>
          <cell r="EE186">
            <v>3000</v>
          </cell>
          <cell r="EF186">
            <v>3000</v>
          </cell>
          <cell r="EG186">
            <v>3000</v>
          </cell>
          <cell r="EH186" t="str">
            <v>ACTIVO</v>
          </cell>
          <cell r="EI186" t="str">
            <v>C</v>
          </cell>
          <cell r="EJ186">
            <v>10000</v>
          </cell>
          <cell r="EK186">
            <v>2619.0476190476193</v>
          </cell>
          <cell r="EL186">
            <v>436.50793650793656</v>
          </cell>
        </row>
        <row r="187">
          <cell r="F187">
            <v>405205</v>
          </cell>
          <cell r="G187" t="str">
            <v>ETIQ.CIRCULAR 9cm IMPR. TORTA SAN JORGE LÚCUMA ARTESANAL JUMBO</v>
          </cell>
          <cell r="I187">
            <v>2000</v>
          </cell>
          <cell r="J187">
            <v>2000</v>
          </cell>
          <cell r="K187">
            <v>2000</v>
          </cell>
          <cell r="M187">
            <v>1000</v>
          </cell>
          <cell r="N187">
            <v>1000</v>
          </cell>
          <cell r="O187">
            <v>4000</v>
          </cell>
          <cell r="P187">
            <v>3000</v>
          </cell>
          <cell r="Q187">
            <v>1</v>
          </cell>
          <cell r="R187">
            <v>2000</v>
          </cell>
          <cell r="S187">
            <v>3000</v>
          </cell>
          <cell r="T187">
            <v>4000</v>
          </cell>
          <cell r="U187">
            <v>4000</v>
          </cell>
          <cell r="V187">
            <v>4000</v>
          </cell>
          <cell r="W187">
            <v>4000</v>
          </cell>
          <cell r="X187">
            <v>9000</v>
          </cell>
          <cell r="Z187">
            <v>2000</v>
          </cell>
          <cell r="AA187">
            <v>4000</v>
          </cell>
          <cell r="AB187">
            <v>7000</v>
          </cell>
          <cell r="AC187">
            <v>4000</v>
          </cell>
          <cell r="AE187">
            <v>11000</v>
          </cell>
          <cell r="AF187">
            <v>3000</v>
          </cell>
          <cell r="AG187">
            <v>3000</v>
          </cell>
          <cell r="AH187">
            <v>4000</v>
          </cell>
          <cell r="AI187">
            <v>5000</v>
          </cell>
          <cell r="AJ187">
            <v>4000</v>
          </cell>
          <cell r="AK187">
            <v>5000</v>
          </cell>
          <cell r="AL187">
            <v>6000</v>
          </cell>
          <cell r="AM187">
            <v>6000</v>
          </cell>
          <cell r="AN187">
            <v>6000</v>
          </cell>
          <cell r="AO187">
            <v>6000</v>
          </cell>
          <cell r="AP187">
            <v>6000</v>
          </cell>
          <cell r="AQ187">
            <v>6000</v>
          </cell>
          <cell r="AS187">
            <v>5000</v>
          </cell>
          <cell r="AT187">
            <v>6000</v>
          </cell>
          <cell r="AU187">
            <v>1000</v>
          </cell>
          <cell r="AV187">
            <v>8000</v>
          </cell>
          <cell r="AW187">
            <v>6000</v>
          </cell>
          <cell r="AX187">
            <v>11000</v>
          </cell>
          <cell r="AY187">
            <v>7000</v>
          </cell>
          <cell r="BA187">
            <v>13000</v>
          </cell>
          <cell r="BB187">
            <v>7000</v>
          </cell>
          <cell r="BD187">
            <v>5000</v>
          </cell>
          <cell r="BE187">
            <v>7000</v>
          </cell>
          <cell r="BF187">
            <v>7</v>
          </cell>
          <cell r="BG187">
            <v>22993</v>
          </cell>
          <cell r="BH187">
            <v>12000</v>
          </cell>
          <cell r="BJ187">
            <v>5000</v>
          </cell>
          <cell r="BK187">
            <v>18000</v>
          </cell>
          <cell r="BM187">
            <v>2000</v>
          </cell>
          <cell r="BN187">
            <v>8000</v>
          </cell>
          <cell r="BO187">
            <v>15000</v>
          </cell>
          <cell r="BQ187">
            <v>8000</v>
          </cell>
          <cell r="BR187">
            <v>8000</v>
          </cell>
          <cell r="BS187">
            <v>2000</v>
          </cell>
          <cell r="BT187">
            <v>17000</v>
          </cell>
          <cell r="BU187">
            <v>1000</v>
          </cell>
          <cell r="BV187">
            <v>1000</v>
          </cell>
          <cell r="BW187">
            <v>14000</v>
          </cell>
          <cell r="BX187">
            <v>7000</v>
          </cell>
          <cell r="BY187">
            <v>17000</v>
          </cell>
          <cell r="CA187">
            <v>16000</v>
          </cell>
          <cell r="CB187">
            <v>8000</v>
          </cell>
          <cell r="CD187">
            <v>8000</v>
          </cell>
          <cell r="CE187">
            <v>12000</v>
          </cell>
          <cell r="CF187">
            <v>15000</v>
          </cell>
          <cell r="CG187">
            <v>7000</v>
          </cell>
          <cell r="CI187">
            <v>14000</v>
          </cell>
          <cell r="CJ187">
            <v>7000</v>
          </cell>
          <cell r="CL187">
            <v>7000</v>
          </cell>
          <cell r="CM187">
            <v>7000</v>
          </cell>
          <cell r="CN187">
            <v>14000</v>
          </cell>
          <cell r="CO187">
            <v>7000</v>
          </cell>
          <cell r="CP187">
            <v>7000</v>
          </cell>
          <cell r="CR187">
            <v>5000</v>
          </cell>
          <cell r="CT187">
            <v>13000</v>
          </cell>
          <cell r="CU187">
            <v>7000</v>
          </cell>
          <cell r="CV187">
            <v>6000</v>
          </cell>
          <cell r="CW187">
            <v>7000</v>
          </cell>
          <cell r="CX187">
            <v>3000</v>
          </cell>
          <cell r="CY187">
            <v>8000</v>
          </cell>
          <cell r="CZ187">
            <v>9000</v>
          </cell>
          <cell r="DB187">
            <v>10000</v>
          </cell>
          <cell r="DC187">
            <v>6000</v>
          </cell>
          <cell r="DE187">
            <v>9000</v>
          </cell>
          <cell r="DF187">
            <v>6000</v>
          </cell>
          <cell r="DG187">
            <v>10000</v>
          </cell>
          <cell r="DK187">
            <v>12000</v>
          </cell>
          <cell r="DL187">
            <v>3000</v>
          </cell>
          <cell r="DN187">
            <v>7000</v>
          </cell>
          <cell r="DO187">
            <v>9000</v>
          </cell>
          <cell r="DP187">
            <v>6000</v>
          </cell>
          <cell r="DQ187">
            <v>6000</v>
          </cell>
          <cell r="DR187">
            <v>6000</v>
          </cell>
          <cell r="DS187">
            <v>6000</v>
          </cell>
          <cell r="DT187">
            <v>12000</v>
          </cell>
          <cell r="DU187">
            <v>6000</v>
          </cell>
          <cell r="DV187">
            <v>6000</v>
          </cell>
          <cell r="DW187">
            <v>6000</v>
          </cell>
          <cell r="DX187">
            <v>6000</v>
          </cell>
          <cell r="DY187">
            <v>16000</v>
          </cell>
          <cell r="DZ187">
            <v>5000</v>
          </cell>
          <cell r="EB187">
            <v>12000</v>
          </cell>
          <cell r="EC187">
            <v>6000</v>
          </cell>
          <cell r="ED187">
            <v>6000</v>
          </cell>
          <cell r="EE187">
            <v>6000</v>
          </cell>
          <cell r="EF187">
            <v>12000</v>
          </cell>
          <cell r="EG187">
            <v>3000</v>
          </cell>
          <cell r="EH187" t="str">
            <v>ACTIVO</v>
          </cell>
          <cell r="EI187" t="str">
            <v>C</v>
          </cell>
          <cell r="EJ187">
            <v>10000</v>
          </cell>
          <cell r="EK187">
            <v>7476.1904761904761</v>
          </cell>
          <cell r="EL187">
            <v>1246.031746031746</v>
          </cell>
        </row>
        <row r="188">
          <cell r="F188">
            <v>393423</v>
          </cell>
          <cell r="G188" t="str">
            <v>ETIQUETA CIRCULAR 9cm TORTA PANQUEQUE CHOCOLATE GUINDA</v>
          </cell>
          <cell r="AA188">
            <v>2000</v>
          </cell>
          <cell r="AC188">
            <v>1000</v>
          </cell>
          <cell r="AE188">
            <v>2000</v>
          </cell>
          <cell r="AF188">
            <v>1000</v>
          </cell>
          <cell r="AH188">
            <v>1000</v>
          </cell>
          <cell r="AI188">
            <v>1000</v>
          </cell>
          <cell r="AJ188">
            <v>1000</v>
          </cell>
          <cell r="AK188">
            <v>1000</v>
          </cell>
          <cell r="AL188">
            <v>1000</v>
          </cell>
          <cell r="AM188">
            <v>1000</v>
          </cell>
          <cell r="AN188">
            <v>1000</v>
          </cell>
          <cell r="AP188">
            <v>1000</v>
          </cell>
          <cell r="AQ188">
            <v>1000</v>
          </cell>
          <cell r="AS188">
            <v>1000</v>
          </cell>
          <cell r="AT188">
            <v>1000</v>
          </cell>
          <cell r="AV188">
            <v>1000</v>
          </cell>
          <cell r="AW188">
            <v>1000</v>
          </cell>
          <cell r="AX188">
            <v>5000</v>
          </cell>
          <cell r="BA188">
            <v>2000</v>
          </cell>
          <cell r="BD188">
            <v>1000</v>
          </cell>
          <cell r="BE188">
            <v>1000</v>
          </cell>
          <cell r="BF188">
            <v>1</v>
          </cell>
          <cell r="BG188">
            <v>1999</v>
          </cell>
          <cell r="BH188">
            <v>1000</v>
          </cell>
          <cell r="BK188">
            <v>2000</v>
          </cell>
          <cell r="BL188">
            <v>1000</v>
          </cell>
          <cell r="BM188">
            <v>3000</v>
          </cell>
          <cell r="BN188">
            <v>1000</v>
          </cell>
          <cell r="BO188">
            <v>3000</v>
          </cell>
          <cell r="BP188">
            <v>1000</v>
          </cell>
          <cell r="BQ188">
            <v>1000</v>
          </cell>
          <cell r="BR188">
            <v>2000</v>
          </cell>
          <cell r="BT188">
            <v>3000</v>
          </cell>
          <cell r="BW188">
            <v>2000</v>
          </cell>
          <cell r="BX188">
            <v>1000</v>
          </cell>
          <cell r="BY188">
            <v>1000</v>
          </cell>
          <cell r="BZ188">
            <v>2000</v>
          </cell>
          <cell r="CA188">
            <v>4000</v>
          </cell>
          <cell r="CB188">
            <v>1000</v>
          </cell>
          <cell r="CD188">
            <v>3000</v>
          </cell>
          <cell r="CE188">
            <v>1000</v>
          </cell>
          <cell r="CF188">
            <v>4000</v>
          </cell>
          <cell r="CG188">
            <v>1000</v>
          </cell>
          <cell r="CI188">
            <v>2000</v>
          </cell>
          <cell r="CJ188">
            <v>1000</v>
          </cell>
          <cell r="CL188">
            <v>1000</v>
          </cell>
          <cell r="CM188">
            <v>1000</v>
          </cell>
          <cell r="CN188">
            <v>2000</v>
          </cell>
          <cell r="CO188">
            <v>2000</v>
          </cell>
          <cell r="CP188">
            <v>3000</v>
          </cell>
          <cell r="CQ188">
            <v>1000</v>
          </cell>
          <cell r="CR188">
            <v>1000</v>
          </cell>
          <cell r="CT188">
            <v>2000</v>
          </cell>
          <cell r="CU188">
            <v>1000</v>
          </cell>
          <cell r="CV188">
            <v>2000</v>
          </cell>
          <cell r="CW188">
            <v>1000</v>
          </cell>
          <cell r="CY188">
            <v>2000</v>
          </cell>
          <cell r="DB188">
            <v>4000</v>
          </cell>
          <cell r="DC188">
            <v>3000</v>
          </cell>
          <cell r="DD188">
            <v>1000</v>
          </cell>
          <cell r="DE188">
            <v>1000</v>
          </cell>
          <cell r="DL188">
            <v>1000</v>
          </cell>
          <cell r="DO188">
            <v>1000</v>
          </cell>
          <cell r="DQ188">
            <v>1000</v>
          </cell>
          <cell r="DR188">
            <v>1000</v>
          </cell>
          <cell r="DS188">
            <v>1000</v>
          </cell>
          <cell r="DT188">
            <v>3000</v>
          </cell>
          <cell r="DU188">
            <v>3000</v>
          </cell>
          <cell r="DW188">
            <v>3000</v>
          </cell>
          <cell r="DX188">
            <v>2000</v>
          </cell>
          <cell r="DY188">
            <v>1000</v>
          </cell>
          <cell r="DZ188">
            <v>1000</v>
          </cell>
          <cell r="EB188">
            <v>2000</v>
          </cell>
          <cell r="EC188">
            <v>2000</v>
          </cell>
          <cell r="ED188">
            <v>2000</v>
          </cell>
          <cell r="EG188">
            <v>2000</v>
          </cell>
          <cell r="EH188" t="str">
            <v>ACTIVO</v>
          </cell>
          <cell r="EI188" t="str">
            <v>C</v>
          </cell>
          <cell r="EJ188">
            <v>10000</v>
          </cell>
          <cell r="EK188">
            <v>1733.3333333333333</v>
          </cell>
          <cell r="EL188">
            <v>288.88888888888886</v>
          </cell>
        </row>
        <row r="189">
          <cell r="F189">
            <v>393421</v>
          </cell>
          <cell r="G189" t="str">
            <v>ETIQUETA CIRCULAR 9cm TORTA CHOCOLATE REAL</v>
          </cell>
          <cell r="AA189">
            <v>2000</v>
          </cell>
          <cell r="AC189">
            <v>1000</v>
          </cell>
          <cell r="AE189">
            <v>2000</v>
          </cell>
          <cell r="AF189">
            <v>1000</v>
          </cell>
          <cell r="AG189">
            <v>1000</v>
          </cell>
          <cell r="AH189">
            <v>1000</v>
          </cell>
          <cell r="AI189">
            <v>1000</v>
          </cell>
          <cell r="AJ189">
            <v>1000</v>
          </cell>
          <cell r="AK189">
            <v>1000</v>
          </cell>
          <cell r="AL189">
            <v>1000</v>
          </cell>
          <cell r="AM189">
            <v>1000</v>
          </cell>
          <cell r="AN189">
            <v>1000</v>
          </cell>
          <cell r="AP189">
            <v>1000</v>
          </cell>
          <cell r="AQ189">
            <v>1000</v>
          </cell>
          <cell r="AS189">
            <v>1000</v>
          </cell>
          <cell r="AT189">
            <v>1000</v>
          </cell>
          <cell r="AV189">
            <v>1000</v>
          </cell>
          <cell r="AW189">
            <v>3000</v>
          </cell>
          <cell r="AX189">
            <v>2000</v>
          </cell>
          <cell r="BA189">
            <v>1000</v>
          </cell>
          <cell r="BD189">
            <v>1000</v>
          </cell>
          <cell r="BG189">
            <v>1000</v>
          </cell>
          <cell r="BH189">
            <v>1000</v>
          </cell>
          <cell r="BK189">
            <v>2000</v>
          </cell>
          <cell r="BM189">
            <v>1000</v>
          </cell>
          <cell r="BN189">
            <v>1000</v>
          </cell>
          <cell r="BO189">
            <v>2000</v>
          </cell>
          <cell r="BQ189">
            <v>1000</v>
          </cell>
          <cell r="BR189">
            <v>1000</v>
          </cell>
          <cell r="BT189">
            <v>2000</v>
          </cell>
          <cell r="BV189">
            <v>1000</v>
          </cell>
          <cell r="BW189">
            <v>1000</v>
          </cell>
          <cell r="BX189">
            <v>1000</v>
          </cell>
          <cell r="CA189">
            <v>2000</v>
          </cell>
          <cell r="CB189">
            <v>2000</v>
          </cell>
          <cell r="CD189">
            <v>1000</v>
          </cell>
          <cell r="CF189">
            <v>2000</v>
          </cell>
          <cell r="CG189">
            <v>1000</v>
          </cell>
          <cell r="CI189">
            <v>2000</v>
          </cell>
          <cell r="CJ189">
            <v>1000</v>
          </cell>
          <cell r="CL189">
            <v>1000</v>
          </cell>
          <cell r="CM189">
            <v>1000</v>
          </cell>
          <cell r="CN189">
            <v>2000</v>
          </cell>
          <cell r="CO189">
            <v>1000</v>
          </cell>
          <cell r="CP189">
            <v>1000</v>
          </cell>
          <cell r="CT189">
            <v>2000</v>
          </cell>
          <cell r="CV189">
            <v>1000</v>
          </cell>
          <cell r="CW189">
            <v>1000</v>
          </cell>
          <cell r="CY189">
            <v>1000</v>
          </cell>
          <cell r="CZ189">
            <v>1000</v>
          </cell>
          <cell r="DB189">
            <v>1000</v>
          </cell>
          <cell r="DC189">
            <v>1000</v>
          </cell>
          <cell r="DE189">
            <v>1000</v>
          </cell>
          <cell r="DF189">
            <v>1000</v>
          </cell>
          <cell r="DG189">
            <v>1000</v>
          </cell>
          <cell r="DJ189">
            <v>1000</v>
          </cell>
          <cell r="DK189">
            <v>2000</v>
          </cell>
          <cell r="DL189">
            <v>1000</v>
          </cell>
          <cell r="DN189">
            <v>1000</v>
          </cell>
          <cell r="DO189">
            <v>1000</v>
          </cell>
          <cell r="DQ189">
            <v>1000</v>
          </cell>
          <cell r="DR189">
            <v>1000</v>
          </cell>
          <cell r="DS189">
            <v>1000</v>
          </cell>
          <cell r="DU189">
            <v>1000</v>
          </cell>
          <cell r="DW189">
            <v>1000</v>
          </cell>
          <cell r="DX189">
            <v>1000</v>
          </cell>
          <cell r="DY189">
            <v>2000</v>
          </cell>
          <cell r="EB189">
            <v>2000</v>
          </cell>
          <cell r="ED189">
            <v>1000</v>
          </cell>
          <cell r="EF189">
            <v>1000</v>
          </cell>
          <cell r="EG189">
            <v>1000</v>
          </cell>
          <cell r="EH189" t="str">
            <v>ACTIVO</v>
          </cell>
          <cell r="EI189" t="str">
            <v>C</v>
          </cell>
          <cell r="EJ189">
            <v>10000</v>
          </cell>
          <cell r="EK189">
            <v>1187.5</v>
          </cell>
          <cell r="EL189">
            <v>197.91666666666666</v>
          </cell>
        </row>
        <row r="190">
          <cell r="F190">
            <v>393425</v>
          </cell>
          <cell r="G190" t="str">
            <v>ETIQUETA CIRCULAR 9cm TORTA SELVA NEGRA VEGANA</v>
          </cell>
          <cell r="AA190">
            <v>1000</v>
          </cell>
          <cell r="AB190">
            <v>1000</v>
          </cell>
          <cell r="AC190">
            <v>1000</v>
          </cell>
          <cell r="AE190">
            <v>2000</v>
          </cell>
          <cell r="AF190">
            <v>1000</v>
          </cell>
          <cell r="AH190">
            <v>2000</v>
          </cell>
          <cell r="AI190">
            <v>1000</v>
          </cell>
          <cell r="AJ190">
            <v>1000</v>
          </cell>
          <cell r="AK190">
            <v>1000</v>
          </cell>
          <cell r="AL190">
            <v>1000</v>
          </cell>
          <cell r="AM190">
            <v>1000</v>
          </cell>
          <cell r="AN190">
            <v>1000</v>
          </cell>
          <cell r="AO190">
            <v>1000</v>
          </cell>
          <cell r="AP190">
            <v>2000</v>
          </cell>
          <cell r="AQ190">
            <v>1000</v>
          </cell>
          <cell r="AS190">
            <v>1000</v>
          </cell>
          <cell r="AT190">
            <v>1000</v>
          </cell>
          <cell r="AV190">
            <v>1000</v>
          </cell>
          <cell r="AW190">
            <v>1000</v>
          </cell>
          <cell r="AX190">
            <v>1000</v>
          </cell>
          <cell r="BC190">
            <v>1000</v>
          </cell>
          <cell r="BF190">
            <v>2</v>
          </cell>
          <cell r="BG190">
            <v>2998</v>
          </cell>
          <cell r="BH190">
            <v>1000</v>
          </cell>
          <cell r="BK190">
            <v>2000</v>
          </cell>
          <cell r="BM190">
            <v>1000</v>
          </cell>
          <cell r="BN190">
            <v>1000</v>
          </cell>
          <cell r="BO190">
            <v>2000</v>
          </cell>
          <cell r="BQ190">
            <v>1000</v>
          </cell>
          <cell r="BR190">
            <v>1000</v>
          </cell>
          <cell r="BT190">
            <v>2000</v>
          </cell>
          <cell r="BV190">
            <v>1000</v>
          </cell>
          <cell r="BW190">
            <v>2000</v>
          </cell>
          <cell r="BX190">
            <v>2000</v>
          </cell>
          <cell r="CA190">
            <v>1000</v>
          </cell>
          <cell r="CG190">
            <v>1000</v>
          </cell>
          <cell r="CI190">
            <v>1000</v>
          </cell>
          <cell r="CJ190">
            <v>1000</v>
          </cell>
          <cell r="CN190">
            <v>2000</v>
          </cell>
          <cell r="CO190">
            <v>1000</v>
          </cell>
          <cell r="CT190">
            <v>1000</v>
          </cell>
          <cell r="CU190">
            <v>1000</v>
          </cell>
          <cell r="CV190">
            <v>1000</v>
          </cell>
          <cell r="CW190">
            <v>1000</v>
          </cell>
          <cell r="DB190">
            <v>1000</v>
          </cell>
          <cell r="DC190">
            <v>1000</v>
          </cell>
          <cell r="DE190">
            <v>1000</v>
          </cell>
          <cell r="DF190">
            <v>1000</v>
          </cell>
          <cell r="DJ190">
            <v>1000</v>
          </cell>
          <cell r="DK190">
            <v>2000</v>
          </cell>
          <cell r="DL190">
            <v>1000</v>
          </cell>
          <cell r="DN190">
            <v>1000</v>
          </cell>
          <cell r="DO190">
            <v>1000</v>
          </cell>
          <cell r="DU190">
            <v>1000</v>
          </cell>
          <cell r="DW190">
            <v>1000</v>
          </cell>
          <cell r="DY190">
            <v>2000</v>
          </cell>
          <cell r="EB190">
            <v>2000</v>
          </cell>
          <cell r="ED190">
            <v>1000</v>
          </cell>
          <cell r="EG190">
            <v>1000</v>
          </cell>
          <cell r="EH190" t="str">
            <v>ACTIVO</v>
          </cell>
          <cell r="EI190" t="str">
            <v>C</v>
          </cell>
          <cell r="EJ190">
            <v>10000</v>
          </cell>
          <cell r="EK190">
            <v>1272.7272727272727</v>
          </cell>
          <cell r="EL190">
            <v>212.12121212121212</v>
          </cell>
        </row>
        <row r="191">
          <cell r="F191">
            <v>393424</v>
          </cell>
          <cell r="G191" t="str">
            <v>ETIQUETA CIRCULAR 9cm TORTA PIÑA VEGANA</v>
          </cell>
          <cell r="AA191">
            <v>1000</v>
          </cell>
          <cell r="AC191">
            <v>2000</v>
          </cell>
          <cell r="AE191">
            <v>1000</v>
          </cell>
          <cell r="AF191">
            <v>1000</v>
          </cell>
          <cell r="AG191">
            <v>1000</v>
          </cell>
          <cell r="AH191">
            <v>2000</v>
          </cell>
          <cell r="AI191">
            <v>1000</v>
          </cell>
          <cell r="AJ191">
            <v>1000</v>
          </cell>
          <cell r="AK191">
            <v>1000</v>
          </cell>
          <cell r="AL191">
            <v>1000</v>
          </cell>
          <cell r="AQ191">
            <v>1000</v>
          </cell>
          <cell r="AS191">
            <v>1000</v>
          </cell>
          <cell r="AV191">
            <v>1000</v>
          </cell>
          <cell r="AW191">
            <v>1000</v>
          </cell>
          <cell r="AX191">
            <v>2000</v>
          </cell>
          <cell r="BF191">
            <v>1</v>
          </cell>
          <cell r="BG191">
            <v>1999</v>
          </cell>
          <cell r="BH191">
            <v>1000</v>
          </cell>
          <cell r="BK191">
            <v>2000</v>
          </cell>
          <cell r="BM191">
            <v>1000</v>
          </cell>
          <cell r="BN191">
            <v>1000</v>
          </cell>
          <cell r="BO191">
            <v>2000</v>
          </cell>
          <cell r="BS191">
            <v>1000</v>
          </cell>
          <cell r="EH191" t="str">
            <v>SIN USO</v>
          </cell>
          <cell r="EI191" t="str">
            <v>C</v>
          </cell>
          <cell r="EJ191">
            <v>10000</v>
          </cell>
          <cell r="EK191">
            <v>0</v>
          </cell>
          <cell r="EL191">
            <v>0</v>
          </cell>
        </row>
        <row r="192">
          <cell r="F192">
            <v>393422</v>
          </cell>
          <cell r="G192" t="str">
            <v>ETIQUETA CIRCULAR 9cm TORTA CALUGA</v>
          </cell>
          <cell r="AA192">
            <v>1000</v>
          </cell>
          <cell r="AC192">
            <v>1000</v>
          </cell>
          <cell r="AE192">
            <v>1000</v>
          </cell>
          <cell r="AF192">
            <v>1000</v>
          </cell>
          <cell r="AH192">
            <v>1000</v>
          </cell>
          <cell r="AJ192">
            <v>1000</v>
          </cell>
          <cell r="AK192">
            <v>1000</v>
          </cell>
          <cell r="AL192">
            <v>1000</v>
          </cell>
          <cell r="AM192">
            <v>1000</v>
          </cell>
          <cell r="BO192">
            <v>2000</v>
          </cell>
          <cell r="BQ192">
            <v>1000</v>
          </cell>
          <cell r="BR192">
            <v>1000</v>
          </cell>
          <cell r="BT192">
            <v>2000</v>
          </cell>
          <cell r="BV192">
            <v>1000</v>
          </cell>
          <cell r="BW192">
            <v>1000</v>
          </cell>
          <cell r="CA192">
            <v>2000</v>
          </cell>
          <cell r="CB192">
            <v>1000</v>
          </cell>
          <cell r="CD192">
            <v>1000</v>
          </cell>
          <cell r="CF192">
            <v>2000</v>
          </cell>
          <cell r="CG192">
            <v>1000</v>
          </cell>
          <cell r="CI192">
            <v>2000</v>
          </cell>
          <cell r="CM192">
            <v>1000</v>
          </cell>
          <cell r="CN192">
            <v>1000</v>
          </cell>
          <cell r="CO192">
            <v>1000</v>
          </cell>
          <cell r="CP192">
            <v>1000</v>
          </cell>
          <cell r="CQ192">
            <v>1000</v>
          </cell>
          <cell r="CT192">
            <v>2000</v>
          </cell>
          <cell r="CV192">
            <v>1000</v>
          </cell>
          <cell r="CY192">
            <v>1000</v>
          </cell>
          <cell r="CZ192">
            <v>1000</v>
          </cell>
          <cell r="DB192">
            <v>1000</v>
          </cell>
          <cell r="DC192">
            <v>1000</v>
          </cell>
          <cell r="DE192">
            <v>1000</v>
          </cell>
          <cell r="DG192">
            <v>1000</v>
          </cell>
          <cell r="DJ192">
            <v>1000</v>
          </cell>
          <cell r="DK192">
            <v>2000</v>
          </cell>
          <cell r="DL192">
            <v>1000</v>
          </cell>
          <cell r="DN192">
            <v>1000</v>
          </cell>
          <cell r="DO192">
            <v>1000</v>
          </cell>
          <cell r="DV192">
            <v>1000</v>
          </cell>
          <cell r="DW192">
            <v>1000</v>
          </cell>
          <cell r="DX192">
            <v>1000</v>
          </cell>
          <cell r="DY192">
            <v>2000</v>
          </cell>
          <cell r="EH192" t="str">
            <v>SIN USO</v>
          </cell>
          <cell r="EI192" t="str">
            <v>C</v>
          </cell>
          <cell r="EJ192">
            <v>10000</v>
          </cell>
          <cell r="EK192">
            <v>1222.2222222222222</v>
          </cell>
          <cell r="EL192">
            <v>203.7037037037037</v>
          </cell>
        </row>
        <row r="193">
          <cell r="F193">
            <v>405302</v>
          </cell>
          <cell r="G193" t="str">
            <v>ETIQ. CIRCULAR 9cm IMPR. PIE DE MARACUYÁ ESPECIAL JUMBO</v>
          </cell>
          <cell r="AB193">
            <v>1000</v>
          </cell>
          <cell r="AE193">
            <v>1000</v>
          </cell>
          <cell r="AF193">
            <v>1000</v>
          </cell>
          <cell r="AG193">
            <v>1000</v>
          </cell>
          <cell r="AH193">
            <v>1000</v>
          </cell>
          <cell r="AI193">
            <v>1000</v>
          </cell>
          <cell r="AJ193">
            <v>1000</v>
          </cell>
          <cell r="AK193">
            <v>1000</v>
          </cell>
          <cell r="AL193">
            <v>1000</v>
          </cell>
          <cell r="AM193">
            <v>1000</v>
          </cell>
          <cell r="AN193">
            <v>1000</v>
          </cell>
          <cell r="AQ193">
            <v>1000</v>
          </cell>
          <cell r="AS193">
            <v>1000</v>
          </cell>
          <cell r="AT193">
            <v>1000</v>
          </cell>
          <cell r="AV193">
            <v>1000</v>
          </cell>
          <cell r="AW193">
            <v>1000</v>
          </cell>
          <cell r="AX193">
            <v>1000</v>
          </cell>
          <cell r="BA193">
            <v>2000</v>
          </cell>
          <cell r="BB193">
            <v>1000</v>
          </cell>
          <cell r="BD193">
            <v>1000</v>
          </cell>
          <cell r="BE193">
            <v>1000</v>
          </cell>
          <cell r="BF193">
            <v>1</v>
          </cell>
          <cell r="BG193">
            <v>1999</v>
          </cell>
          <cell r="BH193">
            <v>1000</v>
          </cell>
          <cell r="BJ193">
            <v>1000</v>
          </cell>
          <cell r="BK193">
            <v>2000</v>
          </cell>
          <cell r="BM193">
            <v>3000</v>
          </cell>
          <cell r="BN193">
            <v>1000</v>
          </cell>
          <cell r="BO193">
            <v>2000</v>
          </cell>
          <cell r="BQ193">
            <v>1000</v>
          </cell>
          <cell r="BR193">
            <v>1000</v>
          </cell>
          <cell r="BT193">
            <v>2000</v>
          </cell>
          <cell r="BV193">
            <v>1000</v>
          </cell>
          <cell r="BW193">
            <v>1000</v>
          </cell>
          <cell r="BX193">
            <v>1000</v>
          </cell>
          <cell r="CA193">
            <v>2000</v>
          </cell>
          <cell r="CB193">
            <v>1000</v>
          </cell>
          <cell r="CD193">
            <v>1000</v>
          </cell>
          <cell r="CF193">
            <v>1000</v>
          </cell>
          <cell r="CI193">
            <v>2000</v>
          </cell>
          <cell r="CJ193">
            <v>1000</v>
          </cell>
          <cell r="CL193">
            <v>1000</v>
          </cell>
          <cell r="CM193">
            <v>1000</v>
          </cell>
          <cell r="CN193">
            <v>2000</v>
          </cell>
          <cell r="CO193">
            <v>1000</v>
          </cell>
          <cell r="CP193">
            <v>1000</v>
          </cell>
          <cell r="CT193">
            <v>2000</v>
          </cell>
          <cell r="CV193">
            <v>1000</v>
          </cell>
          <cell r="CW193">
            <v>1000</v>
          </cell>
          <cell r="CY193">
            <v>1000</v>
          </cell>
          <cell r="CZ193">
            <v>1000</v>
          </cell>
          <cell r="DB193">
            <v>1000</v>
          </cell>
          <cell r="DC193">
            <v>1000</v>
          </cell>
          <cell r="DE193">
            <v>1000</v>
          </cell>
          <cell r="DF193">
            <v>1000</v>
          </cell>
          <cell r="DG193">
            <v>1000</v>
          </cell>
          <cell r="DJ193">
            <v>1000</v>
          </cell>
          <cell r="DK193">
            <v>2000</v>
          </cell>
          <cell r="DL193">
            <v>1000</v>
          </cell>
          <cell r="DN193">
            <v>1000</v>
          </cell>
          <cell r="DO193">
            <v>1000</v>
          </cell>
          <cell r="DQ193">
            <v>1000</v>
          </cell>
          <cell r="DR193">
            <v>1000</v>
          </cell>
          <cell r="DS193">
            <v>1000</v>
          </cell>
          <cell r="DT193">
            <v>1000</v>
          </cell>
          <cell r="DU193">
            <v>1000</v>
          </cell>
          <cell r="DW193">
            <v>1000</v>
          </cell>
          <cell r="DX193">
            <v>1000</v>
          </cell>
          <cell r="DY193">
            <v>1000</v>
          </cell>
          <cell r="DZ193">
            <v>1000</v>
          </cell>
          <cell r="EB193">
            <v>2000</v>
          </cell>
          <cell r="ED193">
            <v>2000</v>
          </cell>
          <cell r="EG193">
            <v>1000</v>
          </cell>
          <cell r="EH193" t="str">
            <v>ACTIVO</v>
          </cell>
          <cell r="EI193" t="str">
            <v>C</v>
          </cell>
          <cell r="EJ193">
            <v>10000</v>
          </cell>
          <cell r="EK193">
            <v>1176.4705882352941</v>
          </cell>
          <cell r="EL193">
            <v>196.07843137254903</v>
          </cell>
        </row>
        <row r="194">
          <cell r="F194">
            <v>405301</v>
          </cell>
          <cell r="G194" t="str">
            <v>ETIQ. CIRCULAR 9cm IMPR. PIE DE FRAMBUESA ESPECIAL JUMBO</v>
          </cell>
          <cell r="AB194">
            <v>1000</v>
          </cell>
          <cell r="AE194">
            <v>1000</v>
          </cell>
          <cell r="AF194">
            <v>1000</v>
          </cell>
          <cell r="AG194">
            <v>1000</v>
          </cell>
          <cell r="AH194">
            <v>1000</v>
          </cell>
          <cell r="AI194">
            <v>1000</v>
          </cell>
          <cell r="AJ194">
            <v>1000</v>
          </cell>
          <cell r="AK194">
            <v>2000</v>
          </cell>
          <cell r="AL194">
            <v>1000</v>
          </cell>
          <cell r="AM194">
            <v>1000</v>
          </cell>
          <cell r="AN194">
            <v>1000</v>
          </cell>
          <cell r="AP194">
            <v>1000</v>
          </cell>
          <cell r="AQ194">
            <v>1000</v>
          </cell>
          <cell r="AS194">
            <v>1000</v>
          </cell>
          <cell r="AT194">
            <v>1000</v>
          </cell>
          <cell r="BE194">
            <v>1000</v>
          </cell>
          <cell r="BL194">
            <v>2000</v>
          </cell>
          <cell r="BU194">
            <v>1000</v>
          </cell>
          <cell r="BV194">
            <v>1000</v>
          </cell>
          <cell r="BX194">
            <v>2000</v>
          </cell>
          <cell r="CA194">
            <v>2000</v>
          </cell>
          <cell r="CB194">
            <v>1000</v>
          </cell>
          <cell r="CD194">
            <v>1000</v>
          </cell>
          <cell r="CE194">
            <v>1000</v>
          </cell>
          <cell r="CF194">
            <v>2000</v>
          </cell>
          <cell r="CG194">
            <v>1000</v>
          </cell>
          <cell r="CI194">
            <v>2000</v>
          </cell>
          <cell r="CJ194">
            <v>1000</v>
          </cell>
          <cell r="CL194">
            <v>1000</v>
          </cell>
          <cell r="CM194">
            <v>1000</v>
          </cell>
          <cell r="CN194">
            <v>2000</v>
          </cell>
          <cell r="CO194">
            <v>1000</v>
          </cell>
          <cell r="CP194">
            <v>1000</v>
          </cell>
          <cell r="CQ194">
            <v>1000</v>
          </cell>
          <cell r="CT194">
            <v>2000</v>
          </cell>
          <cell r="CU194">
            <v>2000</v>
          </cell>
          <cell r="CV194">
            <v>1000</v>
          </cell>
          <cell r="CW194">
            <v>1000</v>
          </cell>
          <cell r="CY194">
            <v>1000</v>
          </cell>
          <cell r="CZ194">
            <v>1000</v>
          </cell>
          <cell r="DB194">
            <v>1000</v>
          </cell>
          <cell r="DC194">
            <v>1000</v>
          </cell>
          <cell r="DE194">
            <v>1000</v>
          </cell>
          <cell r="DF194">
            <v>1000</v>
          </cell>
          <cell r="DG194">
            <v>1000</v>
          </cell>
          <cell r="DJ194">
            <v>1000</v>
          </cell>
          <cell r="DK194">
            <v>2000</v>
          </cell>
          <cell r="DL194">
            <v>1000</v>
          </cell>
          <cell r="DM194">
            <v>1000</v>
          </cell>
          <cell r="DN194">
            <v>1000</v>
          </cell>
          <cell r="DO194">
            <v>1000</v>
          </cell>
          <cell r="DQ194">
            <v>1000</v>
          </cell>
          <cell r="DR194">
            <v>1000</v>
          </cell>
          <cell r="DS194">
            <v>1000</v>
          </cell>
          <cell r="DU194">
            <v>1000</v>
          </cell>
          <cell r="DW194">
            <v>1000</v>
          </cell>
          <cell r="DX194">
            <v>1000</v>
          </cell>
          <cell r="DY194">
            <v>1000</v>
          </cell>
          <cell r="DZ194">
            <v>1000</v>
          </cell>
          <cell r="EB194">
            <v>2000</v>
          </cell>
          <cell r="ED194">
            <v>1000</v>
          </cell>
          <cell r="EG194">
            <v>1000</v>
          </cell>
          <cell r="EH194" t="str">
            <v>ACTIVO</v>
          </cell>
          <cell r="EI194" t="str">
            <v>C</v>
          </cell>
          <cell r="EJ194">
            <v>10000</v>
          </cell>
          <cell r="EK194">
            <v>1117.6470588235295</v>
          </cell>
          <cell r="EL194">
            <v>186.27450980392157</v>
          </cell>
        </row>
        <row r="195">
          <cell r="F195">
            <v>405034</v>
          </cell>
          <cell r="G195" t="str">
            <v>ETIQUETAS CIRCULAR 9cm IMPR. TORTA HOJA MANJAR</v>
          </cell>
          <cell r="I195">
            <v>5000</v>
          </cell>
          <cell r="J195">
            <v>5000</v>
          </cell>
          <cell r="L195">
            <v>5000</v>
          </cell>
          <cell r="M195">
            <v>6000</v>
          </cell>
          <cell r="P195">
            <v>5000</v>
          </cell>
          <cell r="R195">
            <v>5000</v>
          </cell>
          <cell r="T195">
            <v>5000</v>
          </cell>
          <cell r="V195">
            <v>5000</v>
          </cell>
          <cell r="W195">
            <v>2000</v>
          </cell>
          <cell r="X195">
            <v>10000</v>
          </cell>
          <cell r="Z195">
            <v>2000</v>
          </cell>
          <cell r="AB195">
            <v>15000</v>
          </cell>
          <cell r="AC195">
            <v>10000</v>
          </cell>
          <cell r="AG195">
            <v>5000</v>
          </cell>
          <cell r="AI195">
            <v>5000</v>
          </cell>
          <cell r="AJ195">
            <v>5000</v>
          </cell>
          <cell r="AK195">
            <v>5000</v>
          </cell>
          <cell r="AL195">
            <v>10000</v>
          </cell>
          <cell r="AP195">
            <v>5000</v>
          </cell>
          <cell r="AQ195">
            <v>7000</v>
          </cell>
          <cell r="AR195">
            <v>5000</v>
          </cell>
          <cell r="AV195">
            <v>5000</v>
          </cell>
          <cell r="AX195">
            <v>7000</v>
          </cell>
          <cell r="AZ195">
            <v>5000</v>
          </cell>
          <cell r="BB195">
            <v>5000</v>
          </cell>
          <cell r="BD195">
            <v>4000</v>
          </cell>
          <cell r="BF195">
            <v>3000</v>
          </cell>
          <cell r="BG195">
            <v>5000</v>
          </cell>
          <cell r="BI195">
            <v>5000</v>
          </cell>
          <cell r="BK195">
            <v>5000</v>
          </cell>
          <cell r="BM195">
            <v>5000</v>
          </cell>
          <cell r="BO195">
            <v>3000</v>
          </cell>
          <cell r="BP195">
            <v>5000</v>
          </cell>
          <cell r="BR195">
            <v>3000</v>
          </cell>
          <cell r="BT195">
            <v>5000</v>
          </cell>
          <cell r="BV195">
            <v>5000</v>
          </cell>
          <cell r="BW195">
            <v>5000</v>
          </cell>
          <cell r="BX195">
            <v>7000</v>
          </cell>
          <cell r="BZ195">
            <v>7000</v>
          </cell>
          <cell r="CC195">
            <v>10000</v>
          </cell>
          <cell r="CD195">
            <v>10000</v>
          </cell>
          <cell r="CK195">
            <v>5000</v>
          </cell>
          <cell r="CM195">
            <v>5000</v>
          </cell>
          <cell r="CO195">
            <v>5000</v>
          </cell>
          <cell r="CQ195">
            <v>5000</v>
          </cell>
          <cell r="CR195">
            <v>5000</v>
          </cell>
          <cell r="CU195">
            <v>5000</v>
          </cell>
          <cell r="CV195">
            <v>5000</v>
          </cell>
          <cell r="CX195">
            <v>5000</v>
          </cell>
          <cell r="CZ195">
            <v>9000</v>
          </cell>
          <cell r="DC195">
            <v>5000</v>
          </cell>
          <cell r="DE195">
            <v>5000</v>
          </cell>
          <cell r="DG195">
            <v>4000</v>
          </cell>
          <cell r="DJ195">
            <v>6000</v>
          </cell>
          <cell r="DK195">
            <v>5000</v>
          </cell>
          <cell r="DN195">
            <v>5000</v>
          </cell>
          <cell r="DO195">
            <v>5000</v>
          </cell>
          <cell r="DR195">
            <v>5000</v>
          </cell>
          <cell r="DT195">
            <v>5000</v>
          </cell>
          <cell r="DV195">
            <v>5000</v>
          </cell>
          <cell r="DY195">
            <v>5000</v>
          </cell>
          <cell r="EA195">
            <v>5000</v>
          </cell>
          <cell r="EB195">
            <v>10000</v>
          </cell>
          <cell r="EF195">
            <v>5000</v>
          </cell>
          <cell r="EG195">
            <v>10000</v>
          </cell>
          <cell r="EH195" t="str">
            <v>ACTIVO</v>
          </cell>
          <cell r="EI195" t="str">
            <v>C</v>
          </cell>
          <cell r="EJ195">
            <v>10000</v>
          </cell>
          <cell r="EK195">
            <v>5916.666666666667</v>
          </cell>
          <cell r="EL195">
            <v>986.1111111111112</v>
          </cell>
        </row>
        <row r="196">
          <cell r="F196">
            <v>405128</v>
          </cell>
          <cell r="G196" t="str">
            <v>ETIQUETA CIRCULAR 9cm TORTA HOJA MANJAR JUMBO</v>
          </cell>
          <cell r="I196">
            <v>3000</v>
          </cell>
          <cell r="J196">
            <v>5000</v>
          </cell>
          <cell r="R196">
            <v>2000</v>
          </cell>
          <cell r="T196">
            <v>3000</v>
          </cell>
          <cell r="X196">
            <v>5000</v>
          </cell>
          <cell r="AB196">
            <v>5000</v>
          </cell>
          <cell r="AC196">
            <v>5000</v>
          </cell>
          <cell r="AE196">
            <v>5000</v>
          </cell>
          <cell r="AL196">
            <v>5000</v>
          </cell>
          <cell r="AQ196">
            <v>1000</v>
          </cell>
          <cell r="AR196">
            <v>5000</v>
          </cell>
          <cell r="AZ196">
            <v>5000</v>
          </cell>
          <cell r="BI196">
            <v>5000</v>
          </cell>
          <cell r="BM196">
            <v>5000</v>
          </cell>
          <cell r="BT196">
            <v>5000</v>
          </cell>
          <cell r="BZ196">
            <v>5000</v>
          </cell>
          <cell r="CD196">
            <v>5000</v>
          </cell>
          <cell r="CI196">
            <v>5000</v>
          </cell>
          <cell r="CT196">
            <v>5000</v>
          </cell>
          <cell r="DA196">
            <v>5000</v>
          </cell>
          <cell r="DG196">
            <v>5000</v>
          </cell>
          <cell r="DO196">
            <v>5000</v>
          </cell>
          <cell r="DR196">
            <v>5000</v>
          </cell>
          <cell r="DZ196">
            <v>14000</v>
          </cell>
          <cell r="EC196">
            <v>5000</v>
          </cell>
          <cell r="EG196">
            <v>5000</v>
          </cell>
          <cell r="EH196" t="str">
            <v>ACTIVO</v>
          </cell>
          <cell r="EI196" t="str">
            <v>C</v>
          </cell>
          <cell r="EJ196">
            <v>10000</v>
          </cell>
          <cell r="EK196">
            <v>6800</v>
          </cell>
          <cell r="EL196">
            <v>1133.3333333333333</v>
          </cell>
        </row>
        <row r="197">
          <cell r="F197">
            <v>405129</v>
          </cell>
          <cell r="G197" t="str">
            <v>ETIQ.CIRCULAR 9cm IMPR. TORTA HOJA PASTELERA JUMBO</v>
          </cell>
          <cell r="H197">
            <v>10000</v>
          </cell>
          <cell r="J197">
            <v>5000</v>
          </cell>
          <cell r="N197">
            <v>2000</v>
          </cell>
          <cell r="O197">
            <v>2000</v>
          </cell>
          <cell r="R197">
            <v>2000</v>
          </cell>
          <cell r="S197">
            <v>2000</v>
          </cell>
          <cell r="T197">
            <v>3000</v>
          </cell>
          <cell r="V197">
            <v>3000</v>
          </cell>
          <cell r="X197">
            <v>5000</v>
          </cell>
          <cell r="Z197">
            <v>4000</v>
          </cell>
          <cell r="AB197">
            <v>5000</v>
          </cell>
          <cell r="AC197">
            <v>5000</v>
          </cell>
          <cell r="AE197">
            <v>5000</v>
          </cell>
          <cell r="AK197">
            <v>5000</v>
          </cell>
          <cell r="AL197">
            <v>5000</v>
          </cell>
          <cell r="AO197">
            <v>1000</v>
          </cell>
          <cell r="AR197">
            <v>5000</v>
          </cell>
          <cell r="AV197">
            <v>10000</v>
          </cell>
          <cell r="AY197">
            <v>1000</v>
          </cell>
          <cell r="BD197">
            <v>5000</v>
          </cell>
          <cell r="BF197">
            <v>3000</v>
          </cell>
          <cell r="BK197">
            <v>2000</v>
          </cell>
          <cell r="BM197">
            <v>5000</v>
          </cell>
          <cell r="BR197">
            <v>3000</v>
          </cell>
          <cell r="BT197">
            <v>5000</v>
          </cell>
          <cell r="BZ197">
            <v>5000</v>
          </cell>
          <cell r="CB197">
            <v>2000</v>
          </cell>
          <cell r="CD197">
            <v>5000</v>
          </cell>
          <cell r="CE197">
            <v>2000</v>
          </cell>
          <cell r="CI197">
            <v>5000</v>
          </cell>
          <cell r="CK197">
            <v>5000</v>
          </cell>
          <cell r="CQ197">
            <v>5000</v>
          </cell>
          <cell r="CT197">
            <v>5000</v>
          </cell>
          <cell r="DA197">
            <v>2000</v>
          </cell>
          <cell r="DC197">
            <v>2000</v>
          </cell>
          <cell r="DD197">
            <v>5000</v>
          </cell>
          <cell r="DE197">
            <v>1000</v>
          </cell>
          <cell r="DP197">
            <v>4000</v>
          </cell>
          <cell r="DR197">
            <v>5000</v>
          </cell>
          <cell r="DX197">
            <v>5000</v>
          </cell>
          <cell r="DZ197">
            <v>10000</v>
          </cell>
          <cell r="EH197" t="str">
            <v>ACTIVO</v>
          </cell>
          <cell r="EI197" t="str">
            <v>C</v>
          </cell>
          <cell r="EJ197">
            <v>10000</v>
          </cell>
          <cell r="EK197">
            <v>6000</v>
          </cell>
          <cell r="EL197">
            <v>1000</v>
          </cell>
        </row>
        <row r="198">
          <cell r="F198">
            <v>405200</v>
          </cell>
          <cell r="G198" t="str">
            <v>ETIQUETA CIRCULAR 9cm IMPR. TORTA 3 LECHES CONGELADA</v>
          </cell>
          <cell r="N198">
            <v>3000</v>
          </cell>
          <cell r="EH198" t="str">
            <v>SIN USO</v>
          </cell>
          <cell r="EI198" t="str">
            <v/>
          </cell>
          <cell r="EJ198">
            <v>10000</v>
          </cell>
          <cell r="EK198">
            <v>0</v>
          </cell>
          <cell r="EL198">
            <v>0</v>
          </cell>
        </row>
        <row r="199">
          <cell r="F199">
            <v>107227</v>
          </cell>
          <cell r="G199" t="str">
            <v>ETIQUETA CIRCULAR 90 IMPRESA TORTA MERENGUE FRAMBUESA ESPECIAL JUMBO</v>
          </cell>
          <cell r="I199">
            <v>1000</v>
          </cell>
          <cell r="K199">
            <v>1000</v>
          </cell>
          <cell r="L199">
            <v>1000</v>
          </cell>
          <cell r="M199">
            <v>1000</v>
          </cell>
          <cell r="N199">
            <v>1000</v>
          </cell>
          <cell r="R199">
            <v>2000</v>
          </cell>
          <cell r="T199">
            <v>1000</v>
          </cell>
          <cell r="U199">
            <v>2000</v>
          </cell>
          <cell r="W199">
            <v>1000</v>
          </cell>
          <cell r="X199">
            <v>3000</v>
          </cell>
          <cell r="AB199">
            <v>3000</v>
          </cell>
          <cell r="AC199">
            <v>1000</v>
          </cell>
          <cell r="AD199">
            <v>2000</v>
          </cell>
          <cell r="AF199">
            <v>1000</v>
          </cell>
          <cell r="AJ199">
            <v>1000</v>
          </cell>
          <cell r="AK199">
            <v>1000</v>
          </cell>
          <cell r="AO199">
            <v>2000</v>
          </cell>
          <cell r="BB199">
            <v>1000</v>
          </cell>
          <cell r="BC199">
            <v>4000</v>
          </cell>
          <cell r="BD199">
            <v>6000</v>
          </cell>
          <cell r="BF199">
            <v>4000</v>
          </cell>
          <cell r="BK199">
            <v>5000</v>
          </cell>
          <cell r="BL199">
            <v>1000</v>
          </cell>
          <cell r="BM199">
            <v>2000</v>
          </cell>
          <cell r="BO199">
            <v>1000</v>
          </cell>
          <cell r="BQ199">
            <v>4000</v>
          </cell>
          <cell r="BR199">
            <v>2000</v>
          </cell>
          <cell r="BT199">
            <v>1000</v>
          </cell>
          <cell r="BU199">
            <v>1000</v>
          </cell>
          <cell r="BV199">
            <v>3000</v>
          </cell>
          <cell r="BW199">
            <v>3000</v>
          </cell>
          <cell r="BX199">
            <v>1000</v>
          </cell>
          <cell r="CA199">
            <v>6000</v>
          </cell>
          <cell r="CD199">
            <v>2000</v>
          </cell>
          <cell r="CG199">
            <v>1000</v>
          </cell>
          <cell r="CI199">
            <v>2000</v>
          </cell>
          <cell r="CJ199">
            <v>1000</v>
          </cell>
          <cell r="CL199">
            <v>1000</v>
          </cell>
          <cell r="CQ199">
            <v>2000</v>
          </cell>
          <cell r="CT199">
            <v>1000</v>
          </cell>
          <cell r="CU199">
            <v>2000</v>
          </cell>
          <cell r="CV199">
            <v>2000</v>
          </cell>
          <cell r="CW199">
            <v>2000</v>
          </cell>
          <cell r="CY199">
            <v>3000</v>
          </cell>
          <cell r="CZ199">
            <v>2000</v>
          </cell>
          <cell r="DB199">
            <v>4000</v>
          </cell>
          <cell r="DC199">
            <v>1000</v>
          </cell>
          <cell r="DD199">
            <v>1000</v>
          </cell>
          <cell r="DE199">
            <v>4000</v>
          </cell>
          <cell r="DF199">
            <v>5000</v>
          </cell>
          <cell r="DG199">
            <v>3000</v>
          </cell>
          <cell r="DJ199">
            <v>2000</v>
          </cell>
          <cell r="DK199">
            <v>7000</v>
          </cell>
          <cell r="DL199">
            <v>1000</v>
          </cell>
          <cell r="DO199">
            <v>2000</v>
          </cell>
          <cell r="DQ199">
            <v>2000</v>
          </cell>
          <cell r="DS199">
            <v>1000</v>
          </cell>
          <cell r="DT199">
            <v>3000</v>
          </cell>
          <cell r="DU199">
            <v>2000</v>
          </cell>
          <cell r="DV199">
            <v>2000</v>
          </cell>
          <cell r="DW199">
            <v>2000</v>
          </cell>
          <cell r="DX199">
            <v>2000</v>
          </cell>
          <cell r="DY199">
            <v>2000</v>
          </cell>
          <cell r="EB199">
            <v>3000</v>
          </cell>
          <cell r="EC199">
            <v>2000</v>
          </cell>
          <cell r="ED199">
            <v>1000</v>
          </cell>
          <cell r="EF199">
            <v>1000</v>
          </cell>
          <cell r="EG199">
            <v>2000</v>
          </cell>
          <cell r="EH199" t="str">
            <v>ACTIVO</v>
          </cell>
          <cell r="EI199" t="str">
            <v>C</v>
          </cell>
          <cell r="EJ199">
            <v>10000</v>
          </cell>
          <cell r="EK199">
            <v>2176.4705882352941</v>
          </cell>
          <cell r="EL199">
            <v>362.74509803921569</v>
          </cell>
        </row>
        <row r="200">
          <cell r="F200">
            <v>107228</v>
          </cell>
          <cell r="G200" t="str">
            <v>ETIQUETA CIRCULAR 90 IMPRESA TORTA MERENGUE LÚCUMA ESPECIAL JUMBO</v>
          </cell>
          <cell r="H200">
            <v>1000</v>
          </cell>
          <cell r="K200">
            <v>2000</v>
          </cell>
          <cell r="L200">
            <v>1000</v>
          </cell>
          <cell r="M200">
            <v>1000</v>
          </cell>
          <cell r="N200">
            <v>2000</v>
          </cell>
          <cell r="R200">
            <v>5000</v>
          </cell>
          <cell r="W200">
            <v>1000</v>
          </cell>
          <cell r="X200">
            <v>2000</v>
          </cell>
          <cell r="AA200">
            <v>2000</v>
          </cell>
          <cell r="AE200">
            <v>1000</v>
          </cell>
          <cell r="AK200">
            <v>2000</v>
          </cell>
          <cell r="AN200">
            <v>1000</v>
          </cell>
          <cell r="AO200">
            <v>4000</v>
          </cell>
          <cell r="AU200">
            <v>1000</v>
          </cell>
          <cell r="AV200">
            <v>2000</v>
          </cell>
          <cell r="AZ200">
            <v>1000</v>
          </cell>
          <cell r="BA200">
            <v>1000</v>
          </cell>
          <cell r="BB200">
            <v>5000</v>
          </cell>
          <cell r="BC200">
            <v>2000</v>
          </cell>
          <cell r="BE200">
            <v>4000</v>
          </cell>
          <cell r="BJ200">
            <v>2000</v>
          </cell>
          <cell r="BK200">
            <v>1000</v>
          </cell>
          <cell r="BN200">
            <v>1000</v>
          </cell>
          <cell r="BO200">
            <v>1000</v>
          </cell>
          <cell r="BR200">
            <v>1000</v>
          </cell>
          <cell r="BT200">
            <v>1000</v>
          </cell>
          <cell r="BU200">
            <v>1000</v>
          </cell>
          <cell r="BV200">
            <v>2000</v>
          </cell>
          <cell r="BW200">
            <v>2000</v>
          </cell>
          <cell r="BX200">
            <v>2000</v>
          </cell>
          <cell r="CA200">
            <v>3000</v>
          </cell>
          <cell r="CD200">
            <v>2000</v>
          </cell>
          <cell r="CF200">
            <v>1000</v>
          </cell>
          <cell r="CG200">
            <v>1000</v>
          </cell>
          <cell r="CI200">
            <v>1000</v>
          </cell>
          <cell r="CJ200">
            <v>1000</v>
          </cell>
          <cell r="CL200">
            <v>1000</v>
          </cell>
          <cell r="CN200">
            <v>2000</v>
          </cell>
          <cell r="CO200">
            <v>1000</v>
          </cell>
          <cell r="CP200">
            <v>1000</v>
          </cell>
          <cell r="CQ200">
            <v>1000</v>
          </cell>
          <cell r="CT200">
            <v>2000</v>
          </cell>
          <cell r="CU200">
            <v>1000</v>
          </cell>
          <cell r="CV200">
            <v>1000</v>
          </cell>
          <cell r="CW200">
            <v>1000</v>
          </cell>
          <cell r="CY200">
            <v>2000</v>
          </cell>
          <cell r="CZ200">
            <v>2000</v>
          </cell>
          <cell r="DB200">
            <v>1000</v>
          </cell>
          <cell r="DC200">
            <v>1000</v>
          </cell>
          <cell r="DE200">
            <v>3000</v>
          </cell>
          <cell r="DF200">
            <v>1000</v>
          </cell>
          <cell r="DG200">
            <v>1000</v>
          </cell>
          <cell r="DJ200">
            <v>1000</v>
          </cell>
          <cell r="DK200">
            <v>4000</v>
          </cell>
          <cell r="DL200">
            <v>1000</v>
          </cell>
          <cell r="DO200">
            <v>1000</v>
          </cell>
          <cell r="DQ200">
            <v>1000</v>
          </cell>
          <cell r="DT200">
            <v>2000</v>
          </cell>
          <cell r="DU200">
            <v>2000</v>
          </cell>
          <cell r="DV200">
            <v>2000</v>
          </cell>
          <cell r="DW200">
            <v>2000</v>
          </cell>
          <cell r="DX200">
            <v>2000</v>
          </cell>
          <cell r="EB200">
            <v>2000</v>
          </cell>
          <cell r="EF200">
            <v>1000</v>
          </cell>
          <cell r="EG200">
            <v>1000</v>
          </cell>
          <cell r="EH200" t="str">
            <v>ACTIVO</v>
          </cell>
          <cell r="EI200" t="str">
            <v>C</v>
          </cell>
          <cell r="EJ200">
            <v>10000</v>
          </cell>
          <cell r="EK200">
            <v>1692.3076923076924</v>
          </cell>
          <cell r="EL200">
            <v>282.05128205128204</v>
          </cell>
        </row>
        <row r="201">
          <cell r="F201">
            <v>405124</v>
          </cell>
          <cell r="G201" t="str">
            <v>ETIQUETAS CIRCULAR 9cm IMPR. TORTA BEATRIZ JUMBO</v>
          </cell>
          <cell r="I201">
            <v>4000</v>
          </cell>
          <cell r="J201">
            <v>4000</v>
          </cell>
          <cell r="K201">
            <v>3000</v>
          </cell>
          <cell r="M201">
            <v>4000</v>
          </cell>
          <cell r="O201">
            <v>6000</v>
          </cell>
          <cell r="P201">
            <v>3000</v>
          </cell>
          <cell r="Q201">
            <v>3000</v>
          </cell>
          <cell r="S201">
            <v>4000</v>
          </cell>
          <cell r="T201">
            <v>3000</v>
          </cell>
          <cell r="U201">
            <v>3000</v>
          </cell>
          <cell r="V201">
            <v>3000</v>
          </cell>
          <cell r="W201">
            <v>3000</v>
          </cell>
          <cell r="X201">
            <v>4000</v>
          </cell>
          <cell r="Y201">
            <v>1000</v>
          </cell>
          <cell r="Z201">
            <v>8000</v>
          </cell>
          <cell r="AA201">
            <v>8000</v>
          </cell>
          <cell r="AB201">
            <v>11000</v>
          </cell>
          <cell r="AE201">
            <v>10000</v>
          </cell>
          <cell r="AG201">
            <v>5000</v>
          </cell>
          <cell r="AI201">
            <v>5000</v>
          </cell>
          <cell r="AJ201">
            <v>8000</v>
          </cell>
          <cell r="AK201">
            <v>2000</v>
          </cell>
          <cell r="AL201">
            <v>6000</v>
          </cell>
          <cell r="AM201">
            <v>3000</v>
          </cell>
          <cell r="AQ201">
            <v>3000</v>
          </cell>
          <cell r="AS201">
            <v>3000</v>
          </cell>
          <cell r="AT201">
            <v>3000</v>
          </cell>
          <cell r="AV201">
            <v>4000</v>
          </cell>
          <cell r="AW201">
            <v>3000</v>
          </cell>
          <cell r="AX201">
            <v>6000</v>
          </cell>
          <cell r="AY201">
            <v>1000</v>
          </cell>
          <cell r="BA201">
            <v>6000</v>
          </cell>
          <cell r="BB201">
            <v>3000</v>
          </cell>
          <cell r="BD201">
            <v>3000</v>
          </cell>
          <cell r="BE201">
            <v>3000</v>
          </cell>
          <cell r="BF201">
            <v>3</v>
          </cell>
          <cell r="BG201">
            <v>8997</v>
          </cell>
          <cell r="BH201">
            <v>3000</v>
          </cell>
          <cell r="BJ201">
            <v>1000</v>
          </cell>
          <cell r="BK201">
            <v>6000</v>
          </cell>
          <cell r="BM201">
            <v>3000</v>
          </cell>
          <cell r="BN201">
            <v>3000</v>
          </cell>
          <cell r="BO201">
            <v>6000</v>
          </cell>
          <cell r="BQ201">
            <v>3000</v>
          </cell>
          <cell r="BR201">
            <v>3000</v>
          </cell>
          <cell r="BS201">
            <v>1000</v>
          </cell>
          <cell r="BT201">
            <v>6000</v>
          </cell>
          <cell r="BV201">
            <v>3000</v>
          </cell>
          <cell r="BW201">
            <v>4000</v>
          </cell>
          <cell r="BX201">
            <v>3000</v>
          </cell>
          <cell r="BY201">
            <v>9000</v>
          </cell>
          <cell r="CA201">
            <v>6000</v>
          </cell>
          <cell r="CB201">
            <v>3000</v>
          </cell>
          <cell r="CD201">
            <v>3000</v>
          </cell>
          <cell r="CE201">
            <v>6000</v>
          </cell>
          <cell r="CF201">
            <v>6000</v>
          </cell>
          <cell r="CG201">
            <v>3000</v>
          </cell>
          <cell r="CI201">
            <v>7000</v>
          </cell>
          <cell r="CJ201">
            <v>4000</v>
          </cell>
          <cell r="CL201">
            <v>3000</v>
          </cell>
          <cell r="CM201">
            <v>3000</v>
          </cell>
          <cell r="CN201">
            <v>6000</v>
          </cell>
          <cell r="CO201">
            <v>3000</v>
          </cell>
          <cell r="CP201">
            <v>3000</v>
          </cell>
          <cell r="CR201">
            <v>2000</v>
          </cell>
          <cell r="CT201">
            <v>6000</v>
          </cell>
          <cell r="CU201">
            <v>4000</v>
          </cell>
          <cell r="CV201">
            <v>4000</v>
          </cell>
          <cell r="CW201">
            <v>2000</v>
          </cell>
          <cell r="CX201">
            <v>4000</v>
          </cell>
          <cell r="CY201">
            <v>4000</v>
          </cell>
          <cell r="CZ201">
            <v>3000</v>
          </cell>
          <cell r="DB201">
            <v>3000</v>
          </cell>
          <cell r="DC201">
            <v>3000</v>
          </cell>
          <cell r="DE201">
            <v>5000</v>
          </cell>
          <cell r="DF201">
            <v>3000</v>
          </cell>
          <cell r="DG201">
            <v>5000</v>
          </cell>
          <cell r="DJ201">
            <v>3000</v>
          </cell>
          <cell r="DK201">
            <v>6000</v>
          </cell>
          <cell r="DL201">
            <v>3000</v>
          </cell>
          <cell r="DN201">
            <v>3000</v>
          </cell>
          <cell r="DO201">
            <v>4000</v>
          </cell>
          <cell r="DP201">
            <v>3000</v>
          </cell>
          <cell r="DQ201">
            <v>3000</v>
          </cell>
          <cell r="DR201">
            <v>3000</v>
          </cell>
          <cell r="DS201">
            <v>3000</v>
          </cell>
          <cell r="DT201">
            <v>6000</v>
          </cell>
          <cell r="DU201">
            <v>3000</v>
          </cell>
          <cell r="DV201">
            <v>3000</v>
          </cell>
          <cell r="DW201">
            <v>3000</v>
          </cell>
          <cell r="DX201">
            <v>3000</v>
          </cell>
          <cell r="DY201">
            <v>7000</v>
          </cell>
          <cell r="DZ201">
            <v>7000</v>
          </cell>
          <cell r="EB201">
            <v>6000</v>
          </cell>
          <cell r="EC201">
            <v>3000</v>
          </cell>
          <cell r="ED201">
            <v>3000</v>
          </cell>
          <cell r="EE201">
            <v>3000</v>
          </cell>
          <cell r="EF201">
            <v>6000</v>
          </cell>
          <cell r="EG201">
            <v>2000</v>
          </cell>
          <cell r="EH201" t="str">
            <v>ACTIVO</v>
          </cell>
          <cell r="EI201" t="str">
            <v>C</v>
          </cell>
          <cell r="EJ201">
            <v>10000</v>
          </cell>
          <cell r="EK201">
            <v>3909.090909090909</v>
          </cell>
          <cell r="EL201">
            <v>651.5151515151515</v>
          </cell>
        </row>
        <row r="202">
          <cell r="F202">
            <v>405207</v>
          </cell>
          <cell r="G202" t="str">
            <v>ETIQ.CIRCULAR 9cm IMPR. TORTA SAN JORGE CHOCOLATE ARTESANAL JUMBO</v>
          </cell>
          <cell r="O202">
            <v>1000</v>
          </cell>
          <cell r="P202">
            <v>2000</v>
          </cell>
          <cell r="Q202">
            <v>2000</v>
          </cell>
          <cell r="T202">
            <v>1000</v>
          </cell>
          <cell r="U202">
            <v>1000</v>
          </cell>
          <cell r="V202">
            <v>1000</v>
          </cell>
          <cell r="W202">
            <v>1000</v>
          </cell>
          <cell r="X202">
            <v>1000</v>
          </cell>
          <cell r="AA202">
            <v>1000</v>
          </cell>
          <cell r="AB202">
            <v>2000</v>
          </cell>
          <cell r="AC202">
            <v>1000</v>
          </cell>
          <cell r="AE202">
            <v>1000</v>
          </cell>
          <cell r="AG202">
            <v>1000</v>
          </cell>
          <cell r="AH202">
            <v>1000</v>
          </cell>
          <cell r="AI202">
            <v>2000</v>
          </cell>
          <cell r="AJ202">
            <v>2000</v>
          </cell>
          <cell r="AK202">
            <v>2000</v>
          </cell>
          <cell r="AL202">
            <v>2000</v>
          </cell>
          <cell r="AM202">
            <v>2000</v>
          </cell>
          <cell r="AN202">
            <v>2000</v>
          </cell>
          <cell r="AQ202">
            <v>2000</v>
          </cell>
          <cell r="AS202">
            <v>2000</v>
          </cell>
          <cell r="AT202">
            <v>2000</v>
          </cell>
          <cell r="AV202">
            <v>2000</v>
          </cell>
          <cell r="AW202">
            <v>2000</v>
          </cell>
          <cell r="AX202">
            <v>2000</v>
          </cell>
          <cell r="AY202">
            <v>2000</v>
          </cell>
          <cell r="BA202">
            <v>4000</v>
          </cell>
          <cell r="BD202">
            <v>2000</v>
          </cell>
          <cell r="BE202">
            <v>2000</v>
          </cell>
          <cell r="BF202">
            <v>2</v>
          </cell>
          <cell r="BG202">
            <v>3998</v>
          </cell>
          <cell r="BH202">
            <v>2000</v>
          </cell>
          <cell r="BK202">
            <v>4000</v>
          </cell>
          <cell r="BM202">
            <v>3000</v>
          </cell>
          <cell r="BN202">
            <v>2000</v>
          </cell>
          <cell r="BO202">
            <v>3000</v>
          </cell>
          <cell r="BQ202">
            <v>1000</v>
          </cell>
          <cell r="BR202">
            <v>2000</v>
          </cell>
          <cell r="BT202">
            <v>4000</v>
          </cell>
          <cell r="BV202">
            <v>2000</v>
          </cell>
          <cell r="BW202">
            <v>3000</v>
          </cell>
          <cell r="BX202">
            <v>2000</v>
          </cell>
          <cell r="BY202">
            <v>2000</v>
          </cell>
          <cell r="CA202">
            <v>4000</v>
          </cell>
          <cell r="CB202">
            <v>2000</v>
          </cell>
          <cell r="CD202">
            <v>2000</v>
          </cell>
          <cell r="CE202">
            <v>2000</v>
          </cell>
          <cell r="CF202">
            <v>4000</v>
          </cell>
          <cell r="CG202">
            <v>2000</v>
          </cell>
          <cell r="CI202">
            <v>4000</v>
          </cell>
          <cell r="CJ202">
            <v>2000</v>
          </cell>
          <cell r="CL202">
            <v>2000</v>
          </cell>
          <cell r="CM202">
            <v>2000</v>
          </cell>
          <cell r="CN202">
            <v>4000</v>
          </cell>
          <cell r="CO202">
            <v>1000</v>
          </cell>
          <cell r="CP202">
            <v>1000</v>
          </cell>
          <cell r="CT202">
            <v>2000</v>
          </cell>
          <cell r="CU202">
            <v>1000</v>
          </cell>
          <cell r="CV202">
            <v>1000</v>
          </cell>
          <cell r="CW202">
            <v>1000</v>
          </cell>
          <cell r="CY202">
            <v>1000</v>
          </cell>
          <cell r="CZ202">
            <v>1000</v>
          </cell>
          <cell r="DB202">
            <v>1000</v>
          </cell>
          <cell r="DC202">
            <v>1000</v>
          </cell>
          <cell r="DE202">
            <v>1000</v>
          </cell>
          <cell r="DF202">
            <v>1000</v>
          </cell>
          <cell r="DG202">
            <v>1000</v>
          </cell>
          <cell r="DJ202">
            <v>1000</v>
          </cell>
          <cell r="DK202">
            <v>2000</v>
          </cell>
          <cell r="DL202">
            <v>1000</v>
          </cell>
          <cell r="DM202">
            <v>1000</v>
          </cell>
          <cell r="DN202">
            <v>1000</v>
          </cell>
          <cell r="DO202">
            <v>1000</v>
          </cell>
          <cell r="DQ202">
            <v>1000</v>
          </cell>
          <cell r="DR202">
            <v>1000</v>
          </cell>
          <cell r="DS202">
            <v>1000</v>
          </cell>
          <cell r="DT202">
            <v>1000</v>
          </cell>
          <cell r="DU202">
            <v>1000</v>
          </cell>
          <cell r="DV202">
            <v>1000</v>
          </cell>
          <cell r="DW202">
            <v>1000</v>
          </cell>
          <cell r="DX202">
            <v>1000</v>
          </cell>
          <cell r="DY202">
            <v>2000</v>
          </cell>
          <cell r="EB202">
            <v>2000</v>
          </cell>
          <cell r="ED202">
            <v>1000</v>
          </cell>
          <cell r="EE202">
            <v>1000</v>
          </cell>
          <cell r="EF202">
            <v>2000</v>
          </cell>
          <cell r="EG202">
            <v>1000</v>
          </cell>
          <cell r="EH202" t="str">
            <v>ACTIVO</v>
          </cell>
          <cell r="EI202" t="str">
            <v>C</v>
          </cell>
          <cell r="EJ202">
            <v>10000</v>
          </cell>
          <cell r="EK202">
            <v>1200</v>
          </cell>
          <cell r="EL202">
            <v>200</v>
          </cell>
        </row>
        <row r="203">
          <cell r="F203">
            <v>405310</v>
          </cell>
          <cell r="G203" t="str">
            <v>ETIQUETA OPP TRANSPARENTE 22X32 CRISME</v>
          </cell>
          <cell r="AL203">
            <v>10000</v>
          </cell>
          <cell r="BD203">
            <v>10000</v>
          </cell>
          <cell r="BG203">
            <v>15000</v>
          </cell>
          <cell r="BH203">
            <v>20000</v>
          </cell>
          <cell r="BM203">
            <v>5000</v>
          </cell>
          <cell r="CW203">
            <v>5000</v>
          </cell>
          <cell r="CZ203">
            <v>1000</v>
          </cell>
          <cell r="DA203">
            <v>2000</v>
          </cell>
          <cell r="DB203">
            <v>1000</v>
          </cell>
          <cell r="DC203">
            <v>1000</v>
          </cell>
          <cell r="DD203">
            <v>1000</v>
          </cell>
          <cell r="DG203">
            <v>1000</v>
          </cell>
          <cell r="DJ203">
            <v>1000</v>
          </cell>
          <cell r="DK203">
            <v>2000</v>
          </cell>
          <cell r="DL203">
            <v>1000</v>
          </cell>
          <cell r="DM203">
            <v>1000</v>
          </cell>
          <cell r="DN203">
            <v>1000</v>
          </cell>
          <cell r="DO203">
            <v>1000</v>
          </cell>
          <cell r="EE203">
            <v>10000</v>
          </cell>
          <cell r="EH203" t="str">
            <v>SIN USO</v>
          </cell>
          <cell r="EI203" t="str">
            <v>C</v>
          </cell>
          <cell r="EJ203">
            <v>10000</v>
          </cell>
          <cell r="EK203">
            <v>2428.5714285714284</v>
          </cell>
          <cell r="EL203">
            <v>404.76190476190476</v>
          </cell>
        </row>
        <row r="204">
          <cell r="F204">
            <v>107266</v>
          </cell>
          <cell r="G204" t="str">
            <v>ETIQUETA CIRCULAR OPCIÓN VEGANA CRISME</v>
          </cell>
          <cell r="Q204">
            <v>7000</v>
          </cell>
          <cell r="U204">
            <v>8000</v>
          </cell>
          <cell r="AG204">
            <v>3000</v>
          </cell>
          <cell r="AI204">
            <v>3000</v>
          </cell>
          <cell r="AQ204">
            <v>6000</v>
          </cell>
          <cell r="AY204">
            <v>3000</v>
          </cell>
          <cell r="AZ204">
            <v>1000</v>
          </cell>
          <cell r="BL204">
            <v>3000</v>
          </cell>
          <cell r="BO204">
            <v>6000</v>
          </cell>
          <cell r="BY204">
            <v>3000</v>
          </cell>
          <cell r="CK204">
            <v>4000</v>
          </cell>
          <cell r="CW204">
            <v>3000</v>
          </cell>
          <cell r="DO204">
            <v>3000</v>
          </cell>
          <cell r="DQ204">
            <v>3000</v>
          </cell>
          <cell r="EG204">
            <v>3000</v>
          </cell>
          <cell r="EH204" t="str">
            <v>ACTIVO</v>
          </cell>
          <cell r="EI204" t="str">
            <v>C</v>
          </cell>
          <cell r="EJ204">
            <v>3000</v>
          </cell>
          <cell r="EK204">
            <v>3000</v>
          </cell>
          <cell r="EL204">
            <v>500</v>
          </cell>
        </row>
        <row r="205">
          <cell r="F205">
            <v>405352</v>
          </cell>
          <cell r="G205" t="str">
            <v>ETIQ. CIRCULAR 90cm IMPR. TORTA CUSINE &amp; CO SISA CONFETTI</v>
          </cell>
          <cell r="AL205">
            <v>1000</v>
          </cell>
          <cell r="AM205">
            <v>2000</v>
          </cell>
          <cell r="BN205">
            <v>1000</v>
          </cell>
          <cell r="EH205" t="str">
            <v>SIN USO</v>
          </cell>
          <cell r="EI205" t="str">
            <v>C</v>
          </cell>
          <cell r="EJ205">
            <v>10000</v>
          </cell>
          <cell r="EK205">
            <v>0</v>
          </cell>
          <cell r="EL205">
            <v>0</v>
          </cell>
        </row>
        <row r="206">
          <cell r="F206">
            <v>405359</v>
          </cell>
          <cell r="G206" t="str">
            <v>ETIQ. CIRCULAR 90cm IMPR. TORTA CUSINE &amp; CO SISA TORTA CARAMEL</v>
          </cell>
          <cell r="AO206">
            <v>1000</v>
          </cell>
          <cell r="AP206">
            <v>1000</v>
          </cell>
          <cell r="AQ206">
            <v>2000</v>
          </cell>
          <cell r="AR206">
            <v>1000</v>
          </cell>
          <cell r="AS206">
            <v>1000</v>
          </cell>
          <cell r="AV206">
            <v>1000</v>
          </cell>
          <cell r="AX206">
            <v>1000</v>
          </cell>
          <cell r="AY206">
            <v>2000</v>
          </cell>
          <cell r="BB206">
            <v>2000</v>
          </cell>
          <cell r="BC206">
            <v>1000</v>
          </cell>
          <cell r="BD206">
            <v>1000</v>
          </cell>
          <cell r="BG206">
            <v>1000</v>
          </cell>
          <cell r="BI206">
            <v>1000</v>
          </cell>
          <cell r="BJ206">
            <v>1000</v>
          </cell>
          <cell r="BK206">
            <v>1000</v>
          </cell>
          <cell r="BL206">
            <v>1000</v>
          </cell>
          <cell r="BM206">
            <v>1000</v>
          </cell>
          <cell r="BO206">
            <v>5000</v>
          </cell>
          <cell r="BQ206">
            <v>3000</v>
          </cell>
          <cell r="BR206">
            <v>2000</v>
          </cell>
          <cell r="BS206">
            <v>1000</v>
          </cell>
          <cell r="BT206">
            <v>5000</v>
          </cell>
          <cell r="BV206">
            <v>2000</v>
          </cell>
          <cell r="BW206">
            <v>3000</v>
          </cell>
          <cell r="BX206">
            <v>5000</v>
          </cell>
          <cell r="CA206">
            <v>2000</v>
          </cell>
          <cell r="CD206">
            <v>1000</v>
          </cell>
          <cell r="CE206">
            <v>2000</v>
          </cell>
          <cell r="CF206">
            <v>4000</v>
          </cell>
          <cell r="CG206">
            <v>1000</v>
          </cell>
          <cell r="CH206">
            <v>2000</v>
          </cell>
          <cell r="CI206">
            <v>3000</v>
          </cell>
          <cell r="CJ206">
            <v>2000</v>
          </cell>
          <cell r="CL206">
            <v>2000</v>
          </cell>
          <cell r="CM206">
            <v>1000</v>
          </cell>
          <cell r="CN206">
            <v>4000</v>
          </cell>
          <cell r="CO206">
            <v>2000</v>
          </cell>
          <cell r="CP206">
            <v>2000</v>
          </cell>
          <cell r="EH206" t="str">
            <v>SIN USO</v>
          </cell>
          <cell r="EI206" t="str">
            <v>C</v>
          </cell>
          <cell r="EJ206">
            <v>10000</v>
          </cell>
          <cell r="EK206">
            <v>0</v>
          </cell>
          <cell r="EL206">
            <v>0</v>
          </cell>
        </row>
        <row r="207">
          <cell r="F207">
            <v>405358</v>
          </cell>
          <cell r="G207" t="str">
            <v>ETIQ. CIRCULAR 90cm IMPR. JUMBO TARTA FRUTA MIXTA SURTIDA</v>
          </cell>
          <cell r="AP207">
            <v>1000</v>
          </cell>
          <cell r="AR207">
            <v>1000</v>
          </cell>
          <cell r="AS207">
            <v>1000</v>
          </cell>
          <cell r="AT207">
            <v>1000</v>
          </cell>
          <cell r="AU207">
            <v>1000</v>
          </cell>
          <cell r="AV207">
            <v>1000</v>
          </cell>
          <cell r="AW207">
            <v>2000</v>
          </cell>
          <cell r="AX207">
            <v>2000</v>
          </cell>
          <cell r="AY207">
            <v>2000</v>
          </cell>
          <cell r="BA207">
            <v>2000</v>
          </cell>
          <cell r="BB207">
            <v>3000</v>
          </cell>
          <cell r="BD207">
            <v>2000</v>
          </cell>
          <cell r="BE207">
            <v>1000</v>
          </cell>
          <cell r="BF207">
            <v>1001</v>
          </cell>
          <cell r="BG207">
            <v>3999</v>
          </cell>
          <cell r="BH207">
            <v>1000</v>
          </cell>
          <cell r="BK207">
            <v>3000</v>
          </cell>
          <cell r="BL207">
            <v>1000</v>
          </cell>
          <cell r="BM207">
            <v>1001</v>
          </cell>
          <cell r="BN207">
            <v>1000</v>
          </cell>
          <cell r="BO207">
            <v>6000</v>
          </cell>
          <cell r="BQ207">
            <v>3000</v>
          </cell>
          <cell r="BR207">
            <v>2000</v>
          </cell>
          <cell r="BT207">
            <v>4000</v>
          </cell>
          <cell r="BU207">
            <v>1000</v>
          </cell>
          <cell r="BV207">
            <v>2000</v>
          </cell>
          <cell r="BW207">
            <v>2000</v>
          </cell>
          <cell r="BX207">
            <v>3000</v>
          </cell>
          <cell r="CA207">
            <v>4000</v>
          </cell>
          <cell r="CB207">
            <v>2000</v>
          </cell>
          <cell r="CD207">
            <v>2000</v>
          </cell>
          <cell r="CF207">
            <v>2000</v>
          </cell>
          <cell r="CI207">
            <v>2000</v>
          </cell>
          <cell r="CJ207">
            <v>1000</v>
          </cell>
          <cell r="CL207">
            <v>1000</v>
          </cell>
          <cell r="CM207">
            <v>1000</v>
          </cell>
          <cell r="CN207">
            <v>3000</v>
          </cell>
          <cell r="CO207">
            <v>1000</v>
          </cell>
          <cell r="CP207">
            <v>2000</v>
          </cell>
          <cell r="CQ207">
            <v>1000</v>
          </cell>
          <cell r="CR207">
            <v>1000</v>
          </cell>
          <cell r="CT207">
            <v>2000</v>
          </cell>
          <cell r="CU207">
            <v>4000</v>
          </cell>
          <cell r="CV207">
            <v>2000</v>
          </cell>
          <cell r="CW207">
            <v>1000</v>
          </cell>
          <cell r="CX207">
            <v>2000</v>
          </cell>
          <cell r="CY207">
            <v>1000</v>
          </cell>
          <cell r="CZ207">
            <v>2000</v>
          </cell>
          <cell r="DA207">
            <v>1000</v>
          </cell>
          <cell r="DB207">
            <v>2000</v>
          </cell>
          <cell r="DC207">
            <v>2000</v>
          </cell>
          <cell r="DE207">
            <v>3000</v>
          </cell>
          <cell r="DF207">
            <v>2000</v>
          </cell>
          <cell r="DG207">
            <v>2000</v>
          </cell>
          <cell r="DJ207">
            <v>2000</v>
          </cell>
          <cell r="DK207">
            <v>4000</v>
          </cell>
          <cell r="DL207">
            <v>2000</v>
          </cell>
          <cell r="DN207">
            <v>2000</v>
          </cell>
          <cell r="DO207">
            <v>2000</v>
          </cell>
          <cell r="DQ207">
            <v>2000</v>
          </cell>
          <cell r="DR207">
            <v>2000</v>
          </cell>
          <cell r="DS207">
            <v>2000</v>
          </cell>
          <cell r="DT207">
            <v>2000</v>
          </cell>
          <cell r="DU207">
            <v>2000</v>
          </cell>
          <cell r="DV207">
            <v>2000</v>
          </cell>
          <cell r="DW207">
            <v>2000</v>
          </cell>
          <cell r="DX207">
            <v>2000</v>
          </cell>
          <cell r="DY207">
            <v>3000</v>
          </cell>
          <cell r="DZ207">
            <v>1000</v>
          </cell>
          <cell r="EB207">
            <v>4000</v>
          </cell>
          <cell r="EC207">
            <v>2000</v>
          </cell>
          <cell r="ED207">
            <v>2000</v>
          </cell>
          <cell r="EE207">
            <v>2000</v>
          </cell>
          <cell r="EF207">
            <v>2000</v>
          </cell>
          <cell r="EG207">
            <v>2000</v>
          </cell>
          <cell r="EH207" t="str">
            <v>ACTIVO</v>
          </cell>
          <cell r="EI207" t="str">
            <v>C</v>
          </cell>
          <cell r="EJ207">
            <v>10000</v>
          </cell>
          <cell r="EK207">
            <v>2190.4761904761904</v>
          </cell>
          <cell r="EL207">
            <v>365.07936507936506</v>
          </cell>
        </row>
        <row r="208">
          <cell r="F208">
            <v>405351</v>
          </cell>
          <cell r="G208" t="str">
            <v>ETIQ. CIRCULAR 90cm IMPR. CUSINE &amp; CO JUMBO PIE DE LIMON ESPECIAL</v>
          </cell>
          <cell r="AK208">
            <v>1000</v>
          </cell>
          <cell r="AS208">
            <v>1000</v>
          </cell>
          <cell r="AT208">
            <v>3000</v>
          </cell>
          <cell r="AY208">
            <v>3000</v>
          </cell>
          <cell r="DZ208">
            <v>2000</v>
          </cell>
          <cell r="EH208" t="str">
            <v>SIN USO</v>
          </cell>
          <cell r="EI208" t="str">
            <v/>
          </cell>
          <cell r="EJ208">
            <v>10000</v>
          </cell>
          <cell r="EK208">
            <v>2000</v>
          </cell>
          <cell r="EL208">
            <v>333.33333333333331</v>
          </cell>
        </row>
        <row r="209">
          <cell r="F209">
            <v>405540</v>
          </cell>
          <cell r="G209" t="str">
            <v>ETIQ. CIRCULAR 90cm IMPR. TORTA PISTACHO FRAMBUESA ESPECIAL JUMBO</v>
          </cell>
          <cell r="BY209">
            <v>3000</v>
          </cell>
          <cell r="EH209" t="str">
            <v>SIN USO</v>
          </cell>
          <cell r="EI209" t="str">
            <v>C</v>
          </cell>
          <cell r="EK209">
            <v>0</v>
          </cell>
          <cell r="EL209">
            <v>0</v>
          </cell>
        </row>
        <row r="210">
          <cell r="F210">
            <v>405448</v>
          </cell>
          <cell r="G210" t="str">
            <v>ETIQ. CIRCULAR 90cm IMPR. TORTA MERENGUE NOUGAT ESPECIAL JUMBO</v>
          </cell>
          <cell r="CA210">
            <v>1000</v>
          </cell>
          <cell r="CF210">
            <v>1000</v>
          </cell>
          <cell r="CK210">
            <v>1000</v>
          </cell>
          <cell r="CV210">
            <v>1000</v>
          </cell>
          <cell r="DH210">
            <v>2000</v>
          </cell>
          <cell r="DU210">
            <v>1000</v>
          </cell>
          <cell r="DY210">
            <v>1000</v>
          </cell>
          <cell r="EH210" t="str">
            <v>ACTIVO</v>
          </cell>
          <cell r="EI210" t="str">
            <v>C</v>
          </cell>
          <cell r="EJ210" t="str">
            <v/>
          </cell>
          <cell r="EK210">
            <v>1000</v>
          </cell>
          <cell r="EL210">
            <v>166.66666666666666</v>
          </cell>
        </row>
        <row r="211">
          <cell r="F211">
            <v>405535</v>
          </cell>
          <cell r="G211" t="str">
            <v>ETIQ. CIRCULAR 9cm IMPR. TORTA CALUGA NUEZ JUMBO</v>
          </cell>
          <cell r="CC211">
            <v>1000</v>
          </cell>
          <cell r="CD211">
            <v>1000</v>
          </cell>
          <cell r="CF211">
            <v>1000</v>
          </cell>
          <cell r="CM211">
            <v>1000</v>
          </cell>
          <cell r="CN211">
            <v>1000</v>
          </cell>
          <cell r="CQ211">
            <v>1000</v>
          </cell>
          <cell r="CT211">
            <v>2000</v>
          </cell>
          <cell r="CV211">
            <v>1000</v>
          </cell>
          <cell r="CY211">
            <v>2000</v>
          </cell>
          <cell r="CZ211">
            <v>1000</v>
          </cell>
          <cell r="EH211" t="str">
            <v>ACTIVO</v>
          </cell>
          <cell r="EI211" t="str">
            <v>C</v>
          </cell>
          <cell r="EJ211" t="str">
            <v/>
          </cell>
          <cell r="EK211">
            <v>0</v>
          </cell>
          <cell r="EL211">
            <v>0</v>
          </cell>
        </row>
        <row r="212">
          <cell r="F212">
            <v>405553</v>
          </cell>
          <cell r="G212" t="str">
            <v>ETIQUETA CIRCULAR 9cm TORTA CREMA CHOCOLATE</v>
          </cell>
          <cell r="CD212">
            <v>3000</v>
          </cell>
          <cell r="CE212">
            <v>1000</v>
          </cell>
          <cell r="CF212">
            <v>3000</v>
          </cell>
          <cell r="CG212">
            <v>1000</v>
          </cell>
          <cell r="CM212">
            <v>2000</v>
          </cell>
          <cell r="CN212">
            <v>2000</v>
          </cell>
          <cell r="CO212">
            <v>2000</v>
          </cell>
          <cell r="CP212">
            <v>3000</v>
          </cell>
          <cell r="CT212">
            <v>2000</v>
          </cell>
          <cell r="CV212">
            <v>1000</v>
          </cell>
          <cell r="CX212">
            <v>2000</v>
          </cell>
          <cell r="CZ212">
            <v>2000</v>
          </cell>
          <cell r="DB212">
            <v>2000</v>
          </cell>
          <cell r="DJ212">
            <v>2000</v>
          </cell>
          <cell r="DK212">
            <v>2000</v>
          </cell>
          <cell r="DL212">
            <v>2000</v>
          </cell>
          <cell r="DN212">
            <v>2000</v>
          </cell>
          <cell r="DR212">
            <v>2000</v>
          </cell>
          <cell r="DS212">
            <v>2000</v>
          </cell>
          <cell r="DT212">
            <v>3000</v>
          </cell>
          <cell r="DU212">
            <v>3000</v>
          </cell>
          <cell r="DV212">
            <v>5000</v>
          </cell>
          <cell r="DX212">
            <v>3000</v>
          </cell>
          <cell r="DY212">
            <v>4000</v>
          </cell>
          <cell r="ED212">
            <v>4000</v>
          </cell>
          <cell r="EH212" t="str">
            <v>ACTIVO</v>
          </cell>
          <cell r="EI212" t="str">
            <v>C</v>
          </cell>
          <cell r="EJ212" t="str">
            <v/>
          </cell>
          <cell r="EK212">
            <v>2833.3333333333335</v>
          </cell>
          <cell r="EL212">
            <v>472.22222222222223</v>
          </cell>
        </row>
        <row r="213">
          <cell r="F213">
            <v>405492</v>
          </cell>
          <cell r="G213" t="str">
            <v>ETIQUETA GENERICA TORTA MIL HOJAS MANJAR ESPECIAL WALMART</v>
          </cell>
          <cell r="CG213">
            <v>10000</v>
          </cell>
          <cell r="CL213">
            <v>10000</v>
          </cell>
          <cell r="CM213">
            <v>20000</v>
          </cell>
          <cell r="CQ213">
            <v>20000</v>
          </cell>
          <cell r="CR213">
            <v>10000</v>
          </cell>
          <cell r="CS213">
            <v>10000</v>
          </cell>
          <cell r="CT213">
            <v>50000</v>
          </cell>
          <cell r="CV213">
            <v>15000</v>
          </cell>
          <cell r="CW213">
            <v>8500</v>
          </cell>
          <cell r="DA213">
            <v>20000</v>
          </cell>
          <cell r="DD213">
            <v>20000</v>
          </cell>
          <cell r="DG213">
            <v>19500</v>
          </cell>
          <cell r="DN213">
            <v>20000</v>
          </cell>
          <cell r="DP213">
            <v>15000</v>
          </cell>
          <cell r="DQ213">
            <v>5000</v>
          </cell>
          <cell r="DS213">
            <v>5000</v>
          </cell>
          <cell r="DU213">
            <v>33000</v>
          </cell>
          <cell r="EH213" t="str">
            <v>SIN USO</v>
          </cell>
          <cell r="EI213" t="str">
            <v>C</v>
          </cell>
          <cell r="EJ213" t="str">
            <v/>
          </cell>
          <cell r="EK213">
            <v>15600</v>
          </cell>
          <cell r="EL213">
            <v>2600</v>
          </cell>
        </row>
        <row r="214">
          <cell r="F214">
            <v>405033</v>
          </cell>
          <cell r="G214" t="str">
            <v>ETIQ. CIRCULAR 9cm IMPR. TORTA HOJA MANJAR PASTELERA</v>
          </cell>
          <cell r="CX214">
            <v>3000</v>
          </cell>
          <cell r="EH214" t="str">
            <v>SIN USO</v>
          </cell>
          <cell r="EI214" t="str">
            <v>C</v>
          </cell>
          <cell r="EJ214" t="str">
            <v/>
          </cell>
          <cell r="EK214">
            <v>0</v>
          </cell>
          <cell r="EL214">
            <v>0</v>
          </cell>
        </row>
        <row r="215">
          <cell r="F215">
            <v>405463</v>
          </cell>
          <cell r="G215" t="str">
            <v>ETIQUETAS CIRCULAR 9cm IMPR. TORTA PQQ. CHOCOLATE MANJAR GUINDA SISA</v>
          </cell>
          <cell r="CX215">
            <v>1000</v>
          </cell>
          <cell r="DJ215">
            <v>2000</v>
          </cell>
          <cell r="EH215" t="str">
            <v>ACTIVO</v>
          </cell>
          <cell r="EI215" t="str">
            <v>C</v>
          </cell>
          <cell r="EJ215" t="str">
            <v/>
          </cell>
          <cell r="EK215">
            <v>2000</v>
          </cell>
          <cell r="EL215">
            <v>333.33333333333331</v>
          </cell>
        </row>
        <row r="216">
          <cell r="F216">
            <v>405223</v>
          </cell>
          <cell r="G216" t="str">
            <v>ETIQ.CIRCULAR 9cm IMPR. TORTA MERENGUE LUCUMA JUMBO</v>
          </cell>
          <cell r="CY216">
            <v>1000</v>
          </cell>
          <cell r="DC216">
            <v>1000</v>
          </cell>
          <cell r="EH216" t="str">
            <v>ACTIVO</v>
          </cell>
          <cell r="EI216" t="str">
            <v>C</v>
          </cell>
          <cell r="EJ216" t="str">
            <v/>
          </cell>
          <cell r="EK216">
            <v>0</v>
          </cell>
          <cell r="EL216">
            <v>0</v>
          </cell>
        </row>
        <row r="217">
          <cell r="F217">
            <v>405400</v>
          </cell>
          <cell r="G217" t="str">
            <v>ETIQ.CIRCULAR 9cm IMPR. TORTA ROGEL</v>
          </cell>
          <cell r="AR217">
            <v>1000</v>
          </cell>
          <cell r="AT217">
            <v>1000</v>
          </cell>
          <cell r="AX217">
            <v>1000</v>
          </cell>
          <cell r="BA217">
            <v>1000</v>
          </cell>
          <cell r="BB217">
            <v>1000</v>
          </cell>
          <cell r="EH217" t="str">
            <v>SIN USO</v>
          </cell>
          <cell r="EI217" t="str">
            <v/>
          </cell>
          <cell r="EJ217">
            <v>10000</v>
          </cell>
          <cell r="EK217">
            <v>0</v>
          </cell>
          <cell r="EL217">
            <v>0</v>
          </cell>
        </row>
        <row r="218">
          <cell r="F218">
            <v>404742</v>
          </cell>
          <cell r="G218" t="str">
            <v>ETIQUETA CIRCULAR 9cm IMPR. TORTA PIÑA COLADA</v>
          </cell>
          <cell r="AW218">
            <v>1000</v>
          </cell>
          <cell r="AX218">
            <v>4000</v>
          </cell>
          <cell r="BB218">
            <v>2000</v>
          </cell>
          <cell r="BF218">
            <v>2000</v>
          </cell>
          <cell r="BK218">
            <v>5000</v>
          </cell>
          <cell r="BN218">
            <v>4000</v>
          </cell>
          <cell r="BP218">
            <v>2000</v>
          </cell>
          <cell r="BR218">
            <v>5000</v>
          </cell>
          <cell r="BT218">
            <v>7000</v>
          </cell>
          <cell r="BU218">
            <v>4000</v>
          </cell>
          <cell r="BX218">
            <v>4000</v>
          </cell>
          <cell r="CA218">
            <v>4000</v>
          </cell>
          <cell r="CB218">
            <v>1000</v>
          </cell>
          <cell r="CF218">
            <v>3000</v>
          </cell>
          <cell r="CI218">
            <v>1000</v>
          </cell>
          <cell r="CJ218">
            <v>2000</v>
          </cell>
          <cell r="CL218">
            <v>1000</v>
          </cell>
          <cell r="CM218">
            <v>1000</v>
          </cell>
          <cell r="CN218">
            <v>4000</v>
          </cell>
          <cell r="CO218">
            <v>2000</v>
          </cell>
          <cell r="CP218">
            <v>1000</v>
          </cell>
          <cell r="EH218" t="str">
            <v>SIN USO</v>
          </cell>
          <cell r="EI218" t="str">
            <v>C</v>
          </cell>
          <cell r="EK218">
            <v>0</v>
          </cell>
          <cell r="EL218">
            <v>0</v>
          </cell>
        </row>
        <row r="219">
          <cell r="F219">
            <v>405401</v>
          </cell>
          <cell r="G219" t="str">
            <v>ETIQ.CIRCULAR 9cm IMPR. TORTA MERENGUE NOUGAT</v>
          </cell>
          <cell r="AW219">
            <v>1000</v>
          </cell>
          <cell r="AZ219">
            <v>1000</v>
          </cell>
          <cell r="BB219">
            <v>1000</v>
          </cell>
          <cell r="BE219">
            <v>1000</v>
          </cell>
          <cell r="BI219">
            <v>1000</v>
          </cell>
          <cell r="BK219">
            <v>1000</v>
          </cell>
          <cell r="BS219">
            <v>1000</v>
          </cell>
          <cell r="BT219">
            <v>1000</v>
          </cell>
          <cell r="CU219">
            <v>1000</v>
          </cell>
          <cell r="DA219">
            <v>1000</v>
          </cell>
          <cell r="EH219" t="str">
            <v>SIN USO</v>
          </cell>
          <cell r="EI219" t="str">
            <v>C</v>
          </cell>
          <cell r="EJ219">
            <v>10000</v>
          </cell>
          <cell r="EK219">
            <v>0</v>
          </cell>
          <cell r="EL219">
            <v>0</v>
          </cell>
        </row>
        <row r="220">
          <cell r="F220">
            <v>405049</v>
          </cell>
          <cell r="G220" t="str">
            <v>ETIQUETA AUTOADHESIVA 22X32 POLIPROPILENO (OPP)</v>
          </cell>
          <cell r="H220">
            <v>10000</v>
          </cell>
          <cell r="AZ220">
            <v>10000</v>
          </cell>
          <cell r="BA220">
            <v>40000</v>
          </cell>
          <cell r="BC220">
            <v>10000</v>
          </cell>
          <cell r="BF220">
            <v>30000</v>
          </cell>
          <cell r="BG220">
            <v>20000</v>
          </cell>
          <cell r="BI220">
            <v>30000</v>
          </cell>
          <cell r="BJ220">
            <v>30000</v>
          </cell>
          <cell r="BN220">
            <v>80000</v>
          </cell>
          <cell r="BT220">
            <v>50000</v>
          </cell>
          <cell r="BV220">
            <v>40000</v>
          </cell>
          <cell r="BW220">
            <v>60000</v>
          </cell>
          <cell r="BX220">
            <v>60000</v>
          </cell>
          <cell r="BZ220">
            <v>60000</v>
          </cell>
          <cell r="CA220">
            <v>80000</v>
          </cell>
          <cell r="CB220">
            <v>30000</v>
          </cell>
          <cell r="CC220">
            <v>120000</v>
          </cell>
          <cell r="CE220">
            <v>70000</v>
          </cell>
          <cell r="CF220">
            <v>100000</v>
          </cell>
          <cell r="CH220">
            <v>40000</v>
          </cell>
          <cell r="CI220">
            <v>10000</v>
          </cell>
          <cell r="CJ220">
            <v>60000</v>
          </cell>
          <cell r="CK220">
            <v>80000</v>
          </cell>
          <cell r="CL220">
            <v>50000</v>
          </cell>
          <cell r="CM220">
            <v>50000</v>
          </cell>
          <cell r="CO220">
            <v>90000</v>
          </cell>
          <cell r="CP220">
            <v>30000</v>
          </cell>
          <cell r="CR220">
            <v>60000</v>
          </cell>
          <cell r="CU220">
            <v>60000</v>
          </cell>
          <cell r="CW220">
            <v>80000</v>
          </cell>
          <cell r="CX220">
            <v>60000</v>
          </cell>
          <cell r="CZ220">
            <v>60000</v>
          </cell>
          <cell r="DA220">
            <v>50000</v>
          </cell>
          <cell r="DC220">
            <v>50000</v>
          </cell>
          <cell r="DE220">
            <v>50000</v>
          </cell>
          <cell r="DF220">
            <v>60000</v>
          </cell>
          <cell r="DH220">
            <v>20000</v>
          </cell>
          <cell r="DI220">
            <v>20000</v>
          </cell>
          <cell r="DJ220">
            <v>60000</v>
          </cell>
          <cell r="DK220">
            <v>50000</v>
          </cell>
          <cell r="DM220">
            <v>50000</v>
          </cell>
          <cell r="DO220">
            <v>60000</v>
          </cell>
          <cell r="DP220">
            <v>50000</v>
          </cell>
          <cell r="DR220">
            <v>60000</v>
          </cell>
          <cell r="DS220">
            <v>50000</v>
          </cell>
          <cell r="DU220">
            <v>80000</v>
          </cell>
          <cell r="DV220">
            <v>50000</v>
          </cell>
          <cell r="DW220">
            <v>100000</v>
          </cell>
          <cell r="DX220">
            <v>30000</v>
          </cell>
          <cell r="DY220">
            <v>20000</v>
          </cell>
          <cell r="DZ220">
            <v>20000</v>
          </cell>
          <cell r="EB220">
            <v>20000</v>
          </cell>
          <cell r="EC220">
            <v>20000</v>
          </cell>
          <cell r="ED220">
            <v>10000</v>
          </cell>
          <cell r="EE220">
            <v>20000</v>
          </cell>
          <cell r="EF220">
            <v>16000</v>
          </cell>
          <cell r="EG220">
            <v>54000</v>
          </cell>
          <cell r="EH220" t="str">
            <v>ACTIVO</v>
          </cell>
          <cell r="EI220" t="str">
            <v>C</v>
          </cell>
          <cell r="EJ220">
            <v>10000</v>
          </cell>
          <cell r="EK220">
            <v>42000</v>
          </cell>
          <cell r="EL220">
            <v>7000</v>
          </cell>
        </row>
        <row r="221">
          <cell r="F221">
            <v>405449</v>
          </cell>
          <cell r="G221" t="str">
            <v>ETIQ. CIRCULAR 90cm IMPR. TORTA MERENGUE MANZANA FRAMBUESA ESPECIAL JUMBO</v>
          </cell>
          <cell r="BB221">
            <v>1000</v>
          </cell>
          <cell r="BD221">
            <v>1000</v>
          </cell>
          <cell r="BK221">
            <v>1000</v>
          </cell>
          <cell r="BL221">
            <v>1000</v>
          </cell>
          <cell r="BN221">
            <v>1000</v>
          </cell>
          <cell r="BV221">
            <v>1000</v>
          </cell>
          <cell r="CI221">
            <v>1000</v>
          </cell>
          <cell r="CK221">
            <v>1000</v>
          </cell>
          <cell r="CN221">
            <v>2000</v>
          </cell>
          <cell r="CQ221">
            <v>1000</v>
          </cell>
          <cell r="CT221">
            <v>1000</v>
          </cell>
          <cell r="CY221">
            <v>1000</v>
          </cell>
          <cell r="CZ221">
            <v>1000</v>
          </cell>
          <cell r="DE221">
            <v>2000</v>
          </cell>
          <cell r="DF221">
            <v>1000</v>
          </cell>
          <cell r="DG221">
            <v>1000</v>
          </cell>
          <cell r="DJ221">
            <v>1000</v>
          </cell>
          <cell r="DK221">
            <v>2000</v>
          </cell>
          <cell r="DL221">
            <v>1000</v>
          </cell>
          <cell r="DT221">
            <v>1000</v>
          </cell>
          <cell r="DX221">
            <v>1000</v>
          </cell>
          <cell r="EH221" t="str">
            <v>ACTIVO</v>
          </cell>
          <cell r="EI221" t="str">
            <v>C</v>
          </cell>
          <cell r="EJ221" t="str">
            <v/>
          </cell>
          <cell r="EK221">
            <v>1200</v>
          </cell>
          <cell r="EL221">
            <v>200</v>
          </cell>
        </row>
        <row r="222">
          <cell r="F222">
            <v>404733</v>
          </cell>
          <cell r="G222" t="str">
            <v>ETIQUETA CIRCULAR 9,8cm IMPR. KUCHEN  5 COL +UV</v>
          </cell>
          <cell r="BV222">
            <v>10000</v>
          </cell>
          <cell r="EH222" t="str">
            <v>SIN USO</v>
          </cell>
          <cell r="EI222" t="str">
            <v>C</v>
          </cell>
          <cell r="EJ222" t="str">
            <v/>
          </cell>
          <cell r="EK222">
            <v>0</v>
          </cell>
          <cell r="EL222">
            <v>0</v>
          </cell>
        </row>
        <row r="223">
          <cell r="F223">
            <v>405450</v>
          </cell>
          <cell r="G223" t="str">
            <v>ETIQ. CIRCULAR 90cm IMPR. FRANGIPANE CLÁSICO ESPECIAL JUMBO</v>
          </cell>
          <cell r="BF223">
            <v>5000</v>
          </cell>
          <cell r="EH223" t="str">
            <v>SIN USO</v>
          </cell>
          <cell r="EI223" t="str">
            <v/>
          </cell>
          <cell r="EJ223" t="str">
            <v/>
          </cell>
          <cell r="EK223">
            <v>0</v>
          </cell>
          <cell r="EL223">
            <v>0</v>
          </cell>
        </row>
        <row r="224">
          <cell r="F224">
            <v>405451</v>
          </cell>
          <cell r="G224" t="str">
            <v>ETIQ. CIRCULAR 90cm IMPR. FRANGIPANE CROCANTE ESPECIAL JUMBO</v>
          </cell>
          <cell r="BF224">
            <v>5000</v>
          </cell>
          <cell r="EH224" t="str">
            <v>SIN USO</v>
          </cell>
          <cell r="EI224" t="str">
            <v/>
          </cell>
          <cell r="EK224">
            <v>0</v>
          </cell>
          <cell r="EL224">
            <v>0</v>
          </cell>
        </row>
        <row r="225">
          <cell r="F225">
            <v>405453</v>
          </cell>
          <cell r="G225" t="str">
            <v>ETIQ. CIRCULAR 90cm IMPR. TARTA MANJAR NUEZ ESPECIAL JUMBO</v>
          </cell>
          <cell r="BU225">
            <v>1000</v>
          </cell>
          <cell r="BV225">
            <v>1000</v>
          </cell>
          <cell r="CF225">
            <v>1000</v>
          </cell>
          <cell r="CK225">
            <v>1000</v>
          </cell>
          <cell r="CN225">
            <v>1000</v>
          </cell>
          <cell r="CP225">
            <v>1000</v>
          </cell>
          <cell r="CQ225">
            <v>2000</v>
          </cell>
          <cell r="CV225">
            <v>1000</v>
          </cell>
          <cell r="CW225">
            <v>1000</v>
          </cell>
          <cell r="DA225">
            <v>1000</v>
          </cell>
          <cell r="DE225">
            <v>1000</v>
          </cell>
          <cell r="DJ225">
            <v>1000</v>
          </cell>
          <cell r="DM225">
            <v>1000</v>
          </cell>
          <cell r="DP225">
            <v>1000</v>
          </cell>
          <cell r="DR225">
            <v>1000</v>
          </cell>
          <cell r="DU225">
            <v>1000</v>
          </cell>
          <cell r="DZ225">
            <v>1000</v>
          </cell>
          <cell r="ED225">
            <v>1000</v>
          </cell>
          <cell r="EG225">
            <v>1000</v>
          </cell>
          <cell r="EH225" t="str">
            <v>ACTIVO</v>
          </cell>
          <cell r="EI225" t="str">
            <v>C</v>
          </cell>
          <cell r="EJ225" t="str">
            <v/>
          </cell>
          <cell r="EK225">
            <v>1000</v>
          </cell>
          <cell r="EL225">
            <v>166.66666666666666</v>
          </cell>
        </row>
        <row r="226">
          <cell r="F226">
            <v>405464</v>
          </cell>
          <cell r="G226" t="str">
            <v>ETIQUETA CIRCULAR 9cm IMPR. CHEESECAKE SISA</v>
          </cell>
          <cell r="BV226">
            <v>9000</v>
          </cell>
          <cell r="EH226" t="str">
            <v>SIN USO</v>
          </cell>
          <cell r="EI226" t="str">
            <v>C</v>
          </cell>
          <cell r="EJ226" t="str">
            <v/>
          </cell>
          <cell r="EK226">
            <v>0</v>
          </cell>
          <cell r="EL226">
            <v>0</v>
          </cell>
        </row>
        <row r="227">
          <cell r="F227">
            <v>405615</v>
          </cell>
          <cell r="G227" t="str">
            <v>ETIQUETA CIRCULAR 9cm TORTA CHOCOTORTA JUMBO</v>
          </cell>
          <cell r="CZ227">
            <v>2000</v>
          </cell>
          <cell r="DB227">
            <v>1000</v>
          </cell>
          <cell r="DC227">
            <v>1000</v>
          </cell>
          <cell r="DG227">
            <v>1000</v>
          </cell>
          <cell r="DJ227">
            <v>1000</v>
          </cell>
          <cell r="DK227">
            <v>2000</v>
          </cell>
          <cell r="DL227">
            <v>1000</v>
          </cell>
          <cell r="DN227">
            <v>1000</v>
          </cell>
          <cell r="DO227">
            <v>1000</v>
          </cell>
          <cell r="EH227" t="str">
            <v>ACTIVO</v>
          </cell>
          <cell r="EI227" t="str">
            <v>C</v>
          </cell>
          <cell r="EJ227" t="str">
            <v/>
          </cell>
          <cell r="EK227">
            <v>1200</v>
          </cell>
          <cell r="EL227">
            <v>200</v>
          </cell>
        </row>
        <row r="228">
          <cell r="F228">
            <v>405614</v>
          </cell>
          <cell r="G228" t="str">
            <v>ETIQUETA CIRCULAR 9cm TORTA TENTACIÓN DE CHOCOLATE JUMBO</v>
          </cell>
          <cell r="DB228">
            <v>4000</v>
          </cell>
          <cell r="DJ228">
            <v>1000</v>
          </cell>
          <cell r="DL228">
            <v>1000</v>
          </cell>
          <cell r="DN228">
            <v>2000</v>
          </cell>
          <cell r="DR228">
            <v>1000</v>
          </cell>
          <cell r="DT228">
            <v>2000</v>
          </cell>
          <cell r="DU228">
            <v>2000</v>
          </cell>
          <cell r="DX228">
            <v>2000</v>
          </cell>
          <cell r="EC228">
            <v>3000</v>
          </cell>
          <cell r="EF228">
            <v>2000</v>
          </cell>
          <cell r="EH228" t="str">
            <v>ACTIVO</v>
          </cell>
          <cell r="EI228" t="str">
            <v>C</v>
          </cell>
          <cell r="EJ228" t="str">
            <v/>
          </cell>
          <cell r="EK228">
            <v>1777.7777777777778</v>
          </cell>
          <cell r="EL228">
            <v>296.2962962962963</v>
          </cell>
        </row>
        <row r="229">
          <cell r="F229">
            <v>405554</v>
          </cell>
          <cell r="G229" t="str">
            <v>ETIQUETA CIRCULAR 9cm TORTA SABOR MANJAR NUEZ</v>
          </cell>
          <cell r="DD229">
            <v>0</v>
          </cell>
          <cell r="DX229">
            <v>1000</v>
          </cell>
          <cell r="EC229">
            <v>1000</v>
          </cell>
          <cell r="EH229" t="str">
            <v>ACTIVO</v>
          </cell>
          <cell r="EI229" t="str">
            <v>C</v>
          </cell>
          <cell r="EJ229" t="str">
            <v/>
          </cell>
          <cell r="EK229">
            <v>1000</v>
          </cell>
          <cell r="EL229">
            <v>166.66666666666666</v>
          </cell>
        </row>
        <row r="230">
          <cell r="F230">
            <v>405552</v>
          </cell>
          <cell r="G230" t="str">
            <v>ETIQUETA CIRCULAR 9cm TORTA GALLETA FRAMBUESA</v>
          </cell>
          <cell r="DD230">
            <v>0</v>
          </cell>
          <cell r="EH230" t="str">
            <v>ACTIVO</v>
          </cell>
          <cell r="EI230" t="str">
            <v>C</v>
          </cell>
          <cell r="EJ230" t="str">
            <v/>
          </cell>
          <cell r="EK230">
            <v>0</v>
          </cell>
          <cell r="EL230">
            <v>0</v>
          </cell>
        </row>
        <row r="231">
          <cell r="F231">
            <v>405644</v>
          </cell>
          <cell r="G231" t="str">
            <v>ETIQUETA TORTA MERENGUE COOKIES</v>
          </cell>
          <cell r="DD231">
            <v>0</v>
          </cell>
          <cell r="DE231">
            <v>1000</v>
          </cell>
          <cell r="DF231">
            <v>1000</v>
          </cell>
          <cell r="DG231">
            <v>1000</v>
          </cell>
          <cell r="DJ231">
            <v>1000</v>
          </cell>
          <cell r="DK231">
            <v>2000</v>
          </cell>
          <cell r="DN231">
            <v>1000</v>
          </cell>
          <cell r="DO231">
            <v>1000</v>
          </cell>
          <cell r="DV231">
            <v>2000</v>
          </cell>
          <cell r="DX231">
            <v>1000</v>
          </cell>
          <cell r="DY231">
            <v>1000</v>
          </cell>
          <cell r="EH231" t="str">
            <v>ACTIVO</v>
          </cell>
          <cell r="EI231" t="str">
            <v>C</v>
          </cell>
          <cell r="EJ231" t="str">
            <v/>
          </cell>
          <cell r="EK231">
            <v>1285.7142857142858</v>
          </cell>
          <cell r="EL231">
            <v>214.28571428571431</v>
          </cell>
        </row>
        <row r="232">
          <cell r="F232">
            <v>405643</v>
          </cell>
          <cell r="G232" t="str">
            <v>ETIQUETA TORTA MERENGUE LEMON PIE</v>
          </cell>
          <cell r="DD232">
            <v>0</v>
          </cell>
          <cell r="DE232">
            <v>3000</v>
          </cell>
          <cell r="DF232">
            <v>1000</v>
          </cell>
          <cell r="DG232">
            <v>1000</v>
          </cell>
          <cell r="DJ232">
            <v>1000</v>
          </cell>
          <cell r="DK232">
            <v>2000</v>
          </cell>
          <cell r="DW232">
            <v>1000</v>
          </cell>
          <cell r="EG232">
            <v>1000</v>
          </cell>
          <cell r="EH232" t="str">
            <v>ACTIVO</v>
          </cell>
          <cell r="EI232" t="str">
            <v>C</v>
          </cell>
          <cell r="EJ232" t="str">
            <v/>
          </cell>
          <cell r="EK232">
            <v>1250</v>
          </cell>
          <cell r="EL232">
            <v>208.33333333333334</v>
          </cell>
        </row>
        <row r="233">
          <cell r="F233">
            <v>405687</v>
          </cell>
          <cell r="G233" t="str">
            <v>ETIQ. CIRCULAR 90cm IMPR. TORTA CARROT CAKE ARTESANAL JUMBO</v>
          </cell>
          <cell r="DF233">
            <v>0</v>
          </cell>
          <cell r="DR233">
            <v>1500</v>
          </cell>
          <cell r="DS233">
            <v>1000</v>
          </cell>
          <cell r="DT233">
            <v>500</v>
          </cell>
          <cell r="DU233">
            <v>1000</v>
          </cell>
          <cell r="DW233">
            <v>1000</v>
          </cell>
          <cell r="DX233">
            <v>1000</v>
          </cell>
          <cell r="DY233">
            <v>1000</v>
          </cell>
          <cell r="DZ233">
            <v>1000</v>
          </cell>
          <cell r="EB233">
            <v>2000</v>
          </cell>
          <cell r="ED233">
            <v>1000</v>
          </cell>
          <cell r="EG233">
            <v>1000</v>
          </cell>
          <cell r="EH233" t="str">
            <v>ACTIVO</v>
          </cell>
          <cell r="EI233" t="str">
            <v>C</v>
          </cell>
          <cell r="EJ233" t="str">
            <v/>
          </cell>
          <cell r="EK233">
            <v>1090.909090909091</v>
          </cell>
          <cell r="EL233">
            <v>181.81818181818184</v>
          </cell>
        </row>
        <row r="234">
          <cell r="F234">
            <v>405688</v>
          </cell>
          <cell r="G234" t="str">
            <v>ETIQ. CIRCULAR 90cm IMPR. TORTA IGNACIA ARTESANAL JUMBO</v>
          </cell>
          <cell r="DF234">
            <v>0</v>
          </cell>
          <cell r="DR234">
            <v>1500</v>
          </cell>
          <cell r="DS234">
            <v>1000</v>
          </cell>
          <cell r="DT234">
            <v>500</v>
          </cell>
          <cell r="DU234">
            <v>1000</v>
          </cell>
          <cell r="DW234">
            <v>1000</v>
          </cell>
          <cell r="DX234">
            <v>1000</v>
          </cell>
          <cell r="DY234">
            <v>1000</v>
          </cell>
          <cell r="DZ234">
            <v>1000</v>
          </cell>
          <cell r="EB234">
            <v>2000</v>
          </cell>
          <cell r="ED234">
            <v>1000</v>
          </cell>
          <cell r="EG234">
            <v>1000</v>
          </cell>
          <cell r="EH234" t="str">
            <v>ACTIVO</v>
          </cell>
          <cell r="EI234" t="str">
            <v>C</v>
          </cell>
          <cell r="EJ234" t="str">
            <v/>
          </cell>
          <cell r="EK234">
            <v>1090.909090909091</v>
          </cell>
          <cell r="EL234">
            <v>181.81818181818184</v>
          </cell>
        </row>
        <row r="235">
          <cell r="F235">
            <v>405686</v>
          </cell>
          <cell r="G235" t="str">
            <v>ETIQ. CIRCULAR 90cm IMPR. TORTA RED VELVET ARTESANAL JUMBO</v>
          </cell>
          <cell r="DF235">
            <v>0</v>
          </cell>
          <cell r="DR235">
            <v>1500</v>
          </cell>
          <cell r="DS235">
            <v>1000</v>
          </cell>
          <cell r="DT235">
            <v>500</v>
          </cell>
          <cell r="DU235">
            <v>1000</v>
          </cell>
          <cell r="DW235">
            <v>1000</v>
          </cell>
          <cell r="DX235">
            <v>1000</v>
          </cell>
          <cell r="DY235">
            <v>1000</v>
          </cell>
          <cell r="DZ235">
            <v>1000</v>
          </cell>
          <cell r="EA235">
            <v>1000</v>
          </cell>
          <cell r="EB235">
            <v>2000</v>
          </cell>
          <cell r="ED235">
            <v>1000</v>
          </cell>
          <cell r="EG235">
            <v>1000</v>
          </cell>
          <cell r="EH235" t="str">
            <v>ACTIVO</v>
          </cell>
          <cell r="EI235" t="str">
            <v>C</v>
          </cell>
          <cell r="EJ235" t="str">
            <v/>
          </cell>
          <cell r="EK235">
            <v>1083.3333333333333</v>
          </cell>
          <cell r="EL235">
            <v>180.55555555555554</v>
          </cell>
        </row>
        <row r="236">
          <cell r="F236">
            <v>405698</v>
          </cell>
          <cell r="G236" t="str">
            <v>ETIQ. CIRCULAR 90cm IMPR. TORTA LEMON CAKE ESPECIAL JUMBO</v>
          </cell>
          <cell r="DK236">
            <v>1000</v>
          </cell>
          <cell r="DM236">
            <v>1000</v>
          </cell>
          <cell r="DS236">
            <v>1000</v>
          </cell>
          <cell r="DW236">
            <v>1000</v>
          </cell>
          <cell r="DX236">
            <v>1000</v>
          </cell>
          <cell r="DY236">
            <v>1000</v>
          </cell>
          <cell r="EC236">
            <v>3000</v>
          </cell>
          <cell r="EH236" t="str">
            <v>ACTIVO</v>
          </cell>
          <cell r="EI236" t="str">
            <v/>
          </cell>
          <cell r="EJ236" t="str">
            <v/>
          </cell>
          <cell r="EK236">
            <v>1285.7142857142858</v>
          </cell>
          <cell r="EL236">
            <v>214.28571428571431</v>
          </cell>
        </row>
        <row r="237">
          <cell r="F237">
            <v>405712</v>
          </cell>
          <cell r="G237" t="str">
            <v>ETIQ. CIRCULAR 90cm IMPR. OPP TORTA MIL HOJAS MANJAR ARTESANAL WALMART</v>
          </cell>
          <cell r="DV237">
            <v>10000</v>
          </cell>
          <cell r="DX237">
            <v>10000</v>
          </cell>
          <cell r="DZ237">
            <v>10000</v>
          </cell>
          <cell r="EH237" t="str">
            <v>ACTIVO</v>
          </cell>
          <cell r="EI237" t="str">
            <v/>
          </cell>
          <cell r="EJ237" t="str">
            <v/>
          </cell>
          <cell r="EK237">
            <v>10000</v>
          </cell>
          <cell r="EL237">
            <v>1666.6666666666667</v>
          </cell>
        </row>
        <row r="238">
          <cell r="F238">
            <v>405751</v>
          </cell>
          <cell r="G238" t="str">
            <v>ETIQ. CIRCULAR 90cm IMPR. TORTA VIENA VAINILLA</v>
          </cell>
          <cell r="DZ238">
            <v>4000</v>
          </cell>
          <cell r="EA238">
            <v>1000</v>
          </cell>
          <cell r="EH238" t="str">
            <v>SIN USO</v>
          </cell>
          <cell r="EI238" t="str">
            <v/>
          </cell>
          <cell r="EJ238" t="str">
            <v/>
          </cell>
          <cell r="EK238">
            <v>2500</v>
          </cell>
          <cell r="EL238">
            <v>416.66666666666669</v>
          </cell>
        </row>
        <row r="239">
          <cell r="F239">
            <v>405787</v>
          </cell>
          <cell r="G239" t="str">
            <v>ETIQ. CIRCULAR 90cm IMPR. TORTA HOJA FRAMBUESA ESPECIAL JUMBO</v>
          </cell>
          <cell r="ED239">
            <v>1000</v>
          </cell>
          <cell r="EF239">
            <v>1000</v>
          </cell>
          <cell r="EG239">
            <v>1000</v>
          </cell>
          <cell r="EH239" t="str">
            <v>ACTIVO</v>
          </cell>
          <cell r="EI239" t="str">
            <v/>
          </cell>
          <cell r="EJ239" t="str">
            <v/>
          </cell>
          <cell r="EK239">
            <v>1000</v>
          </cell>
          <cell r="EL239">
            <v>166.66666666666666</v>
          </cell>
        </row>
        <row r="240">
          <cell r="F240">
            <v>405754</v>
          </cell>
          <cell r="G240" t="str">
            <v>ETIQ.CIRCULAR 9cm IMPR. TORTA SAN JORGE AVELLANA ARTESANAL JUMBO</v>
          </cell>
          <cell r="EE240">
            <v>1000</v>
          </cell>
          <cell r="EF240">
            <v>1000</v>
          </cell>
          <cell r="EG240">
            <v>1000</v>
          </cell>
          <cell r="EH240" t="str">
            <v>ACTIVO</v>
          </cell>
          <cell r="EI240" t="str">
            <v/>
          </cell>
          <cell r="EJ240" t="str">
            <v/>
          </cell>
          <cell r="EK240">
            <v>1000</v>
          </cell>
          <cell r="EL240">
            <v>166.66666666666666</v>
          </cell>
        </row>
        <row r="241">
          <cell r="F241">
            <v>405721</v>
          </cell>
          <cell r="G241" t="str">
            <v>ETIQUETA COLOR CREMA 245X40 OPP</v>
          </cell>
          <cell r="EF241">
            <v>10000</v>
          </cell>
          <cell r="EH241" t="str">
            <v>ACTIVO</v>
          </cell>
          <cell r="EI241" t="str">
            <v/>
          </cell>
          <cell r="EJ241" t="str">
            <v/>
          </cell>
          <cell r="EK241">
            <v>10000</v>
          </cell>
          <cell r="EL241">
            <v>1666.6666666666667</v>
          </cell>
        </row>
        <row r="242">
          <cell r="F242">
            <v>405784</v>
          </cell>
          <cell r="G242" t="str">
            <v>ETIQUETAS CIRCULAR 9cm IMPR. TORTA DURAZNO MANJAR</v>
          </cell>
          <cell r="EF242">
            <v>4000</v>
          </cell>
          <cell r="EG242">
            <v>3000</v>
          </cell>
          <cell r="EH242" t="str">
            <v>ACTIVO</v>
          </cell>
          <cell r="EI242" t="str">
            <v/>
          </cell>
          <cell r="EJ242" t="str">
            <v/>
          </cell>
          <cell r="EK242">
            <v>3500</v>
          </cell>
          <cell r="EL242">
            <v>583.33333333333337</v>
          </cell>
        </row>
        <row r="243">
          <cell r="F243">
            <v>405783</v>
          </cell>
          <cell r="G243" t="str">
            <v>ETIQUETAS CIRCULAR 9cm IMPR. TORTA IRLANDESA</v>
          </cell>
          <cell r="EF243">
            <v>3000</v>
          </cell>
          <cell r="EH243" t="str">
            <v>ACTIVO</v>
          </cell>
          <cell r="EI243" t="str">
            <v/>
          </cell>
          <cell r="EJ243" t="str">
            <v/>
          </cell>
          <cell r="EK243">
            <v>3000</v>
          </cell>
          <cell r="EL243">
            <v>500</v>
          </cell>
        </row>
        <row r="244">
          <cell r="H244">
            <v>54000</v>
          </cell>
          <cell r="I244">
            <v>183500</v>
          </cell>
          <cell r="J244">
            <v>332500</v>
          </cell>
          <cell r="K244">
            <v>141000</v>
          </cell>
          <cell r="L244">
            <v>116500</v>
          </cell>
          <cell r="M244">
            <v>135000</v>
          </cell>
          <cell r="N244">
            <v>109000</v>
          </cell>
          <cell r="O244">
            <v>236000</v>
          </cell>
          <cell r="P244">
            <v>257500</v>
          </cell>
          <cell r="Q244">
            <v>142001</v>
          </cell>
          <cell r="R244">
            <v>50000</v>
          </cell>
          <cell r="S244">
            <v>171000</v>
          </cell>
          <cell r="T244">
            <v>209000</v>
          </cell>
          <cell r="U244">
            <v>206000</v>
          </cell>
          <cell r="V244">
            <v>153000</v>
          </cell>
          <cell r="W244">
            <v>115000</v>
          </cell>
          <cell r="X244">
            <v>320000</v>
          </cell>
          <cell r="Y244">
            <v>96000</v>
          </cell>
          <cell r="Z244">
            <v>166001</v>
          </cell>
          <cell r="AA244">
            <v>159000</v>
          </cell>
          <cell r="AB244">
            <v>341999</v>
          </cell>
          <cell r="AC244">
            <v>205000</v>
          </cell>
          <cell r="AD244">
            <v>77000</v>
          </cell>
          <cell r="AE244">
            <v>357000</v>
          </cell>
          <cell r="AF244">
            <v>156000</v>
          </cell>
          <cell r="AG244">
            <v>188500</v>
          </cell>
          <cell r="AH244">
            <v>165000</v>
          </cell>
          <cell r="AI244">
            <v>278000</v>
          </cell>
          <cell r="AJ244">
            <v>194000</v>
          </cell>
          <cell r="AK244">
            <v>210500</v>
          </cell>
          <cell r="AL244">
            <v>261000</v>
          </cell>
          <cell r="AM244">
            <v>219500</v>
          </cell>
          <cell r="AN244">
            <v>179500</v>
          </cell>
          <cell r="AO244">
            <v>241000</v>
          </cell>
          <cell r="AP244">
            <v>189000</v>
          </cell>
          <cell r="AQ244">
            <v>198500</v>
          </cell>
          <cell r="AR244">
            <v>110000</v>
          </cell>
          <cell r="AS244">
            <v>192500</v>
          </cell>
          <cell r="AT244">
            <v>269500</v>
          </cell>
          <cell r="AU244">
            <v>13000</v>
          </cell>
          <cell r="AV244">
            <v>256500</v>
          </cell>
          <cell r="AW244">
            <v>225500</v>
          </cell>
          <cell r="AX244">
            <v>315000</v>
          </cell>
          <cell r="AY244">
            <v>125500</v>
          </cell>
          <cell r="AZ244">
            <v>110000</v>
          </cell>
          <cell r="BA244">
            <v>305000</v>
          </cell>
          <cell r="BB244">
            <v>257000</v>
          </cell>
          <cell r="BC244">
            <v>56000</v>
          </cell>
          <cell r="BD244">
            <v>333500</v>
          </cell>
          <cell r="BE244">
            <v>235500</v>
          </cell>
          <cell r="BF244">
            <v>63154</v>
          </cell>
          <cell r="BG244">
            <v>390246</v>
          </cell>
          <cell r="BH244">
            <v>185500</v>
          </cell>
          <cell r="BI244">
            <v>59000</v>
          </cell>
          <cell r="BJ244">
            <v>162000</v>
          </cell>
          <cell r="BK244">
            <v>363000</v>
          </cell>
          <cell r="BL244">
            <v>80000</v>
          </cell>
          <cell r="BM244">
            <v>198501</v>
          </cell>
          <cell r="BN244">
            <v>312501</v>
          </cell>
          <cell r="BO244">
            <v>381000</v>
          </cell>
          <cell r="BP244">
            <v>60000</v>
          </cell>
          <cell r="BQ244">
            <v>336500</v>
          </cell>
          <cell r="BR244">
            <v>287500</v>
          </cell>
          <cell r="BS244">
            <v>60000</v>
          </cell>
          <cell r="BT244">
            <v>484000</v>
          </cell>
          <cell r="BU244">
            <v>47000</v>
          </cell>
          <cell r="BV244">
            <v>306500</v>
          </cell>
          <cell r="BW244">
            <v>353500</v>
          </cell>
          <cell r="BX244">
            <v>309000</v>
          </cell>
          <cell r="BY244">
            <v>251000</v>
          </cell>
          <cell r="BZ244">
            <v>128000</v>
          </cell>
          <cell r="CA244">
            <v>459000</v>
          </cell>
          <cell r="CB244">
            <v>318500</v>
          </cell>
          <cell r="CC244">
            <v>154000</v>
          </cell>
          <cell r="CD244">
            <v>248500</v>
          </cell>
          <cell r="CE244">
            <v>335000</v>
          </cell>
          <cell r="CF244">
            <v>516000</v>
          </cell>
          <cell r="CG244">
            <v>202500</v>
          </cell>
          <cell r="CH244">
            <v>114000</v>
          </cell>
          <cell r="CI244">
            <v>343000</v>
          </cell>
          <cell r="CJ244">
            <v>266500</v>
          </cell>
          <cell r="CK244">
            <v>246000</v>
          </cell>
          <cell r="CL244">
            <v>226500</v>
          </cell>
          <cell r="CM244">
            <v>275000</v>
          </cell>
          <cell r="CN244">
            <v>351000</v>
          </cell>
          <cell r="CO244">
            <v>301000</v>
          </cell>
          <cell r="CP244">
            <v>375500</v>
          </cell>
          <cell r="CQ244">
            <v>181000</v>
          </cell>
          <cell r="CR244">
            <v>122000</v>
          </cell>
          <cell r="CS244">
            <v>10000</v>
          </cell>
          <cell r="CT244">
            <v>406000</v>
          </cell>
          <cell r="CU244">
            <v>555500</v>
          </cell>
          <cell r="CV244">
            <v>224500</v>
          </cell>
          <cell r="CW244">
            <v>324000</v>
          </cell>
          <cell r="CX244">
            <v>160010</v>
          </cell>
          <cell r="CY244">
            <v>438500</v>
          </cell>
          <cell r="CZ244">
            <v>237000</v>
          </cell>
          <cell r="DA244">
            <v>102000</v>
          </cell>
          <cell r="DB244">
            <v>290490</v>
          </cell>
          <cell r="DC244">
            <v>258500</v>
          </cell>
          <cell r="DD244">
            <v>186000</v>
          </cell>
          <cell r="DE244">
            <v>267500</v>
          </cell>
          <cell r="DF244">
            <v>221000</v>
          </cell>
          <cell r="DG244">
            <v>180000</v>
          </cell>
          <cell r="DH244">
            <v>31000</v>
          </cell>
          <cell r="DI244">
            <v>20000</v>
          </cell>
          <cell r="DJ244">
            <v>242500</v>
          </cell>
          <cell r="DK244">
            <v>397000</v>
          </cell>
          <cell r="DL244">
            <v>360500</v>
          </cell>
          <cell r="DM244">
            <v>189000</v>
          </cell>
          <cell r="DN244">
            <v>239000</v>
          </cell>
          <cell r="DO244">
            <v>259500</v>
          </cell>
          <cell r="DP244">
            <v>324000</v>
          </cell>
          <cell r="DQ244">
            <v>154500</v>
          </cell>
          <cell r="DR244">
            <v>306000</v>
          </cell>
          <cell r="DS244">
            <v>236500</v>
          </cell>
          <cell r="DT244">
            <v>274000</v>
          </cell>
          <cell r="DU244">
            <v>308000</v>
          </cell>
          <cell r="DV244">
            <v>237000</v>
          </cell>
          <cell r="DW244">
            <v>406000</v>
          </cell>
          <cell r="DX244">
            <v>249500</v>
          </cell>
          <cell r="DY244">
            <v>291500</v>
          </cell>
          <cell r="DZ244">
            <v>199500</v>
          </cell>
          <cell r="EA244">
            <v>44000</v>
          </cell>
          <cell r="EB244">
            <v>346500</v>
          </cell>
          <cell r="EC244">
            <v>194000</v>
          </cell>
          <cell r="ED244">
            <v>457500</v>
          </cell>
          <cell r="EE244">
            <v>200000</v>
          </cell>
          <cell r="EF244">
            <v>409000</v>
          </cell>
          <cell r="EG244">
            <v>350000</v>
          </cell>
          <cell r="EH244" t="str">
            <v>ACTIVO</v>
          </cell>
          <cell r="EI244" t="str">
            <v/>
          </cell>
          <cell r="EK244">
            <v>267800</v>
          </cell>
          <cell r="EL244">
            <v>44633.333333333336</v>
          </cell>
        </row>
        <row r="245">
          <cell r="F245">
            <v>401010</v>
          </cell>
          <cell r="G245" t="str">
            <v>STRECH FILM BLANCO</v>
          </cell>
          <cell r="H245">
            <v>50</v>
          </cell>
          <cell r="S245">
            <v>4</v>
          </cell>
          <cell r="V245">
            <v>10</v>
          </cell>
          <cell r="AN245">
            <v>12</v>
          </cell>
          <cell r="AX245">
            <v>6</v>
          </cell>
          <cell r="AZ245">
            <v>6</v>
          </cell>
          <cell r="BB245">
            <v>30</v>
          </cell>
          <cell r="BC245">
            <v>36</v>
          </cell>
          <cell r="BD245">
            <v>36</v>
          </cell>
          <cell r="BE245">
            <v>60</v>
          </cell>
          <cell r="BG245">
            <v>18</v>
          </cell>
          <cell r="BI245">
            <v>30</v>
          </cell>
          <cell r="BJ245">
            <v>24</v>
          </cell>
          <cell r="BK245">
            <v>37</v>
          </cell>
          <cell r="BL245">
            <v>18</v>
          </cell>
          <cell r="BM245">
            <v>10</v>
          </cell>
          <cell r="BN245">
            <v>30</v>
          </cell>
          <cell r="BO245">
            <v>60</v>
          </cell>
          <cell r="BP245">
            <v>60</v>
          </cell>
          <cell r="BR245">
            <v>36</v>
          </cell>
          <cell r="BS245">
            <v>36</v>
          </cell>
          <cell r="BT245">
            <v>37</v>
          </cell>
          <cell r="BU245">
            <v>30</v>
          </cell>
          <cell r="BV245">
            <v>12</v>
          </cell>
          <cell r="BW245">
            <v>48</v>
          </cell>
          <cell r="BX245">
            <v>60</v>
          </cell>
          <cell r="BY245">
            <v>60</v>
          </cell>
          <cell r="BZ245">
            <v>66</v>
          </cell>
          <cell r="CA245">
            <v>6</v>
          </cell>
          <cell r="CB245">
            <v>48</v>
          </cell>
          <cell r="CC245">
            <v>36</v>
          </cell>
          <cell r="CD245">
            <v>60</v>
          </cell>
          <cell r="CE245">
            <v>60</v>
          </cell>
          <cell r="CF245">
            <v>36</v>
          </cell>
          <cell r="CG245">
            <v>60</v>
          </cell>
          <cell r="CH245">
            <v>42</v>
          </cell>
          <cell r="CI245">
            <v>36</v>
          </cell>
          <cell r="CK245">
            <v>90</v>
          </cell>
          <cell r="CM245">
            <v>114</v>
          </cell>
          <cell r="CO245">
            <v>36</v>
          </cell>
          <cell r="CP245">
            <v>36</v>
          </cell>
          <cell r="CQ245">
            <v>40</v>
          </cell>
          <cell r="CR245">
            <v>96</v>
          </cell>
          <cell r="CT245">
            <v>36</v>
          </cell>
          <cell r="CV245">
            <v>36</v>
          </cell>
          <cell r="CW245">
            <v>60</v>
          </cell>
          <cell r="CX245">
            <v>48</v>
          </cell>
          <cell r="CY245">
            <v>28</v>
          </cell>
          <cell r="CZ245">
            <v>24</v>
          </cell>
          <cell r="DD245">
            <v>15</v>
          </cell>
          <cell r="DE245">
            <v>10</v>
          </cell>
          <cell r="DK245">
            <v>6</v>
          </cell>
          <cell r="DN245">
            <v>6</v>
          </cell>
          <cell r="DR245">
            <v>9</v>
          </cell>
          <cell r="DT245">
            <v>6</v>
          </cell>
          <cell r="DU245">
            <v>6</v>
          </cell>
          <cell r="DX245">
            <v>12</v>
          </cell>
          <cell r="EA245">
            <v>12</v>
          </cell>
          <cell r="EE245">
            <v>12</v>
          </cell>
          <cell r="EH245" t="str">
            <v>ACTIVO</v>
          </cell>
          <cell r="EI245" t="str">
            <v>C</v>
          </cell>
          <cell r="EJ245">
            <v>120</v>
          </cell>
          <cell r="EK245">
            <v>8.625</v>
          </cell>
          <cell r="EL245">
            <v>1.4375</v>
          </cell>
        </row>
        <row r="246">
          <cell r="F246">
            <v>401011</v>
          </cell>
          <cell r="G246" t="str">
            <v>STRECH FILM NEGRO</v>
          </cell>
          <cell r="H246">
            <v>12</v>
          </cell>
          <cell r="M246">
            <v>6</v>
          </cell>
          <cell r="T246">
            <v>1</v>
          </cell>
          <cell r="W246">
            <v>10</v>
          </cell>
          <cell r="X246">
            <v>3</v>
          </cell>
          <cell r="Y246">
            <v>3</v>
          </cell>
          <cell r="AK246">
            <v>3</v>
          </cell>
          <cell r="AX246">
            <v>1</v>
          </cell>
          <cell r="BC246">
            <v>6</v>
          </cell>
          <cell r="BD246">
            <v>0</v>
          </cell>
          <cell r="BG246">
            <v>6</v>
          </cell>
          <cell r="BI246">
            <v>24</v>
          </cell>
          <cell r="BN246">
            <v>42</v>
          </cell>
          <cell r="BO246">
            <v>6</v>
          </cell>
          <cell r="BT246">
            <v>6</v>
          </cell>
          <cell r="BW246">
            <v>12</v>
          </cell>
          <cell r="BY246">
            <v>1</v>
          </cell>
          <cell r="CG246">
            <v>6</v>
          </cell>
          <cell r="CH246">
            <v>12</v>
          </cell>
          <cell r="CJ246">
            <v>6</v>
          </cell>
          <cell r="CK246">
            <v>6</v>
          </cell>
          <cell r="CO246">
            <v>12</v>
          </cell>
          <cell r="CR246">
            <v>12</v>
          </cell>
          <cell r="CU246">
            <v>6</v>
          </cell>
          <cell r="CW246">
            <v>6</v>
          </cell>
          <cell r="CY246">
            <v>6</v>
          </cell>
          <cell r="CZ246">
            <v>5</v>
          </cell>
          <cell r="DG246">
            <v>6</v>
          </cell>
          <cell r="DJ246">
            <v>6</v>
          </cell>
          <cell r="DN246">
            <v>6</v>
          </cell>
          <cell r="DR246">
            <v>6</v>
          </cell>
          <cell r="DU246">
            <v>6</v>
          </cell>
          <cell r="DZ246">
            <v>6</v>
          </cell>
          <cell r="EB246">
            <v>12</v>
          </cell>
          <cell r="EE246">
            <v>12</v>
          </cell>
          <cell r="EH246" t="str">
            <v>ACTIVO</v>
          </cell>
          <cell r="EI246" t="str">
            <v>C</v>
          </cell>
          <cell r="EJ246">
            <v>120</v>
          </cell>
          <cell r="EK246">
            <v>7.7142857142857144</v>
          </cell>
          <cell r="EL246">
            <v>1.2857142857142858</v>
          </cell>
        </row>
        <row r="247">
          <cell r="F247">
            <v>401012</v>
          </cell>
          <cell r="G247" t="str">
            <v>STRECH FILM VERDE</v>
          </cell>
          <cell r="H247">
            <v>19</v>
          </cell>
          <cell r="J247">
            <v>8</v>
          </cell>
          <cell r="K247">
            <v>1</v>
          </cell>
          <cell r="M247">
            <v>3</v>
          </cell>
          <cell r="N247">
            <v>6</v>
          </cell>
          <cell r="O247">
            <v>2</v>
          </cell>
          <cell r="P247">
            <v>3</v>
          </cell>
          <cell r="Q247">
            <v>1</v>
          </cell>
          <cell r="R247">
            <v>1</v>
          </cell>
          <cell r="T247">
            <v>2</v>
          </cell>
          <cell r="W247">
            <v>10</v>
          </cell>
          <cell r="Y247">
            <v>5</v>
          </cell>
          <cell r="Z247">
            <v>19</v>
          </cell>
          <cell r="AA247">
            <v>5</v>
          </cell>
          <cell r="AB247">
            <v>12</v>
          </cell>
          <cell r="AC247">
            <v>14</v>
          </cell>
          <cell r="AD247">
            <v>21</v>
          </cell>
          <cell r="AE247">
            <v>0</v>
          </cell>
          <cell r="AI247">
            <v>9</v>
          </cell>
          <cell r="AJ247">
            <v>16</v>
          </cell>
          <cell r="AK247">
            <v>8</v>
          </cell>
          <cell r="AN247">
            <v>9</v>
          </cell>
          <cell r="AO247">
            <v>3</v>
          </cell>
          <cell r="AX247">
            <v>12</v>
          </cell>
          <cell r="BC247">
            <v>6</v>
          </cell>
          <cell r="BD247">
            <v>0</v>
          </cell>
          <cell r="BE247">
            <v>6</v>
          </cell>
          <cell r="BF247">
            <v>30</v>
          </cell>
          <cell r="BK247">
            <v>6</v>
          </cell>
          <cell r="BO247">
            <v>6</v>
          </cell>
          <cell r="BS247">
            <v>6</v>
          </cell>
          <cell r="BT247">
            <v>6</v>
          </cell>
          <cell r="BW247">
            <v>12</v>
          </cell>
          <cell r="BZ247">
            <v>1</v>
          </cell>
          <cell r="CB247">
            <v>6</v>
          </cell>
          <cell r="CF247">
            <v>6</v>
          </cell>
          <cell r="CH247">
            <v>12</v>
          </cell>
          <cell r="CJ247">
            <v>6</v>
          </cell>
          <cell r="CK247">
            <v>30</v>
          </cell>
          <cell r="CT247">
            <v>12</v>
          </cell>
          <cell r="CY247">
            <v>6</v>
          </cell>
          <cell r="DC247">
            <v>12</v>
          </cell>
          <cell r="DK247">
            <v>6</v>
          </cell>
          <cell r="DN247">
            <v>6</v>
          </cell>
          <cell r="DR247">
            <v>6</v>
          </cell>
          <cell r="DU247">
            <v>12</v>
          </cell>
          <cell r="DW247">
            <v>6</v>
          </cell>
          <cell r="DX247">
            <v>12</v>
          </cell>
          <cell r="EB247">
            <v>6</v>
          </cell>
          <cell r="EC247">
            <v>12</v>
          </cell>
          <cell r="EE247">
            <v>6</v>
          </cell>
          <cell r="EH247" t="str">
            <v>ACTIVO</v>
          </cell>
          <cell r="EI247" t="str">
            <v>C</v>
          </cell>
          <cell r="EJ247">
            <v>120</v>
          </cell>
          <cell r="EK247">
            <v>8</v>
          </cell>
          <cell r="EL247">
            <v>1.3333333333333333</v>
          </cell>
        </row>
        <row r="248">
          <cell r="F248">
            <v>401013</v>
          </cell>
          <cell r="G248" t="str">
            <v>STRECH FILM AZUL</v>
          </cell>
          <cell r="H248">
            <v>20</v>
          </cell>
          <cell r="I248">
            <v>6</v>
          </cell>
          <cell r="J248">
            <v>4</v>
          </cell>
          <cell r="K248">
            <v>13</v>
          </cell>
          <cell r="L248">
            <v>3</v>
          </cell>
          <cell r="M248">
            <v>4</v>
          </cell>
          <cell r="P248">
            <v>5</v>
          </cell>
          <cell r="Q248">
            <v>1</v>
          </cell>
          <cell r="R248">
            <v>8</v>
          </cell>
          <cell r="S248">
            <v>5</v>
          </cell>
          <cell r="T248">
            <v>4</v>
          </cell>
          <cell r="U248">
            <v>16</v>
          </cell>
          <cell r="V248">
            <v>26</v>
          </cell>
          <cell r="W248">
            <v>33</v>
          </cell>
          <cell r="X248">
            <v>41</v>
          </cell>
          <cell r="Y248">
            <v>26</v>
          </cell>
          <cell r="Z248">
            <v>24</v>
          </cell>
          <cell r="AA248">
            <v>22</v>
          </cell>
          <cell r="AB248">
            <v>54</v>
          </cell>
          <cell r="AC248">
            <v>12</v>
          </cell>
          <cell r="AD248">
            <v>12</v>
          </cell>
          <cell r="AE248">
            <v>36</v>
          </cell>
          <cell r="AF248">
            <v>33.6</v>
          </cell>
          <cell r="AG248">
            <v>28.4</v>
          </cell>
          <cell r="AH248">
            <v>26</v>
          </cell>
          <cell r="AI248">
            <v>30</v>
          </cell>
          <cell r="AK248">
            <v>12</v>
          </cell>
          <cell r="AL248">
            <v>29</v>
          </cell>
          <cell r="AM248">
            <v>34</v>
          </cell>
          <cell r="AN248">
            <v>21</v>
          </cell>
          <cell r="AO248">
            <v>15</v>
          </cell>
          <cell r="AP248">
            <v>16</v>
          </cell>
          <cell r="AQ248">
            <v>28</v>
          </cell>
          <cell r="AR248">
            <v>14</v>
          </cell>
          <cell r="AS248">
            <v>0</v>
          </cell>
          <cell r="AT248">
            <v>16</v>
          </cell>
          <cell r="AU248">
            <v>11</v>
          </cell>
          <cell r="AV248">
            <v>14</v>
          </cell>
          <cell r="AW248">
            <v>21</v>
          </cell>
          <cell r="AX248">
            <v>20</v>
          </cell>
          <cell r="AY248">
            <v>9</v>
          </cell>
          <cell r="AZ248">
            <v>19</v>
          </cell>
          <cell r="BA248">
            <v>19</v>
          </cell>
          <cell r="BB248">
            <v>22</v>
          </cell>
          <cell r="BC248">
            <v>12</v>
          </cell>
          <cell r="BD248">
            <v>13</v>
          </cell>
          <cell r="BE248">
            <v>21</v>
          </cell>
          <cell r="BF248">
            <v>18</v>
          </cell>
          <cell r="BG248">
            <v>18</v>
          </cell>
          <cell r="BH248">
            <v>11</v>
          </cell>
          <cell r="BI248">
            <v>29</v>
          </cell>
          <cell r="BJ248">
            <v>10</v>
          </cell>
          <cell r="BK248">
            <v>28</v>
          </cell>
          <cell r="BL248">
            <v>14</v>
          </cell>
          <cell r="BM248">
            <v>20</v>
          </cell>
          <cell r="BN248">
            <v>96</v>
          </cell>
          <cell r="BO248">
            <v>26</v>
          </cell>
          <cell r="BP248">
            <v>9</v>
          </cell>
          <cell r="BQ248">
            <v>9</v>
          </cell>
          <cell r="BR248">
            <v>18</v>
          </cell>
          <cell r="BS248">
            <v>12</v>
          </cell>
          <cell r="BT248">
            <v>14</v>
          </cell>
          <cell r="BU248">
            <v>11</v>
          </cell>
          <cell r="BV248">
            <v>12</v>
          </cell>
          <cell r="BW248">
            <v>30</v>
          </cell>
          <cell r="BX248">
            <v>19</v>
          </cell>
          <cell r="BY248">
            <v>16</v>
          </cell>
          <cell r="BZ248">
            <v>22</v>
          </cell>
          <cell r="CA248">
            <v>23</v>
          </cell>
          <cell r="CB248">
            <v>32</v>
          </cell>
          <cell r="CC248">
            <v>7</v>
          </cell>
          <cell r="CD248">
            <v>26</v>
          </cell>
          <cell r="CE248">
            <v>18</v>
          </cell>
          <cell r="CF248">
            <v>16</v>
          </cell>
          <cell r="CG248">
            <v>12</v>
          </cell>
          <cell r="CH248">
            <v>34</v>
          </cell>
          <cell r="CI248">
            <v>16</v>
          </cell>
          <cell r="CJ248">
            <v>18</v>
          </cell>
          <cell r="CK248">
            <v>18</v>
          </cell>
          <cell r="CL248">
            <v>6</v>
          </cell>
          <cell r="CM248">
            <v>23</v>
          </cell>
          <cell r="CN248">
            <v>22</v>
          </cell>
          <cell r="CO248">
            <v>30</v>
          </cell>
          <cell r="CP248">
            <v>9</v>
          </cell>
          <cell r="CQ248">
            <v>22</v>
          </cell>
          <cell r="CR248">
            <v>21</v>
          </cell>
          <cell r="CS248">
            <v>10</v>
          </cell>
          <cell r="CT248">
            <v>6</v>
          </cell>
          <cell r="CU248">
            <v>8</v>
          </cell>
          <cell r="CV248">
            <v>18</v>
          </cell>
          <cell r="CW248">
            <v>18</v>
          </cell>
          <cell r="CX248">
            <v>20</v>
          </cell>
          <cell r="CZ248">
            <v>16</v>
          </cell>
          <cell r="DA248">
            <v>15</v>
          </cell>
          <cell r="DC248">
            <v>24</v>
          </cell>
          <cell r="DD248">
            <v>6</v>
          </cell>
          <cell r="DE248">
            <v>4</v>
          </cell>
          <cell r="DF248">
            <v>11</v>
          </cell>
          <cell r="DG248">
            <v>10</v>
          </cell>
          <cell r="DH248">
            <v>6</v>
          </cell>
          <cell r="DJ248">
            <v>13</v>
          </cell>
          <cell r="DK248">
            <v>20</v>
          </cell>
          <cell r="DL248">
            <v>32</v>
          </cell>
          <cell r="DM248">
            <v>18</v>
          </cell>
          <cell r="DN248">
            <v>26</v>
          </cell>
          <cell r="DO248">
            <v>10</v>
          </cell>
          <cell r="DP248">
            <v>14</v>
          </cell>
          <cell r="DQ248">
            <v>12</v>
          </cell>
          <cell r="DR248">
            <v>14</v>
          </cell>
          <cell r="DS248">
            <v>5</v>
          </cell>
          <cell r="DT248">
            <v>44</v>
          </cell>
          <cell r="DU248">
            <v>17</v>
          </cell>
          <cell r="DV248">
            <v>9</v>
          </cell>
          <cell r="DW248">
            <v>16</v>
          </cell>
          <cell r="DX248">
            <v>12</v>
          </cell>
          <cell r="DY248">
            <v>16</v>
          </cell>
          <cell r="DZ248">
            <v>16</v>
          </cell>
          <cell r="EA248">
            <v>6</v>
          </cell>
          <cell r="EC248">
            <v>8</v>
          </cell>
          <cell r="ED248">
            <v>22</v>
          </cell>
          <cell r="EE248">
            <v>18</v>
          </cell>
          <cell r="EG248">
            <v>12</v>
          </cell>
          <cell r="EH248" t="str">
            <v>ACTIVO</v>
          </cell>
          <cell r="EI248" t="str">
            <v>C</v>
          </cell>
          <cell r="EK248">
            <v>16.363636363636363</v>
          </cell>
          <cell r="EL248">
            <v>2.7272727272727271</v>
          </cell>
        </row>
        <row r="249">
          <cell r="F249">
            <v>401014</v>
          </cell>
          <cell r="G249" t="str">
            <v>STRECH FILM ANARANJADO</v>
          </cell>
          <cell r="H249">
            <v>12</v>
          </cell>
          <cell r="I249">
            <v>3</v>
          </cell>
          <cell r="L249">
            <v>1</v>
          </cell>
          <cell r="M249">
            <v>3</v>
          </cell>
          <cell r="N249">
            <v>1</v>
          </cell>
          <cell r="Q249">
            <v>4</v>
          </cell>
          <cell r="R249">
            <v>2</v>
          </cell>
          <cell r="S249">
            <v>1</v>
          </cell>
          <cell r="T249">
            <v>2</v>
          </cell>
          <cell r="V249">
            <v>5</v>
          </cell>
          <cell r="W249">
            <v>2</v>
          </cell>
          <cell r="AB249">
            <v>12</v>
          </cell>
          <cell r="AD249">
            <v>12</v>
          </cell>
          <cell r="AF249">
            <v>1</v>
          </cell>
          <cell r="AI249">
            <v>4</v>
          </cell>
          <cell r="AK249">
            <v>3</v>
          </cell>
          <cell r="AS249">
            <v>0</v>
          </cell>
          <cell r="AX249">
            <v>2</v>
          </cell>
          <cell r="BC249">
            <v>6</v>
          </cell>
          <cell r="BE249">
            <v>4</v>
          </cell>
          <cell r="BF249">
            <v>6</v>
          </cell>
          <cell r="BN249">
            <v>18</v>
          </cell>
          <cell r="BR249">
            <v>6</v>
          </cell>
          <cell r="BT249">
            <v>6</v>
          </cell>
          <cell r="BZ249">
            <v>74</v>
          </cell>
          <cell r="CR249">
            <v>24</v>
          </cell>
          <cell r="CW249">
            <v>12</v>
          </cell>
          <cell r="DE249">
            <v>6</v>
          </cell>
          <cell r="DJ249">
            <v>6</v>
          </cell>
          <cell r="DK249">
            <v>6</v>
          </cell>
          <cell r="DN249">
            <v>6</v>
          </cell>
          <cell r="DR249">
            <v>6</v>
          </cell>
          <cell r="DU249">
            <v>6</v>
          </cell>
          <cell r="DW249">
            <v>6</v>
          </cell>
          <cell r="EB249">
            <v>6</v>
          </cell>
          <cell r="EE249">
            <v>12</v>
          </cell>
          <cell r="EH249" t="str">
            <v>ACTIVO</v>
          </cell>
          <cell r="EI249" t="str">
            <v>C</v>
          </cell>
          <cell r="EJ249">
            <v>120</v>
          </cell>
          <cell r="EK249">
            <v>6.75</v>
          </cell>
          <cell r="EL249">
            <v>1.125</v>
          </cell>
        </row>
        <row r="250">
          <cell r="F250">
            <v>401015</v>
          </cell>
          <cell r="G250" t="str">
            <v>STRECH FILM AMARILLO</v>
          </cell>
          <cell r="H250">
            <v>13</v>
          </cell>
          <cell r="J250">
            <v>1</v>
          </cell>
          <cell r="M250">
            <v>7</v>
          </cell>
          <cell r="O250">
            <v>2</v>
          </cell>
          <cell r="Q250">
            <v>6</v>
          </cell>
          <cell r="R250">
            <v>2</v>
          </cell>
          <cell r="T250">
            <v>10</v>
          </cell>
          <cell r="U250">
            <v>22</v>
          </cell>
          <cell r="V250">
            <v>10</v>
          </cell>
          <cell r="W250">
            <v>1</v>
          </cell>
          <cell r="X250">
            <v>4</v>
          </cell>
          <cell r="Z250">
            <v>5</v>
          </cell>
          <cell r="AD250">
            <v>12</v>
          </cell>
          <cell r="AX250">
            <v>12</v>
          </cell>
          <cell r="BC250">
            <v>6</v>
          </cell>
          <cell r="BD250">
            <v>0</v>
          </cell>
          <cell r="BK250">
            <v>12</v>
          </cell>
          <cell r="BN250">
            <v>12</v>
          </cell>
          <cell r="BR250">
            <v>6</v>
          </cell>
          <cell r="BT250">
            <v>6</v>
          </cell>
          <cell r="BW250">
            <v>12</v>
          </cell>
          <cell r="CH250">
            <v>12</v>
          </cell>
          <cell r="CK250">
            <v>6</v>
          </cell>
          <cell r="CR250">
            <v>18</v>
          </cell>
          <cell r="CY250">
            <v>6</v>
          </cell>
          <cell r="DC250">
            <v>12</v>
          </cell>
          <cell r="DJ250">
            <v>6</v>
          </cell>
          <cell r="DN250">
            <v>6</v>
          </cell>
          <cell r="DR250">
            <v>6</v>
          </cell>
          <cell r="DU250">
            <v>12</v>
          </cell>
          <cell r="DZ250">
            <v>6</v>
          </cell>
          <cell r="EB250">
            <v>6</v>
          </cell>
          <cell r="EE250">
            <v>12</v>
          </cell>
          <cell r="EH250" t="str">
            <v>ACTIVO</v>
          </cell>
          <cell r="EI250" t="str">
            <v>C</v>
          </cell>
          <cell r="EJ250">
            <v>120</v>
          </cell>
          <cell r="EK250">
            <v>7.7142857142857144</v>
          </cell>
          <cell r="EL250">
            <v>1.2857142857142858</v>
          </cell>
        </row>
        <row r="251">
          <cell r="F251">
            <v>401019</v>
          </cell>
          <cell r="G251" t="str">
            <v>STRECH FILM ROJO</v>
          </cell>
          <cell r="P251">
            <v>1</v>
          </cell>
          <cell r="AE251">
            <v>2</v>
          </cell>
          <cell r="AF251">
            <v>2</v>
          </cell>
          <cell r="AK251">
            <v>1</v>
          </cell>
          <cell r="AO251">
            <v>1</v>
          </cell>
          <cell r="BC251">
            <v>6</v>
          </cell>
          <cell r="BD251">
            <v>0</v>
          </cell>
          <cell r="CB251">
            <v>12</v>
          </cell>
          <cell r="CG251">
            <v>6</v>
          </cell>
          <cell r="CH251">
            <v>12</v>
          </cell>
          <cell r="DS251">
            <v>6</v>
          </cell>
          <cell r="EH251" t="str">
            <v>ACTIVO</v>
          </cell>
          <cell r="EI251" t="str">
            <v>C</v>
          </cell>
          <cell r="EJ251">
            <v>120</v>
          </cell>
          <cell r="EK251">
            <v>6</v>
          </cell>
          <cell r="EL251">
            <v>1</v>
          </cell>
        </row>
        <row r="252">
          <cell r="F252">
            <v>402111</v>
          </cell>
          <cell r="G252" t="str">
            <v>FILM TRANSPARENTE  685 MM (23CM) BATTISTA</v>
          </cell>
          <cell r="AW252">
            <v>6</v>
          </cell>
          <cell r="AY252">
            <v>1</v>
          </cell>
          <cell r="EH252" t="str">
            <v>ACTIVO</v>
          </cell>
          <cell r="EI252" t="str">
            <v/>
          </cell>
          <cell r="EJ252">
            <v>120</v>
          </cell>
          <cell r="EK252">
            <v>0</v>
          </cell>
          <cell r="EL252">
            <v>0</v>
          </cell>
        </row>
        <row r="253">
          <cell r="H253">
            <v>126</v>
          </cell>
          <cell r="I253">
            <v>9</v>
          </cell>
          <cell r="J253">
            <v>13</v>
          </cell>
          <cell r="K253">
            <v>14</v>
          </cell>
          <cell r="L253">
            <v>4</v>
          </cell>
          <cell r="M253">
            <v>23</v>
          </cell>
          <cell r="N253">
            <v>7</v>
          </cell>
          <cell r="O253">
            <v>4</v>
          </cell>
          <cell r="P253">
            <v>9</v>
          </cell>
          <cell r="Q253">
            <v>12</v>
          </cell>
          <cell r="R253">
            <v>13</v>
          </cell>
          <cell r="S253">
            <v>10</v>
          </cell>
          <cell r="T253">
            <v>19</v>
          </cell>
          <cell r="U253">
            <v>38</v>
          </cell>
          <cell r="V253">
            <v>51</v>
          </cell>
          <cell r="W253">
            <v>56</v>
          </cell>
          <cell r="X253">
            <v>48</v>
          </cell>
          <cell r="Y253">
            <v>34</v>
          </cell>
          <cell r="Z253">
            <v>48</v>
          </cell>
          <cell r="AA253">
            <v>27</v>
          </cell>
          <cell r="AB253">
            <v>78</v>
          </cell>
          <cell r="AC253">
            <v>26</v>
          </cell>
          <cell r="AD253">
            <v>57</v>
          </cell>
          <cell r="AE253">
            <v>38</v>
          </cell>
          <cell r="AF253">
            <v>36.6</v>
          </cell>
          <cell r="AG253">
            <v>28.4</v>
          </cell>
          <cell r="AH253">
            <v>26</v>
          </cell>
          <cell r="AI253">
            <v>43</v>
          </cell>
          <cell r="AJ253">
            <v>16</v>
          </cell>
          <cell r="AK253">
            <v>27</v>
          </cell>
          <cell r="AL253">
            <v>29</v>
          </cell>
          <cell r="AM253">
            <v>34</v>
          </cell>
          <cell r="AN253">
            <v>42</v>
          </cell>
          <cell r="AO253">
            <v>19</v>
          </cell>
          <cell r="AP253">
            <v>16</v>
          </cell>
          <cell r="AQ253">
            <v>28</v>
          </cell>
          <cell r="AR253">
            <v>14</v>
          </cell>
          <cell r="AS253">
            <v>0</v>
          </cell>
          <cell r="AT253">
            <v>16</v>
          </cell>
          <cell r="AU253">
            <v>11</v>
          </cell>
          <cell r="AV253">
            <v>14</v>
          </cell>
          <cell r="AW253">
            <v>27</v>
          </cell>
          <cell r="AX253">
            <v>53</v>
          </cell>
          <cell r="AY253">
            <v>10</v>
          </cell>
          <cell r="AZ253">
            <v>25</v>
          </cell>
          <cell r="BA253">
            <v>19</v>
          </cell>
          <cell r="BB253">
            <v>52</v>
          </cell>
          <cell r="BC253">
            <v>78</v>
          </cell>
          <cell r="BD253">
            <v>49</v>
          </cell>
          <cell r="BE253">
            <v>91</v>
          </cell>
          <cell r="BF253">
            <v>54</v>
          </cell>
          <cell r="BG253">
            <v>42</v>
          </cell>
          <cell r="BH253">
            <v>11</v>
          </cell>
          <cell r="BI253">
            <v>83</v>
          </cell>
          <cell r="BJ253">
            <v>34</v>
          </cell>
          <cell r="BK253">
            <v>83</v>
          </cell>
          <cell r="BL253">
            <v>32</v>
          </cell>
          <cell r="BM253">
            <v>30</v>
          </cell>
          <cell r="BN253">
            <v>198</v>
          </cell>
          <cell r="BO253">
            <v>98</v>
          </cell>
          <cell r="BP253">
            <v>69</v>
          </cell>
          <cell r="BQ253">
            <v>9</v>
          </cell>
          <cell r="BR253">
            <v>66</v>
          </cell>
          <cell r="BS253">
            <v>54</v>
          </cell>
          <cell r="BT253">
            <v>75</v>
          </cell>
          <cell r="BU253">
            <v>41</v>
          </cell>
          <cell r="BV253">
            <v>24</v>
          </cell>
          <cell r="BW253">
            <v>114</v>
          </cell>
          <cell r="BX253">
            <v>79</v>
          </cell>
          <cell r="BY253">
            <v>77</v>
          </cell>
          <cell r="BZ253">
            <v>163</v>
          </cell>
          <cell r="CA253">
            <v>29</v>
          </cell>
          <cell r="CB253">
            <v>98</v>
          </cell>
          <cell r="CC253">
            <v>43</v>
          </cell>
          <cell r="CD253">
            <v>86</v>
          </cell>
          <cell r="CE253">
            <v>78</v>
          </cell>
          <cell r="CF253">
            <v>58</v>
          </cell>
          <cell r="CG253">
            <v>84</v>
          </cell>
          <cell r="CH253">
            <v>124</v>
          </cell>
          <cell r="CI253">
            <v>52</v>
          </cell>
          <cell r="CJ253">
            <v>30</v>
          </cell>
          <cell r="CK253">
            <v>150</v>
          </cell>
          <cell r="CL253">
            <v>6</v>
          </cell>
          <cell r="CM253">
            <v>137</v>
          </cell>
          <cell r="CN253">
            <v>22</v>
          </cell>
          <cell r="CO253">
            <v>78</v>
          </cell>
          <cell r="CP253">
            <v>45</v>
          </cell>
          <cell r="CQ253">
            <v>62</v>
          </cell>
          <cell r="CR253">
            <v>171</v>
          </cell>
          <cell r="CS253">
            <v>10</v>
          </cell>
          <cell r="CT253">
            <v>54</v>
          </cell>
          <cell r="CU253">
            <v>14</v>
          </cell>
          <cell r="CV253">
            <v>54</v>
          </cell>
          <cell r="CW253">
            <v>96</v>
          </cell>
          <cell r="CX253">
            <v>68</v>
          </cell>
          <cell r="CY253">
            <v>46</v>
          </cell>
          <cell r="CZ253">
            <v>45</v>
          </cell>
          <cell r="DA253">
            <v>15</v>
          </cell>
          <cell r="DC253">
            <v>48</v>
          </cell>
          <cell r="DD253">
            <v>21</v>
          </cell>
          <cell r="DE253">
            <v>20</v>
          </cell>
          <cell r="DF253">
            <v>11</v>
          </cell>
          <cell r="DG253">
            <v>16</v>
          </cell>
          <cell r="DH253">
            <v>6</v>
          </cell>
          <cell r="DJ253">
            <v>31</v>
          </cell>
          <cell r="DK253">
            <v>38</v>
          </cell>
          <cell r="DL253">
            <v>32</v>
          </cell>
          <cell r="DM253">
            <v>18</v>
          </cell>
          <cell r="DN253">
            <v>56</v>
          </cell>
          <cell r="DO253">
            <v>10</v>
          </cell>
          <cell r="DP253">
            <v>14</v>
          </cell>
          <cell r="DQ253">
            <v>12</v>
          </cell>
          <cell r="DR253">
            <v>47</v>
          </cell>
          <cell r="DS253">
            <v>11</v>
          </cell>
          <cell r="DT253">
            <v>50</v>
          </cell>
          <cell r="DU253">
            <v>59</v>
          </cell>
          <cell r="DV253">
            <v>9</v>
          </cell>
          <cell r="DW253">
            <v>28</v>
          </cell>
          <cell r="DX253">
            <v>36</v>
          </cell>
          <cell r="DY253">
            <v>16</v>
          </cell>
          <cell r="DZ253">
            <v>28</v>
          </cell>
          <cell r="EA253">
            <v>18</v>
          </cell>
          <cell r="EB253">
            <v>30</v>
          </cell>
          <cell r="EC253">
            <v>20</v>
          </cell>
          <cell r="ED253">
            <v>22</v>
          </cell>
          <cell r="EE253">
            <v>72</v>
          </cell>
          <cell r="EG253">
            <v>12</v>
          </cell>
          <cell r="EH253" t="str">
            <v>ACTIVO</v>
          </cell>
          <cell r="EI253" t="str">
            <v/>
          </cell>
          <cell r="EJ253" t="str">
            <v/>
          </cell>
          <cell r="EK253">
            <v>29.086956521739129</v>
          </cell>
          <cell r="EL253">
            <v>4.8478260869565215</v>
          </cell>
        </row>
        <row r="254">
          <cell r="F254">
            <v>402132</v>
          </cell>
          <cell r="G254" t="str">
            <v>FRAMBUESA CONGELADA ALTA FRUTA</v>
          </cell>
          <cell r="W254">
            <v>1400</v>
          </cell>
          <cell r="X254">
            <v>1400</v>
          </cell>
          <cell r="AA254">
            <v>400</v>
          </cell>
          <cell r="AC254">
            <v>500</v>
          </cell>
          <cell r="AD254">
            <v>300</v>
          </cell>
          <cell r="AF254">
            <v>400</v>
          </cell>
          <cell r="AL254">
            <v>400</v>
          </cell>
          <cell r="AP254">
            <v>500</v>
          </cell>
          <cell r="BL254">
            <v>200</v>
          </cell>
          <cell r="CB254">
            <v>416</v>
          </cell>
          <cell r="CG254">
            <v>266.7</v>
          </cell>
          <cell r="CM254">
            <v>57.5</v>
          </cell>
          <cell r="CN254">
            <v>573.5</v>
          </cell>
          <cell r="CO254">
            <v>458</v>
          </cell>
          <cell r="CP254">
            <v>277.5</v>
          </cell>
          <cell r="CQ254">
            <v>615</v>
          </cell>
          <cell r="DE254">
            <v>420</v>
          </cell>
          <cell r="DF254">
            <v>969</v>
          </cell>
          <cell r="DG254">
            <v>1203</v>
          </cell>
          <cell r="DH254">
            <v>1056</v>
          </cell>
          <cell r="DI254">
            <v>200</v>
          </cell>
          <cell r="DJ254">
            <v>1152</v>
          </cell>
          <cell r="DK254">
            <v>1700</v>
          </cell>
          <cell r="DL254">
            <v>1052</v>
          </cell>
          <cell r="DM254">
            <v>272</v>
          </cell>
          <cell r="DN254">
            <v>24</v>
          </cell>
          <cell r="DO254">
            <v>388</v>
          </cell>
          <cell r="DP254">
            <v>596</v>
          </cell>
          <cell r="DR254">
            <v>656</v>
          </cell>
          <cell r="DS254">
            <v>832</v>
          </cell>
          <cell r="DT254">
            <v>368</v>
          </cell>
          <cell r="DW254">
            <v>294</v>
          </cell>
          <cell r="DX254">
            <v>274</v>
          </cell>
          <cell r="DY254">
            <v>1040</v>
          </cell>
          <cell r="DZ254">
            <v>619</v>
          </cell>
          <cell r="EA254">
            <v>400</v>
          </cell>
          <cell r="EB254">
            <v>288</v>
          </cell>
          <cell r="EC254">
            <v>144</v>
          </cell>
          <cell r="ED254">
            <v>660</v>
          </cell>
          <cell r="EE254">
            <v>396.5</v>
          </cell>
          <cell r="EF254">
            <v>740</v>
          </cell>
          <cell r="EG254">
            <v>200</v>
          </cell>
          <cell r="EH254" t="str">
            <v>ACTIVO</v>
          </cell>
          <cell r="EI254" t="str">
            <v>B</v>
          </cell>
          <cell r="EJ254" t="str">
            <v/>
          </cell>
          <cell r="EK254">
            <v>558.88636363636363</v>
          </cell>
          <cell r="EL254">
            <v>93.147727272727266</v>
          </cell>
        </row>
        <row r="255">
          <cell r="F255">
            <v>107354</v>
          </cell>
          <cell r="G255" t="str">
            <v>FRUTILLA CONGELADA ALTA FRUTA</v>
          </cell>
          <cell r="DD255">
            <v>0</v>
          </cell>
          <cell r="EH255" t="str">
            <v>SIN USO</v>
          </cell>
          <cell r="EI255" t="str">
            <v>C</v>
          </cell>
          <cell r="EJ255" t="str">
            <v/>
          </cell>
          <cell r="EK255">
            <v>0</v>
          </cell>
          <cell r="EL255">
            <v>0</v>
          </cell>
        </row>
        <row r="256">
          <cell r="F256">
            <v>107306</v>
          </cell>
          <cell r="G256" t="str">
            <v>FRAMBUESA CONGELADA FRUTOS DEL MAIPO</v>
          </cell>
          <cell r="AG256">
            <v>1800</v>
          </cell>
          <cell r="AK256">
            <v>396</v>
          </cell>
          <cell r="AN256">
            <v>204</v>
          </cell>
          <cell r="AO256">
            <v>408</v>
          </cell>
          <cell r="AP256">
            <v>204</v>
          </cell>
          <cell r="BN256">
            <v>600</v>
          </cell>
          <cell r="BO256">
            <v>300</v>
          </cell>
          <cell r="BP256">
            <v>600</v>
          </cell>
          <cell r="CG256">
            <v>237.3</v>
          </cell>
          <cell r="CI256">
            <v>408</v>
          </cell>
          <cell r="CJ256">
            <v>236.5</v>
          </cell>
          <cell r="CK256">
            <v>504</v>
          </cell>
          <cell r="CL256">
            <v>124</v>
          </cell>
          <cell r="CM256">
            <v>530</v>
          </cell>
          <cell r="CQ256">
            <v>270</v>
          </cell>
          <cell r="CR256">
            <v>562</v>
          </cell>
          <cell r="CS256">
            <v>162</v>
          </cell>
          <cell r="CT256">
            <v>468</v>
          </cell>
          <cell r="CU256">
            <v>554</v>
          </cell>
          <cell r="CV256">
            <v>588</v>
          </cell>
          <cell r="CW256">
            <v>674</v>
          </cell>
          <cell r="CX256">
            <v>512</v>
          </cell>
          <cell r="CY256">
            <v>982</v>
          </cell>
          <cell r="CZ256">
            <v>708</v>
          </cell>
          <cell r="DA256">
            <v>832</v>
          </cell>
          <cell r="DB256">
            <v>850</v>
          </cell>
          <cell r="DC256">
            <v>562</v>
          </cell>
          <cell r="DD256">
            <v>479</v>
          </cell>
          <cell r="DF256">
            <v>5</v>
          </cell>
          <cell r="DT256">
            <v>144</v>
          </cell>
          <cell r="DU256">
            <v>466</v>
          </cell>
          <cell r="DV256">
            <v>434</v>
          </cell>
          <cell r="DW256">
            <v>466</v>
          </cell>
          <cell r="DX256">
            <v>368</v>
          </cell>
          <cell r="DY256">
            <v>728</v>
          </cell>
          <cell r="EH256" t="str">
            <v>ACTIVO</v>
          </cell>
          <cell r="EI256" t="str">
            <v>B</v>
          </cell>
          <cell r="EJ256" t="str">
            <v/>
          </cell>
          <cell r="EK256">
            <v>434.33333333333331</v>
          </cell>
          <cell r="EL256">
            <v>72.388888888888886</v>
          </cell>
        </row>
        <row r="257">
          <cell r="F257">
            <v>107368</v>
          </cell>
          <cell r="G257" t="str">
            <v>FRAMBUESA MITAD CONGELADA MEL</v>
          </cell>
          <cell r="AO257">
            <v>200</v>
          </cell>
          <cell r="EH257" t="str">
            <v>SIN USO</v>
          </cell>
          <cell r="EI257" t="str">
            <v/>
          </cell>
          <cell r="EJ257" t="str">
            <v/>
          </cell>
          <cell r="EK257">
            <v>0</v>
          </cell>
          <cell r="EL257">
            <v>0</v>
          </cell>
        </row>
        <row r="258">
          <cell r="F258">
            <v>405285</v>
          </cell>
          <cell r="G258" t="str">
            <v>FRUTILLA PICADILLO CONGELADA ALTA FRUTA</v>
          </cell>
          <cell r="CT258">
            <v>133</v>
          </cell>
          <cell r="EH258" t="str">
            <v>SIN USO</v>
          </cell>
          <cell r="EI258" t="str">
            <v>C</v>
          </cell>
          <cell r="EJ258" t="str">
            <v/>
          </cell>
          <cell r="EK258">
            <v>0</v>
          </cell>
          <cell r="EL258">
            <v>0</v>
          </cell>
        </row>
        <row r="259">
          <cell r="F259">
            <v>107277</v>
          </cell>
          <cell r="G259" t="str">
            <v>PULPA MARACUYÁ CON PEPAS ALTA FRUTA</v>
          </cell>
          <cell r="DA259">
            <v>10</v>
          </cell>
          <cell r="DB259">
            <v>35</v>
          </cell>
          <cell r="EH259" t="str">
            <v>SIN USO</v>
          </cell>
          <cell r="EI259" t="str">
            <v>C</v>
          </cell>
          <cell r="EJ259" t="str">
            <v/>
          </cell>
          <cell r="EK259">
            <v>0</v>
          </cell>
          <cell r="EL259">
            <v>0</v>
          </cell>
        </row>
        <row r="260">
          <cell r="W260">
            <v>1400</v>
          </cell>
          <cell r="X260">
            <v>1400</v>
          </cell>
          <cell r="AA260">
            <v>400</v>
          </cell>
          <cell r="AC260">
            <v>500</v>
          </cell>
          <cell r="AD260">
            <v>300</v>
          </cell>
          <cell r="AF260">
            <v>400</v>
          </cell>
          <cell r="AG260">
            <v>1800</v>
          </cell>
          <cell r="AK260">
            <v>396</v>
          </cell>
          <cell r="AL260">
            <v>400</v>
          </cell>
          <cell r="AN260">
            <v>204</v>
          </cell>
          <cell r="AO260">
            <v>608</v>
          </cell>
          <cell r="AP260">
            <v>704</v>
          </cell>
          <cell r="BL260">
            <v>200</v>
          </cell>
          <cell r="BN260">
            <v>600</v>
          </cell>
          <cell r="BO260">
            <v>300</v>
          </cell>
          <cell r="BP260">
            <v>600</v>
          </cell>
          <cell r="CB260">
            <v>416</v>
          </cell>
          <cell r="CG260">
            <v>504</v>
          </cell>
          <cell r="CI260">
            <v>408</v>
          </cell>
          <cell r="CJ260">
            <v>236.5</v>
          </cell>
          <cell r="CK260">
            <v>504</v>
          </cell>
          <cell r="CL260">
            <v>124</v>
          </cell>
          <cell r="CM260">
            <v>587.5</v>
          </cell>
          <cell r="CN260">
            <v>573.5</v>
          </cell>
          <cell r="CO260">
            <v>458</v>
          </cell>
          <cell r="CP260">
            <v>277.5</v>
          </cell>
          <cell r="CQ260">
            <v>885</v>
          </cell>
          <cell r="CR260">
            <v>562</v>
          </cell>
          <cell r="CS260">
            <v>162</v>
          </cell>
          <cell r="CT260">
            <v>601</v>
          </cell>
          <cell r="CU260">
            <v>554</v>
          </cell>
          <cell r="CV260">
            <v>588</v>
          </cell>
          <cell r="CW260">
            <v>674</v>
          </cell>
          <cell r="CX260">
            <v>512</v>
          </cell>
          <cell r="CY260">
            <v>982</v>
          </cell>
          <cell r="CZ260">
            <v>708</v>
          </cell>
          <cell r="DA260">
            <v>842</v>
          </cell>
          <cell r="DB260">
            <v>885</v>
          </cell>
          <cell r="DC260">
            <v>562</v>
          </cell>
          <cell r="DD260">
            <v>479</v>
          </cell>
          <cell r="DE260">
            <v>420</v>
          </cell>
          <cell r="DF260">
            <v>974</v>
          </cell>
          <cell r="DG260">
            <v>1203</v>
          </cell>
          <cell r="DH260">
            <v>1056</v>
          </cell>
          <cell r="DI260">
            <v>200</v>
          </cell>
          <cell r="DJ260">
            <v>1152</v>
          </cell>
          <cell r="DK260">
            <v>1700</v>
          </cell>
          <cell r="DL260">
            <v>1052</v>
          </cell>
          <cell r="DM260">
            <v>272</v>
          </cell>
          <cell r="DN260">
            <v>24</v>
          </cell>
          <cell r="DO260">
            <v>388</v>
          </cell>
          <cell r="DP260">
            <v>596</v>
          </cell>
          <cell r="DR260">
            <v>656</v>
          </cell>
          <cell r="DS260">
            <v>832</v>
          </cell>
          <cell r="DT260">
            <v>512</v>
          </cell>
          <cell r="DU260">
            <v>466</v>
          </cell>
          <cell r="DV260">
            <v>434</v>
          </cell>
          <cell r="DW260">
            <v>760</v>
          </cell>
          <cell r="DX260">
            <v>642</v>
          </cell>
          <cell r="DY260">
            <v>1768</v>
          </cell>
          <cell r="DZ260">
            <v>619</v>
          </cell>
          <cell r="EA260">
            <v>400</v>
          </cell>
          <cell r="EB260">
            <v>288</v>
          </cell>
          <cell r="EC260">
            <v>144</v>
          </cell>
          <cell r="ED260">
            <v>660</v>
          </cell>
          <cell r="EE260">
            <v>396.5</v>
          </cell>
          <cell r="EF260">
            <v>740</v>
          </cell>
          <cell r="EG260">
            <v>200</v>
          </cell>
          <cell r="EH260" t="str">
            <v>ACTIVO</v>
          </cell>
          <cell r="EI260" t="str">
            <v/>
          </cell>
          <cell r="EJ260" t="str">
            <v/>
          </cell>
          <cell r="EK260">
            <v>620.89583333333337</v>
          </cell>
          <cell r="EL260">
            <v>103.4826388888889</v>
          </cell>
        </row>
        <row r="261">
          <cell r="F261">
            <v>107319</v>
          </cell>
          <cell r="G261" t="str">
            <v>FILLING DE GUINDA BALDE 4,5 Kg</v>
          </cell>
          <cell r="H261">
            <v>640</v>
          </cell>
          <cell r="I261">
            <v>409.5</v>
          </cell>
          <cell r="J261">
            <v>400.5</v>
          </cell>
          <cell r="K261">
            <v>481.5</v>
          </cell>
          <cell r="L261">
            <v>1035</v>
          </cell>
          <cell r="M261">
            <v>274.5</v>
          </cell>
          <cell r="N261">
            <v>369</v>
          </cell>
          <cell r="O261">
            <v>675</v>
          </cell>
          <cell r="P261">
            <v>441</v>
          </cell>
          <cell r="Q261">
            <v>1251</v>
          </cell>
          <cell r="R261">
            <v>589.5</v>
          </cell>
          <cell r="S261">
            <v>310.5</v>
          </cell>
          <cell r="T261">
            <v>144</v>
          </cell>
          <cell r="U261">
            <v>1368</v>
          </cell>
          <cell r="V261">
            <v>1152.5</v>
          </cell>
          <cell r="W261">
            <v>648</v>
          </cell>
          <cell r="X261">
            <v>841.5</v>
          </cell>
          <cell r="Y261">
            <v>378</v>
          </cell>
          <cell r="Z261">
            <v>369</v>
          </cell>
          <cell r="AA261">
            <v>549</v>
          </cell>
          <cell r="AB261">
            <v>657</v>
          </cell>
          <cell r="AC261">
            <v>574.76</v>
          </cell>
          <cell r="AD261">
            <v>634.5</v>
          </cell>
          <cell r="AE261">
            <v>792</v>
          </cell>
          <cell r="AF261">
            <v>652.5</v>
          </cell>
          <cell r="AG261">
            <v>603</v>
          </cell>
          <cell r="AH261">
            <v>567</v>
          </cell>
          <cell r="AI261">
            <v>576</v>
          </cell>
          <cell r="AJ261">
            <v>571.5</v>
          </cell>
          <cell r="AK261">
            <v>679.5</v>
          </cell>
          <cell r="AL261">
            <v>494</v>
          </cell>
          <cell r="AM261">
            <v>742.5</v>
          </cell>
          <cell r="AN261">
            <v>513</v>
          </cell>
          <cell r="AO261">
            <v>535.5</v>
          </cell>
          <cell r="AP261">
            <v>549</v>
          </cell>
          <cell r="AQ261">
            <v>607.5</v>
          </cell>
          <cell r="AR261">
            <v>562.5</v>
          </cell>
          <cell r="AS261">
            <v>598.5</v>
          </cell>
          <cell r="AT261">
            <v>454.5</v>
          </cell>
          <cell r="AU261">
            <v>629.5</v>
          </cell>
          <cell r="AV261">
            <v>486</v>
          </cell>
          <cell r="AW261">
            <v>396</v>
          </cell>
          <cell r="AX261">
            <v>531</v>
          </cell>
          <cell r="AY261">
            <v>603</v>
          </cell>
          <cell r="AZ261">
            <v>571.5</v>
          </cell>
          <cell r="BA261">
            <v>621</v>
          </cell>
          <cell r="BB261">
            <v>378</v>
          </cell>
          <cell r="BC261">
            <v>549</v>
          </cell>
          <cell r="BD261">
            <v>418.5</v>
          </cell>
          <cell r="BE261">
            <v>436.5</v>
          </cell>
          <cell r="BF261">
            <v>531</v>
          </cell>
          <cell r="BG261">
            <v>463.5</v>
          </cell>
          <cell r="BH261">
            <v>247.5</v>
          </cell>
          <cell r="BI261">
            <v>463.5</v>
          </cell>
          <cell r="BJ261">
            <v>459</v>
          </cell>
          <cell r="BK261">
            <v>441</v>
          </cell>
          <cell r="BL261">
            <v>549</v>
          </cell>
          <cell r="BM261">
            <v>432</v>
          </cell>
          <cell r="BN261">
            <v>405</v>
          </cell>
          <cell r="BO261">
            <v>900</v>
          </cell>
          <cell r="BP261">
            <v>490.5</v>
          </cell>
          <cell r="BQ261">
            <v>229.5</v>
          </cell>
          <cell r="BR261">
            <v>562.5</v>
          </cell>
          <cell r="BS261">
            <v>1192.5</v>
          </cell>
          <cell r="BT261">
            <v>459</v>
          </cell>
          <cell r="BU261">
            <v>454.5</v>
          </cell>
          <cell r="BV261">
            <v>792</v>
          </cell>
          <cell r="BW261">
            <v>427.5</v>
          </cell>
          <cell r="BX261">
            <v>918</v>
          </cell>
          <cell r="BY261">
            <v>954</v>
          </cell>
          <cell r="BZ261">
            <v>531</v>
          </cell>
          <cell r="CA261">
            <v>1017</v>
          </cell>
          <cell r="CC261">
            <v>364.5</v>
          </cell>
          <cell r="CD261">
            <v>486</v>
          </cell>
          <cell r="CE261">
            <v>324</v>
          </cell>
          <cell r="CF261">
            <v>594</v>
          </cell>
          <cell r="CG261">
            <v>567</v>
          </cell>
          <cell r="CH261">
            <v>418.5</v>
          </cell>
          <cell r="CI261">
            <v>166.5</v>
          </cell>
          <cell r="CJ261">
            <v>814.5</v>
          </cell>
          <cell r="CK261">
            <v>589.5</v>
          </cell>
          <cell r="CL261">
            <v>1053</v>
          </cell>
          <cell r="CM261">
            <v>63</v>
          </cell>
          <cell r="CN261">
            <v>468</v>
          </cell>
          <cell r="CO261">
            <v>477</v>
          </cell>
          <cell r="CP261">
            <v>1228.5</v>
          </cell>
          <cell r="CQ261">
            <v>243</v>
          </cell>
          <cell r="CR261">
            <v>463.5</v>
          </cell>
          <cell r="CS261">
            <v>486</v>
          </cell>
          <cell r="CT261">
            <v>535.5</v>
          </cell>
          <cell r="CU261">
            <v>729</v>
          </cell>
          <cell r="CV261">
            <v>841.5</v>
          </cell>
          <cell r="CW261">
            <v>837</v>
          </cell>
          <cell r="CX261">
            <v>81</v>
          </cell>
          <cell r="CY261">
            <v>360</v>
          </cell>
          <cell r="CZ261">
            <v>1116</v>
          </cell>
          <cell r="DA261">
            <v>364.5</v>
          </cell>
          <cell r="DC261">
            <v>517.5</v>
          </cell>
          <cell r="DD261">
            <v>360</v>
          </cell>
          <cell r="DE261">
            <v>252</v>
          </cell>
          <cell r="DF261">
            <v>432</v>
          </cell>
          <cell r="DG261">
            <v>144</v>
          </cell>
          <cell r="DH261">
            <v>234</v>
          </cell>
          <cell r="DI261">
            <v>117</v>
          </cell>
          <cell r="DJ261">
            <v>792</v>
          </cell>
          <cell r="DK261">
            <v>252</v>
          </cell>
          <cell r="DL261">
            <v>634.5</v>
          </cell>
          <cell r="DM261">
            <v>792</v>
          </cell>
          <cell r="DN261">
            <v>310.5</v>
          </cell>
          <cell r="DO261">
            <v>1120.5</v>
          </cell>
          <cell r="DP261">
            <v>720</v>
          </cell>
          <cell r="DQ261">
            <v>243</v>
          </cell>
          <cell r="DR261">
            <v>121.5</v>
          </cell>
          <cell r="DS261">
            <v>252</v>
          </cell>
          <cell r="DT261">
            <v>607.5</v>
          </cell>
          <cell r="DU261">
            <v>729</v>
          </cell>
          <cell r="DV261">
            <v>229.5</v>
          </cell>
          <cell r="DW261">
            <v>364.5</v>
          </cell>
          <cell r="DX261">
            <v>855</v>
          </cell>
          <cell r="DY261">
            <v>486</v>
          </cell>
          <cell r="DZ261">
            <v>1259</v>
          </cell>
          <cell r="EB261">
            <v>508.5</v>
          </cell>
          <cell r="EC261">
            <v>418.5</v>
          </cell>
          <cell r="ED261">
            <v>598.5</v>
          </cell>
          <cell r="EE261">
            <v>819</v>
          </cell>
          <cell r="EF261">
            <v>697.5</v>
          </cell>
          <cell r="EG261">
            <v>427.5</v>
          </cell>
          <cell r="EH261" t="str">
            <v>ACTIVO</v>
          </cell>
          <cell r="EI261" t="str">
            <v>A</v>
          </cell>
          <cell r="EJ261">
            <v>540</v>
          </cell>
          <cell r="EK261">
            <v>556.45833333333337</v>
          </cell>
          <cell r="EL261">
            <v>92.743055555555557</v>
          </cell>
        </row>
        <row r="262">
          <cell r="F262">
            <v>107312</v>
          </cell>
          <cell r="G262" t="str">
            <v>CEREZAS AL JUGO CAMPOS</v>
          </cell>
          <cell r="H262">
            <v>37.4</v>
          </cell>
          <cell r="I262">
            <v>4.8</v>
          </cell>
          <cell r="J262">
            <v>4.8</v>
          </cell>
          <cell r="AO262">
            <v>31</v>
          </cell>
          <cell r="AP262">
            <v>54.199999999999996</v>
          </cell>
          <cell r="AQ262">
            <v>141.4</v>
          </cell>
          <cell r="AR262">
            <v>158.1</v>
          </cell>
          <cell r="AT262">
            <v>130.89999999999998</v>
          </cell>
          <cell r="AU262">
            <v>139.29999999999998</v>
          </cell>
          <cell r="AV262">
            <v>139.39999999999998</v>
          </cell>
          <cell r="AW262">
            <v>162.79999999999998</v>
          </cell>
          <cell r="AX262">
            <v>173.4</v>
          </cell>
          <cell r="AY262">
            <v>170.70000000000002</v>
          </cell>
          <cell r="AZ262">
            <v>185.29999999999998</v>
          </cell>
          <cell r="BA262">
            <v>187</v>
          </cell>
          <cell r="BB262">
            <v>154.80000000000001</v>
          </cell>
          <cell r="BC262">
            <v>185.29999999999998</v>
          </cell>
          <cell r="BD262">
            <v>176.79999999999998</v>
          </cell>
          <cell r="BE262">
            <v>173.4</v>
          </cell>
          <cell r="BF262">
            <v>180.20000000000002</v>
          </cell>
          <cell r="BG262">
            <v>110.5</v>
          </cell>
          <cell r="BH262">
            <v>90.1</v>
          </cell>
          <cell r="BI262">
            <v>197.20000000000002</v>
          </cell>
          <cell r="BJ262">
            <v>107.10000000000001</v>
          </cell>
          <cell r="BK262">
            <v>232.42100000000002</v>
          </cell>
          <cell r="BL262">
            <v>195.5</v>
          </cell>
          <cell r="BM262">
            <v>179.5</v>
          </cell>
          <cell r="BN262">
            <v>195.5</v>
          </cell>
          <cell r="BO262">
            <v>200.6</v>
          </cell>
          <cell r="BP262">
            <v>207.4</v>
          </cell>
          <cell r="BQ262">
            <v>195.5</v>
          </cell>
          <cell r="BR262">
            <v>270.89999999999998</v>
          </cell>
          <cell r="BS262">
            <v>204.00000000000003</v>
          </cell>
          <cell r="BT262">
            <v>200.60000000000002</v>
          </cell>
          <cell r="BU262">
            <v>229.9</v>
          </cell>
          <cell r="BV262">
            <v>249.89999999999998</v>
          </cell>
          <cell r="BW262">
            <v>243.1</v>
          </cell>
          <cell r="BX262">
            <v>230.3</v>
          </cell>
          <cell r="BY262">
            <v>178.5</v>
          </cell>
          <cell r="BZ262">
            <v>6.8</v>
          </cell>
          <cell r="CA262">
            <v>13.6</v>
          </cell>
          <cell r="CB262">
            <v>9</v>
          </cell>
          <cell r="CC262">
            <v>39.1</v>
          </cell>
          <cell r="CD262">
            <v>32.300000000000004</v>
          </cell>
          <cell r="CE262">
            <v>39.099999999999994</v>
          </cell>
          <cell r="CF262">
            <v>27.199999999999996</v>
          </cell>
          <cell r="CG262">
            <v>27.199999999999996</v>
          </cell>
          <cell r="CH262">
            <v>62.900000000000006</v>
          </cell>
          <cell r="CI262">
            <v>183.6</v>
          </cell>
          <cell r="CJ262">
            <v>185.3</v>
          </cell>
          <cell r="CK262">
            <v>178.8</v>
          </cell>
          <cell r="CL262">
            <v>129.19999999999999</v>
          </cell>
          <cell r="CM262">
            <v>132.6</v>
          </cell>
          <cell r="CN262">
            <v>200.78</v>
          </cell>
          <cell r="CO262">
            <v>207.4</v>
          </cell>
          <cell r="CP262">
            <v>192.1</v>
          </cell>
          <cell r="CQ262">
            <v>176.79999999999998</v>
          </cell>
          <cell r="CR262">
            <v>212.49999999999997</v>
          </cell>
          <cell r="CS262">
            <v>41.2</v>
          </cell>
          <cell r="CT262">
            <v>195.49999999999997</v>
          </cell>
          <cell r="CU262">
            <v>210.8</v>
          </cell>
          <cell r="CV262">
            <v>231.2</v>
          </cell>
          <cell r="CW262">
            <v>183.6</v>
          </cell>
          <cell r="CX262">
            <v>168.3</v>
          </cell>
          <cell r="CY262">
            <v>181.9</v>
          </cell>
          <cell r="CZ262">
            <v>181.89999999999998</v>
          </cell>
          <cell r="DA262">
            <v>170</v>
          </cell>
          <cell r="DB262">
            <v>154.69999999999999</v>
          </cell>
          <cell r="DC262">
            <v>86.7</v>
          </cell>
          <cell r="DO262">
            <v>144.5</v>
          </cell>
          <cell r="DP262">
            <v>165.8</v>
          </cell>
          <cell r="DQ262">
            <v>130.9</v>
          </cell>
          <cell r="DR262">
            <v>177</v>
          </cell>
          <cell r="DS262">
            <v>181.9</v>
          </cell>
          <cell r="DT262">
            <v>178.50000000000003</v>
          </cell>
          <cell r="DU262">
            <v>202.3</v>
          </cell>
          <cell r="DV262">
            <v>225.1</v>
          </cell>
          <cell r="DW262">
            <v>158.70000000000002</v>
          </cell>
          <cell r="DX262">
            <v>193</v>
          </cell>
          <cell r="DY262">
            <v>215</v>
          </cell>
          <cell r="DZ262">
            <v>200.59999999999997</v>
          </cell>
          <cell r="EA262">
            <v>200.6</v>
          </cell>
          <cell r="EB262">
            <v>265.39999999999998</v>
          </cell>
          <cell r="EC262">
            <v>170.89999999999998</v>
          </cell>
          <cell r="ED262">
            <v>254.19999999999996</v>
          </cell>
          <cell r="EE262">
            <v>210.8</v>
          </cell>
          <cell r="EF262">
            <v>175.60000000000002</v>
          </cell>
          <cell r="EG262">
            <v>219.29999999999995</v>
          </cell>
          <cell r="EH262" t="str">
            <v>ACTIVO</v>
          </cell>
          <cell r="EI262" t="str">
            <v>B</v>
          </cell>
          <cell r="EJ262">
            <v>540</v>
          </cell>
          <cell r="EK262">
            <v>193.16315789473686</v>
          </cell>
          <cell r="EL262">
            <v>32.193859649122807</v>
          </cell>
        </row>
        <row r="263">
          <cell r="F263">
            <v>107000</v>
          </cell>
          <cell r="G263" t="str">
            <v>CEREZAS AL JUGO DESCAROZADAS FRUCOL</v>
          </cell>
          <cell r="AC263">
            <v>32</v>
          </cell>
          <cell r="AD263">
            <v>43.199999999999996</v>
          </cell>
          <cell r="AF263">
            <v>22.4</v>
          </cell>
          <cell r="AL263">
            <v>209.59999999999997</v>
          </cell>
          <cell r="CB263">
            <v>17</v>
          </cell>
          <cell r="EH263" t="str">
            <v>SIN USO</v>
          </cell>
          <cell r="EI263" t="str">
            <v>C</v>
          </cell>
          <cell r="EJ263" t="str">
            <v/>
          </cell>
          <cell r="EK263">
            <v>0</v>
          </cell>
          <cell r="EL263">
            <v>0</v>
          </cell>
        </row>
        <row r="264">
          <cell r="F264">
            <v>403336</v>
          </cell>
          <cell r="G264" t="str">
            <v>CEREZAS AL JUGO DESCAROZADAS TRES ERRES</v>
          </cell>
          <cell r="H264">
            <v>113.60000000000001</v>
          </cell>
          <cell r="I264">
            <v>272</v>
          </cell>
          <cell r="J264">
            <v>336</v>
          </cell>
          <cell r="K264">
            <v>217.6</v>
          </cell>
          <cell r="L264">
            <v>168.00000000000003</v>
          </cell>
          <cell r="M264">
            <v>100.79999999999998</v>
          </cell>
          <cell r="N264">
            <v>273.60000000000002</v>
          </cell>
          <cell r="O264">
            <v>419.19999999999993</v>
          </cell>
          <cell r="P264">
            <v>160</v>
          </cell>
          <cell r="Q264">
            <v>168</v>
          </cell>
          <cell r="R264">
            <v>160</v>
          </cell>
          <cell r="S264">
            <v>59.2</v>
          </cell>
          <cell r="T264">
            <v>227.20000000000002</v>
          </cell>
          <cell r="U264">
            <v>174.4</v>
          </cell>
          <cell r="V264">
            <v>144</v>
          </cell>
          <cell r="W264">
            <v>160.00000000000003</v>
          </cell>
          <cell r="X264">
            <v>195.2</v>
          </cell>
          <cell r="Y264">
            <v>88</v>
          </cell>
          <cell r="Z264">
            <v>9.6</v>
          </cell>
          <cell r="AA264">
            <v>75.2</v>
          </cell>
          <cell r="AB264">
            <v>48</v>
          </cell>
          <cell r="AC264">
            <v>14.4</v>
          </cell>
          <cell r="AD264">
            <v>3.2</v>
          </cell>
          <cell r="AE264">
            <v>25.6</v>
          </cell>
          <cell r="AF264">
            <v>32</v>
          </cell>
          <cell r="AG264">
            <v>54.4</v>
          </cell>
          <cell r="AH264">
            <v>64</v>
          </cell>
          <cell r="AI264">
            <v>64</v>
          </cell>
          <cell r="AJ264">
            <v>57.599999999999994</v>
          </cell>
          <cell r="AK264">
            <v>60.800000000000004</v>
          </cell>
          <cell r="BM264">
            <v>16</v>
          </cell>
          <cell r="CA264">
            <v>17</v>
          </cell>
          <cell r="CB264">
            <v>8</v>
          </cell>
          <cell r="DC264">
            <v>91.800000000000011</v>
          </cell>
          <cell r="DD264">
            <v>185.3</v>
          </cell>
          <cell r="DE264">
            <v>167.99999999999997</v>
          </cell>
          <cell r="DF264">
            <v>185.3</v>
          </cell>
          <cell r="DG264">
            <v>113.9</v>
          </cell>
          <cell r="DH264">
            <v>79.599999999999994</v>
          </cell>
          <cell r="DI264">
            <v>56.1</v>
          </cell>
          <cell r="DJ264">
            <v>203.10000000000002</v>
          </cell>
          <cell r="DK264">
            <v>344.6</v>
          </cell>
          <cell r="DL264">
            <v>212.00000000000003</v>
          </cell>
          <cell r="DM264">
            <v>184.70000000000002</v>
          </cell>
          <cell r="DN264">
            <v>203.39999999999998</v>
          </cell>
          <cell r="DO264">
            <v>89</v>
          </cell>
          <cell r="DQ264">
            <v>62.9</v>
          </cell>
          <cell r="DR264">
            <v>6.4</v>
          </cell>
          <cell r="DW264">
            <v>38.5</v>
          </cell>
          <cell r="DX264">
            <v>32.700000000000003</v>
          </cell>
          <cell r="DY264">
            <v>2.8</v>
          </cell>
          <cell r="DZ264">
            <v>51.1</v>
          </cell>
          <cell r="EC264">
            <v>40.799999999999997</v>
          </cell>
          <cell r="EF264">
            <v>34</v>
          </cell>
          <cell r="EH264" t="str">
            <v>ACTIVO</v>
          </cell>
          <cell r="EI264" t="str">
            <v>C</v>
          </cell>
          <cell r="EJ264" t="str">
            <v/>
          </cell>
          <cell r="EK264">
            <v>104.14000000000001</v>
          </cell>
          <cell r="EL264">
            <v>17.356666666666669</v>
          </cell>
        </row>
        <row r="265">
          <cell r="F265">
            <v>107102</v>
          </cell>
          <cell r="G265" t="str">
            <v>TRUFA CHOCOLATE PURATOS</v>
          </cell>
          <cell r="H265">
            <v>1420</v>
          </cell>
          <cell r="I265">
            <v>1492</v>
          </cell>
          <cell r="J265">
            <v>1284</v>
          </cell>
          <cell r="K265">
            <v>1400</v>
          </cell>
          <cell r="L265">
            <v>1428</v>
          </cell>
          <cell r="M265">
            <v>1892</v>
          </cell>
          <cell r="N265">
            <v>1015</v>
          </cell>
          <cell r="O265">
            <v>1212</v>
          </cell>
          <cell r="P265">
            <v>1156</v>
          </cell>
          <cell r="Q265">
            <v>1252</v>
          </cell>
          <cell r="R265">
            <v>2212</v>
          </cell>
          <cell r="S265">
            <v>1092</v>
          </cell>
          <cell r="T265">
            <v>264</v>
          </cell>
          <cell r="U265">
            <v>996</v>
          </cell>
          <cell r="V265">
            <v>1688</v>
          </cell>
          <cell r="W265">
            <v>3380</v>
          </cell>
          <cell r="X265">
            <v>1156</v>
          </cell>
          <cell r="Y265">
            <v>664</v>
          </cell>
          <cell r="AA265">
            <v>800</v>
          </cell>
          <cell r="AB265">
            <v>1153.5</v>
          </cell>
          <cell r="AC265">
            <v>1041</v>
          </cell>
          <cell r="AD265">
            <v>1844</v>
          </cell>
          <cell r="AE265">
            <v>1440</v>
          </cell>
          <cell r="AF265">
            <v>928</v>
          </cell>
          <cell r="AG265">
            <v>1128</v>
          </cell>
          <cell r="AH265">
            <v>1152</v>
          </cell>
          <cell r="AI265">
            <v>1252</v>
          </cell>
          <cell r="AJ265">
            <v>1224</v>
          </cell>
          <cell r="AK265">
            <v>1180</v>
          </cell>
          <cell r="AL265">
            <v>1616</v>
          </cell>
          <cell r="AM265">
            <v>948</v>
          </cell>
          <cell r="AN265">
            <v>988</v>
          </cell>
          <cell r="AO265">
            <v>884</v>
          </cell>
          <cell r="AP265">
            <v>972</v>
          </cell>
          <cell r="AQ265">
            <v>984</v>
          </cell>
          <cell r="AR265">
            <v>1004</v>
          </cell>
          <cell r="AS265">
            <v>1232</v>
          </cell>
          <cell r="AT265">
            <v>1036</v>
          </cell>
          <cell r="AU265">
            <v>952</v>
          </cell>
          <cell r="AV265">
            <v>820</v>
          </cell>
          <cell r="AW265">
            <v>1796</v>
          </cell>
          <cell r="AX265">
            <v>2220</v>
          </cell>
          <cell r="AY265">
            <v>732</v>
          </cell>
          <cell r="AZ265">
            <v>708</v>
          </cell>
          <cell r="BA265">
            <v>448</v>
          </cell>
          <cell r="BB265">
            <v>684</v>
          </cell>
          <cell r="BC265">
            <v>596</v>
          </cell>
          <cell r="BE265">
            <v>120</v>
          </cell>
          <cell r="BF265">
            <v>556</v>
          </cell>
          <cell r="BG265">
            <v>884</v>
          </cell>
          <cell r="BH265">
            <v>145.5</v>
          </cell>
          <cell r="BI265">
            <v>568</v>
          </cell>
          <cell r="BJ265">
            <v>544</v>
          </cell>
          <cell r="BK265">
            <v>1140</v>
          </cell>
          <cell r="BL265">
            <v>588</v>
          </cell>
          <cell r="BM265">
            <v>412</v>
          </cell>
          <cell r="BN265">
            <v>804</v>
          </cell>
          <cell r="BO265">
            <v>784</v>
          </cell>
          <cell r="BP265">
            <v>412</v>
          </cell>
          <cell r="BQ265">
            <v>1924</v>
          </cell>
          <cell r="BR265">
            <v>552</v>
          </cell>
          <cell r="BS265">
            <v>32</v>
          </cell>
          <cell r="BT265">
            <v>4</v>
          </cell>
          <cell r="BU265">
            <v>1480</v>
          </cell>
          <cell r="BV265">
            <v>124</v>
          </cell>
          <cell r="BW265">
            <v>1554</v>
          </cell>
          <cell r="BX265">
            <v>1068</v>
          </cell>
          <cell r="BY265">
            <v>932</v>
          </cell>
          <cell r="BZ265">
            <v>152</v>
          </cell>
          <cell r="CA265">
            <v>2048</v>
          </cell>
          <cell r="CF265">
            <v>1852</v>
          </cell>
          <cell r="CH265">
            <v>2068</v>
          </cell>
          <cell r="CK265">
            <v>620</v>
          </cell>
          <cell r="CM265">
            <v>744</v>
          </cell>
          <cell r="CN265">
            <v>1556</v>
          </cell>
          <cell r="CO265">
            <v>424</v>
          </cell>
          <cell r="CP265">
            <v>992</v>
          </cell>
          <cell r="CR265">
            <v>372</v>
          </cell>
          <cell r="CS265">
            <v>492</v>
          </cell>
          <cell r="CT265">
            <v>392</v>
          </cell>
          <cell r="CU265">
            <v>1408</v>
          </cell>
          <cell r="CV265">
            <v>1276</v>
          </cell>
          <cell r="CW265">
            <v>620</v>
          </cell>
          <cell r="CY265">
            <v>984</v>
          </cell>
          <cell r="DB265">
            <v>1476</v>
          </cell>
          <cell r="DE265">
            <v>984</v>
          </cell>
          <cell r="DF265">
            <v>492</v>
          </cell>
          <cell r="DJ265">
            <v>184</v>
          </cell>
          <cell r="DK265">
            <v>404</v>
          </cell>
          <cell r="DL265">
            <v>328</v>
          </cell>
          <cell r="DM265">
            <v>1552</v>
          </cell>
          <cell r="DN265">
            <v>372</v>
          </cell>
          <cell r="DO265">
            <v>1244</v>
          </cell>
          <cell r="DR265">
            <v>1404</v>
          </cell>
          <cell r="DS265">
            <v>1008</v>
          </cell>
          <cell r="DU265">
            <v>616</v>
          </cell>
          <cell r="DV265">
            <v>660</v>
          </cell>
          <cell r="DW265">
            <v>620</v>
          </cell>
          <cell r="DX265">
            <v>1292</v>
          </cell>
          <cell r="DY265">
            <v>1940</v>
          </cell>
          <cell r="EB265">
            <v>732</v>
          </cell>
          <cell r="EC265">
            <v>1264</v>
          </cell>
          <cell r="EE265">
            <v>668</v>
          </cell>
          <cell r="EF265">
            <v>1876</v>
          </cell>
          <cell r="EH265" t="str">
            <v>ACTIVO</v>
          </cell>
          <cell r="EI265" t="str">
            <v>A</v>
          </cell>
          <cell r="EJ265">
            <v>480</v>
          </cell>
          <cell r="EK265">
            <v>950.82352941176475</v>
          </cell>
          <cell r="EL265">
            <v>158.47058823529412</v>
          </cell>
        </row>
        <row r="266">
          <cell r="F266">
            <v>107124</v>
          </cell>
          <cell r="G266" t="str">
            <v>DURAZNO EN MITADES ALTO LA CRUZ</v>
          </cell>
          <cell r="H266">
            <v>228.60000000000002</v>
          </cell>
          <cell r="I266">
            <v>284.40000000000003</v>
          </cell>
          <cell r="J266">
            <v>307.79999999999995</v>
          </cell>
          <cell r="K266">
            <v>315.00000000000006</v>
          </cell>
          <cell r="L266">
            <v>298.8</v>
          </cell>
          <cell r="M266">
            <v>309.59999999999997</v>
          </cell>
          <cell r="N266">
            <v>306</v>
          </cell>
          <cell r="O266">
            <v>331.20000000000005</v>
          </cell>
          <cell r="P266">
            <v>368.99999999999994</v>
          </cell>
          <cell r="Q266">
            <v>318.59999999999997</v>
          </cell>
          <cell r="R266">
            <v>334.8</v>
          </cell>
          <cell r="S266">
            <v>140.4</v>
          </cell>
          <cell r="T266">
            <v>84.6</v>
          </cell>
          <cell r="U266">
            <v>345.79999999999995</v>
          </cell>
          <cell r="V266">
            <v>338.40000000000003</v>
          </cell>
          <cell r="W266">
            <v>367.2</v>
          </cell>
          <cell r="X266">
            <v>313.19999999999993</v>
          </cell>
          <cell r="Y266">
            <v>239.4</v>
          </cell>
          <cell r="Z266">
            <v>84.6</v>
          </cell>
          <cell r="AA266">
            <v>397.8</v>
          </cell>
          <cell r="AB266">
            <v>394.19999999999993</v>
          </cell>
          <cell r="AC266">
            <v>392.4</v>
          </cell>
          <cell r="AD266">
            <v>322.2</v>
          </cell>
          <cell r="AE266">
            <v>97.199999999999989</v>
          </cell>
          <cell r="AF266">
            <v>387</v>
          </cell>
          <cell r="AG266">
            <v>435.59999999999997</v>
          </cell>
          <cell r="AH266">
            <v>489.6</v>
          </cell>
          <cell r="AI266">
            <v>529.20000000000005</v>
          </cell>
          <cell r="AJ266">
            <v>419.4</v>
          </cell>
          <cell r="AK266">
            <v>441</v>
          </cell>
          <cell r="AL266">
            <v>411</v>
          </cell>
          <cell r="AM266">
            <v>394.2</v>
          </cell>
          <cell r="AN266">
            <v>392.40000000000003</v>
          </cell>
          <cell r="AO266">
            <v>333</v>
          </cell>
          <cell r="AP266">
            <v>424.79999999999995</v>
          </cell>
          <cell r="AQ266">
            <v>593.99999999999989</v>
          </cell>
          <cell r="AR266">
            <v>572.39999999999986</v>
          </cell>
          <cell r="AS266">
            <v>187.2</v>
          </cell>
          <cell r="AT266">
            <v>628.20000000000005</v>
          </cell>
          <cell r="AU266">
            <v>649.80000000000007</v>
          </cell>
          <cell r="AV266">
            <v>459</v>
          </cell>
          <cell r="AW266">
            <v>486</v>
          </cell>
          <cell r="AX266">
            <v>563.4</v>
          </cell>
          <cell r="AY266">
            <v>507.59999999999997</v>
          </cell>
          <cell r="AZ266">
            <v>577.80000000000007</v>
          </cell>
          <cell r="BA266">
            <v>675</v>
          </cell>
          <cell r="BB266">
            <v>610.19999999999993</v>
          </cell>
          <cell r="BC266">
            <v>606.59999999999991</v>
          </cell>
          <cell r="BD266">
            <v>549</v>
          </cell>
          <cell r="BO266">
            <v>540</v>
          </cell>
          <cell r="BR266">
            <v>88.2</v>
          </cell>
          <cell r="BS266">
            <v>129.60000000000002</v>
          </cell>
          <cell r="BT266">
            <v>423</v>
          </cell>
          <cell r="BW266">
            <v>174.6</v>
          </cell>
          <cell r="BX266">
            <v>532.79999999999995</v>
          </cell>
          <cell r="BY266">
            <v>349.8</v>
          </cell>
          <cell r="BZ266">
            <v>25.5</v>
          </cell>
          <cell r="CA266">
            <v>286.2</v>
          </cell>
          <cell r="CB266">
            <v>334.79999999999995</v>
          </cell>
          <cell r="CC266">
            <v>379.8</v>
          </cell>
          <cell r="CD266">
            <v>300.91999999999996</v>
          </cell>
          <cell r="CE266">
            <v>452.8</v>
          </cell>
          <cell r="CF266">
            <v>221.4</v>
          </cell>
          <cell r="CG266">
            <v>295.20000000000005</v>
          </cell>
          <cell r="CH266">
            <v>329.4</v>
          </cell>
          <cell r="CI266">
            <v>675</v>
          </cell>
          <cell r="CJ266">
            <v>415.79999999999995</v>
          </cell>
          <cell r="EH266" t="str">
            <v>ACTIVO</v>
          </cell>
          <cell r="EI266" t="str">
            <v>C</v>
          </cell>
          <cell r="EJ266">
            <v>540</v>
          </cell>
          <cell r="EK266">
            <v>0</v>
          </cell>
          <cell r="EL266">
            <v>0</v>
          </cell>
        </row>
        <row r="267">
          <cell r="F267">
            <v>107125</v>
          </cell>
          <cell r="G267" t="str">
            <v>DURAZNO EN CUBOS ALTO LA CRUZ</v>
          </cell>
          <cell r="DF267">
            <v>0</v>
          </cell>
          <cell r="DX267">
            <v>36.799999999999997</v>
          </cell>
          <cell r="EF267">
            <v>1319.4</v>
          </cell>
          <cell r="EG267">
            <v>601.20000000000005</v>
          </cell>
          <cell r="EH267" t="str">
            <v>ACTIVO</v>
          </cell>
          <cell r="EI267" t="str">
            <v>C</v>
          </cell>
          <cell r="EJ267" t="str">
            <v/>
          </cell>
          <cell r="EK267">
            <v>652.4666666666667</v>
          </cell>
          <cell r="EL267">
            <v>108.74444444444445</v>
          </cell>
        </row>
        <row r="268">
          <cell r="F268">
            <v>107401</v>
          </cell>
          <cell r="G268" t="str">
            <v>DURAZNO EN SLICE LAS PERDICES</v>
          </cell>
          <cell r="H268">
            <v>104.4</v>
          </cell>
          <cell r="BE268">
            <v>1004.4</v>
          </cell>
          <cell r="BF268">
            <v>577.79999999999995</v>
          </cell>
          <cell r="BG268">
            <v>414</v>
          </cell>
          <cell r="BH268">
            <v>293.39999999999998</v>
          </cell>
          <cell r="BI268">
            <v>1364.4</v>
          </cell>
          <cell r="BJ268">
            <v>369</v>
          </cell>
          <cell r="BK268">
            <v>621</v>
          </cell>
          <cell r="BL268">
            <v>536.4</v>
          </cell>
          <cell r="BM268">
            <v>176.39999999999998</v>
          </cell>
          <cell r="BN268">
            <v>565.20000000000005</v>
          </cell>
          <cell r="BO268">
            <v>509.40000000000003</v>
          </cell>
          <cell r="BP268">
            <v>635.4</v>
          </cell>
          <cell r="BQ268">
            <v>572.4</v>
          </cell>
          <cell r="BR268">
            <v>676.8</v>
          </cell>
          <cell r="BS268">
            <v>54.2</v>
          </cell>
          <cell r="BT268">
            <v>160.19999999999999</v>
          </cell>
          <cell r="BU268">
            <v>624.60000000000014</v>
          </cell>
          <cell r="BV268">
            <v>519.6</v>
          </cell>
          <cell r="BW268">
            <v>142.19999999999999</v>
          </cell>
          <cell r="BX268">
            <v>30.6</v>
          </cell>
          <cell r="BY268">
            <v>87.6</v>
          </cell>
          <cell r="CJ268">
            <v>93.6</v>
          </cell>
          <cell r="CK268">
            <v>577.80000000000007</v>
          </cell>
          <cell r="CL268">
            <v>394.20000000000005</v>
          </cell>
          <cell r="CM268">
            <v>1501.2</v>
          </cell>
          <cell r="CN268">
            <v>617.4</v>
          </cell>
          <cell r="CO268">
            <v>693</v>
          </cell>
          <cell r="CP268">
            <v>604.80000000000007</v>
          </cell>
          <cell r="CQ268">
            <v>514.79999999999995</v>
          </cell>
          <cell r="CR268">
            <v>590.4</v>
          </cell>
          <cell r="CS268">
            <v>124.2</v>
          </cell>
          <cell r="CT268">
            <v>599.40000000000009</v>
          </cell>
          <cell r="CU268">
            <v>630</v>
          </cell>
          <cell r="CV268">
            <v>610.19999999999993</v>
          </cell>
          <cell r="CW268">
            <v>527.40000000000009</v>
          </cell>
          <cell r="CX268">
            <v>538.20000000000005</v>
          </cell>
          <cell r="CY268">
            <v>583.20000000000005</v>
          </cell>
          <cell r="CZ268">
            <v>549</v>
          </cell>
          <cell r="DA268">
            <v>532.79999999999995</v>
          </cell>
          <cell r="DB268">
            <v>451.8</v>
          </cell>
          <cell r="DC268">
            <v>505.8</v>
          </cell>
          <cell r="DD268">
            <v>523.79999999999995</v>
          </cell>
          <cell r="DE268">
            <v>444.6</v>
          </cell>
          <cell r="DF268">
            <v>567</v>
          </cell>
          <cell r="DG268">
            <v>399.59999999999997</v>
          </cell>
          <cell r="DH268">
            <v>266.39999999999998</v>
          </cell>
          <cell r="DI268">
            <v>165.60000000000002</v>
          </cell>
          <cell r="DJ268">
            <v>541.79999999999995</v>
          </cell>
          <cell r="DK268">
            <v>520.19999999999993</v>
          </cell>
          <cell r="DL268">
            <v>496.8</v>
          </cell>
          <cell r="DM268">
            <v>523.80000000000007</v>
          </cell>
          <cell r="DN268">
            <v>484.20000000000005</v>
          </cell>
          <cell r="DO268">
            <v>511.2</v>
          </cell>
          <cell r="DP268">
            <v>476.99999999999994</v>
          </cell>
          <cell r="DQ268">
            <v>534.6</v>
          </cell>
          <cell r="DR268">
            <v>538.19999999999993</v>
          </cell>
          <cell r="DS268">
            <v>576</v>
          </cell>
          <cell r="DT268">
            <v>540</v>
          </cell>
          <cell r="DU268">
            <v>653.40000000000009</v>
          </cell>
          <cell r="DV268">
            <v>640.80000000000007</v>
          </cell>
          <cell r="DW268">
            <v>624.6</v>
          </cell>
          <cell r="DX268">
            <v>615.6</v>
          </cell>
          <cell r="DY268">
            <v>601.20000000000005</v>
          </cell>
          <cell r="DZ268">
            <v>648</v>
          </cell>
          <cell r="EA268">
            <v>572.40000000000009</v>
          </cell>
          <cell r="EB268">
            <v>700.19999999999993</v>
          </cell>
          <cell r="EC268">
            <v>586.79999999999995</v>
          </cell>
          <cell r="ED268">
            <v>667.80000000000007</v>
          </cell>
          <cell r="EE268">
            <v>621</v>
          </cell>
          <cell r="EF268">
            <v>563.35</v>
          </cell>
          <cell r="EG268">
            <v>556.20000000000005</v>
          </cell>
          <cell r="EH268" t="str">
            <v>ACTIVO</v>
          </cell>
          <cell r="EI268" t="str">
            <v>A</v>
          </cell>
          <cell r="EJ268" t="str">
            <v/>
          </cell>
          <cell r="EK268">
            <v>558.42999999999995</v>
          </cell>
          <cell r="EL268">
            <v>93.071666666666658</v>
          </cell>
        </row>
        <row r="269">
          <cell r="F269">
            <v>107240</v>
          </cell>
          <cell r="G269" t="str">
            <v>CRUSHED DE FRAMBUESA ALTO LA CRUZ</v>
          </cell>
          <cell r="H269">
            <v>18.600000000000001</v>
          </cell>
          <cell r="I269">
            <v>21.700000000000003</v>
          </cell>
          <cell r="J269">
            <v>21.700000000000003</v>
          </cell>
          <cell r="K269">
            <v>747.1</v>
          </cell>
          <cell r="AT269">
            <v>514.6</v>
          </cell>
          <cell r="BC269">
            <v>489.8</v>
          </cell>
          <cell r="EH269" t="str">
            <v>SIN USO</v>
          </cell>
          <cell r="EI269" t="str">
            <v/>
          </cell>
          <cell r="EJ269">
            <v>930</v>
          </cell>
          <cell r="EK269">
            <v>0</v>
          </cell>
          <cell r="EL269">
            <v>0</v>
          </cell>
        </row>
        <row r="270">
          <cell r="F270">
            <v>107324</v>
          </cell>
          <cell r="G270" t="str">
            <v>MARRASQUINO FRUCOL</v>
          </cell>
          <cell r="H270">
            <v>151.80000000000001</v>
          </cell>
          <cell r="I270">
            <v>140.80000000000001</v>
          </cell>
          <cell r="J270">
            <v>132</v>
          </cell>
          <cell r="K270">
            <v>195.8</v>
          </cell>
          <cell r="L270">
            <v>253.00000000000006</v>
          </cell>
          <cell r="M270">
            <v>116.60000000000001</v>
          </cell>
          <cell r="N270">
            <v>734.8</v>
          </cell>
          <cell r="O270">
            <v>114.4</v>
          </cell>
          <cell r="P270">
            <v>129.80000000000001</v>
          </cell>
          <cell r="Q270">
            <v>228.8</v>
          </cell>
          <cell r="R270">
            <v>216.6</v>
          </cell>
          <cell r="S270">
            <v>70.400000000000006</v>
          </cell>
          <cell r="T270">
            <v>74.800000000000011</v>
          </cell>
          <cell r="U270">
            <v>211.2</v>
          </cell>
          <cell r="V270">
            <v>299.19999999999987</v>
          </cell>
          <cell r="W270">
            <v>186.99999999999997</v>
          </cell>
          <cell r="X270">
            <v>165</v>
          </cell>
          <cell r="Y270">
            <v>127.6</v>
          </cell>
          <cell r="Z270">
            <v>193.60000000000002</v>
          </cell>
          <cell r="AA270">
            <v>129.80000000000001</v>
          </cell>
          <cell r="AB270">
            <v>283.8</v>
          </cell>
          <cell r="AC270">
            <v>189.2</v>
          </cell>
          <cell r="AD270">
            <v>277.2</v>
          </cell>
          <cell r="AE270">
            <v>272.79999999999995</v>
          </cell>
          <cell r="AF270">
            <v>231</v>
          </cell>
          <cell r="AG270">
            <v>283.8</v>
          </cell>
          <cell r="AH270">
            <v>180.39999999999998</v>
          </cell>
          <cell r="AI270">
            <v>222.20000000000002</v>
          </cell>
          <cell r="AJ270">
            <v>220.29999999999998</v>
          </cell>
          <cell r="AK270">
            <v>191.4</v>
          </cell>
          <cell r="AL270">
            <v>342</v>
          </cell>
          <cell r="AM270">
            <v>222.2</v>
          </cell>
          <cell r="AN270">
            <v>237.6</v>
          </cell>
          <cell r="AO270">
            <v>156.19999999999999</v>
          </cell>
          <cell r="AP270">
            <v>182.6</v>
          </cell>
          <cell r="AQ270">
            <v>195.8</v>
          </cell>
          <cell r="AR270">
            <v>254.19999999999996</v>
          </cell>
          <cell r="AS270">
            <v>228.8</v>
          </cell>
          <cell r="AT270">
            <v>178.00000000000003</v>
          </cell>
          <cell r="AU270">
            <v>171.8</v>
          </cell>
          <cell r="AV270">
            <v>344.4</v>
          </cell>
          <cell r="AW270">
            <v>158.4</v>
          </cell>
          <cell r="AX270">
            <v>147.4</v>
          </cell>
          <cell r="AY270">
            <v>125.00000000000001</v>
          </cell>
          <cell r="AZ270">
            <v>342</v>
          </cell>
          <cell r="BA270">
            <v>111.8</v>
          </cell>
          <cell r="BB270">
            <v>202.99999999999997</v>
          </cell>
          <cell r="BC270">
            <v>271.19999999999993</v>
          </cell>
          <cell r="BD270">
            <v>117.39999999999999</v>
          </cell>
          <cell r="BE270">
            <v>136.4</v>
          </cell>
          <cell r="BF270">
            <v>250.6</v>
          </cell>
          <cell r="BG270">
            <v>123</v>
          </cell>
          <cell r="BH270">
            <v>91</v>
          </cell>
          <cell r="BI270">
            <v>264.60000000000002</v>
          </cell>
          <cell r="BJ270">
            <v>140.79999999999998</v>
          </cell>
          <cell r="BK270">
            <v>256.99999999999994</v>
          </cell>
          <cell r="BL270">
            <v>263.2</v>
          </cell>
          <cell r="BM270">
            <v>147.19999999999999</v>
          </cell>
          <cell r="BN270">
            <v>207.99999999999997</v>
          </cell>
          <cell r="BO270">
            <v>232.40000000000009</v>
          </cell>
          <cell r="BP270">
            <v>188.59999999999997</v>
          </cell>
          <cell r="BQ270">
            <v>230.39999999999998</v>
          </cell>
          <cell r="BR270">
            <v>147.4</v>
          </cell>
          <cell r="BS270">
            <v>273.01999999999992</v>
          </cell>
          <cell r="BT270">
            <v>214.16</v>
          </cell>
          <cell r="BU270">
            <v>241.60000000000002</v>
          </cell>
          <cell r="BV270">
            <v>183.6</v>
          </cell>
          <cell r="BW270">
            <v>138.4</v>
          </cell>
          <cell r="BX270">
            <v>157.6</v>
          </cell>
          <cell r="BY270">
            <v>181.79999999999998</v>
          </cell>
          <cell r="BZ270">
            <v>110.318</v>
          </cell>
          <cell r="CA270">
            <v>284.8</v>
          </cell>
          <cell r="CB270">
            <v>122.8</v>
          </cell>
          <cell r="CC270">
            <v>168.6</v>
          </cell>
          <cell r="CD270">
            <v>214.39999999999998</v>
          </cell>
          <cell r="CE270">
            <v>110.60000000000001</v>
          </cell>
          <cell r="CF270">
            <v>188.19999999999996</v>
          </cell>
          <cell r="CG270">
            <v>316.39999999999998</v>
          </cell>
          <cell r="CH270">
            <v>143.6</v>
          </cell>
          <cell r="CI270">
            <v>66.600000000000009</v>
          </cell>
          <cell r="CJ270">
            <v>357.99999999999989</v>
          </cell>
          <cell r="CK270">
            <v>249.2</v>
          </cell>
          <cell r="CL270">
            <v>333.8</v>
          </cell>
          <cell r="CM270">
            <v>182.2</v>
          </cell>
          <cell r="CN270">
            <v>268.79999999999995</v>
          </cell>
          <cell r="CO270">
            <v>202.40000000000003</v>
          </cell>
          <cell r="CP270">
            <v>305.00000000000011</v>
          </cell>
          <cell r="CQ270">
            <v>262.59999999999997</v>
          </cell>
          <cell r="CR270">
            <v>126.99999999999999</v>
          </cell>
          <cell r="CS270">
            <v>102.6</v>
          </cell>
          <cell r="CT270">
            <v>143.70000000000002</v>
          </cell>
          <cell r="CU270">
            <v>250.19999999999996</v>
          </cell>
          <cell r="CV270">
            <v>232.79999999999998</v>
          </cell>
          <cell r="CW270">
            <v>255.4</v>
          </cell>
          <cell r="CX270">
            <v>266.40000000000003</v>
          </cell>
          <cell r="CY270">
            <v>91.4</v>
          </cell>
          <cell r="CZ270">
            <v>307.20000000000005</v>
          </cell>
          <cell r="DA270">
            <v>123.39999999999998</v>
          </cell>
          <cell r="DB270">
            <v>226.29999999999995</v>
          </cell>
          <cell r="DC270">
            <v>141.79999999999998</v>
          </cell>
          <cell r="DD270">
            <v>169.59999999999997</v>
          </cell>
          <cell r="DE270">
            <v>164.79999999999998</v>
          </cell>
          <cell r="DF270">
            <v>112.00000000000003</v>
          </cell>
          <cell r="DG270">
            <v>129.20000000000002</v>
          </cell>
          <cell r="DH270">
            <v>39.4</v>
          </cell>
          <cell r="DI270">
            <v>32.6</v>
          </cell>
          <cell r="DJ270">
            <v>174.2</v>
          </cell>
          <cell r="DK270">
            <v>158.19999999999999</v>
          </cell>
          <cell r="DL270">
            <v>225.79999999999993</v>
          </cell>
          <cell r="DM270">
            <v>244.39999999999998</v>
          </cell>
          <cell r="DN270">
            <v>202.59999999999997</v>
          </cell>
          <cell r="DO270">
            <v>242.99999999999997</v>
          </cell>
          <cell r="DP270">
            <v>203.4</v>
          </cell>
          <cell r="DQ270">
            <v>179.59999999999997</v>
          </cell>
          <cell r="DR270">
            <v>130.6</v>
          </cell>
          <cell r="DS270">
            <v>18.600000000000001</v>
          </cell>
          <cell r="DV270">
            <v>14.600000000000001</v>
          </cell>
          <cell r="DW270">
            <v>180.99999999999997</v>
          </cell>
          <cell r="DX270">
            <v>166.59999999999991</v>
          </cell>
          <cell r="DY270">
            <v>218.39999999999995</v>
          </cell>
          <cell r="DZ270">
            <v>292.7999999999999</v>
          </cell>
          <cell r="EA270">
            <v>28.599999999999998</v>
          </cell>
          <cell r="EB270">
            <v>229.20000000000002</v>
          </cell>
          <cell r="EC270">
            <v>170.2</v>
          </cell>
          <cell r="ED270">
            <v>148.91200000000001</v>
          </cell>
          <cell r="EF270">
            <v>87.600000000000009</v>
          </cell>
          <cell r="EG270">
            <v>207.79999999999998</v>
          </cell>
          <cell r="EH270" t="str">
            <v>ACTIVO</v>
          </cell>
          <cell r="EI270" t="str">
            <v>B</v>
          </cell>
          <cell r="EJ270">
            <v>660</v>
          </cell>
          <cell r="EK270">
            <v>161.75963636363633</v>
          </cell>
          <cell r="EL270">
            <v>26.95993939393939</v>
          </cell>
        </row>
        <row r="271">
          <cell r="F271">
            <v>107001</v>
          </cell>
          <cell r="G271" t="str">
            <v>MARRASQUINO ALTO LA CRUZ</v>
          </cell>
          <cell r="BX271">
            <v>34.799999999999997</v>
          </cell>
          <cell r="BY271">
            <v>37.6</v>
          </cell>
          <cell r="BZ271">
            <v>40.682000000000002</v>
          </cell>
          <cell r="CB271">
            <v>1.8</v>
          </cell>
          <cell r="CC271">
            <v>10.8</v>
          </cell>
          <cell r="DS271">
            <v>92.399999999999991</v>
          </cell>
          <cell r="DT271">
            <v>305.79999999999995</v>
          </cell>
          <cell r="DU271">
            <v>296.59999999999997</v>
          </cell>
          <cell r="DV271">
            <v>139.19999999999996</v>
          </cell>
          <cell r="DW271">
            <v>10.8</v>
          </cell>
          <cell r="ED271">
            <v>66.923999999999992</v>
          </cell>
          <cell r="EE271">
            <v>234.99999999999994</v>
          </cell>
          <cell r="EF271">
            <v>184.79999999999995</v>
          </cell>
          <cell r="EH271" t="str">
            <v>ACTIVO</v>
          </cell>
          <cell r="EI271" t="str">
            <v>C</v>
          </cell>
          <cell r="EJ271" t="str">
            <v/>
          </cell>
          <cell r="EK271">
            <v>166.44049999999996</v>
          </cell>
          <cell r="EL271">
            <v>27.740083333333327</v>
          </cell>
        </row>
        <row r="272">
          <cell r="F272">
            <v>107282</v>
          </cell>
          <cell r="G272" t="str">
            <v>PIÑA EN CUBOS</v>
          </cell>
          <cell r="H272">
            <v>399.28</v>
          </cell>
          <cell r="I272">
            <v>1131.6000000000001</v>
          </cell>
          <cell r="J272">
            <v>2498.7200000000007</v>
          </cell>
          <cell r="K272">
            <v>2941.7600000000007</v>
          </cell>
          <cell r="L272">
            <v>1963.2799999999997</v>
          </cell>
          <cell r="M272">
            <v>899.75999999999988</v>
          </cell>
          <cell r="N272">
            <v>1681.7600000000002</v>
          </cell>
          <cell r="O272">
            <v>1760.8800000000006</v>
          </cell>
          <cell r="P272">
            <v>1346.88</v>
          </cell>
          <cell r="Q272">
            <v>1155.52</v>
          </cell>
          <cell r="R272">
            <v>1667.04</v>
          </cell>
          <cell r="S272">
            <v>660.56000000000006</v>
          </cell>
          <cell r="T272">
            <v>664.2399999999999</v>
          </cell>
          <cell r="U272">
            <v>2318.4</v>
          </cell>
          <cell r="V272">
            <v>894.24000000000012</v>
          </cell>
          <cell r="W272">
            <v>1418.64</v>
          </cell>
          <cell r="X272">
            <v>1597.12</v>
          </cell>
          <cell r="Y272">
            <v>1700.16</v>
          </cell>
          <cell r="Z272">
            <v>1157.3599999999999</v>
          </cell>
          <cell r="AA272">
            <v>1948.96</v>
          </cell>
          <cell r="AB272">
            <v>1889.6800000000003</v>
          </cell>
          <cell r="AC272">
            <v>1801.36</v>
          </cell>
          <cell r="AD272">
            <v>1385.52</v>
          </cell>
          <cell r="AE272">
            <v>1391.0399999999997</v>
          </cell>
          <cell r="AF272">
            <v>1267.76</v>
          </cell>
          <cell r="AG272">
            <v>1514.3199999999997</v>
          </cell>
          <cell r="AH272">
            <v>1674.4000000000003</v>
          </cell>
          <cell r="AI272">
            <v>1124.24</v>
          </cell>
          <cell r="AJ272">
            <v>1672.56</v>
          </cell>
          <cell r="AK272">
            <v>2084.7200000000003</v>
          </cell>
          <cell r="AL272">
            <v>1979.8600000000001</v>
          </cell>
          <cell r="AM272">
            <v>815.12</v>
          </cell>
          <cell r="AN272">
            <v>1512.48</v>
          </cell>
          <cell r="AO272">
            <v>1330.32</v>
          </cell>
          <cell r="AP272">
            <v>1181.2000000000003</v>
          </cell>
          <cell r="AQ272">
            <v>1793.6</v>
          </cell>
          <cell r="AR272">
            <v>1197.8399999999999</v>
          </cell>
          <cell r="AS272">
            <v>412.16</v>
          </cell>
          <cell r="AT272">
            <v>1407.6</v>
          </cell>
          <cell r="AU272">
            <v>1992.7199999999996</v>
          </cell>
          <cell r="AV272">
            <v>2277.9200000000005</v>
          </cell>
          <cell r="AW272">
            <v>307.27999999999997</v>
          </cell>
          <cell r="AX272">
            <v>629.28</v>
          </cell>
          <cell r="AY272">
            <v>2645.7599999999998</v>
          </cell>
          <cell r="AZ272">
            <v>414</v>
          </cell>
          <cell r="BA272">
            <v>923.68000000000006</v>
          </cell>
          <cell r="BB272">
            <v>1992.6800000000003</v>
          </cell>
          <cell r="BC272">
            <v>754.92000000000007</v>
          </cell>
          <cell r="EH272" t="str">
            <v>SIN USO</v>
          </cell>
          <cell r="EI272" t="str">
            <v/>
          </cell>
          <cell r="EJ272">
            <v>552</v>
          </cell>
          <cell r="EK272">
            <v>0</v>
          </cell>
          <cell r="EL272">
            <v>0</v>
          </cell>
        </row>
        <row r="273">
          <cell r="F273">
            <v>107123</v>
          </cell>
          <cell r="G273" t="str">
            <v>PIÑA EN CUBOS ALTO LA CRUZ</v>
          </cell>
          <cell r="H273">
            <v>130.63999999999999</v>
          </cell>
          <cell r="AT273">
            <v>31.28</v>
          </cell>
          <cell r="BG273">
            <v>754.33999999999992</v>
          </cell>
          <cell r="BH273">
            <v>298.08000000000004</v>
          </cell>
          <cell r="BI273">
            <v>1470.1399999999999</v>
          </cell>
          <cell r="BJ273">
            <v>441.6</v>
          </cell>
          <cell r="BK273">
            <v>2352.96</v>
          </cell>
          <cell r="BL273">
            <v>618.24</v>
          </cell>
          <cell r="BM273">
            <v>516.80000000000007</v>
          </cell>
          <cell r="CB273">
            <v>570.4</v>
          </cell>
          <cell r="CC273">
            <v>53.36</v>
          </cell>
          <cell r="CD273">
            <v>404.76</v>
          </cell>
          <cell r="CE273">
            <v>978.92</v>
          </cell>
          <cell r="CG273">
            <v>379.04</v>
          </cell>
          <cell r="CU273">
            <v>220.8</v>
          </cell>
          <cell r="CV273">
            <v>1275.1200000000001</v>
          </cell>
          <cell r="CW273">
            <v>513.3599999999999</v>
          </cell>
          <cell r="CX273">
            <v>1214.3999999999999</v>
          </cell>
          <cell r="CY273">
            <v>1280.6400000000001</v>
          </cell>
          <cell r="CZ273">
            <v>500.48</v>
          </cell>
          <cell r="DA273">
            <v>497.4</v>
          </cell>
          <cell r="DB273">
            <v>463.68000000000006</v>
          </cell>
          <cell r="DC273">
            <v>124.52000000000001</v>
          </cell>
          <cell r="EH273" t="str">
            <v>ACTIVO</v>
          </cell>
          <cell r="EI273" t="str">
            <v>B</v>
          </cell>
          <cell r="EJ273" t="str">
            <v/>
          </cell>
          <cell r="EK273">
            <v>0</v>
          </cell>
          <cell r="EL273">
            <v>0</v>
          </cell>
        </row>
        <row r="274">
          <cell r="F274">
            <v>107329</v>
          </cell>
          <cell r="G274" t="str">
            <v>PIÑA EN CUBOS</v>
          </cell>
          <cell r="AW274">
            <v>84.64</v>
          </cell>
          <cell r="BB274">
            <v>3.68</v>
          </cell>
          <cell r="EH274" t="str">
            <v>SIN USO</v>
          </cell>
          <cell r="EI274" t="str">
            <v/>
          </cell>
          <cell r="EJ274">
            <v>540.96</v>
          </cell>
          <cell r="EK274">
            <v>0</v>
          </cell>
          <cell r="EL274">
            <v>0</v>
          </cell>
        </row>
        <row r="275">
          <cell r="F275">
            <v>107346</v>
          </cell>
          <cell r="G275" t="str">
            <v>PIÑA EN CUBOS LAS PERDICES</v>
          </cell>
          <cell r="BA275">
            <v>342.24</v>
          </cell>
          <cell r="BC275">
            <v>1178.92</v>
          </cell>
          <cell r="BD275">
            <v>1624.64</v>
          </cell>
          <cell r="BE275">
            <v>978.88</v>
          </cell>
          <cell r="BF275">
            <v>1166.5200000000002</v>
          </cell>
          <cell r="BG275">
            <v>1713.6200000000001</v>
          </cell>
          <cell r="BM275">
            <v>0.24</v>
          </cell>
          <cell r="BN275">
            <v>1871.2800000000002</v>
          </cell>
          <cell r="BO275">
            <v>245.65000000000003</v>
          </cell>
          <cell r="BP275">
            <v>962.31999999999994</v>
          </cell>
          <cell r="BQ275">
            <v>2472.96</v>
          </cell>
          <cell r="BR275">
            <v>1372.6399999999999</v>
          </cell>
          <cell r="BS275">
            <v>502.32000000000005</v>
          </cell>
          <cell r="BT275">
            <v>2460.08</v>
          </cell>
          <cell r="BU275">
            <v>1065.3599999999999</v>
          </cell>
          <cell r="BV275">
            <v>110.4</v>
          </cell>
          <cell r="BY275">
            <v>1547.44</v>
          </cell>
          <cell r="BZ275">
            <v>1236.48</v>
          </cell>
          <cell r="CA275">
            <v>1869.44</v>
          </cell>
          <cell r="CB275">
            <v>1705.6799999999996</v>
          </cell>
          <cell r="CC275">
            <v>1102.1200000000001</v>
          </cell>
          <cell r="CD275">
            <v>57.080000000000005</v>
          </cell>
          <cell r="CE275">
            <v>666.04000000000008</v>
          </cell>
          <cell r="CF275">
            <v>505.99999999999994</v>
          </cell>
          <cell r="CG275">
            <v>3179.52</v>
          </cell>
          <cell r="CH275">
            <v>579.6</v>
          </cell>
          <cell r="CI275">
            <v>618.24</v>
          </cell>
          <cell r="CJ275">
            <v>577.76</v>
          </cell>
          <cell r="CK275">
            <v>2719.9</v>
          </cell>
          <cell r="CL275">
            <v>574.07999999999993</v>
          </cell>
          <cell r="CM275">
            <v>2612.8000000000006</v>
          </cell>
          <cell r="CN275">
            <v>1247.5200000000004</v>
          </cell>
          <cell r="CO275">
            <v>566.72</v>
          </cell>
          <cell r="CP275">
            <v>572.24</v>
          </cell>
          <cell r="CQ275">
            <v>1633.4200000000005</v>
          </cell>
          <cell r="CR275">
            <v>2147.73</v>
          </cell>
          <cell r="CS275">
            <v>235.52</v>
          </cell>
          <cell r="CT275">
            <v>1913.5999999999995</v>
          </cell>
          <cell r="CU275">
            <v>439.76</v>
          </cell>
          <cell r="DC275">
            <v>1943.6399999999999</v>
          </cell>
          <cell r="DD275">
            <v>842.72</v>
          </cell>
          <cell r="DE275">
            <v>1494.08</v>
          </cell>
          <cell r="DF275">
            <v>719.43999999999994</v>
          </cell>
          <cell r="DG275">
            <v>931.04</v>
          </cell>
          <cell r="DH275">
            <v>1302.72</v>
          </cell>
          <cell r="DI275">
            <v>833.5200000000001</v>
          </cell>
          <cell r="DJ275">
            <v>537.28000000000009</v>
          </cell>
          <cell r="DK275">
            <v>2436.12</v>
          </cell>
          <cell r="DL275">
            <v>1098.44</v>
          </cell>
          <cell r="DM275">
            <v>1718.5600000000002</v>
          </cell>
          <cell r="DN275">
            <v>2130.7200000000003</v>
          </cell>
          <cell r="DO275">
            <v>1192.32</v>
          </cell>
          <cell r="DP275">
            <v>1072.7199999999998</v>
          </cell>
          <cell r="DQ275">
            <v>1078.2400000000002</v>
          </cell>
          <cell r="DR275">
            <v>1045.1200000000001</v>
          </cell>
          <cell r="DS275">
            <v>1690.9599999999998</v>
          </cell>
          <cell r="DT275">
            <v>450.8</v>
          </cell>
          <cell r="DU275">
            <v>513.36</v>
          </cell>
          <cell r="DV275">
            <v>1718.56</v>
          </cell>
          <cell r="DW275">
            <v>1519.8400000000001</v>
          </cell>
          <cell r="DX275">
            <v>2012.96</v>
          </cell>
          <cell r="DY275">
            <v>1638.48</v>
          </cell>
          <cell r="DZ275">
            <v>1227.2800000000002</v>
          </cell>
          <cell r="EA275">
            <v>2235.6000000000004</v>
          </cell>
          <cell r="EB275">
            <v>507.84000000000003</v>
          </cell>
          <cell r="EC275">
            <v>1065.3800000000001</v>
          </cell>
          <cell r="ED275">
            <v>1380</v>
          </cell>
          <cell r="EE275">
            <v>2112.3200000000002</v>
          </cell>
          <cell r="EF275">
            <v>1048.8</v>
          </cell>
          <cell r="EG275">
            <v>1644.9600000000003</v>
          </cell>
          <cell r="EH275" t="str">
            <v>ACTIVO</v>
          </cell>
          <cell r="EI275" t="str">
            <v>A</v>
          </cell>
          <cell r="EJ275">
            <v>540.96</v>
          </cell>
          <cell r="EK275">
            <v>1356.4072000000001</v>
          </cell>
          <cell r="EL275">
            <v>226.06786666666667</v>
          </cell>
        </row>
        <row r="276">
          <cell r="F276">
            <v>107348</v>
          </cell>
          <cell r="G276" t="str">
            <v>PIÑA EN RODAJA LAS PERDICES</v>
          </cell>
          <cell r="H276">
            <v>100.24000000000001</v>
          </cell>
          <cell r="AR276">
            <v>400.91999999999996</v>
          </cell>
          <cell r="AS276">
            <v>213.01</v>
          </cell>
          <cell r="AT276">
            <v>676.40000000000009</v>
          </cell>
          <cell r="AU276">
            <v>1228.67</v>
          </cell>
          <cell r="AV276">
            <v>540.57999999999993</v>
          </cell>
          <cell r="AW276">
            <v>395.59</v>
          </cell>
          <cell r="AX276">
            <v>637.24</v>
          </cell>
          <cell r="AY276">
            <v>494.04</v>
          </cell>
          <cell r="AZ276">
            <v>562.06000000000006</v>
          </cell>
          <cell r="BA276">
            <v>492.25</v>
          </cell>
          <cell r="BB276">
            <v>449.31999999999994</v>
          </cell>
          <cell r="BC276">
            <v>977.33999999999992</v>
          </cell>
          <cell r="BD276">
            <v>499.34999999999997</v>
          </cell>
          <cell r="BE276">
            <v>372.32</v>
          </cell>
          <cell r="BF276">
            <v>433.18000000000006</v>
          </cell>
          <cell r="BG276">
            <v>308.19000000000005</v>
          </cell>
          <cell r="BH276">
            <v>198.69</v>
          </cell>
          <cell r="BI276">
            <v>454.65999999999997</v>
          </cell>
          <cell r="BJ276">
            <v>322.2</v>
          </cell>
          <cell r="BK276">
            <v>451.08</v>
          </cell>
          <cell r="BL276">
            <v>506.56999999999994</v>
          </cell>
          <cell r="BM276">
            <v>4.47</v>
          </cell>
          <cell r="CN276">
            <v>35.799999999999997</v>
          </cell>
          <cell r="CT276">
            <v>25.5</v>
          </cell>
          <cell r="DO276">
            <v>3.58</v>
          </cell>
          <cell r="DP276">
            <v>325.77999999999997</v>
          </cell>
          <cell r="DQ276">
            <v>370.53</v>
          </cell>
          <cell r="DR276">
            <v>1483.8999999999999</v>
          </cell>
          <cell r="DS276">
            <v>978.71</v>
          </cell>
          <cell r="DT276">
            <v>415.28</v>
          </cell>
          <cell r="DU276">
            <v>481.50999999999993</v>
          </cell>
          <cell r="DV276">
            <v>549.53</v>
          </cell>
          <cell r="DW276">
            <v>424.23</v>
          </cell>
          <cell r="DX276">
            <v>1005.9800000000001</v>
          </cell>
          <cell r="DY276">
            <v>850.03000000000009</v>
          </cell>
          <cell r="DZ276">
            <v>460.03</v>
          </cell>
          <cell r="EA276">
            <v>1557.3</v>
          </cell>
          <cell r="EB276">
            <v>567.42999999999995</v>
          </cell>
          <cell r="EC276">
            <v>467.17</v>
          </cell>
          <cell r="ED276">
            <v>486.88</v>
          </cell>
          <cell r="EE276">
            <v>386.64</v>
          </cell>
          <cell r="EG276">
            <v>10.74</v>
          </cell>
          <cell r="EH276" t="str">
            <v>ACTIVO</v>
          </cell>
          <cell r="EI276" t="str">
            <v>C</v>
          </cell>
          <cell r="EJ276">
            <v>540</v>
          </cell>
          <cell r="EK276">
            <v>601.40277777777771</v>
          </cell>
          <cell r="EL276">
            <v>100.23379629629629</v>
          </cell>
        </row>
        <row r="277">
          <cell r="F277">
            <v>107117</v>
          </cell>
          <cell r="G277" t="str">
            <v>PIÑA EN RODAJAS ALTO LA CRUZ</v>
          </cell>
          <cell r="H277">
            <v>207.64000000000001</v>
          </cell>
          <cell r="I277">
            <v>230.91</v>
          </cell>
          <cell r="J277">
            <v>227.33000000000004</v>
          </cell>
          <cell r="K277">
            <v>775.06999999999994</v>
          </cell>
          <cell r="L277">
            <v>248.81</v>
          </cell>
          <cell r="M277">
            <v>279.24</v>
          </cell>
          <cell r="N277">
            <v>254.18</v>
          </cell>
          <cell r="O277">
            <v>315.89</v>
          </cell>
          <cell r="P277">
            <v>275.66000000000003</v>
          </cell>
          <cell r="Q277">
            <v>268.5</v>
          </cell>
          <cell r="R277">
            <v>277.45</v>
          </cell>
          <cell r="S277">
            <v>175.42</v>
          </cell>
          <cell r="T277">
            <v>191.53</v>
          </cell>
          <cell r="U277">
            <v>273.87</v>
          </cell>
          <cell r="V277">
            <v>298.93</v>
          </cell>
          <cell r="W277">
            <v>307.88</v>
          </cell>
          <cell r="X277">
            <v>339.77000000000004</v>
          </cell>
          <cell r="Y277">
            <v>300.72000000000003</v>
          </cell>
          <cell r="Z277">
            <v>307.88</v>
          </cell>
          <cell r="AA277">
            <v>289.98</v>
          </cell>
          <cell r="AB277">
            <v>315.04000000000002</v>
          </cell>
          <cell r="AC277">
            <v>291.77</v>
          </cell>
          <cell r="AD277">
            <v>284.60999999999996</v>
          </cell>
          <cell r="AE277">
            <v>286.39999999999998</v>
          </cell>
          <cell r="AF277">
            <v>316.83</v>
          </cell>
          <cell r="AG277">
            <v>318.62</v>
          </cell>
          <cell r="AH277">
            <v>350.84000000000003</v>
          </cell>
          <cell r="AI277">
            <v>366.95</v>
          </cell>
          <cell r="AJ277">
            <v>334.72999999999996</v>
          </cell>
          <cell r="AK277">
            <v>347.26</v>
          </cell>
          <cell r="AL277">
            <v>384.43</v>
          </cell>
          <cell r="AM277">
            <v>329.36</v>
          </cell>
          <cell r="AN277">
            <v>293.56</v>
          </cell>
          <cell r="AO277">
            <v>248.81</v>
          </cell>
          <cell r="AP277">
            <v>306.05</v>
          </cell>
          <cell r="AQ277">
            <v>486.88</v>
          </cell>
          <cell r="AR277">
            <v>96.699999999999989</v>
          </cell>
          <cell r="BK277">
            <v>537</v>
          </cell>
          <cell r="BM277">
            <v>473.46000000000004</v>
          </cell>
          <cell r="BN277">
            <v>492.25000000000006</v>
          </cell>
          <cell r="BO277">
            <v>420.65000000000003</v>
          </cell>
          <cell r="BP277">
            <v>442.13</v>
          </cell>
          <cell r="BQ277">
            <v>390.22</v>
          </cell>
          <cell r="BR277">
            <v>546.21</v>
          </cell>
          <cell r="BS277">
            <v>426.02</v>
          </cell>
          <cell r="BT277">
            <v>442.13</v>
          </cell>
          <cell r="BU277">
            <v>692.73</v>
          </cell>
          <cell r="BV277">
            <v>472.56</v>
          </cell>
          <cell r="BW277">
            <v>479.72</v>
          </cell>
          <cell r="BX277">
            <v>452.86999999999989</v>
          </cell>
          <cell r="BY277">
            <v>307.88</v>
          </cell>
          <cell r="BZ277">
            <v>12.53</v>
          </cell>
          <cell r="CA277">
            <v>116.35000000000001</v>
          </cell>
          <cell r="CB277">
            <v>128.88</v>
          </cell>
          <cell r="CC277">
            <v>155.72999999999999</v>
          </cell>
          <cell r="CD277">
            <v>141.41000000000003</v>
          </cell>
          <cell r="CE277">
            <v>211.22</v>
          </cell>
          <cell r="CF277">
            <v>116.35</v>
          </cell>
          <cell r="CG277">
            <v>121.72</v>
          </cell>
          <cell r="CH277">
            <v>182.58000000000004</v>
          </cell>
          <cell r="CI277">
            <v>399.16999999999996</v>
          </cell>
          <cell r="CJ277">
            <v>406.33</v>
          </cell>
          <cell r="CK277">
            <v>347.21999999999997</v>
          </cell>
          <cell r="CL277">
            <v>279.24</v>
          </cell>
          <cell r="CM277">
            <v>306.08999999999997</v>
          </cell>
          <cell r="CN277">
            <v>203.96999999999997</v>
          </cell>
          <cell r="CR277">
            <v>139.62</v>
          </cell>
          <cell r="CS277">
            <v>78.760000000000005</v>
          </cell>
          <cell r="CT277">
            <v>387.99</v>
          </cell>
          <cell r="CU277">
            <v>431.39</v>
          </cell>
          <cell r="CV277">
            <v>426.02000000000004</v>
          </cell>
          <cell r="CW277">
            <v>418.86</v>
          </cell>
          <cell r="CX277">
            <v>263.13</v>
          </cell>
          <cell r="CY277">
            <v>130.85999999999999</v>
          </cell>
          <cell r="CZ277">
            <v>392.01</v>
          </cell>
          <cell r="DA277">
            <v>148.57</v>
          </cell>
          <cell r="DB277">
            <v>345.47</v>
          </cell>
          <cell r="DC277">
            <v>370.53000000000003</v>
          </cell>
          <cell r="DD277">
            <v>365.15999999999997</v>
          </cell>
          <cell r="DE277">
            <v>322.2</v>
          </cell>
          <cell r="DF277">
            <v>402.75</v>
          </cell>
          <cell r="DG277">
            <v>255.97000000000003</v>
          </cell>
          <cell r="DH277">
            <v>173.63</v>
          </cell>
          <cell r="DI277">
            <v>116.35</v>
          </cell>
          <cell r="DJ277">
            <v>374.11</v>
          </cell>
          <cell r="DK277">
            <v>354.41999999999996</v>
          </cell>
          <cell r="DL277">
            <v>340.09999999999997</v>
          </cell>
          <cell r="DM277">
            <v>236.27999999999997</v>
          </cell>
          <cell r="DN277">
            <v>322.3</v>
          </cell>
          <cell r="DO277">
            <v>325.78000000000003</v>
          </cell>
          <cell r="EE277">
            <v>57.28</v>
          </cell>
          <cell r="EF277">
            <v>903.95</v>
          </cell>
          <cell r="EG277">
            <v>411.69999999999993</v>
          </cell>
          <cell r="EH277" t="str">
            <v>ACTIVO</v>
          </cell>
          <cell r="EI277" t="str">
            <v>B</v>
          </cell>
          <cell r="EJ277" t="str">
            <v/>
          </cell>
          <cell r="EK277">
            <v>344.22700000000003</v>
          </cell>
          <cell r="EL277">
            <v>57.371166666666674</v>
          </cell>
        </row>
        <row r="278">
          <cell r="F278">
            <v>405574</v>
          </cell>
          <cell r="G278" t="str">
            <v>PIÑA EN RODAJAS CAMPOS</v>
          </cell>
          <cell r="CN278">
            <v>168.35</v>
          </cell>
          <cell r="CO278">
            <v>456.45000000000005</v>
          </cell>
          <cell r="CP278">
            <v>492.25</v>
          </cell>
          <cell r="CQ278">
            <v>377.69</v>
          </cell>
          <cell r="CR278">
            <v>300.22000000000003</v>
          </cell>
          <cell r="CX278">
            <v>114.56</v>
          </cell>
          <cell r="CY278">
            <v>279.05</v>
          </cell>
          <cell r="DA278">
            <v>238.07</v>
          </cell>
          <cell r="DM278">
            <v>119.93</v>
          </cell>
          <cell r="DN278">
            <v>17.8</v>
          </cell>
          <cell r="EH278" t="str">
            <v>ACTIVO</v>
          </cell>
          <cell r="EI278" t="str">
            <v>C</v>
          </cell>
          <cell r="EJ278" t="str">
            <v/>
          </cell>
          <cell r="EK278">
            <v>68.865000000000009</v>
          </cell>
          <cell r="EL278">
            <v>11.477500000000001</v>
          </cell>
        </row>
        <row r="279">
          <cell r="F279">
            <v>107144</v>
          </cell>
          <cell r="G279" t="str">
            <v>MANZANAS SLICE MEL</v>
          </cell>
          <cell r="BC279">
            <v>32.299999999999997</v>
          </cell>
          <cell r="BF279">
            <v>15.2</v>
          </cell>
          <cell r="BG279">
            <v>3.8</v>
          </cell>
          <cell r="BK279">
            <v>13.3</v>
          </cell>
          <cell r="BN279">
            <v>13.3</v>
          </cell>
          <cell r="BO279">
            <v>17.100000000000001</v>
          </cell>
          <cell r="BR279">
            <v>176.7</v>
          </cell>
          <cell r="BT279">
            <v>7.6</v>
          </cell>
          <cell r="BU279">
            <v>3.8</v>
          </cell>
          <cell r="BV279">
            <v>15.2</v>
          </cell>
          <cell r="CF279">
            <v>1081.0999999999999</v>
          </cell>
          <cell r="CG279">
            <v>3.8</v>
          </cell>
          <cell r="CI279">
            <v>9.5</v>
          </cell>
          <cell r="EH279" t="str">
            <v>ACTIVO</v>
          </cell>
          <cell r="EI279" t="str">
            <v>C</v>
          </cell>
          <cell r="EJ279" t="str">
            <v/>
          </cell>
          <cell r="EK279">
            <v>0</v>
          </cell>
          <cell r="EL279">
            <v>0</v>
          </cell>
        </row>
        <row r="280">
          <cell r="F280">
            <v>107415</v>
          </cell>
          <cell r="G280" t="str">
            <v>FILLING DE FRAMBUESA MEL</v>
          </cell>
          <cell r="BC280">
            <v>387</v>
          </cell>
          <cell r="BD280">
            <v>2799</v>
          </cell>
          <cell r="BE280">
            <v>544.5</v>
          </cell>
          <cell r="BF280">
            <v>1152</v>
          </cell>
          <cell r="BI280">
            <v>657</v>
          </cell>
          <cell r="BJ280">
            <v>310.5</v>
          </cell>
          <cell r="BK280">
            <v>576</v>
          </cell>
          <cell r="BL280">
            <v>229.5</v>
          </cell>
          <cell r="BM280">
            <v>607.5</v>
          </cell>
          <cell r="BN280">
            <v>54</v>
          </cell>
          <cell r="BO280">
            <v>504</v>
          </cell>
          <cell r="BP280">
            <v>55.5</v>
          </cell>
          <cell r="BQ280">
            <v>444</v>
          </cell>
          <cell r="BR280">
            <v>364.5</v>
          </cell>
          <cell r="BS280">
            <v>612</v>
          </cell>
          <cell r="BT280">
            <v>337.5</v>
          </cell>
          <cell r="BU280">
            <v>496.5</v>
          </cell>
          <cell r="BV280">
            <v>1039.77</v>
          </cell>
          <cell r="BW280">
            <v>580.5</v>
          </cell>
          <cell r="BX280">
            <v>40.5</v>
          </cell>
          <cell r="BY280">
            <v>526.5</v>
          </cell>
          <cell r="BZ280">
            <v>18</v>
          </cell>
          <cell r="CA280">
            <v>922.5</v>
          </cell>
          <cell r="CB280">
            <v>931.5</v>
          </cell>
          <cell r="CC280">
            <v>162</v>
          </cell>
          <cell r="CD280">
            <v>517.5</v>
          </cell>
          <cell r="CE280">
            <v>135</v>
          </cell>
          <cell r="CF280">
            <v>148.5</v>
          </cell>
          <cell r="CG280">
            <v>391.5</v>
          </cell>
          <cell r="CH280">
            <v>342</v>
          </cell>
          <cell r="CI280">
            <v>247.5</v>
          </cell>
          <cell r="CJ280">
            <v>270</v>
          </cell>
          <cell r="CK280">
            <v>360</v>
          </cell>
          <cell r="CL280">
            <v>130.5</v>
          </cell>
          <cell r="CM280">
            <v>117</v>
          </cell>
          <cell r="CN280">
            <v>139.5</v>
          </cell>
          <cell r="CO280">
            <v>126</v>
          </cell>
          <cell r="CP280">
            <v>139.5</v>
          </cell>
          <cell r="CQ280">
            <v>157.5</v>
          </cell>
          <cell r="CR280">
            <v>139.5</v>
          </cell>
          <cell r="CS280">
            <v>67.5</v>
          </cell>
          <cell r="CT280">
            <v>112.5</v>
          </cell>
          <cell r="CU280">
            <v>139.5</v>
          </cell>
          <cell r="CV280">
            <v>207</v>
          </cell>
          <cell r="CW280">
            <v>121.5</v>
          </cell>
          <cell r="CX280">
            <v>76.5</v>
          </cell>
          <cell r="CY280">
            <v>135</v>
          </cell>
          <cell r="CZ280">
            <v>117</v>
          </cell>
          <cell r="DA280">
            <v>121.5</v>
          </cell>
          <cell r="DB280">
            <v>108</v>
          </cell>
          <cell r="DC280">
            <v>139.5</v>
          </cell>
          <cell r="DD280">
            <v>144</v>
          </cell>
          <cell r="DE280">
            <v>85.5</v>
          </cell>
          <cell r="DF280">
            <v>76.5</v>
          </cell>
          <cell r="DG280">
            <v>58.5</v>
          </cell>
          <cell r="DH280">
            <v>31.5</v>
          </cell>
          <cell r="DI280">
            <v>27</v>
          </cell>
          <cell r="DJ280">
            <v>72</v>
          </cell>
          <cell r="DK280">
            <v>99</v>
          </cell>
          <cell r="DL280">
            <v>67.5</v>
          </cell>
          <cell r="DM280">
            <v>94.5</v>
          </cell>
          <cell r="DN280">
            <v>76.5</v>
          </cell>
          <cell r="DO280">
            <v>76.5</v>
          </cell>
          <cell r="DP280">
            <v>72</v>
          </cell>
          <cell r="DQ280">
            <v>67.5</v>
          </cell>
          <cell r="DR280">
            <v>67.5</v>
          </cell>
          <cell r="DS280">
            <v>63</v>
          </cell>
          <cell r="DT280">
            <v>63</v>
          </cell>
          <cell r="DU280">
            <v>72</v>
          </cell>
          <cell r="DV280">
            <v>63</v>
          </cell>
          <cell r="DW280">
            <v>63</v>
          </cell>
          <cell r="DX280">
            <v>72</v>
          </cell>
          <cell r="DY280">
            <v>67.5</v>
          </cell>
          <cell r="DZ280">
            <v>76.5</v>
          </cell>
          <cell r="EA280">
            <v>40.5</v>
          </cell>
          <cell r="EB280">
            <v>72</v>
          </cell>
          <cell r="EC280">
            <v>63</v>
          </cell>
          <cell r="ED280">
            <v>76.5</v>
          </cell>
          <cell r="EE280">
            <v>76.5</v>
          </cell>
          <cell r="EF280">
            <v>67.5</v>
          </cell>
          <cell r="EG280">
            <v>81</v>
          </cell>
          <cell r="EH280" t="str">
            <v>ACTIVO</v>
          </cell>
          <cell r="EI280" t="str">
            <v>B</v>
          </cell>
          <cell r="EJ280" t="str">
            <v/>
          </cell>
          <cell r="EK280">
            <v>69.48</v>
          </cell>
          <cell r="EL280">
            <v>11.58</v>
          </cell>
        </row>
        <row r="281">
          <cell r="F281">
            <v>405647</v>
          </cell>
          <cell r="G281" t="str">
            <v>COCTEL DE FRUTA WATTS</v>
          </cell>
          <cell r="DS281">
            <v>129.60000000000002</v>
          </cell>
          <cell r="EH281" t="str">
            <v>ACTIVO</v>
          </cell>
          <cell r="EI281" t="str">
            <v/>
          </cell>
          <cell r="EJ281" t="str">
            <v/>
          </cell>
          <cell r="EK281">
            <v>129.60000000000002</v>
          </cell>
          <cell r="EL281">
            <v>21.600000000000005</v>
          </cell>
        </row>
        <row r="282">
          <cell r="F282">
            <v>405747</v>
          </cell>
          <cell r="G282" t="str">
            <v>COCTEL DE FRUTA CAMPOS</v>
          </cell>
          <cell r="DY282">
            <v>171</v>
          </cell>
          <cell r="DZ282">
            <v>140.39999999999998</v>
          </cell>
          <cell r="EA282">
            <v>77.400000000000006</v>
          </cell>
          <cell r="EB282">
            <v>309.60000000000002</v>
          </cell>
          <cell r="EC282">
            <v>241.19999999999996</v>
          </cell>
          <cell r="ED282">
            <v>212.40000000000003</v>
          </cell>
          <cell r="EE282">
            <v>172.79999999999998</v>
          </cell>
          <cell r="EF282">
            <v>128.4</v>
          </cell>
          <cell r="EG282">
            <v>115.2</v>
          </cell>
          <cell r="EH282" t="str">
            <v>ACTIVO</v>
          </cell>
          <cell r="EI282" t="str">
            <v/>
          </cell>
          <cell r="EJ282" t="str">
            <v/>
          </cell>
          <cell r="EK282">
            <v>174.26666666666668</v>
          </cell>
          <cell r="EL282">
            <v>29.044444444444448</v>
          </cell>
        </row>
        <row r="283">
          <cell r="F283">
            <v>405775</v>
          </cell>
          <cell r="G283" t="str">
            <v>ZANAHORIA BABY 454 GR</v>
          </cell>
          <cell r="EB283">
            <v>13</v>
          </cell>
          <cell r="EH283" t="str">
            <v>ACTIVO</v>
          </cell>
          <cell r="EI283" t="str">
            <v/>
          </cell>
          <cell r="EJ283" t="str">
            <v/>
          </cell>
          <cell r="EK283">
            <v>13</v>
          </cell>
          <cell r="EL283">
            <v>2.1666666666666665</v>
          </cell>
        </row>
        <row r="284">
          <cell r="F284">
            <v>405797</v>
          </cell>
          <cell r="G284" t="str">
            <v>ZANAHORIA BABY 454 GR AGROSANO</v>
          </cell>
          <cell r="EE284">
            <v>1.82</v>
          </cell>
          <cell r="EF284">
            <v>7.0980000000000008</v>
          </cell>
          <cell r="EG284">
            <v>9.0639999999999983</v>
          </cell>
          <cell r="EH284" t="str">
            <v>ACTIVO</v>
          </cell>
          <cell r="EI284" t="str">
            <v/>
          </cell>
          <cell r="EJ284" t="str">
            <v/>
          </cell>
          <cell r="EK284">
            <v>5.9939999999999998</v>
          </cell>
          <cell r="EL284">
            <v>0.999</v>
          </cell>
        </row>
        <row r="285">
          <cell r="H285">
            <v>3552.2000000000003</v>
          </cell>
          <cell r="I285">
            <v>3987.71</v>
          </cell>
          <cell r="J285">
            <v>5212.8500000000004</v>
          </cell>
          <cell r="K285">
            <v>7073.83</v>
          </cell>
          <cell r="L285">
            <v>5394.89</v>
          </cell>
          <cell r="M285">
            <v>3872.5</v>
          </cell>
          <cell r="N285">
            <v>4634.34</v>
          </cell>
          <cell r="O285">
            <v>4828.5700000000006</v>
          </cell>
          <cell r="P285">
            <v>3878.34</v>
          </cell>
          <cell r="Q285">
            <v>4642.42</v>
          </cell>
          <cell r="R285">
            <v>5457.39</v>
          </cell>
          <cell r="S285">
            <v>2508.4800000000005</v>
          </cell>
          <cell r="T285">
            <v>1650.3700000000001</v>
          </cell>
          <cell r="U285">
            <v>5687.6699999999992</v>
          </cell>
          <cell r="V285">
            <v>4815.2700000000004</v>
          </cell>
          <cell r="W285">
            <v>6468.72</v>
          </cell>
          <cell r="X285">
            <v>4607.79</v>
          </cell>
          <cell r="Y285">
            <v>3497.88</v>
          </cell>
          <cell r="Z285">
            <v>2122.04</v>
          </cell>
          <cell r="AA285">
            <v>4190.74</v>
          </cell>
          <cell r="AB285">
            <v>4741.22</v>
          </cell>
          <cell r="AC285">
            <v>4336.8899999999994</v>
          </cell>
          <cell r="AD285">
            <v>4794.4299999999994</v>
          </cell>
          <cell r="AE285">
            <v>4305.0399999999991</v>
          </cell>
          <cell r="AF285">
            <v>3837.49</v>
          </cell>
          <cell r="AG285">
            <v>4337.74</v>
          </cell>
          <cell r="AH285">
            <v>4478.2400000000007</v>
          </cell>
          <cell r="AI285">
            <v>4134.5899999999992</v>
          </cell>
          <cell r="AJ285">
            <v>4500.09</v>
          </cell>
          <cell r="AK285">
            <v>4984.68</v>
          </cell>
          <cell r="AL285">
            <v>5436.89</v>
          </cell>
          <cell r="AM285">
            <v>3451.3799999999997</v>
          </cell>
          <cell r="AN285">
            <v>3937.04</v>
          </cell>
          <cell r="AO285">
            <v>3518.83</v>
          </cell>
          <cell r="AP285">
            <v>3669.8500000000004</v>
          </cell>
          <cell r="AQ285">
            <v>4803.18</v>
          </cell>
          <cell r="AR285">
            <v>4246.66</v>
          </cell>
          <cell r="AS285">
            <v>2871.67</v>
          </cell>
          <cell r="AT285">
            <v>5057.4799999999996</v>
          </cell>
          <cell r="AU285">
            <v>5763.79</v>
          </cell>
          <cell r="AV285">
            <v>5067.3000000000011</v>
          </cell>
          <cell r="AW285">
            <v>3786.7100000000005</v>
          </cell>
          <cell r="AX285">
            <v>4901.72</v>
          </cell>
          <cell r="AY285">
            <v>5278.0999999999995</v>
          </cell>
          <cell r="AZ285">
            <v>3360.66</v>
          </cell>
          <cell r="BA285">
            <v>3800.9700000000003</v>
          </cell>
          <cell r="BB285">
            <v>4475.68</v>
          </cell>
          <cell r="BC285">
            <v>6028.38</v>
          </cell>
          <cell r="BD285">
            <v>6184.6900000000005</v>
          </cell>
          <cell r="BE285">
            <v>3766.4</v>
          </cell>
          <cell r="BF285">
            <v>4862.5</v>
          </cell>
          <cell r="BG285">
            <v>4774.95</v>
          </cell>
          <cell r="BH285">
            <v>1364.27</v>
          </cell>
          <cell r="BI285">
            <v>5439.5</v>
          </cell>
          <cell r="BJ285">
            <v>2694.2</v>
          </cell>
          <cell r="BK285">
            <v>6621.7610000000004</v>
          </cell>
          <cell r="BL285">
            <v>3486.41</v>
          </cell>
          <cell r="BM285">
            <v>2965.57</v>
          </cell>
          <cell r="BN285">
            <v>4608.5300000000007</v>
          </cell>
          <cell r="BO285">
            <v>4353.8</v>
          </cell>
          <cell r="BP285">
            <v>3393.8500000000004</v>
          </cell>
          <cell r="BQ285">
            <v>6458.9800000000005</v>
          </cell>
          <cell r="BR285">
            <v>4757.8499999999995</v>
          </cell>
          <cell r="BS285">
            <v>3425.66</v>
          </cell>
          <cell r="BT285">
            <v>4708.2700000000004</v>
          </cell>
          <cell r="BU285">
            <v>5288.9900000000007</v>
          </cell>
          <cell r="BV285">
            <v>3507.0299999999997</v>
          </cell>
          <cell r="BW285">
            <v>3740.0199999999995</v>
          </cell>
          <cell r="BX285">
            <v>3465.4700000000003</v>
          </cell>
          <cell r="BY285">
            <v>5103.12</v>
          </cell>
          <cell r="BZ285">
            <v>2133.31</v>
          </cell>
          <cell r="CA285">
            <v>6574.89</v>
          </cell>
          <cell r="CB285">
            <v>3829.8599999999997</v>
          </cell>
          <cell r="CC285">
            <v>2436.0100000000002</v>
          </cell>
          <cell r="CD285">
            <v>2154.37</v>
          </cell>
          <cell r="CE285">
            <v>2917.68</v>
          </cell>
          <cell r="CF285">
            <v>4734.75</v>
          </cell>
          <cell r="CG285">
            <v>5281.380000000001</v>
          </cell>
          <cell r="CH285">
            <v>4126.58</v>
          </cell>
          <cell r="CI285">
            <v>2366.1099999999997</v>
          </cell>
          <cell r="CJ285">
            <v>3121.29</v>
          </cell>
          <cell r="CK285">
            <v>5642.42</v>
          </cell>
          <cell r="CL285">
            <v>2894.0199999999995</v>
          </cell>
          <cell r="CM285">
            <v>5658.8900000000012</v>
          </cell>
          <cell r="CN285">
            <v>4906.1200000000008</v>
          </cell>
          <cell r="CO285">
            <v>3152.9700000000003</v>
          </cell>
          <cell r="CP285">
            <v>4526.3900000000003</v>
          </cell>
          <cell r="CQ285">
            <v>3365.8100000000004</v>
          </cell>
          <cell r="CR285">
            <v>4492.47</v>
          </cell>
          <cell r="CS285">
            <v>1627.78</v>
          </cell>
          <cell r="CT285">
            <v>4305.6899999999996</v>
          </cell>
          <cell r="CU285">
            <v>4459.4500000000007</v>
          </cell>
          <cell r="CV285">
            <v>5099.84</v>
          </cell>
          <cell r="CW285">
            <v>3477.1200000000003</v>
          </cell>
          <cell r="CX285">
            <v>2722.4900000000002</v>
          </cell>
          <cell r="CY285">
            <v>4026.0500000000006</v>
          </cell>
          <cell r="CZ285">
            <v>3163.59</v>
          </cell>
          <cell r="DA285">
            <v>2196.2399999999998</v>
          </cell>
          <cell r="DB285">
            <v>3225.9500000000007</v>
          </cell>
          <cell r="DC285">
            <v>3921.79</v>
          </cell>
          <cell r="DD285">
            <v>2590.58</v>
          </cell>
          <cell r="DE285">
            <v>3915.1799999999994</v>
          </cell>
          <cell r="DF285">
            <v>2986.99</v>
          </cell>
          <cell r="DG285">
            <v>2032.21</v>
          </cell>
          <cell r="DH285">
            <v>2127.25</v>
          </cell>
          <cell r="DI285">
            <v>1348.17</v>
          </cell>
          <cell r="DJ285">
            <v>2878.4900000000002</v>
          </cell>
          <cell r="DK285">
            <v>4568.54</v>
          </cell>
          <cell r="DL285">
            <v>3403.14</v>
          </cell>
          <cell r="DM285">
            <v>5466.17</v>
          </cell>
          <cell r="DN285">
            <v>4120.0200000000004</v>
          </cell>
          <cell r="DO285">
            <v>4950.3799999999992</v>
          </cell>
          <cell r="DP285">
            <v>3036.7</v>
          </cell>
          <cell r="DQ285">
            <v>2667.2700000000004</v>
          </cell>
          <cell r="DR285">
            <v>4974.2199999999993</v>
          </cell>
          <cell r="DS285">
            <v>4991.17</v>
          </cell>
          <cell r="DT285">
            <v>2560.88</v>
          </cell>
          <cell r="DU285">
            <v>3564.1699999999996</v>
          </cell>
          <cell r="DV285">
            <v>4240.29</v>
          </cell>
          <cell r="DW285">
            <v>4005.1700000000005</v>
          </cell>
          <cell r="DX285">
            <v>6282.64</v>
          </cell>
          <cell r="DY285">
            <v>6190.41</v>
          </cell>
          <cell r="DZ285">
            <v>4355.7099999999991</v>
          </cell>
          <cell r="EA285">
            <v>4712.4000000000005</v>
          </cell>
          <cell r="EB285">
            <v>3905.1699999999996</v>
          </cell>
          <cell r="EC285">
            <v>4487.95</v>
          </cell>
          <cell r="ED285">
            <v>3892.1160000000004</v>
          </cell>
          <cell r="EE285">
            <v>5361.1600000000008</v>
          </cell>
          <cell r="EF285">
            <v>7093.9980000000005</v>
          </cell>
          <cell r="EG285">
            <v>4284.6639999999998</v>
          </cell>
          <cell r="EH285" t="str">
            <v>ACTIVO</v>
          </cell>
          <cell r="EI285" t="str">
            <v/>
          </cell>
          <cell r="EJ285" t="str">
            <v/>
          </cell>
          <cell r="EK285">
            <v>4293.6399200000005</v>
          </cell>
          <cell r="EL285">
            <v>715.60665333333338</v>
          </cell>
        </row>
        <row r="286">
          <cell r="F286">
            <v>104013</v>
          </cell>
          <cell r="G286" t="str">
            <v>GELATINA S/SABOR ALFA GROUP</v>
          </cell>
          <cell r="H286">
            <v>50</v>
          </cell>
          <cell r="I286">
            <v>50</v>
          </cell>
          <cell r="J286">
            <v>100</v>
          </cell>
          <cell r="K286">
            <v>50</v>
          </cell>
          <cell r="L286">
            <v>50</v>
          </cell>
          <cell r="M286">
            <v>50</v>
          </cell>
          <cell r="N286">
            <v>75</v>
          </cell>
          <cell r="O286">
            <v>75</v>
          </cell>
          <cell r="P286">
            <v>25</v>
          </cell>
          <cell r="Q286">
            <v>25</v>
          </cell>
          <cell r="R286">
            <v>125</v>
          </cell>
          <cell r="S286">
            <v>100</v>
          </cell>
          <cell r="T286">
            <v>50</v>
          </cell>
          <cell r="U286">
            <v>50</v>
          </cell>
          <cell r="V286">
            <v>50</v>
          </cell>
          <cell r="W286">
            <v>75</v>
          </cell>
          <cell r="X286">
            <v>25</v>
          </cell>
          <cell r="AY286">
            <v>75</v>
          </cell>
          <cell r="AZ286">
            <v>75</v>
          </cell>
          <cell r="BA286">
            <v>75</v>
          </cell>
          <cell r="BB286">
            <v>25</v>
          </cell>
          <cell r="BC286">
            <v>50</v>
          </cell>
          <cell r="BD286">
            <v>50</v>
          </cell>
          <cell r="BE286">
            <v>50</v>
          </cell>
          <cell r="BF286">
            <v>25</v>
          </cell>
          <cell r="BG286">
            <v>50</v>
          </cell>
          <cell r="BH286">
            <v>50</v>
          </cell>
          <cell r="BI286">
            <v>159</v>
          </cell>
          <cell r="BJ286">
            <v>50</v>
          </cell>
          <cell r="BK286">
            <v>60</v>
          </cell>
          <cell r="BL286">
            <v>75</v>
          </cell>
          <cell r="BM286">
            <v>50</v>
          </cell>
          <cell r="BN286">
            <v>50</v>
          </cell>
          <cell r="BP286">
            <v>7</v>
          </cell>
          <cell r="BQ286">
            <v>25</v>
          </cell>
          <cell r="BR286">
            <v>50</v>
          </cell>
          <cell r="BS286">
            <v>25</v>
          </cell>
          <cell r="BV286">
            <v>29</v>
          </cell>
          <cell r="BW286">
            <v>35</v>
          </cell>
          <cell r="BX286">
            <v>123</v>
          </cell>
          <cell r="BY286">
            <v>66</v>
          </cell>
          <cell r="BZ286">
            <v>150</v>
          </cell>
          <cell r="CA286">
            <v>70</v>
          </cell>
          <cell r="CB286">
            <v>50</v>
          </cell>
          <cell r="CC286">
            <v>50</v>
          </cell>
          <cell r="CD286">
            <v>25</v>
          </cell>
          <cell r="CE286">
            <v>75</v>
          </cell>
          <cell r="CF286">
            <v>50</v>
          </cell>
          <cell r="CG286">
            <v>25</v>
          </cell>
          <cell r="CH286">
            <v>75</v>
          </cell>
          <cell r="CI286">
            <v>50</v>
          </cell>
          <cell r="CJ286">
            <v>50</v>
          </cell>
          <cell r="CK286">
            <v>50</v>
          </cell>
          <cell r="CL286">
            <v>50</v>
          </cell>
          <cell r="CM286">
            <v>25</v>
          </cell>
          <cell r="CN286">
            <v>75</v>
          </cell>
          <cell r="CO286">
            <v>50</v>
          </cell>
          <cell r="CP286">
            <v>50</v>
          </cell>
          <cell r="CQ286">
            <v>75</v>
          </cell>
          <cell r="CR286">
            <v>25</v>
          </cell>
          <cell r="CS286">
            <v>25</v>
          </cell>
          <cell r="CT286">
            <v>50</v>
          </cell>
          <cell r="CU286">
            <v>100</v>
          </cell>
          <cell r="CV286">
            <v>75</v>
          </cell>
          <cell r="CW286">
            <v>75</v>
          </cell>
          <cell r="CX286">
            <v>25</v>
          </cell>
          <cell r="CZ286">
            <v>50</v>
          </cell>
          <cell r="DA286">
            <v>35</v>
          </cell>
          <cell r="DB286">
            <v>75</v>
          </cell>
          <cell r="DC286">
            <v>50</v>
          </cell>
          <cell r="DD286">
            <v>50</v>
          </cell>
          <cell r="DE286">
            <v>25</v>
          </cell>
          <cell r="DF286">
            <v>75</v>
          </cell>
          <cell r="DG286">
            <v>50</v>
          </cell>
          <cell r="DI286">
            <v>25</v>
          </cell>
          <cell r="DJ286">
            <v>75</v>
          </cell>
          <cell r="DK286">
            <v>25</v>
          </cell>
          <cell r="DL286">
            <v>50</v>
          </cell>
          <cell r="DM286">
            <v>50</v>
          </cell>
          <cell r="DN286">
            <v>50</v>
          </cell>
          <cell r="DO286">
            <v>50</v>
          </cell>
          <cell r="DP286">
            <v>100</v>
          </cell>
          <cell r="DR286">
            <v>25</v>
          </cell>
          <cell r="DU286">
            <v>98</v>
          </cell>
          <cell r="DV286">
            <v>50</v>
          </cell>
          <cell r="DW286">
            <v>25</v>
          </cell>
          <cell r="DX286">
            <v>75</v>
          </cell>
          <cell r="DY286">
            <v>50</v>
          </cell>
          <cell r="EH286" t="str">
            <v>ACTIVO</v>
          </cell>
          <cell r="EI286" t="str">
            <v>B</v>
          </cell>
          <cell r="EJ286">
            <v>0</v>
          </cell>
          <cell r="EK286">
            <v>53.428571428571431</v>
          </cell>
          <cell r="EL286">
            <v>8.9047619047619051</v>
          </cell>
        </row>
        <row r="287">
          <cell r="F287">
            <v>107159</v>
          </cell>
          <cell r="G287" t="str">
            <v>GELATINA S/SABOR ALTO LA CRUZ</v>
          </cell>
          <cell r="X287">
            <v>30</v>
          </cell>
          <cell r="Y287">
            <v>40</v>
          </cell>
          <cell r="Z287">
            <v>80</v>
          </cell>
          <cell r="AA287">
            <v>50</v>
          </cell>
          <cell r="AB287">
            <v>70</v>
          </cell>
          <cell r="AC287">
            <v>50</v>
          </cell>
          <cell r="AD287">
            <v>50</v>
          </cell>
          <cell r="AE287">
            <v>100</v>
          </cell>
          <cell r="AF287">
            <v>20</v>
          </cell>
          <cell r="AG287">
            <v>65</v>
          </cell>
          <cell r="AH287">
            <v>60</v>
          </cell>
          <cell r="AI287">
            <v>65</v>
          </cell>
          <cell r="AJ287">
            <v>70</v>
          </cell>
          <cell r="AK287">
            <v>50</v>
          </cell>
          <cell r="AL287">
            <v>41</v>
          </cell>
          <cell r="AM287">
            <v>80</v>
          </cell>
          <cell r="AN287">
            <v>90</v>
          </cell>
          <cell r="AO287">
            <v>70</v>
          </cell>
          <cell r="AP287">
            <v>40</v>
          </cell>
          <cell r="AQ287">
            <v>40</v>
          </cell>
          <cell r="AR287">
            <v>30</v>
          </cell>
          <cell r="AS287">
            <v>10</v>
          </cell>
          <cell r="AT287">
            <v>40</v>
          </cell>
          <cell r="AU287">
            <v>59</v>
          </cell>
          <cell r="AV287">
            <v>37</v>
          </cell>
          <cell r="AW287">
            <v>44</v>
          </cell>
          <cell r="AX287">
            <v>46</v>
          </cell>
          <cell r="AY287">
            <v>19</v>
          </cell>
          <cell r="AZ287">
            <v>6</v>
          </cell>
          <cell r="BR287">
            <v>31</v>
          </cell>
          <cell r="BS287">
            <v>39</v>
          </cell>
          <cell r="BT287">
            <v>70</v>
          </cell>
          <cell r="BU287">
            <v>50</v>
          </cell>
          <cell r="BV287">
            <v>16</v>
          </cell>
          <cell r="CX287">
            <v>23</v>
          </cell>
          <cell r="CY287">
            <v>68</v>
          </cell>
          <cell r="CZ287">
            <v>62</v>
          </cell>
          <cell r="DA287">
            <v>7</v>
          </cell>
          <cell r="DQ287">
            <v>47</v>
          </cell>
          <cell r="DR287">
            <v>60</v>
          </cell>
          <cell r="DS287">
            <v>66</v>
          </cell>
          <cell r="DT287">
            <v>61</v>
          </cell>
          <cell r="DU287">
            <v>13</v>
          </cell>
          <cell r="DZ287">
            <v>81</v>
          </cell>
          <cell r="EA287">
            <v>83</v>
          </cell>
          <cell r="EB287">
            <v>69</v>
          </cell>
          <cell r="EC287">
            <v>55</v>
          </cell>
          <cell r="ED287">
            <v>68.814897999999999</v>
          </cell>
          <cell r="EE287">
            <v>65</v>
          </cell>
          <cell r="EF287">
            <v>66.789999999999992</v>
          </cell>
          <cell r="EG287">
            <v>99</v>
          </cell>
          <cell r="EH287" t="str">
            <v>ACTIVO</v>
          </cell>
          <cell r="EI287" t="str">
            <v>C</v>
          </cell>
          <cell r="EJ287" t="str">
            <v/>
          </cell>
          <cell r="EK287">
            <v>64.200376769230758</v>
          </cell>
          <cell r="EL287">
            <v>10.700062794871792</v>
          </cell>
        </row>
        <row r="288">
          <cell r="F288">
            <v>107160</v>
          </cell>
          <cell r="G288" t="str">
            <v>GELATINA FRAMBUESA ALTO LA CRUZ</v>
          </cell>
          <cell r="H288">
            <v>86</v>
          </cell>
          <cell r="I288">
            <v>63</v>
          </cell>
          <cell r="J288">
            <v>61</v>
          </cell>
          <cell r="K288">
            <v>64</v>
          </cell>
          <cell r="L288">
            <v>67</v>
          </cell>
          <cell r="M288">
            <v>77</v>
          </cell>
          <cell r="N288">
            <v>71</v>
          </cell>
          <cell r="O288">
            <v>66</v>
          </cell>
          <cell r="P288">
            <v>67</v>
          </cell>
          <cell r="Q288">
            <v>76</v>
          </cell>
          <cell r="R288">
            <v>66</v>
          </cell>
          <cell r="S288">
            <v>85</v>
          </cell>
          <cell r="T288">
            <v>64</v>
          </cell>
          <cell r="U288">
            <v>73</v>
          </cell>
          <cell r="V288">
            <v>71</v>
          </cell>
          <cell r="W288">
            <v>57</v>
          </cell>
          <cell r="X288">
            <v>71</v>
          </cell>
          <cell r="Y288">
            <v>78</v>
          </cell>
          <cell r="Z288">
            <v>92</v>
          </cell>
          <cell r="AA288">
            <v>57</v>
          </cell>
          <cell r="AB288">
            <v>69</v>
          </cell>
          <cell r="AC288">
            <v>65</v>
          </cell>
          <cell r="AD288">
            <v>71</v>
          </cell>
          <cell r="AE288">
            <v>63</v>
          </cell>
          <cell r="AF288">
            <v>70</v>
          </cell>
          <cell r="AG288">
            <v>74</v>
          </cell>
          <cell r="AH288">
            <v>69</v>
          </cell>
          <cell r="AI288">
            <v>68</v>
          </cell>
          <cell r="AJ288">
            <v>71</v>
          </cell>
          <cell r="AK288">
            <v>65</v>
          </cell>
          <cell r="AL288">
            <v>136</v>
          </cell>
          <cell r="AM288">
            <v>93</v>
          </cell>
          <cell r="AN288">
            <v>88</v>
          </cell>
          <cell r="AO288">
            <v>59</v>
          </cell>
          <cell r="AP288">
            <v>55</v>
          </cell>
          <cell r="AQ288">
            <v>56</v>
          </cell>
          <cell r="AR288">
            <v>53</v>
          </cell>
          <cell r="AS288">
            <v>18</v>
          </cell>
          <cell r="AT288">
            <v>57</v>
          </cell>
          <cell r="AU288">
            <v>51</v>
          </cell>
          <cell r="AV288">
            <v>46</v>
          </cell>
          <cell r="AW288">
            <v>58</v>
          </cell>
          <cell r="AX288">
            <v>59</v>
          </cell>
          <cell r="AY288">
            <v>41</v>
          </cell>
          <cell r="AZ288">
            <v>64</v>
          </cell>
          <cell r="BA288">
            <v>52</v>
          </cell>
          <cell r="BB288">
            <v>50</v>
          </cell>
          <cell r="BC288">
            <v>65</v>
          </cell>
          <cell r="BD288">
            <v>53</v>
          </cell>
          <cell r="BE288">
            <v>55</v>
          </cell>
          <cell r="BF288">
            <v>56</v>
          </cell>
          <cell r="BG288">
            <v>52</v>
          </cell>
          <cell r="BH288">
            <v>31</v>
          </cell>
          <cell r="BI288">
            <v>48</v>
          </cell>
          <cell r="BJ288">
            <v>36</v>
          </cell>
          <cell r="BK288">
            <v>55</v>
          </cell>
          <cell r="BL288">
            <v>52</v>
          </cell>
          <cell r="BM288">
            <v>65</v>
          </cell>
          <cell r="BN288">
            <v>69</v>
          </cell>
          <cell r="BO288">
            <v>46</v>
          </cell>
          <cell r="BP288">
            <v>45</v>
          </cell>
          <cell r="BQ288">
            <v>41</v>
          </cell>
          <cell r="BR288">
            <v>49</v>
          </cell>
          <cell r="BS288">
            <v>51</v>
          </cell>
          <cell r="BT288">
            <v>60</v>
          </cell>
          <cell r="BU288">
            <v>51</v>
          </cell>
          <cell r="BV288">
            <v>46</v>
          </cell>
          <cell r="BW288">
            <v>51</v>
          </cell>
          <cell r="BX288">
            <v>63</v>
          </cell>
          <cell r="BY288">
            <v>78</v>
          </cell>
          <cell r="BZ288">
            <v>105</v>
          </cell>
          <cell r="CA288">
            <v>52</v>
          </cell>
          <cell r="CB288">
            <v>48</v>
          </cell>
          <cell r="CC288">
            <v>51</v>
          </cell>
          <cell r="CD288">
            <v>54</v>
          </cell>
          <cell r="CE288">
            <v>94</v>
          </cell>
          <cell r="CF288">
            <v>46</v>
          </cell>
          <cell r="CG288">
            <v>54</v>
          </cell>
          <cell r="CH288">
            <v>54</v>
          </cell>
          <cell r="CI288">
            <v>60</v>
          </cell>
          <cell r="CJ288">
            <v>52</v>
          </cell>
          <cell r="CK288">
            <v>58</v>
          </cell>
          <cell r="CL288">
            <v>52</v>
          </cell>
          <cell r="CM288">
            <v>64</v>
          </cell>
          <cell r="CN288">
            <v>72</v>
          </cell>
          <cell r="CO288">
            <v>59</v>
          </cell>
          <cell r="CP288">
            <v>64</v>
          </cell>
          <cell r="CQ288">
            <v>39</v>
          </cell>
          <cell r="CR288">
            <v>53</v>
          </cell>
          <cell r="CS288">
            <v>13</v>
          </cell>
          <cell r="CT288">
            <v>76</v>
          </cell>
          <cell r="CU288">
            <v>94</v>
          </cell>
          <cell r="CV288">
            <v>84</v>
          </cell>
          <cell r="CW288">
            <v>85</v>
          </cell>
          <cell r="CX288">
            <v>75</v>
          </cell>
          <cell r="CY288">
            <v>71</v>
          </cell>
          <cell r="CZ288">
            <v>61</v>
          </cell>
          <cell r="DA288">
            <v>71</v>
          </cell>
          <cell r="DB288">
            <v>59</v>
          </cell>
          <cell r="DC288">
            <v>63</v>
          </cell>
          <cell r="DD288">
            <v>65</v>
          </cell>
          <cell r="DE288">
            <v>52</v>
          </cell>
          <cell r="DF288">
            <v>69</v>
          </cell>
          <cell r="DG288">
            <v>49</v>
          </cell>
          <cell r="DH288">
            <v>28</v>
          </cell>
          <cell r="DI288">
            <v>16</v>
          </cell>
          <cell r="DJ288">
            <v>57</v>
          </cell>
          <cell r="DK288">
            <v>55</v>
          </cell>
          <cell r="DL288">
            <v>57</v>
          </cell>
          <cell r="DM288">
            <v>61</v>
          </cell>
          <cell r="DN288">
            <v>53</v>
          </cell>
          <cell r="DO288">
            <v>65</v>
          </cell>
          <cell r="DP288">
            <v>55</v>
          </cell>
          <cell r="DQ288">
            <v>58</v>
          </cell>
          <cell r="DR288">
            <v>58</v>
          </cell>
          <cell r="DS288">
            <v>60</v>
          </cell>
          <cell r="DT288">
            <v>58</v>
          </cell>
          <cell r="DU288">
            <v>65</v>
          </cell>
          <cell r="DV288">
            <v>64</v>
          </cell>
          <cell r="DW288">
            <v>55</v>
          </cell>
          <cell r="DX288">
            <v>56</v>
          </cell>
          <cell r="DY288">
            <v>57</v>
          </cell>
          <cell r="DZ288">
            <v>78</v>
          </cell>
          <cell r="EA288">
            <v>71</v>
          </cell>
          <cell r="EB288">
            <v>70</v>
          </cell>
          <cell r="EC288">
            <v>51</v>
          </cell>
          <cell r="ED288">
            <v>55</v>
          </cell>
          <cell r="EE288">
            <v>58</v>
          </cell>
          <cell r="EF288">
            <v>51</v>
          </cell>
          <cell r="EG288">
            <v>95</v>
          </cell>
          <cell r="EH288" t="str">
            <v>ACTIVO</v>
          </cell>
          <cell r="EI288" t="str">
            <v>C</v>
          </cell>
          <cell r="EJ288">
            <v>200</v>
          </cell>
          <cell r="EK288">
            <v>59.16</v>
          </cell>
          <cell r="EL288">
            <v>9.86</v>
          </cell>
        </row>
        <row r="289">
          <cell r="H289">
            <v>136</v>
          </cell>
          <cell r="I289">
            <v>113</v>
          </cell>
          <cell r="J289">
            <v>161</v>
          </cell>
          <cell r="K289">
            <v>114</v>
          </cell>
          <cell r="L289">
            <v>117</v>
          </cell>
          <cell r="M289">
            <v>127</v>
          </cell>
          <cell r="N289">
            <v>146</v>
          </cell>
          <cell r="O289">
            <v>141</v>
          </cell>
          <cell r="P289">
            <v>92</v>
          </cell>
          <cell r="Q289">
            <v>101</v>
          </cell>
          <cell r="R289">
            <v>191</v>
          </cell>
          <cell r="S289">
            <v>185</v>
          </cell>
          <cell r="T289">
            <v>114</v>
          </cell>
          <cell r="U289">
            <v>123</v>
          </cell>
          <cell r="V289">
            <v>121</v>
          </cell>
          <cell r="W289">
            <v>132</v>
          </cell>
          <cell r="X289">
            <v>126</v>
          </cell>
          <cell r="Y289">
            <v>118</v>
          </cell>
          <cell r="Z289">
            <v>172</v>
          </cell>
          <cell r="AA289">
            <v>107</v>
          </cell>
          <cell r="AB289">
            <v>139</v>
          </cell>
          <cell r="AC289">
            <v>115</v>
          </cell>
          <cell r="AD289">
            <v>121</v>
          </cell>
          <cell r="AE289">
            <v>163</v>
          </cell>
          <cell r="AF289">
            <v>90</v>
          </cell>
          <cell r="AG289">
            <v>139</v>
          </cell>
          <cell r="AH289">
            <v>129</v>
          </cell>
          <cell r="AI289">
            <v>133</v>
          </cell>
          <cell r="AJ289">
            <v>141</v>
          </cell>
          <cell r="AK289">
            <v>115</v>
          </cell>
          <cell r="AL289">
            <v>177</v>
          </cell>
          <cell r="AM289">
            <v>173</v>
          </cell>
          <cell r="AN289">
            <v>178</v>
          </cell>
          <cell r="AO289">
            <v>129</v>
          </cell>
          <cell r="AP289">
            <v>95</v>
          </cell>
          <cell r="AQ289">
            <v>96</v>
          </cell>
          <cell r="AR289">
            <v>83</v>
          </cell>
          <cell r="AS289">
            <v>28</v>
          </cell>
          <cell r="AT289">
            <v>97</v>
          </cell>
          <cell r="AU289">
            <v>110</v>
          </cell>
          <cell r="AV289">
            <v>83</v>
          </cell>
          <cell r="AW289">
            <v>102</v>
          </cell>
          <cell r="AX289">
            <v>105</v>
          </cell>
          <cell r="AY289">
            <v>135</v>
          </cell>
          <cell r="AZ289">
            <v>145</v>
          </cell>
          <cell r="BA289">
            <v>127</v>
          </cell>
          <cell r="BB289">
            <v>75</v>
          </cell>
          <cell r="BC289">
            <v>115</v>
          </cell>
          <cell r="BD289">
            <v>103</v>
          </cell>
          <cell r="BE289">
            <v>105</v>
          </cell>
          <cell r="BF289">
            <v>81</v>
          </cell>
          <cell r="BG289">
            <v>102</v>
          </cell>
          <cell r="BH289">
            <v>81</v>
          </cell>
          <cell r="BI289">
            <v>207</v>
          </cell>
          <cell r="BJ289">
            <v>86</v>
          </cell>
          <cell r="BK289">
            <v>115</v>
          </cell>
          <cell r="BL289">
            <v>127</v>
          </cell>
          <cell r="BM289">
            <v>115</v>
          </cell>
          <cell r="BN289">
            <v>119</v>
          </cell>
          <cell r="BO289">
            <v>46</v>
          </cell>
          <cell r="BP289">
            <v>52</v>
          </cell>
          <cell r="BQ289">
            <v>66</v>
          </cell>
          <cell r="BR289">
            <v>130</v>
          </cell>
          <cell r="BS289">
            <v>115</v>
          </cell>
          <cell r="BT289">
            <v>130</v>
          </cell>
          <cell r="BU289">
            <v>101</v>
          </cell>
          <cell r="BV289">
            <v>91</v>
          </cell>
          <cell r="BW289">
            <v>86</v>
          </cell>
          <cell r="BX289">
            <v>186</v>
          </cell>
          <cell r="BY289">
            <v>144</v>
          </cell>
          <cell r="BZ289">
            <v>255</v>
          </cell>
          <cell r="CA289">
            <v>122</v>
          </cell>
          <cell r="CB289">
            <v>98</v>
          </cell>
          <cell r="CC289">
            <v>101</v>
          </cell>
          <cell r="CD289">
            <v>79</v>
          </cell>
          <cell r="CE289">
            <v>169</v>
          </cell>
          <cell r="CF289">
            <v>96</v>
          </cell>
          <cell r="CG289">
            <v>79</v>
          </cell>
          <cell r="CH289">
            <v>129</v>
          </cell>
          <cell r="CI289">
            <v>110</v>
          </cell>
          <cell r="CJ289">
            <v>102</v>
          </cell>
          <cell r="CK289">
            <v>108</v>
          </cell>
          <cell r="CL289">
            <v>102</v>
          </cell>
          <cell r="CM289">
            <v>89</v>
          </cell>
          <cell r="CN289">
            <v>147</v>
          </cell>
          <cell r="CO289">
            <v>109</v>
          </cell>
          <cell r="CP289">
            <v>114</v>
          </cell>
          <cell r="CQ289">
            <v>114</v>
          </cell>
          <cell r="CR289">
            <v>78</v>
          </cell>
          <cell r="CS289">
            <v>38</v>
          </cell>
          <cell r="CT289">
            <v>126</v>
          </cell>
          <cell r="CU289">
            <v>194</v>
          </cell>
          <cell r="CV289">
            <v>159</v>
          </cell>
          <cell r="CW289">
            <v>160</v>
          </cell>
          <cell r="CX289">
            <v>123</v>
          </cell>
          <cell r="CY289">
            <v>139</v>
          </cell>
          <cell r="CZ289">
            <v>173</v>
          </cell>
          <cell r="DA289">
            <v>113</v>
          </cell>
          <cell r="DB289">
            <v>134</v>
          </cell>
          <cell r="DC289">
            <v>113</v>
          </cell>
          <cell r="DD289">
            <v>115</v>
          </cell>
          <cell r="DE289">
            <v>77</v>
          </cell>
          <cell r="DF289">
            <v>144</v>
          </cell>
          <cell r="DG289">
            <v>99</v>
          </cell>
          <cell r="DH289">
            <v>28</v>
          </cell>
          <cell r="DI289">
            <v>41</v>
          </cell>
          <cell r="DJ289">
            <v>132</v>
          </cell>
          <cell r="DK289">
            <v>80</v>
          </cell>
          <cell r="DL289">
            <v>107</v>
          </cell>
          <cell r="DM289">
            <v>111</v>
          </cell>
          <cell r="DN289">
            <v>103</v>
          </cell>
          <cell r="DO289">
            <v>115</v>
          </cell>
          <cell r="DP289">
            <v>155</v>
          </cell>
          <cell r="DQ289">
            <v>105</v>
          </cell>
          <cell r="DR289">
            <v>143</v>
          </cell>
          <cell r="DS289">
            <v>126</v>
          </cell>
          <cell r="DT289">
            <v>119</v>
          </cell>
          <cell r="DU289">
            <v>176</v>
          </cell>
          <cell r="DV289">
            <v>114</v>
          </cell>
          <cell r="DW289">
            <v>80</v>
          </cell>
          <cell r="DX289">
            <v>131</v>
          </cell>
          <cell r="DY289">
            <v>107</v>
          </cell>
          <cell r="DZ289">
            <v>159</v>
          </cell>
          <cell r="EA289">
            <v>154</v>
          </cell>
          <cell r="EB289">
            <v>139</v>
          </cell>
          <cell r="EC289">
            <v>106</v>
          </cell>
          <cell r="ED289">
            <v>123.814898</v>
          </cell>
          <cell r="EE289">
            <v>123</v>
          </cell>
          <cell r="EF289">
            <v>117.78999999999999</v>
          </cell>
          <cell r="EG289">
            <v>194</v>
          </cell>
          <cell r="EH289" t="str">
            <v>ACTIVO</v>
          </cell>
          <cell r="EI289" t="str">
            <v/>
          </cell>
          <cell r="EJ289" t="str">
            <v/>
          </cell>
          <cell r="EK289">
            <v>122.46419592000001</v>
          </cell>
          <cell r="EL289">
            <v>20.410699320000003</v>
          </cell>
        </row>
        <row r="290">
          <cell r="F290">
            <v>404316</v>
          </cell>
          <cell r="G290" t="str">
            <v>BASE DE TARTALETA SOFT BLANCA PAVESI</v>
          </cell>
          <cell r="H290">
            <v>54</v>
          </cell>
          <cell r="AU290">
            <v>141</v>
          </cell>
          <cell r="AV290">
            <v>552</v>
          </cell>
          <cell r="AW290">
            <v>411</v>
          </cell>
          <cell r="AX290">
            <v>504</v>
          </cell>
          <cell r="AY290">
            <v>414</v>
          </cell>
          <cell r="AZ290">
            <v>432</v>
          </cell>
          <cell r="BA290">
            <v>492</v>
          </cell>
          <cell r="BB290">
            <v>330</v>
          </cell>
          <cell r="BC290">
            <v>279</v>
          </cell>
          <cell r="BD290">
            <v>351</v>
          </cell>
          <cell r="BE290">
            <v>318</v>
          </cell>
          <cell r="BF290">
            <v>405</v>
          </cell>
          <cell r="BG290">
            <v>165</v>
          </cell>
          <cell r="BH290">
            <v>147</v>
          </cell>
          <cell r="BI290">
            <v>363</v>
          </cell>
          <cell r="BJ290">
            <v>222</v>
          </cell>
          <cell r="BK290">
            <v>357</v>
          </cell>
          <cell r="BL290">
            <v>318</v>
          </cell>
          <cell r="BM290">
            <v>321</v>
          </cell>
          <cell r="BN290">
            <v>387</v>
          </cell>
          <cell r="BO290">
            <v>273</v>
          </cell>
          <cell r="BP290">
            <v>342</v>
          </cell>
          <cell r="BQ290">
            <v>273</v>
          </cell>
          <cell r="BR290">
            <v>387</v>
          </cell>
          <cell r="BS290">
            <v>309</v>
          </cell>
          <cell r="BT290">
            <v>285</v>
          </cell>
          <cell r="BU290">
            <v>330</v>
          </cell>
          <cell r="BV290">
            <v>312</v>
          </cell>
          <cell r="BW290">
            <v>294</v>
          </cell>
          <cell r="BX290">
            <v>414</v>
          </cell>
          <cell r="BY290">
            <v>225</v>
          </cell>
          <cell r="BZ290">
            <v>45</v>
          </cell>
          <cell r="CA290">
            <v>273</v>
          </cell>
          <cell r="CB290">
            <v>501</v>
          </cell>
          <cell r="CC290">
            <v>384</v>
          </cell>
          <cell r="CD290">
            <v>303</v>
          </cell>
          <cell r="CE290">
            <v>438</v>
          </cell>
          <cell r="CF290">
            <v>390</v>
          </cell>
          <cell r="CG290">
            <v>441</v>
          </cell>
          <cell r="CH290">
            <v>372</v>
          </cell>
          <cell r="CI290">
            <v>444</v>
          </cell>
          <cell r="CJ290">
            <v>417</v>
          </cell>
          <cell r="CK290">
            <v>408</v>
          </cell>
          <cell r="CL290">
            <v>327</v>
          </cell>
          <cell r="CM290">
            <v>327</v>
          </cell>
          <cell r="CN290">
            <v>492</v>
          </cell>
          <cell r="CO290">
            <v>450</v>
          </cell>
          <cell r="CP290">
            <v>432</v>
          </cell>
          <cell r="CQ290">
            <v>363</v>
          </cell>
          <cell r="CR290">
            <v>432</v>
          </cell>
          <cell r="CS290">
            <v>72</v>
          </cell>
          <cell r="CT290">
            <v>384</v>
          </cell>
          <cell r="CU290">
            <v>444</v>
          </cell>
          <cell r="CV290">
            <v>369</v>
          </cell>
          <cell r="CW290">
            <v>309</v>
          </cell>
          <cell r="CX290">
            <v>285</v>
          </cell>
          <cell r="CY290">
            <v>300</v>
          </cell>
          <cell r="CZ290">
            <v>336</v>
          </cell>
          <cell r="DA290">
            <v>339</v>
          </cell>
          <cell r="DB290">
            <v>232</v>
          </cell>
          <cell r="DC290">
            <v>395</v>
          </cell>
          <cell r="DD290">
            <v>255</v>
          </cell>
          <cell r="DE290">
            <v>252</v>
          </cell>
          <cell r="DF290">
            <v>309</v>
          </cell>
          <cell r="DG290">
            <v>225</v>
          </cell>
          <cell r="DH290">
            <v>120</v>
          </cell>
          <cell r="DI290">
            <v>99</v>
          </cell>
          <cell r="DJ290">
            <v>348</v>
          </cell>
          <cell r="DK290">
            <v>324</v>
          </cell>
          <cell r="DL290">
            <v>270</v>
          </cell>
          <cell r="DM290">
            <v>321</v>
          </cell>
          <cell r="DN290">
            <v>300</v>
          </cell>
          <cell r="DO290">
            <v>300</v>
          </cell>
          <cell r="DP290">
            <v>318</v>
          </cell>
          <cell r="DQ290">
            <v>297</v>
          </cell>
          <cell r="DR290">
            <v>270</v>
          </cell>
          <cell r="DS290">
            <v>480</v>
          </cell>
          <cell r="DT290">
            <v>257</v>
          </cell>
          <cell r="DU290">
            <v>477</v>
          </cell>
          <cell r="DV290">
            <v>336</v>
          </cell>
          <cell r="DW290">
            <v>375</v>
          </cell>
          <cell r="DX290">
            <v>453</v>
          </cell>
          <cell r="DY290">
            <v>417</v>
          </cell>
          <cell r="DZ290">
            <v>489</v>
          </cell>
          <cell r="EA290">
            <v>171</v>
          </cell>
          <cell r="EB290">
            <v>507</v>
          </cell>
          <cell r="EC290">
            <v>537</v>
          </cell>
          <cell r="ED290">
            <v>504</v>
          </cell>
          <cell r="EE290">
            <v>480</v>
          </cell>
          <cell r="EF290">
            <v>402</v>
          </cell>
          <cell r="EG290">
            <v>394</v>
          </cell>
          <cell r="EH290" t="str">
            <v>ACTIVO</v>
          </cell>
          <cell r="EI290" t="str">
            <v>B</v>
          </cell>
          <cell r="EJ290">
            <v>3600</v>
          </cell>
          <cell r="EK290">
            <v>365.04</v>
          </cell>
          <cell r="EL290">
            <v>60.84</v>
          </cell>
        </row>
        <row r="291">
          <cell r="F291">
            <v>353003</v>
          </cell>
          <cell r="G291" t="str">
            <v>Porción vainilla  Semi-Elab UND</v>
          </cell>
          <cell r="H291">
            <v>93</v>
          </cell>
          <cell r="I291">
            <v>111</v>
          </cell>
          <cell r="J291">
            <v>120</v>
          </cell>
          <cell r="K291">
            <v>114</v>
          </cell>
          <cell r="L291">
            <v>60</v>
          </cell>
          <cell r="M291">
            <v>102</v>
          </cell>
          <cell r="N291">
            <v>132</v>
          </cell>
          <cell r="O291">
            <v>78</v>
          </cell>
          <cell r="P291">
            <v>27</v>
          </cell>
          <cell r="Q291">
            <v>27</v>
          </cell>
          <cell r="R291">
            <v>33</v>
          </cell>
          <cell r="S291">
            <v>99</v>
          </cell>
          <cell r="U291">
            <v>36</v>
          </cell>
          <cell r="V291">
            <v>30</v>
          </cell>
          <cell r="W291">
            <v>27</v>
          </cell>
          <cell r="X291">
            <v>30</v>
          </cell>
          <cell r="Y291">
            <v>45</v>
          </cell>
          <cell r="Z291">
            <v>30</v>
          </cell>
          <cell r="AA291">
            <v>30</v>
          </cell>
          <cell r="AB291">
            <v>31</v>
          </cell>
          <cell r="AC291">
            <v>39</v>
          </cell>
          <cell r="AD291">
            <v>21</v>
          </cell>
          <cell r="AE291">
            <v>9</v>
          </cell>
          <cell r="AF291">
            <v>39</v>
          </cell>
          <cell r="AG291">
            <v>39</v>
          </cell>
          <cell r="AH291">
            <v>51</v>
          </cell>
          <cell r="AI291">
            <v>24</v>
          </cell>
          <cell r="AJ291">
            <v>24</v>
          </cell>
          <cell r="AK291">
            <v>33</v>
          </cell>
          <cell r="AL291">
            <v>18</v>
          </cell>
          <cell r="AM291">
            <v>3</v>
          </cell>
          <cell r="AN291">
            <v>36</v>
          </cell>
          <cell r="AO291">
            <v>27</v>
          </cell>
          <cell r="AP291">
            <v>30</v>
          </cell>
          <cell r="AQ291">
            <v>27</v>
          </cell>
          <cell r="AR291">
            <v>27</v>
          </cell>
          <cell r="AS291">
            <v>9</v>
          </cell>
          <cell r="AT291">
            <v>29</v>
          </cell>
          <cell r="AU291">
            <v>36</v>
          </cell>
          <cell r="AV291">
            <v>21</v>
          </cell>
          <cell r="AW291">
            <v>24</v>
          </cell>
          <cell r="AX291">
            <v>21</v>
          </cell>
          <cell r="AY291">
            <v>24</v>
          </cell>
          <cell r="AZ291">
            <v>27</v>
          </cell>
          <cell r="BA291">
            <v>33</v>
          </cell>
          <cell r="BB291">
            <v>30</v>
          </cell>
          <cell r="BC291">
            <v>24</v>
          </cell>
          <cell r="BD291">
            <v>27</v>
          </cell>
          <cell r="BE291">
            <v>30</v>
          </cell>
          <cell r="BF291">
            <v>24</v>
          </cell>
          <cell r="BG291">
            <v>24</v>
          </cell>
          <cell r="BH291">
            <v>15</v>
          </cell>
          <cell r="BI291">
            <v>24</v>
          </cell>
          <cell r="BJ291">
            <v>18</v>
          </cell>
          <cell r="BK291">
            <v>39</v>
          </cell>
          <cell r="BL291">
            <v>30</v>
          </cell>
          <cell r="BM291">
            <v>24</v>
          </cell>
          <cell r="BN291">
            <v>27</v>
          </cell>
          <cell r="BO291">
            <v>15</v>
          </cell>
          <cell r="BP291">
            <v>30</v>
          </cell>
          <cell r="BQ291">
            <v>24</v>
          </cell>
          <cell r="BR291">
            <v>33</v>
          </cell>
          <cell r="BS291">
            <v>30</v>
          </cell>
          <cell r="BT291">
            <v>30</v>
          </cell>
          <cell r="BU291">
            <v>33</v>
          </cell>
          <cell r="BV291">
            <v>27</v>
          </cell>
          <cell r="BW291">
            <v>27</v>
          </cell>
          <cell r="BX291">
            <v>31</v>
          </cell>
          <cell r="BY291">
            <v>39</v>
          </cell>
          <cell r="BZ291">
            <v>30</v>
          </cell>
          <cell r="CA291">
            <v>30</v>
          </cell>
          <cell r="CB291">
            <v>30</v>
          </cell>
          <cell r="CC291">
            <v>33</v>
          </cell>
          <cell r="CD291">
            <v>27</v>
          </cell>
          <cell r="CE291">
            <v>21</v>
          </cell>
          <cell r="CF291">
            <v>24</v>
          </cell>
          <cell r="CG291">
            <v>24</v>
          </cell>
          <cell r="CH291">
            <v>15</v>
          </cell>
          <cell r="CI291">
            <v>33</v>
          </cell>
          <cell r="CJ291">
            <v>54</v>
          </cell>
          <cell r="CK291">
            <v>36</v>
          </cell>
          <cell r="CL291">
            <v>35</v>
          </cell>
          <cell r="CM291">
            <v>21</v>
          </cell>
          <cell r="CN291">
            <v>24</v>
          </cell>
          <cell r="CO291">
            <v>42</v>
          </cell>
          <cell r="CP291">
            <v>15</v>
          </cell>
          <cell r="CQ291">
            <v>18</v>
          </cell>
          <cell r="CR291">
            <v>21</v>
          </cell>
          <cell r="CS291">
            <v>6</v>
          </cell>
          <cell r="CT291">
            <v>24</v>
          </cell>
          <cell r="CU291">
            <v>75</v>
          </cell>
          <cell r="CV291">
            <v>30</v>
          </cell>
          <cell r="CW291">
            <v>31</v>
          </cell>
          <cell r="CX291">
            <v>39</v>
          </cell>
          <cell r="CY291">
            <v>30</v>
          </cell>
          <cell r="CZ291">
            <v>21</v>
          </cell>
          <cell r="DA291">
            <v>27</v>
          </cell>
          <cell r="DB291">
            <v>21</v>
          </cell>
          <cell r="DC291">
            <v>39</v>
          </cell>
          <cell r="DD291">
            <v>24</v>
          </cell>
          <cell r="DE291">
            <v>12</v>
          </cell>
          <cell r="DF291">
            <v>18</v>
          </cell>
          <cell r="DG291">
            <v>24</v>
          </cell>
          <cell r="DH291">
            <v>15</v>
          </cell>
          <cell r="DI291">
            <v>2</v>
          </cell>
          <cell r="DJ291">
            <v>27</v>
          </cell>
          <cell r="DK291">
            <v>24</v>
          </cell>
          <cell r="DL291">
            <v>24</v>
          </cell>
          <cell r="DM291">
            <v>21</v>
          </cell>
          <cell r="DN291">
            <v>30</v>
          </cell>
          <cell r="DO291">
            <v>15</v>
          </cell>
          <cell r="DP291">
            <v>25</v>
          </cell>
          <cell r="DQ291">
            <v>21</v>
          </cell>
          <cell r="DR291">
            <v>30</v>
          </cell>
          <cell r="DS291">
            <v>10</v>
          </cell>
          <cell r="DT291">
            <v>24</v>
          </cell>
          <cell r="DU291">
            <v>22</v>
          </cell>
          <cell r="DV291">
            <v>33</v>
          </cell>
          <cell r="DW291">
            <v>33</v>
          </cell>
          <cell r="DX291">
            <v>30</v>
          </cell>
          <cell r="DY291">
            <v>14</v>
          </cell>
          <cell r="DZ291">
            <v>27</v>
          </cell>
          <cell r="EA291">
            <v>21</v>
          </cell>
          <cell r="EB291">
            <v>33</v>
          </cell>
          <cell r="EC291">
            <v>30</v>
          </cell>
          <cell r="ED291">
            <v>30</v>
          </cell>
          <cell r="EE291">
            <v>42</v>
          </cell>
          <cell r="EF291">
            <v>34</v>
          </cell>
          <cell r="EG291">
            <v>30</v>
          </cell>
          <cell r="EH291" t="str">
            <v>ACTIVO</v>
          </cell>
          <cell r="EI291" t="str">
            <v>C</v>
          </cell>
          <cell r="EJ291">
            <v>90</v>
          </cell>
          <cell r="EK291">
            <v>25.28</v>
          </cell>
          <cell r="EL291">
            <v>4.2133333333333338</v>
          </cell>
        </row>
        <row r="292">
          <cell r="F292">
            <v>107211</v>
          </cell>
          <cell r="G292" t="str">
            <v>MERENGUITOS PAVESI</v>
          </cell>
          <cell r="H292">
            <v>15</v>
          </cell>
          <cell r="I292">
            <v>92.5</v>
          </cell>
          <cell r="J292">
            <v>20</v>
          </cell>
          <cell r="K292">
            <v>25</v>
          </cell>
          <cell r="L292">
            <v>50</v>
          </cell>
          <cell r="M292">
            <v>70</v>
          </cell>
          <cell r="N292">
            <v>40</v>
          </cell>
          <cell r="Q292">
            <v>15</v>
          </cell>
          <cell r="R292">
            <v>62.5</v>
          </cell>
          <cell r="S292">
            <v>10</v>
          </cell>
          <cell r="T292">
            <v>52.000002000000002</v>
          </cell>
          <cell r="U292">
            <v>30</v>
          </cell>
          <cell r="V292">
            <v>30</v>
          </cell>
          <cell r="W292">
            <v>25</v>
          </cell>
          <cell r="X292">
            <v>55</v>
          </cell>
          <cell r="Y292">
            <v>10</v>
          </cell>
          <cell r="Z292">
            <v>10</v>
          </cell>
          <cell r="AA292">
            <v>25</v>
          </cell>
          <cell r="AB292">
            <v>45</v>
          </cell>
          <cell r="AC292">
            <v>5</v>
          </cell>
          <cell r="AD292">
            <v>35</v>
          </cell>
          <cell r="AE292">
            <v>30</v>
          </cell>
          <cell r="AF292">
            <v>45</v>
          </cell>
          <cell r="AG292">
            <v>27.5</v>
          </cell>
          <cell r="AH292">
            <v>5</v>
          </cell>
          <cell r="AI292">
            <v>5</v>
          </cell>
          <cell r="AJ292">
            <v>15</v>
          </cell>
          <cell r="AK292">
            <v>65</v>
          </cell>
          <cell r="AN292">
            <v>50</v>
          </cell>
          <cell r="AO292">
            <v>40</v>
          </cell>
          <cell r="AR292">
            <v>10</v>
          </cell>
          <cell r="AS292">
            <v>10</v>
          </cell>
          <cell r="AT292">
            <v>60</v>
          </cell>
          <cell r="AU292">
            <v>22.5</v>
          </cell>
          <cell r="AV292">
            <v>25</v>
          </cell>
          <cell r="AW292">
            <v>70</v>
          </cell>
          <cell r="AX292">
            <v>100</v>
          </cell>
          <cell r="AY292">
            <v>15</v>
          </cell>
          <cell r="AZ292">
            <v>35</v>
          </cell>
          <cell r="BA292">
            <v>40</v>
          </cell>
          <cell r="BB292">
            <v>85</v>
          </cell>
          <cell r="BC292">
            <v>30</v>
          </cell>
          <cell r="BD292">
            <v>22.5</v>
          </cell>
          <cell r="BE292">
            <v>35</v>
          </cell>
          <cell r="BF292">
            <v>25</v>
          </cell>
          <cell r="BG292">
            <v>20</v>
          </cell>
          <cell r="BI292">
            <v>40</v>
          </cell>
          <cell r="BJ292">
            <v>37.5</v>
          </cell>
          <cell r="BK292">
            <v>50</v>
          </cell>
          <cell r="BL292">
            <v>40</v>
          </cell>
          <cell r="BM292">
            <v>25</v>
          </cell>
          <cell r="BO292">
            <v>40</v>
          </cell>
          <cell r="BQ292">
            <v>35</v>
          </cell>
          <cell r="BR292">
            <v>85</v>
          </cell>
          <cell r="BS292">
            <v>32.5</v>
          </cell>
          <cell r="BT292">
            <v>40</v>
          </cell>
          <cell r="BU292">
            <v>5</v>
          </cell>
          <cell r="BV292">
            <v>40</v>
          </cell>
          <cell r="BW292">
            <v>65</v>
          </cell>
          <cell r="BX292">
            <v>17.5</v>
          </cell>
          <cell r="BY292">
            <v>67.5</v>
          </cell>
          <cell r="CB292">
            <v>40</v>
          </cell>
          <cell r="CC292">
            <v>35</v>
          </cell>
          <cell r="CD292">
            <v>17.5</v>
          </cell>
          <cell r="CI292">
            <v>7.5</v>
          </cell>
          <cell r="CJ292">
            <v>35</v>
          </cell>
          <cell r="CK292">
            <v>17.5</v>
          </cell>
          <cell r="CL292">
            <v>5</v>
          </cell>
          <cell r="CM292">
            <v>30</v>
          </cell>
          <cell r="CN292">
            <v>35</v>
          </cell>
          <cell r="CO292">
            <v>5</v>
          </cell>
          <cell r="CP292">
            <v>22.5</v>
          </cell>
          <cell r="CQ292">
            <v>37.5</v>
          </cell>
          <cell r="CR292">
            <v>27.5</v>
          </cell>
          <cell r="CS292">
            <v>12.5</v>
          </cell>
          <cell r="CT292">
            <v>22.5</v>
          </cell>
          <cell r="CU292">
            <v>45</v>
          </cell>
          <cell r="CV292">
            <v>55</v>
          </cell>
          <cell r="CW292">
            <v>30</v>
          </cell>
          <cell r="CX292">
            <v>20</v>
          </cell>
          <cell r="CY292">
            <v>35</v>
          </cell>
          <cell r="CZ292">
            <v>42.5</v>
          </cell>
          <cell r="DA292">
            <v>75</v>
          </cell>
          <cell r="DB292">
            <v>15</v>
          </cell>
          <cell r="DC292">
            <v>40</v>
          </cell>
          <cell r="DD292">
            <v>10</v>
          </cell>
          <cell r="DE292">
            <v>60</v>
          </cell>
          <cell r="DF292">
            <v>32.5</v>
          </cell>
          <cell r="DG292">
            <v>15</v>
          </cell>
          <cell r="DH292">
            <v>22.5</v>
          </cell>
          <cell r="DJ292">
            <v>65</v>
          </cell>
          <cell r="DK292">
            <v>75</v>
          </cell>
          <cell r="DL292">
            <v>75</v>
          </cell>
          <cell r="DP292">
            <v>32.5</v>
          </cell>
          <cell r="DR292">
            <v>15</v>
          </cell>
          <cell r="DS292">
            <v>10</v>
          </cell>
          <cell r="DT292">
            <v>25</v>
          </cell>
          <cell r="DU292">
            <v>20</v>
          </cell>
          <cell r="DV292">
            <v>47.5</v>
          </cell>
          <cell r="DW292">
            <v>45</v>
          </cell>
          <cell r="DX292">
            <v>35</v>
          </cell>
          <cell r="DY292">
            <v>77.5</v>
          </cell>
          <cell r="DZ292">
            <v>22.5</v>
          </cell>
          <cell r="EB292">
            <v>30</v>
          </cell>
          <cell r="EC292">
            <v>15</v>
          </cell>
          <cell r="ED292">
            <v>20</v>
          </cell>
          <cell r="EE292">
            <v>7.5</v>
          </cell>
          <cell r="EF292">
            <v>12.5</v>
          </cell>
          <cell r="EH292" t="str">
            <v>ACTIVO</v>
          </cell>
          <cell r="EI292" t="str">
            <v>B</v>
          </cell>
          <cell r="EK292">
            <v>35</v>
          </cell>
          <cell r="EL292">
            <v>5.833333333333333</v>
          </cell>
        </row>
        <row r="293">
          <cell r="F293">
            <v>353002</v>
          </cell>
          <cell r="G293" t="str">
            <v>INSUMO SEMI-ELABORADO INTERPLANTA BIZCOCHO CHOCOLATE 19cm</v>
          </cell>
          <cell r="H293">
            <v>9316</v>
          </cell>
          <cell r="I293">
            <v>10234</v>
          </cell>
          <cell r="J293">
            <v>9018</v>
          </cell>
          <cell r="K293">
            <v>11340</v>
          </cell>
          <cell r="L293">
            <v>13230</v>
          </cell>
          <cell r="M293">
            <v>9450</v>
          </cell>
          <cell r="N293">
            <v>11682</v>
          </cell>
          <cell r="O293">
            <v>13770</v>
          </cell>
          <cell r="P293">
            <v>9774</v>
          </cell>
          <cell r="Q293">
            <v>12726</v>
          </cell>
          <cell r="R293">
            <v>12816</v>
          </cell>
          <cell r="S293">
            <v>4770</v>
          </cell>
          <cell r="T293">
            <v>5958</v>
          </cell>
          <cell r="U293">
            <v>13482</v>
          </cell>
          <cell r="V293">
            <v>14832</v>
          </cell>
          <cell r="W293">
            <v>8550</v>
          </cell>
          <cell r="X293">
            <v>11646</v>
          </cell>
          <cell r="Y293">
            <v>8802</v>
          </cell>
          <cell r="Z293">
            <v>6264</v>
          </cell>
          <cell r="AA293">
            <v>11016</v>
          </cell>
          <cell r="AB293">
            <v>13213</v>
          </cell>
          <cell r="AC293">
            <v>11160</v>
          </cell>
          <cell r="AD293">
            <v>16344</v>
          </cell>
          <cell r="AE293">
            <v>8334</v>
          </cell>
          <cell r="AF293">
            <v>11916</v>
          </cell>
          <cell r="AG293">
            <v>12006</v>
          </cell>
          <cell r="AH293">
            <v>11466</v>
          </cell>
          <cell r="AI293">
            <v>12402</v>
          </cell>
          <cell r="AJ293">
            <v>9504</v>
          </cell>
          <cell r="AK293">
            <v>12582</v>
          </cell>
          <cell r="AL293">
            <v>11664</v>
          </cell>
          <cell r="AM293">
            <v>13662</v>
          </cell>
          <cell r="AN293">
            <v>11448</v>
          </cell>
          <cell r="AO293">
            <v>8946</v>
          </cell>
          <cell r="AP293">
            <v>11430</v>
          </cell>
          <cell r="AQ293">
            <v>12529</v>
          </cell>
          <cell r="AR293">
            <v>13086</v>
          </cell>
          <cell r="AS293">
            <v>6767</v>
          </cell>
          <cell r="AT293">
            <v>9504</v>
          </cell>
          <cell r="AU293">
            <v>9972</v>
          </cell>
          <cell r="AV293">
            <v>18000</v>
          </cell>
          <cell r="AW293">
            <v>7056</v>
          </cell>
          <cell r="AX293">
            <v>8568</v>
          </cell>
          <cell r="AY293">
            <v>7002</v>
          </cell>
          <cell r="AZ293">
            <v>18580</v>
          </cell>
          <cell r="BA293">
            <v>11034</v>
          </cell>
          <cell r="BB293">
            <v>12870</v>
          </cell>
          <cell r="BC293">
            <v>14994</v>
          </cell>
          <cell r="BD293">
            <v>6300</v>
          </cell>
          <cell r="BE293">
            <v>6660</v>
          </cell>
          <cell r="BF293">
            <v>13896</v>
          </cell>
          <cell r="BG293">
            <v>12204</v>
          </cell>
          <cell r="BH293">
            <v>5814</v>
          </cell>
          <cell r="BI293">
            <v>2124</v>
          </cell>
          <cell r="BJ293">
            <v>5922</v>
          </cell>
          <cell r="BK293">
            <v>11142</v>
          </cell>
          <cell r="BL293">
            <v>14220</v>
          </cell>
          <cell r="BM293">
            <v>9288</v>
          </cell>
          <cell r="BN293">
            <v>12148</v>
          </cell>
          <cell r="BO293">
            <v>13068</v>
          </cell>
          <cell r="BP293">
            <v>11176</v>
          </cell>
          <cell r="BQ293">
            <v>16638</v>
          </cell>
          <cell r="BR293">
            <v>7182</v>
          </cell>
          <cell r="BS293">
            <v>10404</v>
          </cell>
          <cell r="BT293">
            <v>6858</v>
          </cell>
          <cell r="BU293">
            <v>10806</v>
          </cell>
          <cell r="BV293">
            <v>10860</v>
          </cell>
          <cell r="BW293">
            <v>5922</v>
          </cell>
          <cell r="BX293">
            <v>12564</v>
          </cell>
          <cell r="BY293">
            <v>15480</v>
          </cell>
          <cell r="BZ293">
            <v>10224</v>
          </cell>
          <cell r="CA293">
            <v>21096</v>
          </cell>
          <cell r="CB293">
            <v>9372</v>
          </cell>
          <cell r="CC293">
            <v>12726</v>
          </cell>
          <cell r="CD293">
            <v>19044</v>
          </cell>
          <cell r="CE293">
            <v>4068</v>
          </cell>
          <cell r="CF293">
            <v>8100</v>
          </cell>
          <cell r="CG293">
            <v>15012</v>
          </cell>
          <cell r="CH293">
            <v>20106</v>
          </cell>
          <cell r="CI293">
            <v>11952</v>
          </cell>
          <cell r="CJ293">
            <v>15948</v>
          </cell>
          <cell r="CK293">
            <v>13536</v>
          </cell>
          <cell r="CL293">
            <v>19620</v>
          </cell>
          <cell r="CM293">
            <v>14760</v>
          </cell>
          <cell r="CN293">
            <v>10800</v>
          </cell>
          <cell r="CO293">
            <v>17622</v>
          </cell>
          <cell r="CP293">
            <v>21794</v>
          </cell>
          <cell r="CQ293">
            <v>15496</v>
          </cell>
          <cell r="CR293">
            <v>7542</v>
          </cell>
          <cell r="CS293">
            <v>8172</v>
          </cell>
          <cell r="CT293">
            <v>14634</v>
          </cell>
          <cell r="CU293">
            <v>7866</v>
          </cell>
          <cell r="CV293">
            <v>14994</v>
          </cell>
          <cell r="CW293">
            <v>12654</v>
          </cell>
          <cell r="CX293">
            <v>14922</v>
          </cell>
          <cell r="CY293">
            <v>8082</v>
          </cell>
          <cell r="CZ293">
            <v>22896</v>
          </cell>
          <cell r="DA293">
            <v>3888</v>
          </cell>
          <cell r="DB293">
            <v>14040</v>
          </cell>
          <cell r="DC293">
            <v>6300</v>
          </cell>
          <cell r="DD293">
            <v>10890</v>
          </cell>
          <cell r="DE293">
            <v>8766</v>
          </cell>
          <cell r="DF293">
            <v>11628</v>
          </cell>
          <cell r="DG293">
            <v>5904</v>
          </cell>
          <cell r="DH293">
            <v>6948</v>
          </cell>
          <cell r="DI293">
            <v>1566</v>
          </cell>
          <cell r="DJ293">
            <v>6768</v>
          </cell>
          <cell r="DK293">
            <v>7236</v>
          </cell>
          <cell r="DL293">
            <v>13752</v>
          </cell>
          <cell r="DM293">
            <v>13572</v>
          </cell>
          <cell r="DN293">
            <v>14958</v>
          </cell>
          <cell r="DO293">
            <v>18378</v>
          </cell>
          <cell r="DP293">
            <v>15840</v>
          </cell>
          <cell r="DQ293">
            <v>9270</v>
          </cell>
          <cell r="DR293">
            <v>10800</v>
          </cell>
          <cell r="DS293">
            <v>6480</v>
          </cell>
          <cell r="DT293">
            <v>8874</v>
          </cell>
          <cell r="DU293">
            <v>12996</v>
          </cell>
          <cell r="DV293">
            <v>8838</v>
          </cell>
          <cell r="DW293">
            <v>13464</v>
          </cell>
          <cell r="DX293">
            <v>11088</v>
          </cell>
          <cell r="DY293">
            <v>9864</v>
          </cell>
          <cell r="DZ293">
            <v>20898</v>
          </cell>
          <cell r="EA293">
            <v>2538</v>
          </cell>
          <cell r="EB293">
            <v>13986</v>
          </cell>
          <cell r="EC293">
            <v>16920</v>
          </cell>
          <cell r="ED293">
            <v>14709</v>
          </cell>
          <cell r="EE293">
            <v>13140</v>
          </cell>
          <cell r="EF293">
            <v>14508</v>
          </cell>
          <cell r="EG293">
            <v>11412</v>
          </cell>
          <cell r="EH293" t="str">
            <v>ACTIVO</v>
          </cell>
          <cell r="EI293" t="str">
            <v>A</v>
          </cell>
          <cell r="EJ293">
            <v>540</v>
          </cell>
          <cell r="EK293">
            <v>11674.2</v>
          </cell>
          <cell r="EL293">
            <v>1945.7</v>
          </cell>
        </row>
        <row r="294">
          <cell r="F294">
            <v>393216</v>
          </cell>
          <cell r="G294" t="str">
            <v>INSUMO INTERPLANTA BIZCOCHO CHOCOLATE 17 CMS</v>
          </cell>
          <cell r="I294">
            <v>3792</v>
          </cell>
          <cell r="J294">
            <v>2184</v>
          </cell>
          <cell r="K294">
            <v>4282</v>
          </cell>
          <cell r="L294">
            <v>2160</v>
          </cell>
          <cell r="M294">
            <v>2017</v>
          </cell>
          <cell r="N294">
            <v>3384</v>
          </cell>
          <cell r="O294">
            <v>4005</v>
          </cell>
          <cell r="P294">
            <v>2568</v>
          </cell>
          <cell r="Q294">
            <v>3144</v>
          </cell>
          <cell r="R294">
            <v>672</v>
          </cell>
          <cell r="S294">
            <v>1392</v>
          </cell>
          <cell r="T294">
            <v>2280</v>
          </cell>
          <cell r="U294">
            <v>1870</v>
          </cell>
          <cell r="W294">
            <v>672</v>
          </cell>
          <cell r="X294">
            <v>4464</v>
          </cell>
          <cell r="Y294">
            <v>1848</v>
          </cell>
          <cell r="Z294">
            <v>264</v>
          </cell>
          <cell r="AA294">
            <v>4056</v>
          </cell>
          <cell r="AB294">
            <v>3768</v>
          </cell>
          <cell r="AC294">
            <v>2616</v>
          </cell>
          <cell r="AD294">
            <v>3532</v>
          </cell>
          <cell r="AE294">
            <v>1800</v>
          </cell>
          <cell r="AF294">
            <v>3504</v>
          </cell>
          <cell r="AG294">
            <v>2293</v>
          </cell>
          <cell r="AH294">
            <v>3288</v>
          </cell>
          <cell r="AI294">
            <v>4248</v>
          </cell>
          <cell r="AJ294">
            <v>4056</v>
          </cell>
          <cell r="AK294">
            <v>4608</v>
          </cell>
          <cell r="AL294">
            <v>3169</v>
          </cell>
          <cell r="AM294">
            <v>767</v>
          </cell>
          <cell r="AN294">
            <v>2833</v>
          </cell>
          <cell r="AO294">
            <v>4416</v>
          </cell>
          <cell r="AP294">
            <v>1990</v>
          </cell>
          <cell r="AQ294">
            <v>3546</v>
          </cell>
          <cell r="AR294">
            <v>4368</v>
          </cell>
          <cell r="AS294">
            <v>1056</v>
          </cell>
          <cell r="AT294">
            <v>3192</v>
          </cell>
          <cell r="AU294">
            <v>6133</v>
          </cell>
          <cell r="AV294">
            <v>2915</v>
          </cell>
          <cell r="AW294">
            <v>14520</v>
          </cell>
          <cell r="AX294">
            <v>456</v>
          </cell>
          <cell r="AY294">
            <v>2640</v>
          </cell>
          <cell r="AZ294">
            <v>8640</v>
          </cell>
          <cell r="BA294">
            <v>1632</v>
          </cell>
          <cell r="BB294">
            <v>6240</v>
          </cell>
          <cell r="BC294">
            <v>6240</v>
          </cell>
          <cell r="BD294">
            <v>9360</v>
          </cell>
          <cell r="BE294">
            <v>5816</v>
          </cell>
          <cell r="BF294">
            <v>1800</v>
          </cell>
          <cell r="BG294">
            <v>3435</v>
          </cell>
          <cell r="BI294">
            <v>1560</v>
          </cell>
          <cell r="BJ294">
            <v>1848</v>
          </cell>
          <cell r="BK294">
            <v>9052</v>
          </cell>
          <cell r="BL294">
            <v>1560</v>
          </cell>
          <cell r="BM294">
            <v>6312</v>
          </cell>
          <cell r="BN294">
            <v>3720</v>
          </cell>
          <cell r="BO294">
            <v>6604</v>
          </cell>
          <cell r="BQ294">
            <v>2616</v>
          </cell>
          <cell r="BR294">
            <v>11832</v>
          </cell>
          <cell r="BS294">
            <v>8592</v>
          </cell>
          <cell r="BT294">
            <v>6837</v>
          </cell>
          <cell r="BV294">
            <v>5328</v>
          </cell>
          <cell r="BW294">
            <v>1944</v>
          </cell>
          <cell r="BX294">
            <v>4536</v>
          </cell>
          <cell r="BY294">
            <v>1560</v>
          </cell>
          <cell r="BZ294">
            <v>1560</v>
          </cell>
          <cell r="CA294">
            <v>4584</v>
          </cell>
          <cell r="CB294">
            <v>72</v>
          </cell>
          <cell r="CC294">
            <v>9672</v>
          </cell>
          <cell r="CD294">
            <v>1872</v>
          </cell>
          <cell r="CE294">
            <v>7118</v>
          </cell>
          <cell r="CF294">
            <v>3600</v>
          </cell>
          <cell r="CG294">
            <v>4377</v>
          </cell>
          <cell r="CH294">
            <v>2304</v>
          </cell>
          <cell r="CJ294">
            <v>3120</v>
          </cell>
          <cell r="CK294">
            <v>3120</v>
          </cell>
          <cell r="CL294">
            <v>1680</v>
          </cell>
          <cell r="CM294">
            <v>5184</v>
          </cell>
          <cell r="CN294">
            <v>6012</v>
          </cell>
          <cell r="CO294">
            <v>9096</v>
          </cell>
          <cell r="CP294">
            <v>7440</v>
          </cell>
          <cell r="CQ294">
            <v>3750</v>
          </cell>
          <cell r="CR294">
            <v>2304</v>
          </cell>
          <cell r="CS294">
            <v>2304</v>
          </cell>
          <cell r="CT294">
            <v>9593</v>
          </cell>
          <cell r="CU294">
            <v>6355</v>
          </cell>
          <cell r="CV294">
            <v>1600</v>
          </cell>
          <cell r="CW294">
            <v>4032</v>
          </cell>
          <cell r="CX294">
            <v>6624</v>
          </cell>
          <cell r="CY294">
            <v>4824</v>
          </cell>
          <cell r="CZ294">
            <v>408</v>
          </cell>
          <cell r="DA294">
            <v>3960</v>
          </cell>
          <cell r="DB294">
            <v>2605</v>
          </cell>
          <cell r="DC294">
            <v>5232</v>
          </cell>
          <cell r="DD294">
            <v>3000</v>
          </cell>
          <cell r="DF294">
            <v>4032</v>
          </cell>
          <cell r="DG294">
            <v>2788</v>
          </cell>
          <cell r="DJ294">
            <v>7704</v>
          </cell>
          <cell r="DK294">
            <v>600</v>
          </cell>
          <cell r="DL294">
            <v>2511</v>
          </cell>
          <cell r="DM294">
            <v>2928</v>
          </cell>
          <cell r="DN294">
            <v>4032</v>
          </cell>
          <cell r="DO294">
            <v>11333</v>
          </cell>
          <cell r="DP294">
            <v>6048</v>
          </cell>
          <cell r="DQ294">
            <v>6048</v>
          </cell>
          <cell r="DR294">
            <v>2640</v>
          </cell>
          <cell r="DS294">
            <v>10128</v>
          </cell>
          <cell r="DT294">
            <v>9951</v>
          </cell>
          <cell r="DU294">
            <v>5478</v>
          </cell>
          <cell r="DV294">
            <v>2760</v>
          </cell>
          <cell r="DW294">
            <v>8132</v>
          </cell>
          <cell r="DX294">
            <v>2328</v>
          </cell>
          <cell r="DZ294">
            <v>8136</v>
          </cell>
          <cell r="EB294">
            <v>1809</v>
          </cell>
          <cell r="EC294">
            <v>240</v>
          </cell>
          <cell r="ED294">
            <v>3984</v>
          </cell>
          <cell r="EE294">
            <v>10483</v>
          </cell>
          <cell r="EF294">
            <v>1248</v>
          </cell>
          <cell r="EG294">
            <v>4032</v>
          </cell>
          <cell r="EH294" t="str">
            <v>ACTIVO</v>
          </cell>
          <cell r="EI294" t="str">
            <v>A</v>
          </cell>
          <cell r="EJ294">
            <v>720</v>
          </cell>
          <cell r="EK294">
            <v>5116.045454545455</v>
          </cell>
          <cell r="EL294">
            <v>852.67424242424249</v>
          </cell>
        </row>
        <row r="295">
          <cell r="F295">
            <v>393349</v>
          </cell>
          <cell r="G295" t="str">
            <v>Tartaleta mediana semi-elab</v>
          </cell>
          <cell r="H295">
            <v>528</v>
          </cell>
          <cell r="I295">
            <v>1200</v>
          </cell>
          <cell r="J295">
            <v>1200</v>
          </cell>
          <cell r="K295">
            <v>1152</v>
          </cell>
          <cell r="L295">
            <v>1224</v>
          </cell>
          <cell r="M295">
            <v>1608</v>
          </cell>
          <cell r="N295">
            <v>1200</v>
          </cell>
          <cell r="O295">
            <v>1176</v>
          </cell>
          <cell r="P295">
            <v>1176</v>
          </cell>
          <cell r="Q295">
            <v>1176</v>
          </cell>
          <cell r="R295">
            <v>1632</v>
          </cell>
          <cell r="S295">
            <v>552</v>
          </cell>
          <cell r="T295">
            <v>336</v>
          </cell>
          <cell r="U295">
            <v>1842</v>
          </cell>
          <cell r="V295">
            <v>1416</v>
          </cell>
          <cell r="W295">
            <v>1368</v>
          </cell>
          <cell r="X295">
            <v>1200</v>
          </cell>
          <cell r="Y295">
            <v>912</v>
          </cell>
          <cell r="Z295">
            <v>408</v>
          </cell>
          <cell r="AA295">
            <v>1368</v>
          </cell>
          <cell r="AB295">
            <v>1704</v>
          </cell>
          <cell r="AC295">
            <v>1848</v>
          </cell>
          <cell r="AD295">
            <v>1200</v>
          </cell>
          <cell r="AE295">
            <v>384</v>
          </cell>
          <cell r="AF295">
            <v>1608</v>
          </cell>
          <cell r="AG295">
            <v>1896</v>
          </cell>
          <cell r="AH295">
            <v>1968</v>
          </cell>
          <cell r="AI295">
            <v>1368</v>
          </cell>
          <cell r="AJ295">
            <v>1944</v>
          </cell>
          <cell r="AK295">
            <v>1944</v>
          </cell>
          <cell r="AL295">
            <v>1728</v>
          </cell>
          <cell r="AM295">
            <v>1728</v>
          </cell>
          <cell r="AN295">
            <v>1680</v>
          </cell>
          <cell r="AO295">
            <v>1344</v>
          </cell>
          <cell r="AP295">
            <v>1800</v>
          </cell>
          <cell r="AQ295">
            <v>1632</v>
          </cell>
          <cell r="AR295">
            <v>1584</v>
          </cell>
          <cell r="AS295">
            <v>408</v>
          </cell>
          <cell r="AT295">
            <v>1656</v>
          </cell>
          <cell r="AU295">
            <v>1560</v>
          </cell>
          <cell r="AV295">
            <v>1488</v>
          </cell>
          <cell r="AW295">
            <v>1056</v>
          </cell>
          <cell r="AX295">
            <v>1512</v>
          </cell>
          <cell r="AY295">
            <v>1128</v>
          </cell>
          <cell r="AZ295">
            <v>1680</v>
          </cell>
          <cell r="BA295">
            <v>2472</v>
          </cell>
          <cell r="BB295">
            <v>2176</v>
          </cell>
          <cell r="BC295">
            <v>1897</v>
          </cell>
          <cell r="BD295">
            <v>2111</v>
          </cell>
          <cell r="BE295">
            <v>1944</v>
          </cell>
          <cell r="BF295">
            <v>2100</v>
          </cell>
          <cell r="BG295">
            <v>1224</v>
          </cell>
          <cell r="BH295">
            <v>792</v>
          </cell>
          <cell r="BI295">
            <v>803</v>
          </cell>
          <cell r="BJ295">
            <v>1320</v>
          </cell>
          <cell r="BK295">
            <v>3408</v>
          </cell>
          <cell r="BL295">
            <v>1944</v>
          </cell>
          <cell r="BM295">
            <v>3072</v>
          </cell>
          <cell r="BN295">
            <v>2064</v>
          </cell>
          <cell r="BO295">
            <v>1296</v>
          </cell>
          <cell r="BP295">
            <v>1584</v>
          </cell>
          <cell r="BQ295">
            <v>528</v>
          </cell>
          <cell r="BR295">
            <v>2376</v>
          </cell>
          <cell r="BS295">
            <v>1968</v>
          </cell>
          <cell r="BT295">
            <v>2208</v>
          </cell>
          <cell r="BU295">
            <v>2088</v>
          </cell>
          <cell r="BV295">
            <v>1440</v>
          </cell>
          <cell r="BW295">
            <v>3216</v>
          </cell>
          <cell r="BX295">
            <v>1872</v>
          </cell>
          <cell r="BY295">
            <v>1392</v>
          </cell>
          <cell r="BZ295">
            <v>192</v>
          </cell>
          <cell r="CA295">
            <v>2016</v>
          </cell>
          <cell r="CB295">
            <v>1992</v>
          </cell>
          <cell r="CC295">
            <v>2304</v>
          </cell>
          <cell r="CD295">
            <v>1848</v>
          </cell>
          <cell r="CE295">
            <v>2520</v>
          </cell>
          <cell r="CF295">
            <v>1920</v>
          </cell>
          <cell r="CG295">
            <v>2028</v>
          </cell>
          <cell r="CH295">
            <v>1968</v>
          </cell>
          <cell r="CI295">
            <v>2256</v>
          </cell>
          <cell r="CJ295">
            <v>2976</v>
          </cell>
          <cell r="CK295">
            <v>1776</v>
          </cell>
          <cell r="CL295">
            <v>984</v>
          </cell>
          <cell r="CM295">
            <v>1536</v>
          </cell>
          <cell r="CN295">
            <v>2857</v>
          </cell>
          <cell r="CO295">
            <v>2376</v>
          </cell>
          <cell r="CP295">
            <v>3408</v>
          </cell>
          <cell r="CQ295">
            <v>1944</v>
          </cell>
          <cell r="CR295">
            <v>2160</v>
          </cell>
          <cell r="CS295">
            <v>672</v>
          </cell>
          <cell r="CT295">
            <v>1775</v>
          </cell>
          <cell r="CU295">
            <v>792</v>
          </cell>
          <cell r="CV295">
            <v>1248</v>
          </cell>
          <cell r="CW295">
            <v>1104</v>
          </cell>
          <cell r="CX295">
            <v>1152</v>
          </cell>
          <cell r="CY295">
            <v>1272</v>
          </cell>
          <cell r="CZ295">
            <v>1080</v>
          </cell>
          <cell r="DA295">
            <v>1080</v>
          </cell>
          <cell r="DB295">
            <v>864</v>
          </cell>
          <cell r="DC295">
            <v>1272</v>
          </cell>
          <cell r="DD295">
            <v>1056</v>
          </cell>
          <cell r="DE295">
            <v>912</v>
          </cell>
          <cell r="DF295">
            <v>1224</v>
          </cell>
          <cell r="DG295">
            <v>960</v>
          </cell>
          <cell r="DH295">
            <v>624</v>
          </cell>
          <cell r="DI295">
            <v>240</v>
          </cell>
          <cell r="DJ295">
            <v>3000</v>
          </cell>
          <cell r="DK295">
            <v>1008</v>
          </cell>
          <cell r="DL295">
            <v>1104</v>
          </cell>
          <cell r="DM295">
            <v>1320</v>
          </cell>
          <cell r="DN295">
            <v>960</v>
          </cell>
          <cell r="DO295">
            <v>984</v>
          </cell>
          <cell r="DP295">
            <v>1032</v>
          </cell>
          <cell r="DQ295">
            <v>1056</v>
          </cell>
          <cell r="DR295">
            <v>984</v>
          </cell>
          <cell r="DS295">
            <v>1728</v>
          </cell>
          <cell r="DT295">
            <v>1008</v>
          </cell>
          <cell r="DU295">
            <v>1392</v>
          </cell>
          <cell r="DV295">
            <v>1392</v>
          </cell>
          <cell r="DW295">
            <v>1032</v>
          </cell>
          <cell r="DX295">
            <v>1296</v>
          </cell>
          <cell r="DY295">
            <v>1872</v>
          </cell>
          <cell r="DZ295">
            <v>1488</v>
          </cell>
          <cell r="EA295">
            <v>1512</v>
          </cell>
          <cell r="EB295">
            <v>2160</v>
          </cell>
          <cell r="EC295">
            <v>2184</v>
          </cell>
          <cell r="ED295">
            <v>1920</v>
          </cell>
          <cell r="EE295">
            <v>1872</v>
          </cell>
          <cell r="EF295">
            <v>1536</v>
          </cell>
          <cell r="EG295">
            <v>1584</v>
          </cell>
          <cell r="EH295" t="str">
            <v>ACTIVO</v>
          </cell>
          <cell r="EI295" t="str">
            <v>B</v>
          </cell>
          <cell r="EJ295">
            <v>720</v>
          </cell>
          <cell r="EK295">
            <v>1426.56</v>
          </cell>
          <cell r="EL295">
            <v>237.76</v>
          </cell>
        </row>
        <row r="296">
          <cell r="F296">
            <v>403268</v>
          </cell>
          <cell r="G296" t="str">
            <v>INSUMO DISCO PANQUEQUE CHOCOLATE 18 CM.</v>
          </cell>
          <cell r="H296">
            <v>1584</v>
          </cell>
          <cell r="W296">
            <v>4968</v>
          </cell>
          <cell r="X296">
            <v>8136</v>
          </cell>
          <cell r="Y296">
            <v>5328</v>
          </cell>
          <cell r="Z296">
            <v>1584</v>
          </cell>
          <cell r="AA296">
            <v>4320</v>
          </cell>
          <cell r="AB296">
            <v>6192</v>
          </cell>
          <cell r="AC296">
            <v>5688</v>
          </cell>
          <cell r="AD296">
            <v>4896</v>
          </cell>
          <cell r="AE296">
            <v>5616</v>
          </cell>
          <cell r="AF296">
            <v>6048</v>
          </cell>
          <cell r="AG296">
            <v>6264</v>
          </cell>
          <cell r="AH296">
            <v>7200</v>
          </cell>
          <cell r="AI296">
            <v>6912</v>
          </cell>
          <cell r="AJ296">
            <v>7128</v>
          </cell>
          <cell r="AK296">
            <v>7056</v>
          </cell>
          <cell r="AL296">
            <v>5832</v>
          </cell>
          <cell r="AM296">
            <v>5832</v>
          </cell>
          <cell r="AN296">
            <v>6768</v>
          </cell>
          <cell r="AO296">
            <v>5256</v>
          </cell>
          <cell r="AP296">
            <v>6336</v>
          </cell>
          <cell r="AQ296">
            <v>6696</v>
          </cell>
          <cell r="AR296">
            <v>5616</v>
          </cell>
          <cell r="AS296">
            <v>3816</v>
          </cell>
          <cell r="AT296">
            <v>3600</v>
          </cell>
          <cell r="AU296">
            <v>4680</v>
          </cell>
          <cell r="AV296">
            <v>5184</v>
          </cell>
          <cell r="AW296">
            <v>1800</v>
          </cell>
          <cell r="AX296">
            <v>4896</v>
          </cell>
          <cell r="AY296">
            <v>3068</v>
          </cell>
          <cell r="AZ296">
            <v>5472</v>
          </cell>
          <cell r="BA296">
            <v>3960</v>
          </cell>
          <cell r="BB296">
            <v>4536</v>
          </cell>
          <cell r="BC296">
            <v>3024</v>
          </cell>
          <cell r="BD296">
            <v>6686</v>
          </cell>
          <cell r="BE296">
            <v>7416</v>
          </cell>
          <cell r="BF296">
            <v>14832</v>
          </cell>
          <cell r="BG296">
            <v>1802</v>
          </cell>
          <cell r="BH296">
            <v>3240</v>
          </cell>
          <cell r="BI296">
            <v>7200</v>
          </cell>
          <cell r="BJ296">
            <v>2592</v>
          </cell>
          <cell r="BK296">
            <v>5976</v>
          </cell>
          <cell r="BL296">
            <v>12528</v>
          </cell>
          <cell r="BM296">
            <v>7344</v>
          </cell>
          <cell r="BN296">
            <v>7777</v>
          </cell>
          <cell r="BO296">
            <v>2691</v>
          </cell>
          <cell r="BP296">
            <v>7848</v>
          </cell>
          <cell r="BQ296">
            <v>9792</v>
          </cell>
          <cell r="BR296">
            <v>9288</v>
          </cell>
          <cell r="BS296">
            <v>7560</v>
          </cell>
          <cell r="BT296">
            <v>6192</v>
          </cell>
          <cell r="BU296">
            <v>10629</v>
          </cell>
          <cell r="BV296">
            <v>27928</v>
          </cell>
          <cell r="BW296">
            <v>6480</v>
          </cell>
          <cell r="BX296">
            <v>11448</v>
          </cell>
          <cell r="BY296">
            <v>7848</v>
          </cell>
          <cell r="BZ296">
            <v>2088</v>
          </cell>
          <cell r="CA296">
            <v>5586</v>
          </cell>
          <cell r="CB296">
            <v>5760</v>
          </cell>
          <cell r="CC296">
            <v>9504</v>
          </cell>
          <cell r="CD296">
            <v>9612</v>
          </cell>
          <cell r="CE296">
            <v>7200</v>
          </cell>
          <cell r="CF296">
            <v>7448</v>
          </cell>
          <cell r="CG296">
            <v>36000</v>
          </cell>
          <cell r="CH296">
            <v>3888</v>
          </cell>
          <cell r="CI296">
            <v>6408</v>
          </cell>
          <cell r="CJ296">
            <v>7992</v>
          </cell>
          <cell r="CK296">
            <v>7344</v>
          </cell>
          <cell r="CL296">
            <v>8784</v>
          </cell>
          <cell r="CM296">
            <v>10512</v>
          </cell>
          <cell r="CN296">
            <v>16560</v>
          </cell>
          <cell r="CO296">
            <v>19219</v>
          </cell>
          <cell r="CP296">
            <v>13712</v>
          </cell>
          <cell r="CR296">
            <v>2952</v>
          </cell>
          <cell r="CS296">
            <v>9432</v>
          </cell>
          <cell r="CT296">
            <v>15552</v>
          </cell>
          <cell r="CU296">
            <v>5400</v>
          </cell>
          <cell r="CV296">
            <v>9760</v>
          </cell>
          <cell r="CW296">
            <v>4392</v>
          </cell>
          <cell r="CX296">
            <v>8064</v>
          </cell>
          <cell r="CY296">
            <v>7128</v>
          </cell>
          <cell r="CZ296">
            <v>8280</v>
          </cell>
          <cell r="DA296">
            <v>10296</v>
          </cell>
          <cell r="DB296">
            <v>11088</v>
          </cell>
          <cell r="DC296">
            <v>12168</v>
          </cell>
          <cell r="DD296">
            <v>24120</v>
          </cell>
          <cell r="DE296">
            <v>6368</v>
          </cell>
          <cell r="DF296">
            <v>2664</v>
          </cell>
          <cell r="DG296">
            <v>1296</v>
          </cell>
          <cell r="DL296">
            <v>5256</v>
          </cell>
          <cell r="DP296">
            <v>1944</v>
          </cell>
          <cell r="DQ296">
            <v>4536</v>
          </cell>
          <cell r="DR296">
            <v>3888</v>
          </cell>
          <cell r="DS296">
            <v>3960</v>
          </cell>
          <cell r="DT296">
            <v>7848</v>
          </cell>
          <cell r="DU296">
            <v>7488</v>
          </cell>
          <cell r="DV296">
            <v>1944</v>
          </cell>
          <cell r="DW296">
            <v>8148</v>
          </cell>
          <cell r="DX296">
            <v>11808</v>
          </cell>
          <cell r="DY296">
            <v>8928</v>
          </cell>
          <cell r="DZ296">
            <v>5832</v>
          </cell>
          <cell r="EB296">
            <v>7776</v>
          </cell>
          <cell r="EC296">
            <v>6336</v>
          </cell>
          <cell r="ED296">
            <v>11362</v>
          </cell>
          <cell r="EE296">
            <v>11664</v>
          </cell>
          <cell r="EF296">
            <v>15544</v>
          </cell>
          <cell r="EG296">
            <v>1872</v>
          </cell>
          <cell r="EH296" t="str">
            <v>ACTIVO</v>
          </cell>
          <cell r="EI296" t="str">
            <v>B</v>
          </cell>
          <cell r="EJ296">
            <v>2160</v>
          </cell>
          <cell r="EK296">
            <v>7007.4444444444443</v>
          </cell>
          <cell r="EL296">
            <v>1167.9074074074074</v>
          </cell>
        </row>
        <row r="297">
          <cell r="F297">
            <v>393215</v>
          </cell>
          <cell r="G297" t="str">
            <v>INSUMO INTERPLANTA BIZCOCHO BLANCO 17 CM</v>
          </cell>
          <cell r="H297">
            <v>1632</v>
          </cell>
          <cell r="I297">
            <v>5424</v>
          </cell>
          <cell r="J297">
            <v>5208</v>
          </cell>
          <cell r="K297">
            <v>6288</v>
          </cell>
          <cell r="L297">
            <v>3072</v>
          </cell>
          <cell r="M297">
            <v>5736</v>
          </cell>
          <cell r="N297">
            <v>5976</v>
          </cell>
          <cell r="O297">
            <v>5208</v>
          </cell>
          <cell r="P297">
            <v>3552</v>
          </cell>
          <cell r="Q297">
            <v>3312</v>
          </cell>
          <cell r="R297">
            <v>3192</v>
          </cell>
          <cell r="S297">
            <v>2040</v>
          </cell>
          <cell r="T297">
            <v>1152</v>
          </cell>
          <cell r="U297">
            <v>4800</v>
          </cell>
          <cell r="V297">
            <v>1440</v>
          </cell>
          <cell r="W297">
            <v>4800</v>
          </cell>
          <cell r="X297">
            <v>2592</v>
          </cell>
          <cell r="Y297">
            <v>4034</v>
          </cell>
          <cell r="Z297">
            <v>1320</v>
          </cell>
          <cell r="AA297">
            <v>2376</v>
          </cell>
          <cell r="AB297">
            <v>5184</v>
          </cell>
          <cell r="AC297">
            <v>6072</v>
          </cell>
          <cell r="AD297">
            <v>5579</v>
          </cell>
          <cell r="AE297">
            <v>888</v>
          </cell>
          <cell r="AF297">
            <v>4164</v>
          </cell>
          <cell r="AG297">
            <v>4752</v>
          </cell>
          <cell r="AH297">
            <v>3552</v>
          </cell>
          <cell r="AI297">
            <v>3096</v>
          </cell>
          <cell r="AJ297">
            <v>4440</v>
          </cell>
          <cell r="AK297">
            <v>5520</v>
          </cell>
          <cell r="AL297">
            <v>6744</v>
          </cell>
          <cell r="AM297">
            <v>1704</v>
          </cell>
          <cell r="AN297">
            <v>3048</v>
          </cell>
          <cell r="AO297">
            <v>5472</v>
          </cell>
          <cell r="AP297">
            <v>4032</v>
          </cell>
          <cell r="AQ297">
            <v>5544</v>
          </cell>
          <cell r="AR297">
            <v>5592</v>
          </cell>
          <cell r="AS297">
            <v>1080</v>
          </cell>
          <cell r="AT297">
            <v>2400</v>
          </cell>
          <cell r="AU297">
            <v>2485</v>
          </cell>
          <cell r="AV297">
            <v>2819</v>
          </cell>
          <cell r="AW297">
            <v>3364</v>
          </cell>
          <cell r="AX297">
            <v>11162</v>
          </cell>
          <cell r="AY297">
            <v>3168</v>
          </cell>
          <cell r="AZ297">
            <v>936</v>
          </cell>
          <cell r="BA297">
            <v>7008</v>
          </cell>
          <cell r="BB297">
            <v>3912</v>
          </cell>
          <cell r="BC297">
            <v>864</v>
          </cell>
          <cell r="BD297">
            <v>1224</v>
          </cell>
          <cell r="BE297">
            <v>3245</v>
          </cell>
          <cell r="BF297">
            <v>3936</v>
          </cell>
          <cell r="BG297">
            <v>984</v>
          </cell>
          <cell r="BH297">
            <v>1224</v>
          </cell>
          <cell r="BI297">
            <v>1536</v>
          </cell>
          <cell r="BJ297">
            <v>5856</v>
          </cell>
          <cell r="BK297">
            <v>3528</v>
          </cell>
          <cell r="BL297">
            <v>6272</v>
          </cell>
          <cell r="BM297">
            <v>2208</v>
          </cell>
          <cell r="BN297">
            <v>4464</v>
          </cell>
          <cell r="BO297">
            <v>7680</v>
          </cell>
          <cell r="BP297">
            <v>2688</v>
          </cell>
          <cell r="BQ297">
            <v>1224</v>
          </cell>
          <cell r="BR297">
            <v>7104</v>
          </cell>
          <cell r="BS297">
            <v>3909</v>
          </cell>
          <cell r="BT297">
            <v>6432</v>
          </cell>
          <cell r="BU297">
            <v>3840</v>
          </cell>
          <cell r="BV297">
            <v>912</v>
          </cell>
          <cell r="BW297">
            <v>2400</v>
          </cell>
          <cell r="BX297">
            <v>5766</v>
          </cell>
          <cell r="BY297">
            <v>1992</v>
          </cell>
          <cell r="BZ297">
            <v>1896</v>
          </cell>
          <cell r="CA297">
            <v>1656</v>
          </cell>
          <cell r="CB297">
            <v>4920</v>
          </cell>
          <cell r="CC297">
            <v>3192</v>
          </cell>
          <cell r="CD297">
            <v>3264</v>
          </cell>
          <cell r="CE297">
            <v>4104</v>
          </cell>
          <cell r="CF297">
            <v>2976</v>
          </cell>
          <cell r="CG297">
            <v>2496</v>
          </cell>
          <cell r="CH297">
            <v>4464</v>
          </cell>
          <cell r="CI297">
            <v>7560</v>
          </cell>
          <cell r="CJ297">
            <v>2712</v>
          </cell>
          <cell r="CK297">
            <v>3696</v>
          </cell>
          <cell r="CL297">
            <v>2616</v>
          </cell>
          <cell r="CM297">
            <v>2596</v>
          </cell>
          <cell r="CN297">
            <v>5738</v>
          </cell>
          <cell r="CO297">
            <v>2064</v>
          </cell>
          <cell r="CP297">
            <v>7200</v>
          </cell>
          <cell r="CR297">
            <v>6288</v>
          </cell>
          <cell r="EH297" t="str">
            <v>ACTIVO</v>
          </cell>
          <cell r="EI297" t="str">
            <v>A</v>
          </cell>
          <cell r="EJ297">
            <v>720</v>
          </cell>
          <cell r="EK297">
            <v>0</v>
          </cell>
          <cell r="EL297">
            <v>0</v>
          </cell>
        </row>
        <row r="298">
          <cell r="F298">
            <v>393427</v>
          </cell>
          <cell r="G298" t="str">
            <v>TARTALETA FAMILIAR RECETA TRADICIONAL</v>
          </cell>
          <cell r="H298">
            <v>1392</v>
          </cell>
          <cell r="AB298">
            <v>504</v>
          </cell>
          <cell r="AC298">
            <v>720</v>
          </cell>
          <cell r="AD298">
            <v>1584</v>
          </cell>
          <cell r="AE298">
            <v>4032</v>
          </cell>
          <cell r="AF298">
            <v>4128</v>
          </cell>
          <cell r="AG298">
            <v>3615</v>
          </cell>
          <cell r="AH298">
            <v>5088</v>
          </cell>
          <cell r="AI298">
            <v>5400</v>
          </cell>
          <cell r="AJ298">
            <v>5640</v>
          </cell>
          <cell r="AK298">
            <v>6744</v>
          </cell>
          <cell r="AL298">
            <v>5712</v>
          </cell>
          <cell r="AM298">
            <v>6984</v>
          </cell>
          <cell r="AN298">
            <v>4696</v>
          </cell>
          <cell r="AO298">
            <v>7048</v>
          </cell>
          <cell r="AP298">
            <v>5976</v>
          </cell>
          <cell r="AQ298">
            <v>6816</v>
          </cell>
          <cell r="AR298">
            <v>5112</v>
          </cell>
          <cell r="AS298">
            <v>3960</v>
          </cell>
          <cell r="AT298">
            <v>6576</v>
          </cell>
          <cell r="AU298">
            <v>3842</v>
          </cell>
          <cell r="AV298">
            <v>6456</v>
          </cell>
          <cell r="AW298">
            <v>5402</v>
          </cell>
          <cell r="AX298">
            <v>6864</v>
          </cell>
          <cell r="AY298">
            <v>7392</v>
          </cell>
          <cell r="AZ298">
            <v>7392</v>
          </cell>
          <cell r="BA298">
            <v>6816</v>
          </cell>
          <cell r="BB298">
            <v>5640</v>
          </cell>
          <cell r="BC298">
            <v>5065.0000010000003</v>
          </cell>
          <cell r="BD298">
            <v>6168</v>
          </cell>
          <cell r="BE298">
            <v>6310.9999989999997</v>
          </cell>
          <cell r="BF298">
            <v>6036</v>
          </cell>
          <cell r="BG298">
            <v>5544</v>
          </cell>
          <cell r="BH298">
            <v>216</v>
          </cell>
          <cell r="BI298">
            <v>888</v>
          </cell>
          <cell r="BJ298">
            <v>2232</v>
          </cell>
          <cell r="BK298">
            <v>5424</v>
          </cell>
          <cell r="BL298">
            <v>4944</v>
          </cell>
          <cell r="BM298">
            <v>5016</v>
          </cell>
          <cell r="BN298">
            <v>2880</v>
          </cell>
          <cell r="BO298">
            <v>4488</v>
          </cell>
          <cell r="BP298">
            <v>4008</v>
          </cell>
          <cell r="BQ298">
            <v>3168</v>
          </cell>
          <cell r="BR298">
            <v>6576</v>
          </cell>
          <cell r="BS298">
            <v>3597</v>
          </cell>
          <cell r="BT298">
            <v>5568</v>
          </cell>
          <cell r="BU298">
            <v>3912</v>
          </cell>
          <cell r="BV298">
            <v>3600</v>
          </cell>
          <cell r="BW298">
            <v>4600</v>
          </cell>
          <cell r="BX298">
            <v>3880</v>
          </cell>
          <cell r="BY298">
            <v>4488</v>
          </cell>
          <cell r="BZ298">
            <v>7512</v>
          </cell>
          <cell r="CA298">
            <v>3984</v>
          </cell>
          <cell r="CB298">
            <v>4056</v>
          </cell>
          <cell r="CC298">
            <v>4269</v>
          </cell>
          <cell r="CD298">
            <v>3237</v>
          </cell>
          <cell r="CE298">
            <v>6744</v>
          </cell>
          <cell r="CF298">
            <v>3288</v>
          </cell>
          <cell r="CG298">
            <v>4008</v>
          </cell>
          <cell r="CH298">
            <v>3144</v>
          </cell>
          <cell r="CI298">
            <v>4800</v>
          </cell>
          <cell r="CJ298">
            <v>5256</v>
          </cell>
          <cell r="CK298">
            <v>2536</v>
          </cell>
          <cell r="CL298">
            <v>6219</v>
          </cell>
          <cell r="CM298">
            <v>5565</v>
          </cell>
          <cell r="CN298">
            <v>8688</v>
          </cell>
          <cell r="CO298">
            <v>4848</v>
          </cell>
          <cell r="CP298">
            <v>9696</v>
          </cell>
          <cell r="CQ298">
            <v>5088</v>
          </cell>
          <cell r="CR298">
            <v>5498</v>
          </cell>
          <cell r="CS298">
            <v>1272</v>
          </cell>
          <cell r="CT298">
            <v>4502</v>
          </cell>
          <cell r="CU298">
            <v>2160</v>
          </cell>
          <cell r="CV298">
            <v>4669</v>
          </cell>
          <cell r="CW298">
            <v>4178</v>
          </cell>
          <cell r="CX298">
            <v>2138</v>
          </cell>
          <cell r="CY298">
            <v>4968</v>
          </cell>
          <cell r="CZ298">
            <v>5160</v>
          </cell>
          <cell r="DA298">
            <v>5160</v>
          </cell>
          <cell r="DB298">
            <v>4416</v>
          </cell>
          <cell r="DC298">
            <v>5784</v>
          </cell>
          <cell r="DD298">
            <v>2920</v>
          </cell>
          <cell r="DE298">
            <v>1296</v>
          </cell>
          <cell r="DF298">
            <v>4056</v>
          </cell>
          <cell r="DG298">
            <v>4896</v>
          </cell>
          <cell r="DH298">
            <v>1387</v>
          </cell>
          <cell r="DI298">
            <v>648</v>
          </cell>
          <cell r="DJ298">
            <v>3096</v>
          </cell>
          <cell r="DK298">
            <v>3840</v>
          </cell>
          <cell r="DL298">
            <v>3960</v>
          </cell>
          <cell r="DM298">
            <v>4728</v>
          </cell>
          <cell r="DN298">
            <v>3816</v>
          </cell>
          <cell r="DO298">
            <v>4152</v>
          </cell>
          <cell r="DP298">
            <v>3600</v>
          </cell>
          <cell r="DQ298">
            <v>3720</v>
          </cell>
          <cell r="DR298">
            <v>3192</v>
          </cell>
          <cell r="DS298">
            <v>4302</v>
          </cell>
          <cell r="DT298">
            <v>4536</v>
          </cell>
          <cell r="DU298">
            <v>3690</v>
          </cell>
          <cell r="DV298">
            <v>4680</v>
          </cell>
          <cell r="DW298">
            <v>2544</v>
          </cell>
          <cell r="DX298">
            <v>3357</v>
          </cell>
          <cell r="DY298">
            <v>3768</v>
          </cell>
          <cell r="DZ298">
            <v>6264</v>
          </cell>
          <cell r="EA298">
            <v>3504</v>
          </cell>
          <cell r="EB298">
            <v>2520</v>
          </cell>
          <cell r="EC298">
            <v>3456</v>
          </cell>
          <cell r="ED298">
            <v>1900</v>
          </cell>
          <cell r="EE298">
            <v>2352</v>
          </cell>
          <cell r="EF298">
            <v>3772</v>
          </cell>
          <cell r="EG298">
            <v>5360</v>
          </cell>
          <cell r="EH298" t="str">
            <v>ACTIVO</v>
          </cell>
          <cell r="EI298" t="str">
            <v>A</v>
          </cell>
          <cell r="EJ298">
            <v>720</v>
          </cell>
          <cell r="EK298">
            <v>3630.28</v>
          </cell>
          <cell r="EL298">
            <v>605.04666666666674</v>
          </cell>
        </row>
        <row r="299">
          <cell r="F299">
            <v>353004</v>
          </cell>
          <cell r="G299" t="str">
            <v>Porción Chocolate  Semi-Elab UND</v>
          </cell>
          <cell r="H299">
            <v>96</v>
          </cell>
          <cell r="I299">
            <v>96</v>
          </cell>
          <cell r="J299">
            <v>114</v>
          </cell>
          <cell r="K299">
            <v>117</v>
          </cell>
          <cell r="L299">
            <v>72</v>
          </cell>
          <cell r="M299">
            <v>66</v>
          </cell>
          <cell r="N299">
            <v>51</v>
          </cell>
          <cell r="O299">
            <v>51</v>
          </cell>
          <cell r="P299">
            <v>54</v>
          </cell>
          <cell r="Q299">
            <v>141</v>
          </cell>
          <cell r="R299">
            <v>7</v>
          </cell>
          <cell r="EH299" t="str">
            <v>ACTIVO</v>
          </cell>
          <cell r="EI299" t="str">
            <v/>
          </cell>
          <cell r="EK299">
            <v>0</v>
          </cell>
          <cell r="EL299">
            <v>0</v>
          </cell>
        </row>
        <row r="300">
          <cell r="F300">
            <v>353012</v>
          </cell>
          <cell r="G300" t="str">
            <v>Tartaleta Familiar Semi-Elab</v>
          </cell>
          <cell r="H300">
            <v>768</v>
          </cell>
          <cell r="I300">
            <v>1080</v>
          </cell>
          <cell r="J300">
            <v>1944</v>
          </cell>
          <cell r="K300">
            <v>1248</v>
          </cell>
          <cell r="L300">
            <v>1272</v>
          </cell>
          <cell r="M300">
            <v>1272</v>
          </cell>
          <cell r="N300">
            <v>1320</v>
          </cell>
          <cell r="O300">
            <v>1272</v>
          </cell>
          <cell r="P300">
            <v>1200</v>
          </cell>
          <cell r="Q300">
            <v>1104</v>
          </cell>
          <cell r="R300">
            <v>1248</v>
          </cell>
          <cell r="S300">
            <v>432</v>
          </cell>
          <cell r="T300">
            <v>1536</v>
          </cell>
          <cell r="U300">
            <v>2232</v>
          </cell>
          <cell r="V300">
            <v>1800</v>
          </cell>
          <cell r="W300">
            <v>1416</v>
          </cell>
          <cell r="X300">
            <v>1608</v>
          </cell>
          <cell r="Y300">
            <v>1488</v>
          </cell>
          <cell r="Z300">
            <v>1728</v>
          </cell>
          <cell r="AA300">
            <v>1320</v>
          </cell>
          <cell r="AB300">
            <v>1896</v>
          </cell>
          <cell r="AC300">
            <v>1632</v>
          </cell>
          <cell r="AD300">
            <v>1584</v>
          </cell>
          <cell r="AE300">
            <v>1656</v>
          </cell>
          <cell r="AF300">
            <v>792</v>
          </cell>
          <cell r="AG300">
            <v>48</v>
          </cell>
          <cell r="CX300">
            <v>720</v>
          </cell>
          <cell r="EH300" t="str">
            <v>ACTIVO</v>
          </cell>
          <cell r="EI300" t="str">
            <v>C</v>
          </cell>
          <cell r="EJ300" t="str">
            <v/>
          </cell>
          <cell r="EK300">
            <v>0</v>
          </cell>
          <cell r="EL300">
            <v>0</v>
          </cell>
        </row>
        <row r="301">
          <cell r="F301">
            <v>393419</v>
          </cell>
          <cell r="G301" t="str">
            <v>INSUMO SEMI ELABORADO BROWNIE VEGANO INTERPLANTA</v>
          </cell>
          <cell r="H301">
            <v>378</v>
          </cell>
          <cell r="X301">
            <v>1809</v>
          </cell>
          <cell r="Y301">
            <v>558</v>
          </cell>
          <cell r="Z301">
            <v>126</v>
          </cell>
          <cell r="AA301">
            <v>725</v>
          </cell>
          <cell r="AB301">
            <v>1115</v>
          </cell>
          <cell r="AC301">
            <v>464</v>
          </cell>
          <cell r="AD301">
            <v>1458</v>
          </cell>
          <cell r="AE301">
            <v>282</v>
          </cell>
          <cell r="AF301">
            <v>522</v>
          </cell>
          <cell r="AG301">
            <v>684</v>
          </cell>
          <cell r="AH301">
            <v>846</v>
          </cell>
          <cell r="AI301">
            <v>545</v>
          </cell>
          <cell r="AJ301">
            <v>570</v>
          </cell>
          <cell r="AK301">
            <v>1152</v>
          </cell>
          <cell r="AL301">
            <v>684</v>
          </cell>
          <cell r="AM301">
            <v>564</v>
          </cell>
          <cell r="AN301">
            <v>594</v>
          </cell>
          <cell r="AO301">
            <v>756</v>
          </cell>
          <cell r="AP301">
            <v>468</v>
          </cell>
          <cell r="AQ301">
            <v>1152</v>
          </cell>
          <cell r="AR301">
            <v>612</v>
          </cell>
          <cell r="AS301">
            <v>184</v>
          </cell>
          <cell r="AT301">
            <v>342</v>
          </cell>
          <cell r="AU301">
            <v>162</v>
          </cell>
          <cell r="AV301">
            <v>852</v>
          </cell>
          <cell r="AW301">
            <v>715</v>
          </cell>
          <cell r="AX301">
            <v>612</v>
          </cell>
          <cell r="AY301">
            <v>954</v>
          </cell>
          <cell r="AZ301">
            <v>738</v>
          </cell>
          <cell r="BA301">
            <v>90</v>
          </cell>
          <cell r="BB301">
            <v>540</v>
          </cell>
          <cell r="BC301">
            <v>1098</v>
          </cell>
          <cell r="BD301">
            <v>252</v>
          </cell>
          <cell r="BE301">
            <v>288</v>
          </cell>
          <cell r="BF301">
            <v>414</v>
          </cell>
          <cell r="BG301">
            <v>432</v>
          </cell>
          <cell r="BH301">
            <v>270</v>
          </cell>
          <cell r="BI301">
            <v>144</v>
          </cell>
          <cell r="BJ301">
            <v>216</v>
          </cell>
          <cell r="BK301">
            <v>468</v>
          </cell>
          <cell r="BL301">
            <v>630</v>
          </cell>
          <cell r="BM301">
            <v>189</v>
          </cell>
          <cell r="BN301">
            <v>502</v>
          </cell>
          <cell r="BO301">
            <v>675</v>
          </cell>
          <cell r="BP301">
            <v>162</v>
          </cell>
          <cell r="BQ301">
            <v>497</v>
          </cell>
          <cell r="BR301">
            <v>180</v>
          </cell>
          <cell r="BS301">
            <v>720</v>
          </cell>
          <cell r="BT301">
            <v>293</v>
          </cell>
          <cell r="BU301">
            <v>624</v>
          </cell>
          <cell r="BV301">
            <v>54</v>
          </cell>
          <cell r="BW301">
            <v>846</v>
          </cell>
          <cell r="BX301">
            <v>2052</v>
          </cell>
          <cell r="BY301">
            <v>522</v>
          </cell>
          <cell r="BZ301">
            <v>90</v>
          </cell>
          <cell r="CA301">
            <v>342</v>
          </cell>
          <cell r="CB301">
            <v>180</v>
          </cell>
          <cell r="CC301">
            <v>342</v>
          </cell>
          <cell r="CD301">
            <v>108</v>
          </cell>
          <cell r="CE301">
            <v>396</v>
          </cell>
          <cell r="CF301">
            <v>504</v>
          </cell>
          <cell r="CG301">
            <v>288</v>
          </cell>
          <cell r="CH301">
            <v>108</v>
          </cell>
          <cell r="CI301">
            <v>630</v>
          </cell>
          <cell r="CJ301">
            <v>342</v>
          </cell>
          <cell r="CK301">
            <v>587</v>
          </cell>
          <cell r="CL301">
            <v>288</v>
          </cell>
          <cell r="CM301">
            <v>54</v>
          </cell>
          <cell r="CN301">
            <v>646</v>
          </cell>
          <cell r="CO301">
            <v>1008</v>
          </cell>
          <cell r="CP301">
            <v>1188</v>
          </cell>
          <cell r="CQ301">
            <v>162</v>
          </cell>
          <cell r="CR301">
            <v>864</v>
          </cell>
          <cell r="CS301">
            <v>40</v>
          </cell>
          <cell r="CT301">
            <v>648</v>
          </cell>
          <cell r="CU301">
            <v>18</v>
          </cell>
          <cell r="CV301">
            <v>1623</v>
          </cell>
          <cell r="CW301">
            <v>594</v>
          </cell>
          <cell r="CX301">
            <v>522</v>
          </cell>
          <cell r="CY301">
            <v>144</v>
          </cell>
          <cell r="CZ301">
            <v>288</v>
          </cell>
          <cell r="DA301">
            <v>270</v>
          </cell>
          <cell r="DB301">
            <v>72</v>
          </cell>
          <cell r="DC301">
            <v>182</v>
          </cell>
          <cell r="DD301">
            <v>558</v>
          </cell>
          <cell r="DE301">
            <v>840</v>
          </cell>
          <cell r="DF301">
            <v>108</v>
          </cell>
          <cell r="DG301">
            <v>36</v>
          </cell>
          <cell r="DH301">
            <v>288</v>
          </cell>
          <cell r="DJ301">
            <v>868</v>
          </cell>
          <cell r="DK301">
            <v>432</v>
          </cell>
          <cell r="DL301">
            <v>612</v>
          </cell>
          <cell r="DM301">
            <v>522</v>
          </cell>
          <cell r="DN301">
            <v>630</v>
          </cell>
          <cell r="DO301">
            <v>1782</v>
          </cell>
          <cell r="DP301">
            <v>723</v>
          </cell>
          <cell r="DQ301">
            <v>216</v>
          </cell>
          <cell r="DR301">
            <v>211</v>
          </cell>
          <cell r="DS301">
            <v>180</v>
          </cell>
          <cell r="DT301">
            <v>252</v>
          </cell>
          <cell r="DU301">
            <v>144</v>
          </cell>
          <cell r="DV301">
            <v>624</v>
          </cell>
          <cell r="DW301">
            <v>180</v>
          </cell>
          <cell r="DX301">
            <v>594</v>
          </cell>
          <cell r="DY301">
            <v>284</v>
          </cell>
          <cell r="DZ301">
            <v>1458</v>
          </cell>
          <cell r="EB301">
            <v>216</v>
          </cell>
          <cell r="EC301">
            <v>990</v>
          </cell>
          <cell r="ED301">
            <v>942</v>
          </cell>
          <cell r="EE301">
            <v>324</v>
          </cell>
          <cell r="EF301">
            <v>162</v>
          </cell>
          <cell r="EG301">
            <v>666</v>
          </cell>
          <cell r="EH301" t="str">
            <v>ACTIVO</v>
          </cell>
          <cell r="EI301" t="str">
            <v>B</v>
          </cell>
          <cell r="EJ301">
            <v>540</v>
          </cell>
          <cell r="EK301">
            <v>565.73913043478262</v>
          </cell>
          <cell r="EL301">
            <v>94.289855072463766</v>
          </cell>
        </row>
        <row r="302">
          <cell r="F302">
            <v>393384</v>
          </cell>
          <cell r="G302" t="str">
            <v>INSUMO SEMI-ELABORADO BIZCOCHO VEGANO</v>
          </cell>
          <cell r="H302">
            <v>54</v>
          </cell>
          <cell r="O302">
            <v>120</v>
          </cell>
          <cell r="P302">
            <v>510</v>
          </cell>
          <cell r="Q302">
            <v>569</v>
          </cell>
          <cell r="R302">
            <v>450</v>
          </cell>
          <cell r="T302">
            <v>480</v>
          </cell>
          <cell r="U302">
            <v>234</v>
          </cell>
          <cell r="V302">
            <v>720</v>
          </cell>
          <cell r="W302">
            <v>876</v>
          </cell>
          <cell r="X302">
            <v>985</v>
          </cell>
          <cell r="Y302">
            <v>312</v>
          </cell>
          <cell r="Z302">
            <v>216</v>
          </cell>
          <cell r="AA302">
            <v>242</v>
          </cell>
          <cell r="AB302">
            <v>366</v>
          </cell>
          <cell r="AC302">
            <v>468</v>
          </cell>
          <cell r="AD302">
            <v>1348</v>
          </cell>
          <cell r="AE302">
            <v>144</v>
          </cell>
          <cell r="AF302">
            <v>444</v>
          </cell>
          <cell r="AG302">
            <v>487</v>
          </cell>
          <cell r="AH302">
            <v>600</v>
          </cell>
          <cell r="AI302">
            <v>456</v>
          </cell>
          <cell r="AJ302">
            <v>516</v>
          </cell>
          <cell r="AK302">
            <v>792</v>
          </cell>
          <cell r="AL302">
            <v>1442</v>
          </cell>
          <cell r="AQ302">
            <v>1104</v>
          </cell>
          <cell r="AR302">
            <v>93</v>
          </cell>
          <cell r="AV302">
            <v>204</v>
          </cell>
          <cell r="AW302">
            <v>218</v>
          </cell>
          <cell r="AX302">
            <v>1422</v>
          </cell>
          <cell r="AY302">
            <v>36</v>
          </cell>
          <cell r="BB302">
            <v>528</v>
          </cell>
          <cell r="BC302">
            <v>179</v>
          </cell>
          <cell r="BF302">
            <v>510</v>
          </cell>
          <cell r="BG302">
            <v>246</v>
          </cell>
          <cell r="BH302">
            <v>66</v>
          </cell>
          <cell r="BI302">
            <v>270</v>
          </cell>
          <cell r="BJ302">
            <v>306</v>
          </cell>
          <cell r="BK302">
            <v>283</v>
          </cell>
          <cell r="BL302">
            <v>270</v>
          </cell>
          <cell r="BM302">
            <v>600</v>
          </cell>
          <cell r="BO302">
            <v>600</v>
          </cell>
          <cell r="EH302" t="str">
            <v>ACTIVO</v>
          </cell>
          <cell r="EI302" t="str">
            <v>C</v>
          </cell>
          <cell r="EJ302">
            <v>540</v>
          </cell>
          <cell r="EK302">
            <v>0</v>
          </cell>
          <cell r="EL302">
            <v>0</v>
          </cell>
        </row>
        <row r="303">
          <cell r="F303">
            <v>300003</v>
          </cell>
          <cell r="G303" t="str">
            <v>GRANA CHOCOLATE</v>
          </cell>
          <cell r="H303">
            <v>120</v>
          </cell>
          <cell r="I303">
            <v>100</v>
          </cell>
          <cell r="J303">
            <v>60</v>
          </cell>
          <cell r="K303">
            <v>120</v>
          </cell>
          <cell r="L303">
            <v>120</v>
          </cell>
          <cell r="M303">
            <v>100</v>
          </cell>
          <cell r="N303">
            <v>80</v>
          </cell>
          <cell r="O303">
            <v>200</v>
          </cell>
          <cell r="P303">
            <v>100</v>
          </cell>
          <cell r="Q303">
            <v>100</v>
          </cell>
          <cell r="R303">
            <v>80</v>
          </cell>
          <cell r="S303">
            <v>60</v>
          </cell>
          <cell r="T303">
            <v>120</v>
          </cell>
          <cell r="U303">
            <v>220</v>
          </cell>
          <cell r="V303">
            <v>100</v>
          </cell>
          <cell r="W303">
            <v>120</v>
          </cell>
          <cell r="X303">
            <v>200</v>
          </cell>
          <cell r="Z303">
            <v>40</v>
          </cell>
          <cell r="AA303">
            <v>80</v>
          </cell>
          <cell r="AB303">
            <v>100</v>
          </cell>
          <cell r="AC303">
            <v>100</v>
          </cell>
          <cell r="AD303">
            <v>80</v>
          </cell>
          <cell r="AE303">
            <v>140</v>
          </cell>
          <cell r="AF303">
            <v>200</v>
          </cell>
          <cell r="AG303">
            <v>180</v>
          </cell>
          <cell r="AH303">
            <v>200</v>
          </cell>
          <cell r="AI303">
            <v>200</v>
          </cell>
          <cell r="AJ303">
            <v>60</v>
          </cell>
          <cell r="AK303">
            <v>160</v>
          </cell>
          <cell r="AL303">
            <v>220</v>
          </cell>
          <cell r="AM303">
            <v>180</v>
          </cell>
          <cell r="AN303">
            <v>120</v>
          </cell>
          <cell r="AO303">
            <v>80</v>
          </cell>
          <cell r="AQ303">
            <v>240</v>
          </cell>
          <cell r="AR303">
            <v>260</v>
          </cell>
          <cell r="AT303">
            <v>180</v>
          </cell>
          <cell r="AU303">
            <v>100</v>
          </cell>
          <cell r="AV303">
            <v>60</v>
          </cell>
          <cell r="AW303">
            <v>360</v>
          </cell>
          <cell r="AX303">
            <v>80</v>
          </cell>
          <cell r="AY303">
            <v>100</v>
          </cell>
          <cell r="AZ303">
            <v>340</v>
          </cell>
          <cell r="BA303">
            <v>220</v>
          </cell>
          <cell r="BB303">
            <v>280</v>
          </cell>
          <cell r="BC303">
            <v>380</v>
          </cell>
          <cell r="BD303">
            <v>220</v>
          </cell>
          <cell r="BE303">
            <v>80</v>
          </cell>
          <cell r="BF303">
            <v>240</v>
          </cell>
          <cell r="BG303">
            <v>220</v>
          </cell>
          <cell r="BH303">
            <v>180</v>
          </cell>
          <cell r="BI303">
            <v>480</v>
          </cell>
          <cell r="BJ303">
            <v>200</v>
          </cell>
          <cell r="BK303">
            <v>380</v>
          </cell>
          <cell r="BL303">
            <v>320</v>
          </cell>
          <cell r="BM303">
            <v>400</v>
          </cell>
          <cell r="BN303">
            <v>360</v>
          </cell>
          <cell r="BO303">
            <v>380</v>
          </cell>
          <cell r="BP303">
            <v>140</v>
          </cell>
          <cell r="BQ303">
            <v>160</v>
          </cell>
          <cell r="BR303">
            <v>420</v>
          </cell>
          <cell r="BS303">
            <v>300</v>
          </cell>
          <cell r="BT303">
            <v>140</v>
          </cell>
          <cell r="BU303">
            <v>60</v>
          </cell>
          <cell r="BV303">
            <v>200</v>
          </cell>
          <cell r="BW303">
            <v>120</v>
          </cell>
          <cell r="BX303">
            <v>200</v>
          </cell>
          <cell r="BY303">
            <v>240</v>
          </cell>
          <cell r="BZ303">
            <v>80</v>
          </cell>
          <cell r="CA303">
            <v>320</v>
          </cell>
          <cell r="CB303">
            <v>100</v>
          </cell>
          <cell r="CC303">
            <v>120</v>
          </cell>
          <cell r="CD303">
            <v>100</v>
          </cell>
          <cell r="CE303">
            <v>200</v>
          </cell>
          <cell r="CF303">
            <v>80</v>
          </cell>
          <cell r="CG303">
            <v>100</v>
          </cell>
          <cell r="CH303">
            <v>220</v>
          </cell>
          <cell r="CI303">
            <v>20</v>
          </cell>
          <cell r="CJ303">
            <v>420</v>
          </cell>
          <cell r="CK303">
            <v>220</v>
          </cell>
          <cell r="CL303">
            <v>300</v>
          </cell>
          <cell r="CM303">
            <v>220</v>
          </cell>
          <cell r="CN303">
            <v>100</v>
          </cell>
          <cell r="CO303">
            <v>400</v>
          </cell>
          <cell r="CP303">
            <v>438.5</v>
          </cell>
          <cell r="CQ303">
            <v>240</v>
          </cell>
          <cell r="CR303">
            <v>108</v>
          </cell>
          <cell r="CS303">
            <v>80</v>
          </cell>
          <cell r="CT303">
            <v>232</v>
          </cell>
          <cell r="CU303">
            <v>160</v>
          </cell>
          <cell r="CV303">
            <v>200</v>
          </cell>
          <cell r="CW303">
            <v>140</v>
          </cell>
          <cell r="CX303">
            <v>140</v>
          </cell>
          <cell r="CY303">
            <v>80</v>
          </cell>
          <cell r="CZ303">
            <v>320</v>
          </cell>
          <cell r="DA303">
            <v>80</v>
          </cell>
          <cell r="DB303">
            <v>240</v>
          </cell>
          <cell r="DC303">
            <v>130</v>
          </cell>
          <cell r="DD303">
            <v>180</v>
          </cell>
          <cell r="DE303">
            <v>40</v>
          </cell>
          <cell r="DF303">
            <v>160</v>
          </cell>
          <cell r="DG303">
            <v>80</v>
          </cell>
          <cell r="DH303">
            <v>40</v>
          </cell>
          <cell r="DI303">
            <v>40</v>
          </cell>
          <cell r="DJ303">
            <v>193.4</v>
          </cell>
          <cell r="DK303">
            <v>85.75</v>
          </cell>
          <cell r="DL303">
            <v>280</v>
          </cell>
          <cell r="DM303">
            <v>240</v>
          </cell>
          <cell r="DN303">
            <v>180</v>
          </cell>
          <cell r="DO303">
            <v>240</v>
          </cell>
          <cell r="DP303">
            <v>260</v>
          </cell>
          <cell r="DQ303">
            <v>162.55000000000001</v>
          </cell>
          <cell r="DR303">
            <v>100</v>
          </cell>
          <cell r="DS303">
            <v>213.3</v>
          </cell>
          <cell r="DT303">
            <v>224.7</v>
          </cell>
          <cell r="DU303">
            <v>280</v>
          </cell>
          <cell r="DV303">
            <v>180</v>
          </cell>
          <cell r="DW303">
            <v>200</v>
          </cell>
          <cell r="DX303">
            <v>220</v>
          </cell>
          <cell r="DY303">
            <v>160</v>
          </cell>
          <cell r="DZ303">
            <v>300</v>
          </cell>
          <cell r="EA303">
            <v>40</v>
          </cell>
          <cell r="EB303">
            <v>202.55</v>
          </cell>
          <cell r="EC303">
            <v>163.5</v>
          </cell>
          <cell r="ED303">
            <v>233.95</v>
          </cell>
          <cell r="EE303">
            <v>350.1</v>
          </cell>
          <cell r="EF303">
            <v>289.25</v>
          </cell>
          <cell r="EG303">
            <v>160</v>
          </cell>
          <cell r="EH303" t="str">
            <v>ACTIVO</v>
          </cell>
          <cell r="EI303" t="str">
            <v>C</v>
          </cell>
          <cell r="EJ303">
            <v>600</v>
          </cell>
          <cell r="EK303">
            <v>199.96200000000002</v>
          </cell>
          <cell r="EL303">
            <v>33.327000000000005</v>
          </cell>
        </row>
        <row r="304">
          <cell r="F304">
            <v>300004</v>
          </cell>
          <cell r="G304" t="str">
            <v>GRANA BLANCA</v>
          </cell>
          <cell r="H304">
            <v>200</v>
          </cell>
          <cell r="I304">
            <v>120</v>
          </cell>
          <cell r="J304">
            <v>80</v>
          </cell>
          <cell r="K304">
            <v>140</v>
          </cell>
          <cell r="L304">
            <v>160</v>
          </cell>
          <cell r="M304">
            <v>100</v>
          </cell>
          <cell r="N304">
            <v>80</v>
          </cell>
          <cell r="O304">
            <v>120</v>
          </cell>
          <cell r="P304">
            <v>160</v>
          </cell>
          <cell r="Q304">
            <v>140</v>
          </cell>
          <cell r="R304">
            <v>60</v>
          </cell>
          <cell r="S304">
            <v>80</v>
          </cell>
          <cell r="T304">
            <v>100</v>
          </cell>
          <cell r="U304">
            <v>180</v>
          </cell>
          <cell r="V304">
            <v>100</v>
          </cell>
          <cell r="W304">
            <v>80</v>
          </cell>
          <cell r="X304">
            <v>100</v>
          </cell>
          <cell r="Z304">
            <v>140</v>
          </cell>
          <cell r="AA304">
            <v>60</v>
          </cell>
          <cell r="AB304">
            <v>120</v>
          </cell>
          <cell r="AC304">
            <v>60</v>
          </cell>
          <cell r="AD304">
            <v>140</v>
          </cell>
          <cell r="AE304">
            <v>180</v>
          </cell>
          <cell r="AF304">
            <v>200</v>
          </cell>
          <cell r="AG304">
            <v>180</v>
          </cell>
          <cell r="AH304">
            <v>200</v>
          </cell>
          <cell r="AI304">
            <v>140</v>
          </cell>
          <cell r="AJ304">
            <v>200</v>
          </cell>
          <cell r="AK304">
            <v>180</v>
          </cell>
          <cell r="AL304">
            <v>200</v>
          </cell>
          <cell r="AM304">
            <v>220</v>
          </cell>
          <cell r="AN304">
            <v>140</v>
          </cell>
          <cell r="AO304">
            <v>160</v>
          </cell>
          <cell r="AP304">
            <v>180</v>
          </cell>
          <cell r="AQ304">
            <v>160</v>
          </cell>
          <cell r="AR304">
            <v>260</v>
          </cell>
          <cell r="AT304">
            <v>300</v>
          </cell>
          <cell r="AU304">
            <v>180</v>
          </cell>
          <cell r="AV304">
            <v>220</v>
          </cell>
          <cell r="AW304">
            <v>100</v>
          </cell>
          <cell r="AX304">
            <v>340</v>
          </cell>
          <cell r="AY304">
            <v>200</v>
          </cell>
          <cell r="AZ304">
            <v>120</v>
          </cell>
          <cell r="BA304">
            <v>460</v>
          </cell>
          <cell r="BB304">
            <v>300</v>
          </cell>
          <cell r="BC304">
            <v>260</v>
          </cell>
          <cell r="BD304">
            <v>360</v>
          </cell>
          <cell r="BE304">
            <v>80</v>
          </cell>
          <cell r="BF304">
            <v>243.905</v>
          </cell>
          <cell r="BG304">
            <v>122.09500000000001</v>
          </cell>
          <cell r="BH304">
            <v>20</v>
          </cell>
          <cell r="BI304">
            <v>20</v>
          </cell>
          <cell r="BJ304">
            <v>162.04</v>
          </cell>
          <cell r="BK304">
            <v>200</v>
          </cell>
          <cell r="BL304">
            <v>380</v>
          </cell>
          <cell r="BM304">
            <v>280</v>
          </cell>
          <cell r="BN304">
            <v>180</v>
          </cell>
          <cell r="BO304">
            <v>300</v>
          </cell>
          <cell r="BP304">
            <v>140</v>
          </cell>
          <cell r="BQ304">
            <v>120</v>
          </cell>
          <cell r="BR304">
            <v>240</v>
          </cell>
          <cell r="BS304">
            <v>240</v>
          </cell>
          <cell r="BT304">
            <v>480</v>
          </cell>
          <cell r="BU304">
            <v>160</v>
          </cell>
          <cell r="BV304">
            <v>220</v>
          </cell>
          <cell r="BW304">
            <v>360</v>
          </cell>
          <cell r="BX304">
            <v>220</v>
          </cell>
          <cell r="BY304">
            <v>240</v>
          </cell>
          <cell r="BZ304">
            <v>120</v>
          </cell>
          <cell r="CA304">
            <v>200</v>
          </cell>
          <cell r="CB304">
            <v>260</v>
          </cell>
          <cell r="CC304">
            <v>200</v>
          </cell>
          <cell r="CD304">
            <v>200</v>
          </cell>
          <cell r="CE304">
            <v>263.255</v>
          </cell>
          <cell r="CF304">
            <v>320</v>
          </cell>
          <cell r="CG304">
            <v>300</v>
          </cell>
          <cell r="CH304">
            <v>160</v>
          </cell>
          <cell r="CI304">
            <v>320</v>
          </cell>
          <cell r="CJ304">
            <v>160</v>
          </cell>
          <cell r="CK304">
            <v>140</v>
          </cell>
          <cell r="CL304">
            <v>140</v>
          </cell>
          <cell r="CM304">
            <v>260</v>
          </cell>
          <cell r="CN304">
            <v>240</v>
          </cell>
          <cell r="CO304">
            <v>240</v>
          </cell>
          <cell r="CP304">
            <v>320</v>
          </cell>
          <cell r="CQ304">
            <v>240</v>
          </cell>
          <cell r="CR304">
            <v>345.95</v>
          </cell>
          <cell r="CS304">
            <v>62.8</v>
          </cell>
          <cell r="CT304">
            <v>240</v>
          </cell>
          <cell r="CU304">
            <v>240</v>
          </cell>
          <cell r="CV304">
            <v>80</v>
          </cell>
          <cell r="CW304">
            <v>141</v>
          </cell>
          <cell r="CX304">
            <v>260</v>
          </cell>
          <cell r="CY304">
            <v>200</v>
          </cell>
          <cell r="CZ304">
            <v>120</v>
          </cell>
          <cell r="DA304">
            <v>340</v>
          </cell>
          <cell r="DB304">
            <v>140</v>
          </cell>
          <cell r="DC304">
            <v>200</v>
          </cell>
          <cell r="DD304">
            <v>180</v>
          </cell>
          <cell r="DE304">
            <v>60</v>
          </cell>
          <cell r="DF304">
            <v>220</v>
          </cell>
          <cell r="DG304">
            <v>140</v>
          </cell>
          <cell r="DH304">
            <v>100</v>
          </cell>
          <cell r="DI304">
            <v>80</v>
          </cell>
          <cell r="DJ304">
            <v>180</v>
          </cell>
          <cell r="DK304">
            <v>320</v>
          </cell>
          <cell r="DL304">
            <v>100</v>
          </cell>
          <cell r="DM304">
            <v>400</v>
          </cell>
          <cell r="DN304">
            <v>220</v>
          </cell>
          <cell r="DO304">
            <v>160</v>
          </cell>
          <cell r="DP304">
            <v>220</v>
          </cell>
          <cell r="DQ304">
            <v>240</v>
          </cell>
          <cell r="DR304">
            <v>240</v>
          </cell>
          <cell r="DS304">
            <v>300</v>
          </cell>
          <cell r="DT304">
            <v>186.9</v>
          </cell>
          <cell r="DU304">
            <v>140</v>
          </cell>
          <cell r="DV304">
            <v>200</v>
          </cell>
          <cell r="DW304">
            <v>140</v>
          </cell>
          <cell r="DX304">
            <v>438.14499999999998</v>
          </cell>
          <cell r="DY304">
            <v>503.9</v>
          </cell>
          <cell r="DZ304">
            <v>160</v>
          </cell>
          <cell r="EA304">
            <v>100</v>
          </cell>
          <cell r="EB304">
            <v>186.5</v>
          </cell>
          <cell r="EC304">
            <v>253.5</v>
          </cell>
          <cell r="ED304">
            <v>196.38</v>
          </cell>
          <cell r="EE304">
            <v>207.75</v>
          </cell>
          <cell r="EF304">
            <v>180</v>
          </cell>
          <cell r="EG304">
            <v>280</v>
          </cell>
          <cell r="EH304" t="str">
            <v>ACTIVO</v>
          </cell>
          <cell r="EI304" t="str">
            <v>C</v>
          </cell>
          <cell r="EJ304">
            <v>600</v>
          </cell>
          <cell r="EK304">
            <v>225.32299999999998</v>
          </cell>
          <cell r="EL304">
            <v>37.55383333333333</v>
          </cell>
        </row>
        <row r="305">
          <cell r="F305">
            <v>402259</v>
          </cell>
          <cell r="G305" t="str">
            <v>INSUMO SEMI ELABORADO SUB BROWNIE CHOCOLATE VEGANO</v>
          </cell>
          <cell r="H305">
            <v>503</v>
          </cell>
          <cell r="K305">
            <v>208</v>
          </cell>
          <cell r="M305">
            <v>382</v>
          </cell>
          <cell r="N305">
            <v>555</v>
          </cell>
          <cell r="O305">
            <v>640</v>
          </cell>
          <cell r="P305">
            <v>556</v>
          </cell>
          <cell r="Q305">
            <v>882</v>
          </cell>
          <cell r="R305">
            <v>726</v>
          </cell>
          <cell r="S305">
            <v>579</v>
          </cell>
          <cell r="T305">
            <v>90</v>
          </cell>
          <cell r="U305">
            <v>973</v>
          </cell>
          <cell r="V305">
            <v>894</v>
          </cell>
          <cell r="W305">
            <v>1311</v>
          </cell>
          <cell r="EH305" t="str">
            <v>ACTIVO</v>
          </cell>
          <cell r="EI305" t="str">
            <v/>
          </cell>
          <cell r="EJ305" t="str">
            <v/>
          </cell>
          <cell r="EK305">
            <v>0</v>
          </cell>
          <cell r="EL305">
            <v>0</v>
          </cell>
        </row>
        <row r="306">
          <cell r="F306">
            <v>104010</v>
          </cell>
          <cell r="G306" t="str">
            <v>SAL FINA</v>
          </cell>
          <cell r="H306">
            <v>200</v>
          </cell>
          <cell r="K306">
            <v>300</v>
          </cell>
          <cell r="M306">
            <v>300</v>
          </cell>
          <cell r="Q306">
            <v>300</v>
          </cell>
          <cell r="U306">
            <v>300</v>
          </cell>
          <cell r="Y306">
            <v>300</v>
          </cell>
          <cell r="AB306">
            <v>300</v>
          </cell>
          <cell r="AD306">
            <v>300</v>
          </cell>
          <cell r="AH306">
            <v>300</v>
          </cell>
          <cell r="AK306">
            <v>300</v>
          </cell>
          <cell r="AN306">
            <v>300</v>
          </cell>
          <cell r="AQ306">
            <v>400</v>
          </cell>
          <cell r="AU306">
            <v>300</v>
          </cell>
          <cell r="AX306">
            <v>300</v>
          </cell>
          <cell r="BC306">
            <v>300</v>
          </cell>
          <cell r="BE306">
            <v>300</v>
          </cell>
          <cell r="BJ306">
            <v>300</v>
          </cell>
          <cell r="BO306">
            <v>400</v>
          </cell>
          <cell r="BS306">
            <v>200</v>
          </cell>
          <cell r="BW306">
            <v>200</v>
          </cell>
          <cell r="BZ306">
            <v>300</v>
          </cell>
          <cell r="CB306">
            <v>200</v>
          </cell>
          <cell r="CE306">
            <v>300</v>
          </cell>
          <cell r="CH306">
            <v>300</v>
          </cell>
          <cell r="CK306">
            <v>200</v>
          </cell>
          <cell r="CM306">
            <v>300</v>
          </cell>
          <cell r="CQ306">
            <v>300</v>
          </cell>
          <cell r="CT306">
            <v>300</v>
          </cell>
          <cell r="CW306">
            <v>400</v>
          </cell>
          <cell r="DA306">
            <v>300</v>
          </cell>
          <cell r="DE306">
            <v>300</v>
          </cell>
          <cell r="DK306">
            <v>200</v>
          </cell>
          <cell r="DM306">
            <v>300</v>
          </cell>
          <cell r="DP306">
            <v>300</v>
          </cell>
          <cell r="DT306">
            <v>300</v>
          </cell>
          <cell r="DW306">
            <v>300</v>
          </cell>
          <cell r="DZ306">
            <v>300</v>
          </cell>
          <cell r="EC306">
            <v>300</v>
          </cell>
          <cell r="EG306">
            <v>300</v>
          </cell>
          <cell r="EH306" t="str">
            <v>SIN USO</v>
          </cell>
          <cell r="EI306" t="str">
            <v>C</v>
          </cell>
          <cell r="EJ306" t="str">
            <v/>
          </cell>
          <cell r="EK306">
            <v>287.5</v>
          </cell>
          <cell r="EL306">
            <v>47.916666666666664</v>
          </cell>
        </row>
        <row r="307">
          <cell r="F307">
            <v>393387</v>
          </cell>
          <cell r="G307" t="str">
            <v>PORCIÓN TRES LECHES SEMI ELABORADO</v>
          </cell>
          <cell r="I307">
            <v>84</v>
          </cell>
          <cell r="J307">
            <v>9</v>
          </cell>
          <cell r="L307">
            <v>60</v>
          </cell>
          <cell r="M307">
            <v>42</v>
          </cell>
          <cell r="N307">
            <v>70</v>
          </cell>
          <cell r="O307">
            <v>39</v>
          </cell>
          <cell r="R307">
            <v>45</v>
          </cell>
          <cell r="S307">
            <v>39</v>
          </cell>
          <cell r="EH307" t="str">
            <v>SIN USO</v>
          </cell>
          <cell r="EI307" t="str">
            <v/>
          </cell>
          <cell r="EJ307" t="str">
            <v/>
          </cell>
          <cell r="EK307">
            <v>0</v>
          </cell>
          <cell r="EL307">
            <v>0</v>
          </cell>
        </row>
        <row r="308">
          <cell r="F308">
            <v>393415</v>
          </cell>
          <cell r="G308" t="str">
            <v>INSUMO SEMIELABORADO GALLETA DE VINO  MOLIDA</v>
          </cell>
          <cell r="L308">
            <v>80</v>
          </cell>
          <cell r="M308">
            <v>164</v>
          </cell>
          <cell r="V308">
            <v>180</v>
          </cell>
          <cell r="W308">
            <v>120</v>
          </cell>
          <cell r="X308">
            <v>30</v>
          </cell>
          <cell r="Y308">
            <v>80</v>
          </cell>
          <cell r="Z308">
            <v>80</v>
          </cell>
          <cell r="AC308">
            <v>140</v>
          </cell>
          <cell r="AD308">
            <v>80</v>
          </cell>
          <cell r="AE308">
            <v>60</v>
          </cell>
          <cell r="AF308">
            <v>20</v>
          </cell>
          <cell r="AH308">
            <v>160</v>
          </cell>
          <cell r="AI308">
            <v>80</v>
          </cell>
          <cell r="AJ308">
            <v>60</v>
          </cell>
          <cell r="AK308">
            <v>110</v>
          </cell>
          <cell r="AL308">
            <v>30</v>
          </cell>
          <cell r="AN308">
            <v>20</v>
          </cell>
          <cell r="AO308">
            <v>40</v>
          </cell>
          <cell r="BL308">
            <v>65</v>
          </cell>
          <cell r="BM308">
            <v>20</v>
          </cell>
          <cell r="BN308">
            <v>80</v>
          </cell>
          <cell r="BO308">
            <v>80</v>
          </cell>
          <cell r="BP308">
            <v>120</v>
          </cell>
          <cell r="BQ308">
            <v>80</v>
          </cell>
          <cell r="BR308">
            <v>40</v>
          </cell>
          <cell r="BS308">
            <v>140</v>
          </cell>
          <cell r="BT308">
            <v>40</v>
          </cell>
          <cell r="BU308">
            <v>20</v>
          </cell>
          <cell r="BV308">
            <v>40</v>
          </cell>
          <cell r="BW308">
            <v>160</v>
          </cell>
          <cell r="BX308">
            <v>40</v>
          </cell>
          <cell r="CA308">
            <v>40</v>
          </cell>
          <cell r="CB308">
            <v>50</v>
          </cell>
          <cell r="CC308">
            <v>40</v>
          </cell>
          <cell r="CD308">
            <v>100</v>
          </cell>
          <cell r="CE308">
            <v>80</v>
          </cell>
          <cell r="CF308">
            <v>150</v>
          </cell>
          <cell r="CG308">
            <v>200</v>
          </cell>
          <cell r="CH308">
            <v>20</v>
          </cell>
          <cell r="CI308">
            <v>40</v>
          </cell>
          <cell r="CJ308">
            <v>20</v>
          </cell>
          <cell r="CK308">
            <v>60</v>
          </cell>
          <cell r="CL308">
            <v>30</v>
          </cell>
          <cell r="CM308">
            <v>80</v>
          </cell>
          <cell r="CN308">
            <v>152.25</v>
          </cell>
          <cell r="CO308">
            <v>27.75</v>
          </cell>
          <cell r="CP308">
            <v>40</v>
          </cell>
          <cell r="CQ308">
            <v>60</v>
          </cell>
          <cell r="CR308">
            <v>62.8</v>
          </cell>
          <cell r="CS308">
            <v>40</v>
          </cell>
          <cell r="CT308">
            <v>20</v>
          </cell>
          <cell r="CU308">
            <v>60</v>
          </cell>
          <cell r="CV308">
            <v>20</v>
          </cell>
          <cell r="CW308">
            <v>100</v>
          </cell>
          <cell r="CY308">
            <v>80</v>
          </cell>
          <cell r="CZ308">
            <v>100</v>
          </cell>
          <cell r="DA308">
            <v>80</v>
          </cell>
          <cell r="DB308">
            <v>80</v>
          </cell>
          <cell r="DC308">
            <v>80</v>
          </cell>
          <cell r="DD308">
            <v>100</v>
          </cell>
          <cell r="DE308">
            <v>40</v>
          </cell>
          <cell r="DK308">
            <v>40</v>
          </cell>
          <cell r="DM308">
            <v>40</v>
          </cell>
          <cell r="DN308">
            <v>20</v>
          </cell>
          <cell r="DO308">
            <v>20</v>
          </cell>
          <cell r="DP308">
            <v>80</v>
          </cell>
          <cell r="DV308">
            <v>20</v>
          </cell>
          <cell r="DW308">
            <v>80</v>
          </cell>
          <cell r="DX308">
            <v>100</v>
          </cell>
          <cell r="DY308">
            <v>120</v>
          </cell>
          <cell r="DZ308">
            <v>20</v>
          </cell>
          <cell r="EH308" t="str">
            <v>SIN USO</v>
          </cell>
          <cell r="EI308" t="str">
            <v>C</v>
          </cell>
          <cell r="EJ308" t="str">
            <v/>
          </cell>
          <cell r="EK308">
            <v>54</v>
          </cell>
          <cell r="EL308">
            <v>9</v>
          </cell>
        </row>
        <row r="309">
          <cell r="F309">
            <v>107310</v>
          </cell>
          <cell r="G309" t="str">
            <v>VINAGRE BLANCO EGC</v>
          </cell>
          <cell r="AL309">
            <v>300</v>
          </cell>
          <cell r="BM309">
            <v>400</v>
          </cell>
          <cell r="BP309">
            <v>400</v>
          </cell>
          <cell r="EH309" t="str">
            <v>SIN USO</v>
          </cell>
          <cell r="EI309" t="str">
            <v>C</v>
          </cell>
          <cell r="EJ309" t="str">
            <v/>
          </cell>
          <cell r="EK309">
            <v>0</v>
          </cell>
          <cell r="EL309">
            <v>0</v>
          </cell>
        </row>
        <row r="310">
          <cell r="F310">
            <v>393437</v>
          </cell>
          <cell r="G310" t="str">
            <v>INSUMO INTERPLANTA BIZCOCHO CONFETI 17 CM</v>
          </cell>
          <cell r="AL310">
            <v>936</v>
          </cell>
          <cell r="AM310">
            <v>2192</v>
          </cell>
          <cell r="AN310">
            <v>336</v>
          </cell>
          <cell r="EH310" t="str">
            <v>SIN USO</v>
          </cell>
          <cell r="EI310" t="str">
            <v/>
          </cell>
          <cell r="EJ310" t="str">
            <v/>
          </cell>
          <cell r="EK310">
            <v>0</v>
          </cell>
          <cell r="EL310">
            <v>0</v>
          </cell>
        </row>
        <row r="311">
          <cell r="F311">
            <v>106101</v>
          </cell>
          <cell r="G311" t="str">
            <v>VINAGRE WINKLER</v>
          </cell>
          <cell r="J311">
            <v>300</v>
          </cell>
          <cell r="L311">
            <v>400</v>
          </cell>
          <cell r="P311">
            <v>400</v>
          </cell>
          <cell r="S311">
            <v>400</v>
          </cell>
          <cell r="V311">
            <v>295</v>
          </cell>
          <cell r="Y311">
            <v>400</v>
          </cell>
          <cell r="Z311">
            <v>300</v>
          </cell>
          <cell r="AD311">
            <v>400</v>
          </cell>
          <cell r="AF311">
            <v>300</v>
          </cell>
          <cell r="AI311">
            <v>400</v>
          </cell>
          <cell r="AN311">
            <v>245</v>
          </cell>
          <cell r="AP311">
            <v>750</v>
          </cell>
          <cell r="AU311">
            <v>400</v>
          </cell>
          <cell r="AX311">
            <v>400</v>
          </cell>
          <cell r="BA311">
            <v>400</v>
          </cell>
          <cell r="BC311">
            <v>500</v>
          </cell>
          <cell r="BJ311">
            <v>400</v>
          </cell>
          <cell r="CE311">
            <v>400</v>
          </cell>
          <cell r="CL311">
            <v>300</v>
          </cell>
          <cell r="CN311">
            <v>295</v>
          </cell>
          <cell r="CR311">
            <v>400</v>
          </cell>
          <cell r="CZ311">
            <v>300</v>
          </cell>
          <cell r="DD311">
            <v>300</v>
          </cell>
          <cell r="DH311">
            <v>185</v>
          </cell>
          <cell r="DK311">
            <v>115</v>
          </cell>
          <cell r="DN311">
            <v>395</v>
          </cell>
          <cell r="DR311">
            <v>300</v>
          </cell>
          <cell r="DV311">
            <v>300</v>
          </cell>
          <cell r="EH311" t="str">
            <v>SIN USO</v>
          </cell>
          <cell r="EI311" t="str">
            <v>C</v>
          </cell>
          <cell r="EJ311">
            <v>0</v>
          </cell>
          <cell r="EK311">
            <v>277.5</v>
          </cell>
          <cell r="EL311">
            <v>46.25</v>
          </cell>
        </row>
        <row r="312">
          <cell r="F312">
            <v>400216</v>
          </cell>
          <cell r="G312" t="str">
            <v>BIZCOCHO CARROT CAKE PAVESI</v>
          </cell>
          <cell r="DR312">
            <v>20</v>
          </cell>
          <cell r="DS312">
            <v>97</v>
          </cell>
          <cell r="DT312">
            <v>40</v>
          </cell>
          <cell r="DY312">
            <v>3</v>
          </cell>
          <cell r="DZ312">
            <v>129</v>
          </cell>
          <cell r="EA312">
            <v>87</v>
          </cell>
          <cell r="EB312">
            <v>129</v>
          </cell>
          <cell r="ED312">
            <v>110</v>
          </cell>
          <cell r="EE312">
            <v>55</v>
          </cell>
          <cell r="EF312">
            <v>142</v>
          </cell>
          <cell r="EG312">
            <v>138</v>
          </cell>
          <cell r="EH312" t="str">
            <v>ACTIVO</v>
          </cell>
          <cell r="EI312" t="str">
            <v>C</v>
          </cell>
          <cell r="EJ312" t="str">
            <v/>
          </cell>
          <cell r="EK312">
            <v>86.36363636363636</v>
          </cell>
          <cell r="EL312">
            <v>14.393939393939393</v>
          </cell>
        </row>
        <row r="313">
          <cell r="F313">
            <v>107403</v>
          </cell>
          <cell r="G313" t="str">
            <v>VINAGRE VINO BLANCO</v>
          </cell>
          <cell r="AN313">
            <v>30</v>
          </cell>
          <cell r="EH313" t="str">
            <v>SIN USO</v>
          </cell>
          <cell r="EI313" t="str">
            <v/>
          </cell>
          <cell r="EJ313" t="str">
            <v/>
          </cell>
          <cell r="EK313">
            <v>0</v>
          </cell>
          <cell r="EL313">
            <v>0</v>
          </cell>
        </row>
        <row r="314">
          <cell r="F314">
            <v>352038</v>
          </cell>
          <cell r="G314" t="str">
            <v>BIZCOCHO VAINILLA 19 cms. 1x18</v>
          </cell>
          <cell r="U314">
            <v>432</v>
          </cell>
          <cell r="EH314" t="str">
            <v>SIN USO</v>
          </cell>
          <cell r="EI314" t="str">
            <v/>
          </cell>
          <cell r="EJ314" t="str">
            <v/>
          </cell>
          <cell r="EK314">
            <v>0</v>
          </cell>
          <cell r="EL314">
            <v>0</v>
          </cell>
        </row>
        <row r="315">
          <cell r="F315">
            <v>405345</v>
          </cell>
          <cell r="G315" t="str">
            <v>DISCO PANQUEQUE CHOCOLATE 18 CM ENCOMIENDA TOTTUS</v>
          </cell>
          <cell r="AK315">
            <v>1728</v>
          </cell>
          <cell r="AT315">
            <v>2448</v>
          </cell>
          <cell r="AU315">
            <v>1656</v>
          </cell>
          <cell r="AW315">
            <v>1080</v>
          </cell>
          <cell r="AY315">
            <v>3868</v>
          </cell>
          <cell r="BA315">
            <v>864</v>
          </cell>
          <cell r="BB315">
            <v>3888</v>
          </cell>
          <cell r="BC315">
            <v>4824</v>
          </cell>
          <cell r="BD315">
            <v>346</v>
          </cell>
          <cell r="BG315">
            <v>3814</v>
          </cell>
          <cell r="BJ315">
            <v>1080</v>
          </cell>
          <cell r="BK315">
            <v>2448</v>
          </cell>
          <cell r="BO315">
            <v>2853</v>
          </cell>
          <cell r="BT315">
            <v>1368</v>
          </cell>
          <cell r="BU315">
            <v>8523</v>
          </cell>
          <cell r="BV315">
            <v>7056</v>
          </cell>
          <cell r="BW315">
            <v>936</v>
          </cell>
          <cell r="CA315">
            <v>1686</v>
          </cell>
          <cell r="CD315">
            <v>1008</v>
          </cell>
          <cell r="CL315">
            <v>1080</v>
          </cell>
          <cell r="CM315">
            <v>1152</v>
          </cell>
          <cell r="CN315">
            <v>2160</v>
          </cell>
          <cell r="CO315">
            <v>2021</v>
          </cell>
          <cell r="CP315">
            <v>472</v>
          </cell>
          <cell r="CQ315">
            <v>13248</v>
          </cell>
          <cell r="CR315">
            <v>7416</v>
          </cell>
          <cell r="CV315">
            <v>2408</v>
          </cell>
          <cell r="CW315">
            <v>4536</v>
          </cell>
          <cell r="CX315">
            <v>1944</v>
          </cell>
          <cell r="DB315">
            <v>1944</v>
          </cell>
          <cell r="DE315">
            <v>400</v>
          </cell>
          <cell r="EH315" t="str">
            <v>SIN USO</v>
          </cell>
          <cell r="EI315" t="str">
            <v>C</v>
          </cell>
          <cell r="EJ315">
            <v>0</v>
          </cell>
          <cell r="EK315">
            <v>0</v>
          </cell>
          <cell r="EL315">
            <v>0</v>
          </cell>
        </row>
        <row r="316">
          <cell r="F316">
            <v>107112</v>
          </cell>
          <cell r="G316" t="str">
            <v>MERENGUE PURATOS</v>
          </cell>
          <cell r="H316">
            <v>1040</v>
          </cell>
          <cell r="I316">
            <v>955</v>
          </cell>
          <cell r="J316">
            <v>825</v>
          </cell>
          <cell r="K316">
            <v>875</v>
          </cell>
          <cell r="L316">
            <v>970</v>
          </cell>
          <cell r="M316">
            <v>1095</v>
          </cell>
          <cell r="N316">
            <v>760</v>
          </cell>
          <cell r="O316">
            <v>955</v>
          </cell>
          <cell r="P316">
            <v>835</v>
          </cell>
          <cell r="Q316">
            <v>845</v>
          </cell>
          <cell r="R316">
            <v>895</v>
          </cell>
          <cell r="S316">
            <v>985</v>
          </cell>
          <cell r="T316">
            <v>895</v>
          </cell>
          <cell r="U316">
            <v>905</v>
          </cell>
          <cell r="V316">
            <v>975</v>
          </cell>
          <cell r="W316">
            <v>895</v>
          </cell>
          <cell r="X316">
            <v>890</v>
          </cell>
          <cell r="Y316">
            <v>1350</v>
          </cell>
          <cell r="Z316">
            <v>2110</v>
          </cell>
          <cell r="AA316">
            <v>820</v>
          </cell>
          <cell r="AB316">
            <v>980</v>
          </cell>
          <cell r="AC316">
            <v>831</v>
          </cell>
          <cell r="AD316">
            <v>1025</v>
          </cell>
          <cell r="AE316">
            <v>1880</v>
          </cell>
          <cell r="AF316">
            <v>885</v>
          </cell>
          <cell r="AG316">
            <v>1210</v>
          </cell>
          <cell r="AH316">
            <v>1250</v>
          </cell>
          <cell r="AI316">
            <v>1460</v>
          </cell>
          <cell r="AJ316">
            <v>1305</v>
          </cell>
          <cell r="AK316">
            <v>1275</v>
          </cell>
          <cell r="AL316">
            <v>1090</v>
          </cell>
          <cell r="AM316">
            <v>1705</v>
          </cell>
          <cell r="AN316">
            <v>1085</v>
          </cell>
          <cell r="AO316">
            <v>1020</v>
          </cell>
          <cell r="AP316">
            <v>1160</v>
          </cell>
          <cell r="AQ316">
            <v>1135</v>
          </cell>
          <cell r="AR316">
            <v>1255</v>
          </cell>
          <cell r="AS316">
            <v>375</v>
          </cell>
          <cell r="AT316">
            <v>1458.6190000000001</v>
          </cell>
          <cell r="AU316">
            <v>1140</v>
          </cell>
          <cell r="AV316">
            <v>945</v>
          </cell>
          <cell r="AW316">
            <v>980</v>
          </cell>
          <cell r="AX316">
            <v>1065</v>
          </cell>
          <cell r="AY316">
            <v>935</v>
          </cell>
          <cell r="AZ316">
            <v>1175</v>
          </cell>
          <cell r="BA316">
            <v>1140</v>
          </cell>
          <cell r="BB316">
            <v>970</v>
          </cell>
          <cell r="BC316">
            <v>1035</v>
          </cell>
          <cell r="BD316">
            <v>1085</v>
          </cell>
          <cell r="BE316">
            <v>1115</v>
          </cell>
          <cell r="BF316">
            <v>1261</v>
          </cell>
          <cell r="BG316">
            <v>1250</v>
          </cell>
          <cell r="BH316">
            <v>560</v>
          </cell>
          <cell r="BI316">
            <v>950</v>
          </cell>
          <cell r="BJ316">
            <v>640</v>
          </cell>
          <cell r="BK316">
            <v>1175</v>
          </cell>
          <cell r="BL316">
            <v>1095</v>
          </cell>
          <cell r="BM316">
            <v>1075</v>
          </cell>
          <cell r="BN316">
            <v>1175</v>
          </cell>
          <cell r="BO316">
            <v>915</v>
          </cell>
          <cell r="BP316">
            <v>1045</v>
          </cell>
          <cell r="BQ316">
            <v>905</v>
          </cell>
          <cell r="BR316">
            <v>1235</v>
          </cell>
          <cell r="BS316">
            <v>920</v>
          </cell>
          <cell r="BT316">
            <v>945</v>
          </cell>
          <cell r="BU316">
            <v>1015</v>
          </cell>
          <cell r="BV316">
            <v>990</v>
          </cell>
          <cell r="BW316">
            <v>1090</v>
          </cell>
          <cell r="BX316">
            <v>1055</v>
          </cell>
          <cell r="BY316">
            <v>1530</v>
          </cell>
          <cell r="BZ316">
            <v>1885</v>
          </cell>
          <cell r="CA316">
            <v>1005</v>
          </cell>
          <cell r="CB316">
            <v>985</v>
          </cell>
          <cell r="CC316">
            <v>1075</v>
          </cell>
          <cell r="CD316">
            <v>1095</v>
          </cell>
          <cell r="CE316">
            <v>1765</v>
          </cell>
          <cell r="CF316">
            <v>980</v>
          </cell>
          <cell r="CG316">
            <v>1100</v>
          </cell>
          <cell r="CH316">
            <v>1020</v>
          </cell>
          <cell r="CI316">
            <v>1300</v>
          </cell>
          <cell r="CJ316">
            <v>1180</v>
          </cell>
          <cell r="CK316">
            <v>1065</v>
          </cell>
          <cell r="CL316">
            <v>930</v>
          </cell>
          <cell r="CM316">
            <v>1135</v>
          </cell>
          <cell r="CN316">
            <v>1095</v>
          </cell>
          <cell r="CO316">
            <v>1135</v>
          </cell>
          <cell r="CP316">
            <v>1270</v>
          </cell>
          <cell r="CQ316">
            <v>1110</v>
          </cell>
          <cell r="CR316">
            <v>1165</v>
          </cell>
          <cell r="CS316">
            <v>395</v>
          </cell>
          <cell r="CT316">
            <v>1215</v>
          </cell>
          <cell r="CU316">
            <v>1075</v>
          </cell>
          <cell r="CV316">
            <v>1430</v>
          </cell>
          <cell r="CW316">
            <v>930</v>
          </cell>
          <cell r="CX316">
            <v>995</v>
          </cell>
          <cell r="CY316">
            <v>1065</v>
          </cell>
          <cell r="CZ316">
            <v>955</v>
          </cell>
          <cell r="DA316">
            <v>1080</v>
          </cell>
          <cell r="DB316">
            <v>815</v>
          </cell>
          <cell r="DC316">
            <v>1030</v>
          </cell>
          <cell r="DD316">
            <v>995</v>
          </cell>
          <cell r="DE316">
            <v>925</v>
          </cell>
          <cell r="DF316">
            <v>1430</v>
          </cell>
          <cell r="DG316">
            <v>980</v>
          </cell>
          <cell r="DH316">
            <v>530</v>
          </cell>
          <cell r="DI316">
            <v>290</v>
          </cell>
          <cell r="DJ316">
            <v>1000</v>
          </cell>
          <cell r="DK316">
            <v>905</v>
          </cell>
          <cell r="DL316">
            <v>970</v>
          </cell>
          <cell r="DM316">
            <v>905</v>
          </cell>
          <cell r="DN316">
            <v>910</v>
          </cell>
          <cell r="DO316">
            <v>1090</v>
          </cell>
          <cell r="DP316">
            <v>850</v>
          </cell>
          <cell r="DQ316">
            <v>825</v>
          </cell>
          <cell r="DR316">
            <v>910</v>
          </cell>
          <cell r="DS316">
            <v>965</v>
          </cell>
          <cell r="DT316">
            <v>900</v>
          </cell>
          <cell r="DU316">
            <v>1045</v>
          </cell>
          <cell r="DV316">
            <v>1090</v>
          </cell>
          <cell r="DW316">
            <v>940</v>
          </cell>
          <cell r="DX316">
            <v>875</v>
          </cell>
          <cell r="DY316">
            <v>1050</v>
          </cell>
          <cell r="DZ316">
            <v>1300</v>
          </cell>
          <cell r="EA316">
            <v>1820</v>
          </cell>
          <cell r="EB316">
            <v>1235</v>
          </cell>
          <cell r="EC316">
            <v>800</v>
          </cell>
          <cell r="ED316">
            <v>1040</v>
          </cell>
          <cell r="EE316">
            <v>1090</v>
          </cell>
          <cell r="EF316">
            <v>1005</v>
          </cell>
          <cell r="EG316">
            <v>1590</v>
          </cell>
          <cell r="EH316" t="str">
            <v>ACTIVO</v>
          </cell>
          <cell r="EI316" t="str">
            <v>A</v>
          </cell>
          <cell r="EJ316">
            <v>500</v>
          </cell>
          <cell r="EK316">
            <v>1016</v>
          </cell>
          <cell r="EL316">
            <v>169.33333333333334</v>
          </cell>
        </row>
        <row r="317">
          <cell r="F317">
            <v>107210</v>
          </cell>
          <cell r="G317" t="str">
            <v>DISCO MERENGUE PAVESI</v>
          </cell>
          <cell r="H317">
            <v>14544</v>
          </cell>
          <cell r="I317">
            <v>24624</v>
          </cell>
          <cell r="J317">
            <v>8856</v>
          </cell>
          <cell r="K317">
            <v>6480</v>
          </cell>
          <cell r="L317">
            <v>12240</v>
          </cell>
          <cell r="M317">
            <v>23904</v>
          </cell>
          <cell r="N317">
            <v>13680</v>
          </cell>
          <cell r="O317">
            <v>7128</v>
          </cell>
          <cell r="P317">
            <v>5400</v>
          </cell>
          <cell r="Q317">
            <v>7560</v>
          </cell>
          <cell r="R317">
            <v>18000</v>
          </cell>
          <cell r="S317">
            <v>11520</v>
          </cell>
          <cell r="T317">
            <v>11376</v>
          </cell>
          <cell r="U317">
            <v>11448</v>
          </cell>
          <cell r="V317">
            <v>7416</v>
          </cell>
          <cell r="W317">
            <v>9240</v>
          </cell>
          <cell r="X317">
            <v>27000</v>
          </cell>
          <cell r="Y317">
            <v>2520</v>
          </cell>
          <cell r="Z317">
            <v>2880</v>
          </cell>
          <cell r="AA317">
            <v>8640</v>
          </cell>
          <cell r="AB317">
            <v>16920</v>
          </cell>
          <cell r="AC317">
            <v>3240</v>
          </cell>
          <cell r="AD317">
            <v>15804</v>
          </cell>
          <cell r="AE317">
            <v>5472</v>
          </cell>
          <cell r="AF317">
            <v>8028</v>
          </cell>
          <cell r="AG317">
            <v>14868</v>
          </cell>
          <cell r="AH317">
            <v>0</v>
          </cell>
          <cell r="AI317">
            <v>1080</v>
          </cell>
          <cell r="AJ317">
            <v>9720</v>
          </cell>
          <cell r="AK317">
            <v>20484</v>
          </cell>
          <cell r="AL317">
            <v>1080</v>
          </cell>
          <cell r="AN317">
            <v>12456</v>
          </cell>
          <cell r="AO317">
            <v>16920</v>
          </cell>
          <cell r="AP317">
            <v>1080</v>
          </cell>
          <cell r="AR317">
            <v>1080</v>
          </cell>
          <cell r="AS317">
            <v>1080</v>
          </cell>
          <cell r="AT317">
            <v>9864</v>
          </cell>
          <cell r="AU317">
            <v>3672</v>
          </cell>
          <cell r="AV317">
            <v>7416</v>
          </cell>
          <cell r="AW317">
            <v>14418</v>
          </cell>
          <cell r="AX317">
            <v>20160</v>
          </cell>
          <cell r="AY317">
            <v>10080</v>
          </cell>
          <cell r="AZ317">
            <v>16200</v>
          </cell>
          <cell r="BA317">
            <v>6840</v>
          </cell>
          <cell r="BB317">
            <v>30852</v>
          </cell>
          <cell r="BC317">
            <v>13284</v>
          </cell>
          <cell r="BD317">
            <v>31788</v>
          </cell>
          <cell r="BE317">
            <v>26532</v>
          </cell>
          <cell r="BF317">
            <v>20067</v>
          </cell>
          <cell r="BG317">
            <v>2520</v>
          </cell>
          <cell r="BI317">
            <v>16344</v>
          </cell>
          <cell r="BJ317">
            <v>17496</v>
          </cell>
          <cell r="BK317">
            <v>21888</v>
          </cell>
          <cell r="BL317">
            <v>7524</v>
          </cell>
          <cell r="BM317">
            <v>13680</v>
          </cell>
          <cell r="BN317">
            <v>3240</v>
          </cell>
          <cell r="BO317">
            <v>13068</v>
          </cell>
          <cell r="BQ317">
            <v>10380</v>
          </cell>
          <cell r="BR317">
            <v>20664</v>
          </cell>
          <cell r="BS317">
            <v>14976</v>
          </cell>
          <cell r="BT317">
            <v>14364</v>
          </cell>
          <cell r="BU317">
            <v>10224</v>
          </cell>
          <cell r="BV317">
            <v>21780</v>
          </cell>
          <cell r="BW317">
            <v>20684</v>
          </cell>
          <cell r="BX317">
            <v>4788</v>
          </cell>
          <cell r="BY317">
            <v>13572</v>
          </cell>
          <cell r="CA317">
            <v>11448</v>
          </cell>
          <cell r="CB317">
            <v>24012</v>
          </cell>
          <cell r="CC317">
            <v>6984</v>
          </cell>
          <cell r="CD317">
            <v>10908</v>
          </cell>
          <cell r="CF317">
            <v>1836</v>
          </cell>
          <cell r="CG317">
            <v>2576</v>
          </cell>
          <cell r="CH317">
            <v>4128</v>
          </cell>
          <cell r="CI317">
            <v>4356</v>
          </cell>
          <cell r="CJ317">
            <v>6876</v>
          </cell>
          <cell r="CK317">
            <v>9288</v>
          </cell>
          <cell r="CL317">
            <v>7200</v>
          </cell>
          <cell r="CM317">
            <v>10800</v>
          </cell>
          <cell r="CN317">
            <v>12060</v>
          </cell>
          <cell r="CO317">
            <v>4380</v>
          </cell>
          <cell r="CP317">
            <v>12420</v>
          </cell>
          <cell r="CQ317">
            <v>18684</v>
          </cell>
          <cell r="CR317">
            <v>15408</v>
          </cell>
          <cell r="CS317">
            <v>4644</v>
          </cell>
          <cell r="CT317">
            <v>9576</v>
          </cell>
          <cell r="CU317">
            <v>16884</v>
          </cell>
          <cell r="CV317">
            <v>15696</v>
          </cell>
          <cell r="CW317">
            <v>15192</v>
          </cell>
          <cell r="CX317">
            <v>12636</v>
          </cell>
          <cell r="CY317">
            <v>18216</v>
          </cell>
          <cell r="CZ317">
            <v>23868</v>
          </cell>
          <cell r="DA317">
            <v>25560</v>
          </cell>
          <cell r="DB317">
            <v>19512</v>
          </cell>
          <cell r="DC317">
            <v>14904</v>
          </cell>
          <cell r="DD317">
            <v>7416</v>
          </cell>
          <cell r="DE317">
            <v>22572</v>
          </cell>
          <cell r="DF317">
            <v>23040</v>
          </cell>
          <cell r="DG317">
            <v>20052</v>
          </cell>
          <cell r="DH317">
            <v>15408</v>
          </cell>
          <cell r="DI317">
            <v>2304</v>
          </cell>
          <cell r="DJ317">
            <v>39708</v>
          </cell>
          <cell r="DK317">
            <v>37872</v>
          </cell>
          <cell r="DL317">
            <v>28908</v>
          </cell>
          <cell r="DM317">
            <v>2988</v>
          </cell>
          <cell r="DN317">
            <v>936</v>
          </cell>
          <cell r="DO317">
            <v>1368</v>
          </cell>
          <cell r="DP317">
            <v>13968</v>
          </cell>
          <cell r="DQ317">
            <v>1548</v>
          </cell>
          <cell r="DR317">
            <v>10368</v>
          </cell>
          <cell r="DS317">
            <v>8676</v>
          </cell>
          <cell r="DT317">
            <v>11520</v>
          </cell>
          <cell r="DU317">
            <v>6912</v>
          </cell>
          <cell r="DV317">
            <v>24192</v>
          </cell>
          <cell r="DW317">
            <v>22608</v>
          </cell>
          <cell r="DX317">
            <v>15876</v>
          </cell>
          <cell r="DY317">
            <v>42876</v>
          </cell>
          <cell r="DZ317">
            <v>9072</v>
          </cell>
          <cell r="EB317">
            <v>10800</v>
          </cell>
          <cell r="EC317">
            <v>3996</v>
          </cell>
          <cell r="ED317">
            <v>12060</v>
          </cell>
          <cell r="EE317">
            <v>4392</v>
          </cell>
          <cell r="EF317">
            <v>12420</v>
          </cell>
          <cell r="EG317">
            <v>396</v>
          </cell>
          <cell r="EH317" t="str">
            <v>ACTIVO</v>
          </cell>
          <cell r="EI317" t="str">
            <v>A</v>
          </cell>
          <cell r="EJ317">
            <v>864</v>
          </cell>
          <cell r="EK317">
            <v>13573.5</v>
          </cell>
          <cell r="EL317">
            <v>2262.25</v>
          </cell>
        </row>
        <row r="318">
          <cell r="F318">
            <v>405577</v>
          </cell>
          <cell r="G318" t="str">
            <v>INSUMO INTERPLANTA BIZCOCHO TIPO TRES LECHES 19 CM.</v>
          </cell>
          <cell r="CP318">
            <v>780</v>
          </cell>
          <cell r="CQ318">
            <v>765</v>
          </cell>
          <cell r="CR318">
            <v>1110</v>
          </cell>
          <cell r="CS318">
            <v>210</v>
          </cell>
          <cell r="CT318">
            <v>1647</v>
          </cell>
          <cell r="CU318">
            <v>852</v>
          </cell>
          <cell r="CV318">
            <v>855</v>
          </cell>
          <cell r="CW318">
            <v>1004</v>
          </cell>
          <cell r="CX318">
            <v>1050</v>
          </cell>
          <cell r="CY318">
            <v>1170</v>
          </cell>
          <cell r="CZ318">
            <v>998</v>
          </cell>
          <cell r="DA318">
            <v>1005</v>
          </cell>
          <cell r="DB318">
            <v>723</v>
          </cell>
          <cell r="DC318">
            <v>1335</v>
          </cell>
          <cell r="DD318">
            <v>1083</v>
          </cell>
          <cell r="DE318">
            <v>569</v>
          </cell>
          <cell r="DF318">
            <v>526</v>
          </cell>
          <cell r="DG318">
            <v>315</v>
          </cell>
          <cell r="DH318">
            <v>405</v>
          </cell>
          <cell r="DI318">
            <v>120</v>
          </cell>
          <cell r="DJ318">
            <v>450</v>
          </cell>
          <cell r="DK318">
            <v>1340</v>
          </cell>
          <cell r="DL318">
            <v>975</v>
          </cell>
          <cell r="DM318">
            <v>1125</v>
          </cell>
          <cell r="DN318">
            <v>900</v>
          </cell>
          <cell r="DO318">
            <v>1005</v>
          </cell>
          <cell r="DP318">
            <v>820</v>
          </cell>
          <cell r="DQ318">
            <v>1110</v>
          </cell>
          <cell r="DR318">
            <v>1095</v>
          </cell>
          <cell r="DS318">
            <v>1035</v>
          </cell>
          <cell r="DT318">
            <v>1225</v>
          </cell>
          <cell r="DU318">
            <v>1020</v>
          </cell>
          <cell r="DV318">
            <v>960</v>
          </cell>
          <cell r="DW318">
            <v>1260</v>
          </cell>
          <cell r="DX318">
            <v>1305</v>
          </cell>
          <cell r="DY318">
            <v>1440</v>
          </cell>
          <cell r="DZ318">
            <v>2009</v>
          </cell>
          <cell r="EA318">
            <v>2085</v>
          </cell>
          <cell r="EB318">
            <v>1635</v>
          </cell>
          <cell r="EC318">
            <v>1725</v>
          </cell>
          <cell r="ED318">
            <v>1470</v>
          </cell>
          <cell r="EE318">
            <v>975</v>
          </cell>
          <cell r="EF318">
            <v>945</v>
          </cell>
          <cell r="EG318">
            <v>1590</v>
          </cell>
          <cell r="EH318" t="str">
            <v>ACTIVO</v>
          </cell>
          <cell r="EI318" t="str">
            <v>B</v>
          </cell>
          <cell r="EJ318" t="str">
            <v/>
          </cell>
          <cell r="EK318">
            <v>1184.76</v>
          </cell>
          <cell r="EL318">
            <v>197.46</v>
          </cell>
        </row>
        <row r="319">
          <cell r="F319">
            <v>107321</v>
          </cell>
          <cell r="G319" t="str">
            <v>MERENGUE CONGELABLE PURATOS</v>
          </cell>
          <cell r="AD319">
            <v>1500</v>
          </cell>
          <cell r="EH319" t="str">
            <v>SIN USO</v>
          </cell>
          <cell r="EI319" t="str">
            <v/>
          </cell>
          <cell r="EJ319" t="str">
            <v/>
          </cell>
          <cell r="EK319">
            <v>0</v>
          </cell>
          <cell r="EL319">
            <v>0</v>
          </cell>
        </row>
        <row r="320">
          <cell r="F320">
            <v>353001</v>
          </cell>
          <cell r="G320" t="str">
            <v>INSUMO SEMI-ELABORADO INTERPLANTA BIZCOCHO VAINILLA 19cm</v>
          </cell>
          <cell r="H320">
            <v>12510</v>
          </cell>
          <cell r="I320">
            <v>9826</v>
          </cell>
          <cell r="J320">
            <v>12870</v>
          </cell>
          <cell r="K320">
            <v>16554</v>
          </cell>
          <cell r="L320">
            <v>15354</v>
          </cell>
          <cell r="M320">
            <v>12222</v>
          </cell>
          <cell r="N320">
            <v>12708</v>
          </cell>
          <cell r="O320">
            <v>14310</v>
          </cell>
          <cell r="P320">
            <v>11196</v>
          </cell>
          <cell r="Q320">
            <v>10278</v>
          </cell>
          <cell r="R320">
            <v>12744</v>
          </cell>
          <cell r="S320">
            <v>5172</v>
          </cell>
          <cell r="T320">
            <v>9036.6919999999991</v>
          </cell>
          <cell r="U320">
            <v>14724</v>
          </cell>
          <cell r="V320">
            <v>15930</v>
          </cell>
          <cell r="W320">
            <v>13266</v>
          </cell>
          <cell r="X320">
            <v>12186</v>
          </cell>
          <cell r="Y320">
            <v>15066</v>
          </cell>
          <cell r="Z320">
            <v>19134</v>
          </cell>
          <cell r="AA320">
            <v>16164</v>
          </cell>
          <cell r="AB320">
            <v>15300</v>
          </cell>
          <cell r="AC320">
            <v>13752</v>
          </cell>
          <cell r="AD320">
            <v>11930</v>
          </cell>
          <cell r="AE320">
            <v>11232</v>
          </cell>
          <cell r="AF320">
            <v>13788</v>
          </cell>
          <cell r="AG320">
            <v>14202</v>
          </cell>
          <cell r="AH320">
            <v>13500</v>
          </cell>
          <cell r="AI320">
            <v>11646</v>
          </cell>
          <cell r="AJ320">
            <v>12510</v>
          </cell>
          <cell r="AK320">
            <v>12420</v>
          </cell>
          <cell r="AL320">
            <v>12924</v>
          </cell>
          <cell r="AM320">
            <v>16200</v>
          </cell>
          <cell r="AN320">
            <v>13590</v>
          </cell>
          <cell r="AO320">
            <v>11466</v>
          </cell>
          <cell r="AP320">
            <v>12636</v>
          </cell>
          <cell r="AQ320">
            <v>13842</v>
          </cell>
          <cell r="AR320">
            <v>12438</v>
          </cell>
          <cell r="AS320">
            <v>7092</v>
          </cell>
          <cell r="AT320">
            <v>14220</v>
          </cell>
          <cell r="AU320">
            <v>12726</v>
          </cell>
          <cell r="AV320">
            <v>15372</v>
          </cell>
          <cell r="AW320">
            <v>8280</v>
          </cell>
          <cell r="AX320">
            <v>17770</v>
          </cell>
          <cell r="AY320">
            <v>15210</v>
          </cell>
          <cell r="AZ320">
            <v>9702</v>
          </cell>
          <cell r="BA320">
            <v>17064</v>
          </cell>
          <cell r="BB320">
            <v>13320</v>
          </cell>
          <cell r="BC320">
            <v>14274</v>
          </cell>
          <cell r="BD320">
            <v>17262</v>
          </cell>
          <cell r="BE320">
            <v>10134</v>
          </cell>
          <cell r="BF320">
            <v>13464</v>
          </cell>
          <cell r="BG320">
            <v>14174</v>
          </cell>
          <cell r="BH320">
            <v>3528</v>
          </cell>
          <cell r="BI320">
            <v>4230</v>
          </cell>
          <cell r="BJ320">
            <v>9756</v>
          </cell>
          <cell r="BK320">
            <v>17581</v>
          </cell>
          <cell r="BL320">
            <v>9738</v>
          </cell>
          <cell r="BM320">
            <v>18108</v>
          </cell>
          <cell r="BN320">
            <v>8280</v>
          </cell>
          <cell r="BO320">
            <v>9498</v>
          </cell>
          <cell r="BP320">
            <v>7632</v>
          </cell>
          <cell r="BQ320">
            <v>14162</v>
          </cell>
          <cell r="BR320">
            <v>11173</v>
          </cell>
          <cell r="BS320">
            <v>5764</v>
          </cell>
          <cell r="BT320">
            <v>17028</v>
          </cell>
          <cell r="BU320">
            <v>5922</v>
          </cell>
          <cell r="BV320">
            <v>10962</v>
          </cell>
          <cell r="BW320">
            <v>16164</v>
          </cell>
          <cell r="BX320">
            <v>7650</v>
          </cell>
          <cell r="BY320">
            <v>13494</v>
          </cell>
          <cell r="BZ320">
            <v>18510</v>
          </cell>
          <cell r="CA320">
            <v>15354</v>
          </cell>
          <cell r="CB320">
            <v>19044</v>
          </cell>
          <cell r="CC320">
            <v>13248</v>
          </cell>
          <cell r="CD320">
            <v>10638</v>
          </cell>
          <cell r="CE320">
            <v>11880</v>
          </cell>
          <cell r="CF320">
            <v>13284</v>
          </cell>
          <cell r="CG320">
            <v>16024</v>
          </cell>
          <cell r="CH320">
            <v>5130</v>
          </cell>
          <cell r="CI320">
            <v>9648</v>
          </cell>
          <cell r="CJ320">
            <v>9090</v>
          </cell>
          <cell r="CK320">
            <v>10026</v>
          </cell>
          <cell r="CL320">
            <v>11988</v>
          </cell>
          <cell r="CM320">
            <v>14292</v>
          </cell>
          <cell r="CN320">
            <v>13894</v>
          </cell>
          <cell r="CO320">
            <v>15192</v>
          </cell>
          <cell r="CP320">
            <v>7866</v>
          </cell>
          <cell r="CQ320">
            <v>10890</v>
          </cell>
          <cell r="CR320">
            <v>20124</v>
          </cell>
          <cell r="CS320">
            <v>8460</v>
          </cell>
          <cell r="CT320">
            <v>10563</v>
          </cell>
          <cell r="CU320">
            <v>9666</v>
          </cell>
          <cell r="CV320">
            <v>13626</v>
          </cell>
          <cell r="CW320">
            <v>17658</v>
          </cell>
          <cell r="CX320">
            <v>12782</v>
          </cell>
          <cell r="CY320">
            <v>13500</v>
          </cell>
          <cell r="CZ320">
            <v>8406</v>
          </cell>
          <cell r="DA320">
            <v>10566</v>
          </cell>
          <cell r="DB320">
            <v>9630</v>
          </cell>
          <cell r="DC320">
            <v>14130</v>
          </cell>
          <cell r="DD320">
            <v>8190</v>
          </cell>
          <cell r="DE320">
            <v>7722</v>
          </cell>
          <cell r="DF320">
            <v>14221</v>
          </cell>
          <cell r="DG320">
            <v>7021</v>
          </cell>
          <cell r="DH320">
            <v>3438</v>
          </cell>
          <cell r="DI320">
            <v>3060</v>
          </cell>
          <cell r="DJ320">
            <v>11466</v>
          </cell>
          <cell r="DK320">
            <v>12366</v>
          </cell>
          <cell r="DL320">
            <v>8892</v>
          </cell>
          <cell r="DM320">
            <v>18900</v>
          </cell>
          <cell r="DN320">
            <v>12888</v>
          </cell>
          <cell r="DO320">
            <v>13662</v>
          </cell>
          <cell r="DP320">
            <v>6534</v>
          </cell>
          <cell r="DQ320">
            <v>8838</v>
          </cell>
          <cell r="DR320">
            <v>9169</v>
          </cell>
          <cell r="DS320">
            <v>14706</v>
          </cell>
          <cell r="DT320">
            <v>15336</v>
          </cell>
          <cell r="DU320">
            <v>9914</v>
          </cell>
          <cell r="DV320">
            <v>11538</v>
          </cell>
          <cell r="DW320">
            <v>5508</v>
          </cell>
          <cell r="DX320">
            <v>13681</v>
          </cell>
          <cell r="DY320">
            <v>24570</v>
          </cell>
          <cell r="DZ320">
            <v>11142</v>
          </cell>
          <cell r="EA320">
            <v>8694</v>
          </cell>
          <cell r="EB320">
            <v>14742</v>
          </cell>
          <cell r="EC320">
            <v>15678</v>
          </cell>
          <cell r="ED320">
            <v>5436</v>
          </cell>
          <cell r="EE320">
            <v>13878</v>
          </cell>
          <cell r="EF320">
            <v>11466</v>
          </cell>
          <cell r="EG320">
            <v>17622</v>
          </cell>
          <cell r="EH320" t="str">
            <v>ACTIVO</v>
          </cell>
          <cell r="EI320" t="str">
            <v>A</v>
          </cell>
          <cell r="EJ320">
            <v>540</v>
          </cell>
          <cell r="EK320">
            <v>11987.44</v>
          </cell>
          <cell r="EL320">
            <v>1997.9066666666668</v>
          </cell>
        </row>
        <row r="321">
          <cell r="F321">
            <v>353009</v>
          </cell>
          <cell r="G321" t="str">
            <v>DISCO PANQUEQUE VAINILLA 19 CM. SEMI ELABORADO UND</v>
          </cell>
          <cell r="H321">
            <v>73800</v>
          </cell>
          <cell r="I321">
            <v>56016</v>
          </cell>
          <cell r="J321">
            <v>105624</v>
          </cell>
          <cell r="K321">
            <v>97848</v>
          </cell>
          <cell r="L321">
            <v>77022</v>
          </cell>
          <cell r="M321">
            <v>70704</v>
          </cell>
          <cell r="N321">
            <v>64080</v>
          </cell>
          <cell r="O321">
            <v>48168</v>
          </cell>
          <cell r="P321">
            <v>80424</v>
          </cell>
          <cell r="Q321">
            <v>58392</v>
          </cell>
          <cell r="R321">
            <v>64800</v>
          </cell>
          <cell r="S321">
            <v>40248</v>
          </cell>
          <cell r="T321">
            <v>57744</v>
          </cell>
          <cell r="U321">
            <v>71352</v>
          </cell>
          <cell r="V321">
            <v>58608</v>
          </cell>
          <cell r="W321">
            <v>75600</v>
          </cell>
          <cell r="X321">
            <v>106128</v>
          </cell>
          <cell r="Y321">
            <v>53928</v>
          </cell>
          <cell r="Z321">
            <v>39240</v>
          </cell>
          <cell r="AA321">
            <v>68976</v>
          </cell>
          <cell r="AB321">
            <v>65664</v>
          </cell>
          <cell r="AC321">
            <v>71568</v>
          </cell>
          <cell r="AD321">
            <v>73296</v>
          </cell>
          <cell r="AE321">
            <v>65880</v>
          </cell>
          <cell r="AF321">
            <v>75384</v>
          </cell>
          <cell r="AG321">
            <v>69624</v>
          </cell>
          <cell r="AH321">
            <v>74448</v>
          </cell>
          <cell r="AI321">
            <v>68688</v>
          </cell>
          <cell r="AJ321">
            <v>58464</v>
          </cell>
          <cell r="AK321">
            <v>52488</v>
          </cell>
          <cell r="AL321">
            <v>69336</v>
          </cell>
          <cell r="AM321">
            <v>69480</v>
          </cell>
          <cell r="AN321">
            <v>51408</v>
          </cell>
          <cell r="AO321">
            <v>58248</v>
          </cell>
          <cell r="AP321">
            <v>62496</v>
          </cell>
          <cell r="AQ321">
            <v>67536</v>
          </cell>
          <cell r="AR321">
            <v>63504</v>
          </cell>
          <cell r="AS321">
            <v>46440</v>
          </cell>
          <cell r="AT321">
            <v>42048</v>
          </cell>
          <cell r="AU321">
            <v>45144</v>
          </cell>
          <cell r="AV321">
            <v>67032</v>
          </cell>
          <cell r="AW321">
            <v>72504</v>
          </cell>
          <cell r="AX321">
            <v>78768</v>
          </cell>
          <cell r="AY321">
            <v>78768</v>
          </cell>
          <cell r="AZ321">
            <v>42552</v>
          </cell>
          <cell r="BA321">
            <v>42840</v>
          </cell>
          <cell r="BB321">
            <v>87696</v>
          </cell>
          <cell r="BC321">
            <v>42408</v>
          </cell>
          <cell r="BD321">
            <v>47232</v>
          </cell>
          <cell r="BE321">
            <v>64512</v>
          </cell>
          <cell r="BF321">
            <v>57744</v>
          </cell>
          <cell r="BG321">
            <v>63720</v>
          </cell>
          <cell r="BH321">
            <v>23616</v>
          </cell>
          <cell r="BI321">
            <v>35496</v>
          </cell>
          <cell r="BJ321">
            <v>55440</v>
          </cell>
          <cell r="BK321">
            <v>99603</v>
          </cell>
          <cell r="BL321">
            <v>83448</v>
          </cell>
          <cell r="BM321">
            <v>65232</v>
          </cell>
          <cell r="BN321">
            <v>74017</v>
          </cell>
          <cell r="BO321">
            <v>88704</v>
          </cell>
          <cell r="BP321">
            <v>35712</v>
          </cell>
          <cell r="BQ321">
            <v>39960</v>
          </cell>
          <cell r="BR321">
            <v>71424</v>
          </cell>
          <cell r="BS321">
            <v>96048</v>
          </cell>
          <cell r="BT321">
            <v>97272</v>
          </cell>
          <cell r="BU321">
            <v>30762</v>
          </cell>
          <cell r="BV321">
            <v>45792</v>
          </cell>
          <cell r="BW321">
            <v>55944</v>
          </cell>
          <cell r="BX321">
            <v>88632</v>
          </cell>
          <cell r="BY321">
            <v>71208</v>
          </cell>
          <cell r="BZ321">
            <v>33192</v>
          </cell>
          <cell r="CA321">
            <v>29736</v>
          </cell>
          <cell r="CB321">
            <v>81576</v>
          </cell>
          <cell r="CC321">
            <v>61560</v>
          </cell>
          <cell r="CD321">
            <v>45792</v>
          </cell>
          <cell r="CE321">
            <v>25416</v>
          </cell>
          <cell r="CF321">
            <v>34200</v>
          </cell>
          <cell r="CG321">
            <v>50400</v>
          </cell>
          <cell r="CH321">
            <v>29880</v>
          </cell>
          <cell r="CI321">
            <v>80856</v>
          </cell>
          <cell r="CJ321">
            <v>22370</v>
          </cell>
          <cell r="CK321">
            <v>79776</v>
          </cell>
          <cell r="CL321">
            <v>47520</v>
          </cell>
          <cell r="CM321">
            <v>62748</v>
          </cell>
          <cell r="CN321">
            <v>79128</v>
          </cell>
          <cell r="CO321">
            <v>54576</v>
          </cell>
          <cell r="CP321">
            <v>81900</v>
          </cell>
          <cell r="CQ321">
            <v>74808</v>
          </cell>
          <cell r="CR321">
            <v>78192</v>
          </cell>
          <cell r="CS321">
            <v>47520</v>
          </cell>
          <cell r="CT321">
            <v>62352</v>
          </cell>
          <cell r="CU321">
            <v>25992</v>
          </cell>
          <cell r="CV321">
            <v>64368</v>
          </cell>
          <cell r="CW321">
            <v>36504</v>
          </cell>
          <cell r="CX321">
            <v>94536</v>
          </cell>
          <cell r="CY321">
            <v>30024</v>
          </cell>
          <cell r="CZ321">
            <v>68400</v>
          </cell>
          <cell r="DA321">
            <v>102816</v>
          </cell>
          <cell r="DB321">
            <v>77112</v>
          </cell>
          <cell r="DC321">
            <v>57726</v>
          </cell>
          <cell r="DD321">
            <v>14832</v>
          </cell>
          <cell r="DE321">
            <v>38376</v>
          </cell>
          <cell r="DF321">
            <v>35280</v>
          </cell>
          <cell r="DG321">
            <v>17280</v>
          </cell>
          <cell r="DH321">
            <v>7560</v>
          </cell>
          <cell r="DI321">
            <v>10512</v>
          </cell>
          <cell r="DJ321">
            <v>62064</v>
          </cell>
          <cell r="DK321">
            <v>74664</v>
          </cell>
          <cell r="DL321">
            <v>58176</v>
          </cell>
          <cell r="DM321">
            <v>86184</v>
          </cell>
          <cell r="DN321">
            <v>74736</v>
          </cell>
          <cell r="DO321">
            <v>32472</v>
          </cell>
          <cell r="DP321">
            <v>45864</v>
          </cell>
          <cell r="DQ321">
            <v>55008</v>
          </cell>
          <cell r="DR321">
            <v>61632</v>
          </cell>
          <cell r="DS321">
            <v>50096</v>
          </cell>
          <cell r="DT321">
            <v>28944</v>
          </cell>
          <cell r="DU321">
            <v>47068</v>
          </cell>
          <cell r="DV321">
            <v>31464</v>
          </cell>
          <cell r="DW321">
            <v>50544</v>
          </cell>
          <cell r="DX321">
            <v>72504</v>
          </cell>
          <cell r="DY321">
            <v>131544</v>
          </cell>
          <cell r="DZ321">
            <v>38784</v>
          </cell>
          <cell r="EA321">
            <v>19032</v>
          </cell>
          <cell r="EB321">
            <v>79968</v>
          </cell>
          <cell r="EC321">
            <v>54720</v>
          </cell>
          <cell r="ED321">
            <v>63144</v>
          </cell>
          <cell r="EE321">
            <v>45984</v>
          </cell>
          <cell r="EF321">
            <v>53708</v>
          </cell>
          <cell r="EG321">
            <v>57384</v>
          </cell>
          <cell r="EH321" t="str">
            <v>ACTIVO</v>
          </cell>
          <cell r="EI321" t="str">
            <v>A</v>
          </cell>
          <cell r="EJ321">
            <v>2160</v>
          </cell>
          <cell r="EK321">
            <v>55448</v>
          </cell>
          <cell r="EL321">
            <v>9241.3333333333339</v>
          </cell>
        </row>
        <row r="322">
          <cell r="F322">
            <v>362029</v>
          </cell>
          <cell r="G322" t="str">
            <v>PLANCHA DE HOJA  42X36X1 cm (1x12)</v>
          </cell>
          <cell r="H322">
            <v>940</v>
          </cell>
          <cell r="I322">
            <v>1180</v>
          </cell>
          <cell r="J322">
            <v>1412</v>
          </cell>
          <cell r="K322">
            <v>1096</v>
          </cell>
          <cell r="L322">
            <v>1280</v>
          </cell>
          <cell r="M322">
            <v>1696</v>
          </cell>
          <cell r="N322">
            <v>1188</v>
          </cell>
          <cell r="O322">
            <v>1816</v>
          </cell>
          <cell r="P322">
            <v>864</v>
          </cell>
          <cell r="Q322">
            <v>1728</v>
          </cell>
          <cell r="R322">
            <v>1296</v>
          </cell>
          <cell r="S322">
            <v>1296</v>
          </cell>
          <cell r="T322">
            <v>864</v>
          </cell>
          <cell r="U322">
            <v>864</v>
          </cell>
          <cell r="V322">
            <v>1728</v>
          </cell>
          <cell r="W322">
            <v>1108</v>
          </cell>
          <cell r="X322">
            <v>864</v>
          </cell>
          <cell r="Y322">
            <v>864</v>
          </cell>
          <cell r="Z322">
            <v>864</v>
          </cell>
          <cell r="AA322">
            <v>432</v>
          </cell>
          <cell r="AB322">
            <v>1008</v>
          </cell>
          <cell r="AC322">
            <v>1296</v>
          </cell>
          <cell r="AD322">
            <v>1288</v>
          </cell>
          <cell r="AE322">
            <v>432</v>
          </cell>
          <cell r="AF322">
            <v>740</v>
          </cell>
          <cell r="AG322">
            <v>1296</v>
          </cell>
          <cell r="AH322">
            <v>1560</v>
          </cell>
          <cell r="AI322">
            <v>864</v>
          </cell>
          <cell r="AJ322">
            <v>1296</v>
          </cell>
          <cell r="AK322">
            <v>996</v>
          </cell>
          <cell r="AL322">
            <v>900</v>
          </cell>
          <cell r="AM322">
            <v>844</v>
          </cell>
          <cell r="AN322">
            <v>1320</v>
          </cell>
          <cell r="AO322">
            <v>1138</v>
          </cell>
          <cell r="AP322">
            <v>888</v>
          </cell>
          <cell r="AQ322">
            <v>900</v>
          </cell>
          <cell r="AR322">
            <v>736</v>
          </cell>
          <cell r="AT322">
            <v>1356</v>
          </cell>
          <cell r="AU322">
            <v>756</v>
          </cell>
          <cell r="AV322">
            <v>310</v>
          </cell>
          <cell r="BK322">
            <v>904</v>
          </cell>
          <cell r="CG322">
            <v>1296</v>
          </cell>
          <cell r="CX322">
            <v>432</v>
          </cell>
          <cell r="DQ322">
            <v>444</v>
          </cell>
          <cell r="DR322">
            <v>444</v>
          </cell>
          <cell r="DV322">
            <v>444</v>
          </cell>
          <cell r="EB322">
            <v>900</v>
          </cell>
          <cell r="EC322">
            <v>900</v>
          </cell>
          <cell r="EE322">
            <v>444</v>
          </cell>
          <cell r="EF322">
            <v>432</v>
          </cell>
          <cell r="EH322" t="str">
            <v>ACTIVO</v>
          </cell>
          <cell r="EI322" t="str">
            <v>C</v>
          </cell>
          <cell r="EJ322" t="str">
            <v/>
          </cell>
          <cell r="EK322">
            <v>572.57142857142856</v>
          </cell>
          <cell r="EL322">
            <v>95.428571428571431</v>
          </cell>
        </row>
        <row r="323">
          <cell r="F323">
            <v>362099</v>
          </cell>
          <cell r="G323" t="str">
            <v>GRANA DE HOJA</v>
          </cell>
          <cell r="H323">
            <v>30</v>
          </cell>
          <cell r="I323">
            <v>90</v>
          </cell>
          <cell r="J323">
            <v>135</v>
          </cell>
          <cell r="K323">
            <v>210</v>
          </cell>
          <cell r="L323">
            <v>165</v>
          </cell>
          <cell r="M323">
            <v>195</v>
          </cell>
          <cell r="N323">
            <v>210</v>
          </cell>
          <cell r="O323">
            <v>240</v>
          </cell>
          <cell r="P323">
            <v>120</v>
          </cell>
          <cell r="Y323">
            <v>45</v>
          </cell>
          <cell r="Z323">
            <v>295</v>
          </cell>
          <cell r="AE323">
            <v>310</v>
          </cell>
          <cell r="AF323">
            <v>0</v>
          </cell>
          <cell r="AV323">
            <v>40</v>
          </cell>
          <cell r="AW323">
            <v>90</v>
          </cell>
          <cell r="AX323">
            <v>150</v>
          </cell>
          <cell r="AY323">
            <v>60</v>
          </cell>
          <cell r="BC323">
            <v>95</v>
          </cell>
          <cell r="BD323">
            <v>190</v>
          </cell>
          <cell r="BE323">
            <v>15</v>
          </cell>
          <cell r="BG323">
            <v>60</v>
          </cell>
          <cell r="BL323">
            <v>75</v>
          </cell>
          <cell r="BM323">
            <v>135</v>
          </cell>
          <cell r="BN323">
            <v>120</v>
          </cell>
          <cell r="BO323">
            <v>95</v>
          </cell>
          <cell r="BP323">
            <v>45</v>
          </cell>
          <cell r="BQ323">
            <v>135</v>
          </cell>
          <cell r="BR323">
            <v>80</v>
          </cell>
          <cell r="BS323">
            <v>45</v>
          </cell>
          <cell r="BT323">
            <v>60</v>
          </cell>
          <cell r="BU323">
            <v>15</v>
          </cell>
          <cell r="BV323">
            <v>90</v>
          </cell>
          <cell r="BW323">
            <v>115</v>
          </cell>
          <cell r="BX323">
            <v>80</v>
          </cell>
          <cell r="DE323">
            <v>135</v>
          </cell>
          <cell r="DF323">
            <v>88</v>
          </cell>
          <cell r="DO323">
            <v>250</v>
          </cell>
          <cell r="DP323">
            <v>200</v>
          </cell>
          <cell r="DQ323">
            <v>98.25</v>
          </cell>
          <cell r="DV323">
            <v>147.9</v>
          </cell>
          <cell r="DW323">
            <v>182.9</v>
          </cell>
          <cell r="DX323">
            <v>67</v>
          </cell>
          <cell r="EH323" t="str">
            <v>ACTIVO</v>
          </cell>
          <cell r="EI323" t="str">
            <v>C</v>
          </cell>
          <cell r="EJ323" t="str">
            <v/>
          </cell>
          <cell r="EK323">
            <v>157.67499999999998</v>
          </cell>
          <cell r="EL323">
            <v>26.279166666666665</v>
          </cell>
        </row>
        <row r="324">
          <cell r="F324">
            <v>362105</v>
          </cell>
          <cell r="G324" t="str">
            <v>HOJARASCA 19 CMS. PAVESI</v>
          </cell>
          <cell r="H324">
            <v>52380</v>
          </cell>
          <cell r="I324">
            <v>23652</v>
          </cell>
          <cell r="J324">
            <v>25812</v>
          </cell>
          <cell r="K324">
            <v>26784</v>
          </cell>
          <cell r="L324">
            <v>24354</v>
          </cell>
          <cell r="M324">
            <v>35802</v>
          </cell>
          <cell r="N324">
            <v>35532</v>
          </cell>
          <cell r="O324">
            <v>34128</v>
          </cell>
          <cell r="P324">
            <v>38664</v>
          </cell>
          <cell r="Q324">
            <v>39528</v>
          </cell>
          <cell r="R324">
            <v>45684</v>
          </cell>
          <cell r="S324">
            <v>34788</v>
          </cell>
          <cell r="T324">
            <v>37896</v>
          </cell>
          <cell r="U324">
            <v>42120</v>
          </cell>
          <cell r="V324">
            <v>49788</v>
          </cell>
          <cell r="W324">
            <v>51084</v>
          </cell>
          <cell r="X324">
            <v>52164</v>
          </cell>
          <cell r="Y324">
            <v>51948</v>
          </cell>
          <cell r="Z324">
            <v>132742.26</v>
          </cell>
          <cell r="AA324">
            <v>60480</v>
          </cell>
          <cell r="AB324">
            <v>62208</v>
          </cell>
          <cell r="AC324">
            <v>68256</v>
          </cell>
          <cell r="AD324">
            <v>68364</v>
          </cell>
          <cell r="AE324">
            <v>118044</v>
          </cell>
          <cell r="AF324">
            <v>70416</v>
          </cell>
          <cell r="AG324">
            <v>74196</v>
          </cell>
          <cell r="AH324">
            <v>76356</v>
          </cell>
          <cell r="AI324">
            <v>87588</v>
          </cell>
          <cell r="AJ324">
            <v>96552</v>
          </cell>
          <cell r="AK324">
            <v>89100</v>
          </cell>
          <cell r="AL324">
            <v>96336</v>
          </cell>
          <cell r="AM324">
            <v>102168</v>
          </cell>
          <cell r="AN324">
            <v>88776</v>
          </cell>
          <cell r="AO324">
            <v>93744</v>
          </cell>
          <cell r="AP324">
            <v>96228</v>
          </cell>
          <cell r="AQ324">
            <v>102492</v>
          </cell>
          <cell r="AR324">
            <v>100764</v>
          </cell>
          <cell r="AS324">
            <v>33264</v>
          </cell>
          <cell r="AT324">
            <v>115128</v>
          </cell>
          <cell r="AU324">
            <v>116532</v>
          </cell>
          <cell r="AV324">
            <v>100872</v>
          </cell>
          <cell r="AW324">
            <v>79857</v>
          </cell>
          <cell r="AX324">
            <v>119124</v>
          </cell>
          <cell r="AY324">
            <v>81880.524000000005</v>
          </cell>
          <cell r="AZ324">
            <v>120636</v>
          </cell>
          <cell r="BA324">
            <v>128844</v>
          </cell>
          <cell r="BB324">
            <v>104328</v>
          </cell>
          <cell r="BC324">
            <v>113832</v>
          </cell>
          <cell r="BD324">
            <v>110214</v>
          </cell>
          <cell r="BE324">
            <v>90288</v>
          </cell>
          <cell r="BF324">
            <v>105778</v>
          </cell>
          <cell r="BG324">
            <v>180476</v>
          </cell>
          <cell r="BH324">
            <v>58644</v>
          </cell>
          <cell r="BI324">
            <v>113832</v>
          </cell>
          <cell r="BJ324">
            <v>83052</v>
          </cell>
          <cell r="BK324">
            <v>112968</v>
          </cell>
          <cell r="BL324">
            <v>121392</v>
          </cell>
          <cell r="BM324">
            <v>114588</v>
          </cell>
          <cell r="BN324">
            <v>129708</v>
          </cell>
          <cell r="BO324">
            <v>90504</v>
          </cell>
          <cell r="BP324">
            <v>113940</v>
          </cell>
          <cell r="BQ324">
            <v>109188</v>
          </cell>
          <cell r="BR324">
            <v>132624</v>
          </cell>
          <cell r="BS324">
            <v>100980</v>
          </cell>
          <cell r="BT324">
            <v>116100</v>
          </cell>
          <cell r="BU324">
            <v>121500</v>
          </cell>
          <cell r="BV324">
            <v>108864</v>
          </cell>
          <cell r="BW324">
            <v>115776</v>
          </cell>
          <cell r="BX324">
            <v>110160</v>
          </cell>
          <cell r="BY324">
            <v>140076</v>
          </cell>
          <cell r="BZ324">
            <v>188568</v>
          </cell>
          <cell r="CA324">
            <v>108648</v>
          </cell>
          <cell r="CB324">
            <v>106920</v>
          </cell>
          <cell r="CC324">
            <v>106488</v>
          </cell>
          <cell r="CD324">
            <v>102924</v>
          </cell>
          <cell r="CE324">
            <v>217080</v>
          </cell>
          <cell r="CF324">
            <v>97524</v>
          </cell>
          <cell r="CG324">
            <v>115344</v>
          </cell>
          <cell r="CH324">
            <v>102816</v>
          </cell>
          <cell r="CI324">
            <v>114480</v>
          </cell>
          <cell r="CJ324">
            <v>108540</v>
          </cell>
          <cell r="CK324">
            <v>108000</v>
          </cell>
          <cell r="CL324">
            <v>109404</v>
          </cell>
          <cell r="CM324">
            <v>106056</v>
          </cell>
          <cell r="CN324">
            <v>151408</v>
          </cell>
          <cell r="CO324">
            <v>104760</v>
          </cell>
          <cell r="CP324">
            <v>120204</v>
          </cell>
          <cell r="CQ324">
            <v>111996</v>
          </cell>
          <cell r="CR324">
            <v>126468</v>
          </cell>
          <cell r="CS324">
            <v>59076</v>
          </cell>
          <cell r="CT324">
            <v>115668</v>
          </cell>
          <cell r="CU324">
            <v>103356</v>
          </cell>
          <cell r="CV324">
            <v>101196</v>
          </cell>
          <cell r="CW324">
            <v>103572</v>
          </cell>
          <cell r="CX324">
            <v>109944</v>
          </cell>
          <cell r="CY324">
            <v>85968</v>
          </cell>
          <cell r="CZ324">
            <v>89964</v>
          </cell>
          <cell r="DA324">
            <v>111564</v>
          </cell>
          <cell r="DB324">
            <v>102276</v>
          </cell>
          <cell r="DC324">
            <v>132300</v>
          </cell>
          <cell r="DD324">
            <v>90288</v>
          </cell>
          <cell r="DE324">
            <v>69444</v>
          </cell>
          <cell r="DF324">
            <v>120636</v>
          </cell>
          <cell r="DG324">
            <v>106920</v>
          </cell>
          <cell r="DH324">
            <v>46224</v>
          </cell>
          <cell r="DI324">
            <v>30240</v>
          </cell>
          <cell r="DJ324">
            <v>79056</v>
          </cell>
          <cell r="DK324">
            <v>72468</v>
          </cell>
          <cell r="DL324">
            <v>101520</v>
          </cell>
          <cell r="DM324">
            <v>97524</v>
          </cell>
          <cell r="DN324">
            <v>98496</v>
          </cell>
          <cell r="DO324">
            <v>105516</v>
          </cell>
          <cell r="DP324">
            <v>74304</v>
          </cell>
          <cell r="DQ324">
            <v>92448</v>
          </cell>
          <cell r="DR324">
            <v>84448</v>
          </cell>
          <cell r="DS324">
            <v>99468</v>
          </cell>
          <cell r="DT324">
            <v>81324</v>
          </cell>
          <cell r="DU324">
            <v>110376</v>
          </cell>
          <cell r="DV324">
            <v>106812</v>
          </cell>
          <cell r="DW324">
            <v>127440</v>
          </cell>
          <cell r="DX324">
            <v>121896</v>
          </cell>
          <cell r="DY324">
            <v>125496</v>
          </cell>
          <cell r="DZ324">
            <v>203580</v>
          </cell>
          <cell r="EA324">
            <v>128628</v>
          </cell>
          <cell r="EB324">
            <v>129600</v>
          </cell>
          <cell r="EC324">
            <v>176472</v>
          </cell>
          <cell r="ED324">
            <v>90936</v>
          </cell>
          <cell r="EE324">
            <v>96876</v>
          </cell>
          <cell r="EF324">
            <v>103572</v>
          </cell>
          <cell r="EG324">
            <v>148824</v>
          </cell>
          <cell r="EH324" t="str">
            <v>ACTIVO</v>
          </cell>
          <cell r="EI324" t="str">
            <v>A</v>
          </cell>
          <cell r="EJ324">
            <v>2592</v>
          </cell>
          <cell r="EK324">
            <v>107492.8</v>
          </cell>
          <cell r="EL324">
            <v>17915.466666666667</v>
          </cell>
        </row>
        <row r="325">
          <cell r="F325">
            <v>393040</v>
          </cell>
          <cell r="G325" t="str">
            <v>SUB DISCO HOJA 15 PP</v>
          </cell>
          <cell r="H325">
            <v>48960</v>
          </cell>
          <cell r="I325">
            <v>45900</v>
          </cell>
          <cell r="J325">
            <v>66465</v>
          </cell>
          <cell r="K325">
            <v>35460</v>
          </cell>
          <cell r="L325">
            <v>44775</v>
          </cell>
          <cell r="M325">
            <v>57375</v>
          </cell>
          <cell r="N325">
            <v>48375</v>
          </cell>
          <cell r="O325">
            <v>55260</v>
          </cell>
          <cell r="P325">
            <v>42615</v>
          </cell>
          <cell r="Q325">
            <v>60030</v>
          </cell>
          <cell r="R325">
            <v>42390</v>
          </cell>
          <cell r="S325">
            <v>28125</v>
          </cell>
          <cell r="T325">
            <v>60390</v>
          </cell>
          <cell r="U325">
            <v>35055</v>
          </cell>
          <cell r="V325">
            <v>39960</v>
          </cell>
          <cell r="W325">
            <v>73170</v>
          </cell>
          <cell r="X325">
            <v>65295</v>
          </cell>
          <cell r="Y325">
            <v>73260</v>
          </cell>
          <cell r="Z325">
            <v>56385</v>
          </cell>
          <cell r="AA325">
            <v>43875</v>
          </cell>
          <cell r="AB325">
            <v>49275</v>
          </cell>
          <cell r="AC325">
            <v>63630</v>
          </cell>
          <cell r="AD325">
            <v>89775</v>
          </cell>
          <cell r="AE325">
            <v>45000</v>
          </cell>
          <cell r="AF325">
            <v>50580</v>
          </cell>
          <cell r="AG325">
            <v>44865</v>
          </cell>
          <cell r="AH325">
            <v>44640</v>
          </cell>
          <cell r="AI325">
            <v>49320</v>
          </cell>
          <cell r="AJ325">
            <v>45810</v>
          </cell>
          <cell r="AK325">
            <v>65925</v>
          </cell>
          <cell r="AL325">
            <v>48870</v>
          </cell>
          <cell r="AM325">
            <v>70245</v>
          </cell>
          <cell r="AN325">
            <v>38115</v>
          </cell>
          <cell r="AO325">
            <v>54810</v>
          </cell>
          <cell r="AP325">
            <v>41940</v>
          </cell>
          <cell r="AQ325">
            <v>59265</v>
          </cell>
          <cell r="AR325">
            <v>44415</v>
          </cell>
          <cell r="AS325">
            <v>29880</v>
          </cell>
          <cell r="AT325">
            <v>50985</v>
          </cell>
          <cell r="AU325">
            <v>53010</v>
          </cell>
          <cell r="AV325">
            <v>47475</v>
          </cell>
          <cell r="AW325">
            <v>37980</v>
          </cell>
          <cell r="AX325">
            <v>60210</v>
          </cell>
          <cell r="AY325">
            <v>50175</v>
          </cell>
          <cell r="AZ325">
            <v>36945</v>
          </cell>
          <cell r="BA325">
            <v>76725</v>
          </cell>
          <cell r="BB325">
            <v>42525</v>
          </cell>
          <cell r="BC325">
            <v>72810</v>
          </cell>
          <cell r="BD325">
            <v>32175</v>
          </cell>
          <cell r="BE325">
            <v>20250</v>
          </cell>
          <cell r="BF325">
            <v>32670</v>
          </cell>
          <cell r="BG325">
            <v>23940</v>
          </cell>
          <cell r="BH325">
            <v>12735</v>
          </cell>
          <cell r="BI325">
            <v>45000</v>
          </cell>
          <cell r="BJ325">
            <v>33165</v>
          </cell>
          <cell r="BK325">
            <v>61110</v>
          </cell>
          <cell r="BL325">
            <v>43605</v>
          </cell>
          <cell r="BM325">
            <v>43335</v>
          </cell>
          <cell r="BN325">
            <v>42840</v>
          </cell>
          <cell r="BO325">
            <v>44280</v>
          </cell>
          <cell r="BP325">
            <v>35280</v>
          </cell>
          <cell r="BQ325">
            <v>28800</v>
          </cell>
          <cell r="BR325">
            <v>29385</v>
          </cell>
          <cell r="BS325">
            <v>31455</v>
          </cell>
          <cell r="BT325">
            <v>32850</v>
          </cell>
          <cell r="BU325">
            <v>36180</v>
          </cell>
          <cell r="BV325">
            <v>29070</v>
          </cell>
          <cell r="BW325">
            <v>46845</v>
          </cell>
          <cell r="BX325">
            <v>56295</v>
          </cell>
          <cell r="BY325">
            <v>67770</v>
          </cell>
          <cell r="BZ325">
            <v>77580</v>
          </cell>
          <cell r="CA325">
            <v>43785</v>
          </cell>
          <cell r="CB325">
            <v>40050</v>
          </cell>
          <cell r="CC325">
            <v>48195</v>
          </cell>
          <cell r="CD325">
            <v>59805</v>
          </cell>
          <cell r="CE325">
            <v>67590</v>
          </cell>
          <cell r="CF325">
            <v>32355</v>
          </cell>
          <cell r="CG325">
            <v>61965</v>
          </cell>
          <cell r="CH325">
            <v>43200</v>
          </cell>
          <cell r="CI325">
            <v>34965</v>
          </cell>
          <cell r="CJ325">
            <v>37575</v>
          </cell>
          <cell r="CK325">
            <v>40590</v>
          </cell>
          <cell r="CL325">
            <v>36270</v>
          </cell>
          <cell r="CM325">
            <v>28035</v>
          </cell>
          <cell r="CN325">
            <v>46755</v>
          </cell>
          <cell r="CO325">
            <v>37440</v>
          </cell>
          <cell r="CP325">
            <v>32850</v>
          </cell>
          <cell r="CQ325">
            <v>51030</v>
          </cell>
          <cell r="CR325">
            <v>39690</v>
          </cell>
          <cell r="CS325">
            <v>18405</v>
          </cell>
          <cell r="CT325">
            <v>31320</v>
          </cell>
          <cell r="CU325">
            <v>45180</v>
          </cell>
          <cell r="CV325">
            <v>37345</v>
          </cell>
          <cell r="CW325">
            <v>30745</v>
          </cell>
          <cell r="CX325">
            <v>28800</v>
          </cell>
          <cell r="CY325">
            <v>30105</v>
          </cell>
          <cell r="CZ325">
            <v>41535</v>
          </cell>
          <cell r="DA325">
            <v>41994</v>
          </cell>
          <cell r="DB325">
            <v>38205</v>
          </cell>
          <cell r="DC325">
            <v>43965</v>
          </cell>
          <cell r="DD325">
            <v>33570</v>
          </cell>
          <cell r="DE325">
            <v>23400</v>
          </cell>
          <cell r="DF325">
            <v>54135</v>
          </cell>
          <cell r="DG325">
            <v>39375</v>
          </cell>
          <cell r="DH325">
            <v>8730</v>
          </cell>
          <cell r="DI325">
            <v>14985</v>
          </cell>
          <cell r="DJ325">
            <v>18320</v>
          </cell>
          <cell r="DK325">
            <v>33075</v>
          </cell>
          <cell r="DL325">
            <v>38835</v>
          </cell>
          <cell r="DM325">
            <v>38430</v>
          </cell>
          <cell r="DN325">
            <v>36090</v>
          </cell>
          <cell r="DO325">
            <v>39780</v>
          </cell>
          <cell r="DP325">
            <v>36225</v>
          </cell>
          <cell r="DQ325">
            <v>39150</v>
          </cell>
          <cell r="DR325">
            <v>42840</v>
          </cell>
          <cell r="DS325">
            <v>39915</v>
          </cell>
          <cell r="DT325">
            <v>29160</v>
          </cell>
          <cell r="DU325">
            <v>32130</v>
          </cell>
          <cell r="DV325">
            <v>33885</v>
          </cell>
          <cell r="DW325">
            <v>24165</v>
          </cell>
          <cell r="DX325">
            <v>27090</v>
          </cell>
          <cell r="DY325">
            <v>21465</v>
          </cell>
          <cell r="DZ325">
            <v>28800</v>
          </cell>
          <cell r="EA325">
            <v>54405</v>
          </cell>
          <cell r="EB325">
            <v>34470</v>
          </cell>
          <cell r="EC325">
            <v>29025</v>
          </cell>
          <cell r="ED325">
            <v>22185</v>
          </cell>
          <cell r="EE325">
            <v>24525</v>
          </cell>
          <cell r="EF325">
            <v>21555</v>
          </cell>
          <cell r="EG325">
            <v>36315</v>
          </cell>
          <cell r="EH325" t="str">
            <v>ACTIVO</v>
          </cell>
          <cell r="EI325" t="str">
            <v>A</v>
          </cell>
          <cell r="EJ325">
            <v>1350</v>
          </cell>
          <cell r="EK325">
            <v>31872.799999999999</v>
          </cell>
          <cell r="EL325">
            <v>5312.1333333333332</v>
          </cell>
        </row>
        <row r="326">
          <cell r="F326">
            <v>393222</v>
          </cell>
          <cell r="G326" t="str">
            <v>PLANCHA PANQUEQUE VAINILLA TERCEROS PAVESI</v>
          </cell>
          <cell r="H326">
            <v>600</v>
          </cell>
          <cell r="I326">
            <v>660</v>
          </cell>
          <cell r="J326">
            <v>660</v>
          </cell>
          <cell r="K326">
            <v>720</v>
          </cell>
          <cell r="L326">
            <v>900</v>
          </cell>
          <cell r="M326">
            <v>840</v>
          </cell>
          <cell r="N326">
            <v>680</v>
          </cell>
          <cell r="O326">
            <v>660</v>
          </cell>
          <cell r="P326">
            <v>1060</v>
          </cell>
          <cell r="S326">
            <v>400</v>
          </cell>
          <cell r="EH326" t="str">
            <v>SIN USO</v>
          </cell>
          <cell r="EI326" t="str">
            <v/>
          </cell>
          <cell r="EJ326" t="str">
            <v/>
          </cell>
          <cell r="EK326">
            <v>0</v>
          </cell>
          <cell r="EL326">
            <v>0</v>
          </cell>
        </row>
        <row r="327">
          <cell r="F327">
            <v>393410</v>
          </cell>
          <cell r="G327" t="str">
            <v>DISCO PANQUEQUE CHOCOLATE 16 CM SEMI ELABORADO</v>
          </cell>
          <cell r="K327">
            <v>4732</v>
          </cell>
          <cell r="V327">
            <v>8208</v>
          </cell>
          <cell r="AB327">
            <v>1293</v>
          </cell>
          <cell r="EH327" t="str">
            <v>ACTIVO</v>
          </cell>
          <cell r="EI327" t="str">
            <v/>
          </cell>
          <cell r="EJ327" t="str">
            <v/>
          </cell>
          <cell r="EK327">
            <v>0</v>
          </cell>
          <cell r="EL327">
            <v>0</v>
          </cell>
        </row>
        <row r="328">
          <cell r="F328">
            <v>405340</v>
          </cell>
          <cell r="G328" t="str">
            <v>INSUMO SEMIELABORADO GALLETA OREO MOLIDA</v>
          </cell>
          <cell r="AQ328">
            <v>28</v>
          </cell>
          <cell r="AR328">
            <v>8</v>
          </cell>
          <cell r="AS328">
            <v>16</v>
          </cell>
          <cell r="AT328">
            <v>48</v>
          </cell>
          <cell r="AU328">
            <v>75</v>
          </cell>
          <cell r="AW328">
            <v>80</v>
          </cell>
          <cell r="AY328">
            <v>80</v>
          </cell>
          <cell r="AZ328">
            <v>48</v>
          </cell>
          <cell r="BC328">
            <v>145</v>
          </cell>
          <cell r="BD328">
            <v>50</v>
          </cell>
          <cell r="BE328">
            <v>15</v>
          </cell>
          <cell r="BI328">
            <v>60</v>
          </cell>
          <cell r="BJ328">
            <v>40</v>
          </cell>
          <cell r="BK328">
            <v>140</v>
          </cell>
          <cell r="BL328">
            <v>40</v>
          </cell>
          <cell r="BM328">
            <v>40</v>
          </cell>
          <cell r="BN328">
            <v>20</v>
          </cell>
          <cell r="BO328">
            <v>120</v>
          </cell>
          <cell r="BQ328">
            <v>40</v>
          </cell>
          <cell r="BR328">
            <v>68</v>
          </cell>
          <cell r="BS328">
            <v>40</v>
          </cell>
          <cell r="BT328">
            <v>100</v>
          </cell>
          <cell r="BX328">
            <v>96</v>
          </cell>
          <cell r="CB328">
            <v>20</v>
          </cell>
          <cell r="CC328">
            <v>112</v>
          </cell>
          <cell r="CE328">
            <v>68</v>
          </cell>
          <cell r="CJ328">
            <v>72</v>
          </cell>
          <cell r="CL328">
            <v>30</v>
          </cell>
          <cell r="CM328">
            <v>30</v>
          </cell>
          <cell r="CN328">
            <v>38.049999999999997</v>
          </cell>
          <cell r="CO328">
            <v>8</v>
          </cell>
          <cell r="CP328">
            <v>88</v>
          </cell>
          <cell r="CT328">
            <v>80</v>
          </cell>
          <cell r="CV328">
            <v>20</v>
          </cell>
          <cell r="CW328">
            <v>64</v>
          </cell>
          <cell r="CX328">
            <v>40</v>
          </cell>
          <cell r="CY328">
            <v>40</v>
          </cell>
          <cell r="CZ328">
            <v>20</v>
          </cell>
          <cell r="DA328">
            <v>20</v>
          </cell>
          <cell r="DC328">
            <v>80</v>
          </cell>
          <cell r="DF328">
            <v>60</v>
          </cell>
          <cell r="DJ328">
            <v>79.349999999999994</v>
          </cell>
          <cell r="DL328">
            <v>40</v>
          </cell>
          <cell r="DM328">
            <v>40</v>
          </cell>
          <cell r="DN328">
            <v>50</v>
          </cell>
          <cell r="DO328">
            <v>60</v>
          </cell>
          <cell r="DP328">
            <v>80</v>
          </cell>
          <cell r="DQ328">
            <v>40</v>
          </cell>
          <cell r="DR328">
            <v>11</v>
          </cell>
          <cell r="DS328">
            <v>40</v>
          </cell>
          <cell r="DU328">
            <v>77</v>
          </cell>
          <cell r="DV328">
            <v>11.12</v>
          </cell>
          <cell r="DW328">
            <v>88.88</v>
          </cell>
          <cell r="DY328">
            <v>40.65</v>
          </cell>
          <cell r="EB328">
            <v>40</v>
          </cell>
          <cell r="EC328">
            <v>20</v>
          </cell>
          <cell r="ED328">
            <v>80</v>
          </cell>
          <cell r="EE328">
            <v>20</v>
          </cell>
          <cell r="EF328">
            <v>40</v>
          </cell>
          <cell r="EG328">
            <v>80</v>
          </cell>
          <cell r="EH328" t="str">
            <v>ACTIVO</v>
          </cell>
          <cell r="EI328" t="str">
            <v>C</v>
          </cell>
          <cell r="EK328">
            <v>49.368421052631582</v>
          </cell>
          <cell r="EL328">
            <v>8.2280701754385976</v>
          </cell>
        </row>
        <row r="329">
          <cell r="F329">
            <v>405408</v>
          </cell>
          <cell r="G329" t="str">
            <v>MEDIA HOJARASCA OBERENA</v>
          </cell>
          <cell r="H329">
            <v>198</v>
          </cell>
          <cell r="AT329">
            <v>72</v>
          </cell>
          <cell r="AU329">
            <v>588</v>
          </cell>
          <cell r="AV329">
            <v>1044</v>
          </cell>
          <cell r="AW329">
            <v>342</v>
          </cell>
          <cell r="AX329">
            <v>758</v>
          </cell>
          <cell r="AY329">
            <v>824</v>
          </cell>
          <cell r="AZ329">
            <v>176</v>
          </cell>
          <cell r="BA329">
            <v>650</v>
          </cell>
          <cell r="BB329">
            <v>756</v>
          </cell>
          <cell r="BC329">
            <v>594</v>
          </cell>
          <cell r="BD329">
            <v>400</v>
          </cell>
          <cell r="BE329">
            <v>954</v>
          </cell>
          <cell r="BF329">
            <v>568</v>
          </cell>
          <cell r="BG329">
            <v>450</v>
          </cell>
          <cell r="BH329">
            <v>252</v>
          </cell>
          <cell r="BI329">
            <v>378</v>
          </cell>
          <cell r="BJ329">
            <v>306</v>
          </cell>
          <cell r="BK329">
            <v>522</v>
          </cell>
          <cell r="BL329">
            <v>480</v>
          </cell>
          <cell r="BM329">
            <v>544</v>
          </cell>
          <cell r="BN329">
            <v>558</v>
          </cell>
          <cell r="BO329">
            <v>718</v>
          </cell>
          <cell r="BP329">
            <v>500</v>
          </cell>
          <cell r="BQ329">
            <v>1100</v>
          </cell>
          <cell r="BR329">
            <v>738</v>
          </cell>
          <cell r="BS329">
            <v>396</v>
          </cell>
          <cell r="BT329">
            <v>648</v>
          </cell>
          <cell r="BU329">
            <v>738</v>
          </cell>
          <cell r="BV329">
            <v>734</v>
          </cell>
          <cell r="BW329">
            <v>990</v>
          </cell>
          <cell r="BX329">
            <v>666</v>
          </cell>
          <cell r="BY329">
            <v>720</v>
          </cell>
          <cell r="BZ329">
            <v>162</v>
          </cell>
          <cell r="CA329">
            <v>804</v>
          </cell>
          <cell r="CB329">
            <v>700</v>
          </cell>
          <cell r="CC329">
            <v>600</v>
          </cell>
          <cell r="CD329">
            <v>570</v>
          </cell>
          <cell r="CE329">
            <v>742</v>
          </cell>
          <cell r="CF329">
            <v>540</v>
          </cell>
          <cell r="CG329">
            <v>846</v>
          </cell>
          <cell r="CH329">
            <v>504</v>
          </cell>
          <cell r="CI329">
            <v>630</v>
          </cell>
          <cell r="CJ329">
            <v>720</v>
          </cell>
          <cell r="CK329">
            <v>648</v>
          </cell>
          <cell r="CL329">
            <v>306</v>
          </cell>
          <cell r="CM329">
            <v>468</v>
          </cell>
          <cell r="CN329">
            <v>810</v>
          </cell>
          <cell r="CO329">
            <v>666</v>
          </cell>
          <cell r="CP329">
            <v>918</v>
          </cell>
          <cell r="CQ329">
            <v>684</v>
          </cell>
          <cell r="CR329">
            <v>442</v>
          </cell>
          <cell r="CS329">
            <v>198</v>
          </cell>
          <cell r="CT329">
            <v>648</v>
          </cell>
          <cell r="CU329">
            <v>1080</v>
          </cell>
          <cell r="CV329">
            <v>810</v>
          </cell>
          <cell r="CW329">
            <v>504</v>
          </cell>
          <cell r="CX329">
            <v>720</v>
          </cell>
          <cell r="CY329">
            <v>540</v>
          </cell>
          <cell r="CZ329">
            <v>774</v>
          </cell>
          <cell r="DA329">
            <v>756</v>
          </cell>
          <cell r="DB329">
            <v>738</v>
          </cell>
          <cell r="DC329">
            <v>793</v>
          </cell>
          <cell r="DD329">
            <v>522</v>
          </cell>
          <cell r="DE329">
            <v>738</v>
          </cell>
          <cell r="DF329">
            <v>630</v>
          </cell>
          <cell r="DG329">
            <v>828</v>
          </cell>
          <cell r="DH329">
            <v>360</v>
          </cell>
          <cell r="DI329">
            <v>90</v>
          </cell>
          <cell r="DJ329">
            <v>648</v>
          </cell>
          <cell r="DK329">
            <v>864</v>
          </cell>
          <cell r="DL329">
            <v>664</v>
          </cell>
          <cell r="DM329">
            <v>648</v>
          </cell>
          <cell r="DN329">
            <v>756</v>
          </cell>
          <cell r="DO329">
            <v>414</v>
          </cell>
          <cell r="DP329">
            <v>630</v>
          </cell>
          <cell r="DQ329">
            <v>666</v>
          </cell>
          <cell r="DR329">
            <v>828</v>
          </cell>
          <cell r="DS329">
            <v>918</v>
          </cell>
          <cell r="DT329">
            <v>1134</v>
          </cell>
          <cell r="DU329">
            <v>1044</v>
          </cell>
          <cell r="DV329">
            <v>1116</v>
          </cell>
          <cell r="DW329">
            <v>954</v>
          </cell>
          <cell r="DX329">
            <v>846</v>
          </cell>
          <cell r="DY329">
            <v>1080</v>
          </cell>
          <cell r="DZ329">
            <v>1566</v>
          </cell>
          <cell r="EA329">
            <v>990</v>
          </cell>
          <cell r="EB329">
            <v>1170</v>
          </cell>
          <cell r="EC329">
            <v>1458</v>
          </cell>
          <cell r="ED329">
            <v>1226</v>
          </cell>
          <cell r="EE329">
            <v>1170</v>
          </cell>
          <cell r="EF329">
            <v>1278</v>
          </cell>
          <cell r="EG329">
            <v>1836</v>
          </cell>
          <cell r="EH329" t="str">
            <v>ACTIVO</v>
          </cell>
          <cell r="EI329" t="str">
            <v>C</v>
          </cell>
          <cell r="EJ329" t="str">
            <v/>
          </cell>
          <cell r="EK329">
            <v>959.76</v>
          </cell>
          <cell r="EL329">
            <v>159.96</v>
          </cell>
        </row>
        <row r="330">
          <cell r="F330">
            <v>362106</v>
          </cell>
          <cell r="G330" t="str">
            <v>HOJARASCA OBERENA</v>
          </cell>
          <cell r="H330">
            <v>2160</v>
          </cell>
          <cell r="BF330">
            <v>11772</v>
          </cell>
          <cell r="BG330">
            <v>11880</v>
          </cell>
          <cell r="BH330">
            <v>21600</v>
          </cell>
          <cell r="BI330">
            <v>1836</v>
          </cell>
          <cell r="BJ330">
            <v>8964</v>
          </cell>
          <cell r="DL330">
            <v>9000</v>
          </cell>
          <cell r="EH330" t="str">
            <v>SIN USO</v>
          </cell>
          <cell r="EI330" t="str">
            <v>C</v>
          </cell>
          <cell r="EJ330" t="str">
            <v/>
          </cell>
          <cell r="EK330">
            <v>9000</v>
          </cell>
          <cell r="EL330">
            <v>1500</v>
          </cell>
        </row>
        <row r="331">
          <cell r="F331">
            <v>362113</v>
          </cell>
          <cell r="G331" t="str">
            <v>BIZCOCHO RED VELVET 1 X 4</v>
          </cell>
          <cell r="DS331">
            <v>63</v>
          </cell>
          <cell r="DT331">
            <v>23</v>
          </cell>
          <cell r="DU331">
            <v>12</v>
          </cell>
          <cell r="DW331">
            <v>24</v>
          </cell>
          <cell r="DX331">
            <v>12</v>
          </cell>
          <cell r="DY331">
            <v>104</v>
          </cell>
          <cell r="EH331" t="str">
            <v>SIN USO</v>
          </cell>
          <cell r="EI331" t="str">
            <v/>
          </cell>
          <cell r="EJ331" t="str">
            <v/>
          </cell>
          <cell r="EK331">
            <v>39.666666666666664</v>
          </cell>
          <cell r="EL331">
            <v>6.6111111111111107</v>
          </cell>
        </row>
        <row r="332">
          <cell r="F332">
            <v>405344</v>
          </cell>
          <cell r="G332" t="str">
            <v>DISCO DE PANQUEQUE VAINILLA 18 CM ENCOMIENDA TOTTUS</v>
          </cell>
          <cell r="BT332">
            <v>3600</v>
          </cell>
          <cell r="BW332">
            <v>2016</v>
          </cell>
          <cell r="CA332">
            <v>5040</v>
          </cell>
          <cell r="CG332">
            <v>12096</v>
          </cell>
          <cell r="CM332">
            <v>5472</v>
          </cell>
          <cell r="DU332">
            <v>4824</v>
          </cell>
          <cell r="DW332">
            <v>144</v>
          </cell>
          <cell r="EH332" t="str">
            <v>SIN USO</v>
          </cell>
          <cell r="EI332" t="str">
            <v>C</v>
          </cell>
          <cell r="EJ332" t="str">
            <v/>
          </cell>
          <cell r="EK332">
            <v>2484</v>
          </cell>
          <cell r="EL332">
            <v>414</v>
          </cell>
        </row>
        <row r="333">
          <cell r="F333">
            <v>393253</v>
          </cell>
          <cell r="G333" t="str">
            <v>SUB DISCO HOJA 10 PP</v>
          </cell>
          <cell r="DB333">
            <v>2700</v>
          </cell>
          <cell r="DL333">
            <v>5400</v>
          </cell>
          <cell r="DN333">
            <v>1260</v>
          </cell>
          <cell r="DO333">
            <v>90</v>
          </cell>
          <cell r="DV333">
            <v>5400</v>
          </cell>
          <cell r="ED333">
            <v>4050</v>
          </cell>
          <cell r="EE333">
            <v>8100</v>
          </cell>
          <cell r="EH333" t="str">
            <v>SIN USO</v>
          </cell>
          <cell r="EI333" t="str">
            <v/>
          </cell>
          <cell r="EJ333" t="str">
            <v/>
          </cell>
          <cell r="EK333">
            <v>4050</v>
          </cell>
          <cell r="EL333">
            <v>675</v>
          </cell>
        </row>
        <row r="334">
          <cell r="F334">
            <v>405645</v>
          </cell>
          <cell r="G334" t="str">
            <v>BIZCOCHO # 20 BLANCO C/AMAPOLAS PAVESI</v>
          </cell>
          <cell r="DR334">
            <v>32</v>
          </cell>
          <cell r="DS334">
            <v>90</v>
          </cell>
          <cell r="DT334">
            <v>80</v>
          </cell>
          <cell r="DU334">
            <v>185</v>
          </cell>
          <cell r="DV334">
            <v>100</v>
          </cell>
          <cell r="DW334">
            <v>106</v>
          </cell>
          <cell r="DX334">
            <v>45</v>
          </cell>
          <cell r="DY334">
            <v>188</v>
          </cell>
          <cell r="DZ334">
            <v>217</v>
          </cell>
          <cell r="EA334">
            <v>144</v>
          </cell>
          <cell r="EB334">
            <v>107</v>
          </cell>
          <cell r="EC334">
            <v>75</v>
          </cell>
          <cell r="ED334">
            <v>104</v>
          </cell>
          <cell r="EE334">
            <v>96</v>
          </cell>
          <cell r="EF334">
            <v>93</v>
          </cell>
          <cell r="EG334">
            <v>136</v>
          </cell>
          <cell r="EH334" t="str">
            <v>ACTIVO</v>
          </cell>
          <cell r="EI334" t="str">
            <v>C</v>
          </cell>
          <cell r="EJ334" t="str">
            <v/>
          </cell>
          <cell r="EK334">
            <v>112.375</v>
          </cell>
          <cell r="EL334">
            <v>18.729166666666668</v>
          </cell>
        </row>
        <row r="335">
          <cell r="F335">
            <v>405658</v>
          </cell>
          <cell r="G335" t="str">
            <v>SUB DISCO PANQUEQUE VAINILLA 16 CM</v>
          </cell>
          <cell r="DL335">
            <v>9384</v>
          </cell>
          <cell r="DX335">
            <v>11160</v>
          </cell>
          <cell r="DY335">
            <v>15000</v>
          </cell>
          <cell r="ED335">
            <v>12840</v>
          </cell>
          <cell r="EH335" t="str">
            <v>ACTIVO</v>
          </cell>
          <cell r="EI335" t="str">
            <v/>
          </cell>
          <cell r="EJ335" t="str">
            <v/>
          </cell>
          <cell r="EK335">
            <v>12096</v>
          </cell>
          <cell r="EL335">
            <v>2016</v>
          </cell>
        </row>
        <row r="336">
          <cell r="F336">
            <v>405701</v>
          </cell>
          <cell r="G336" t="str">
            <v>GRANA SECA RED VELVET</v>
          </cell>
          <cell r="DT336">
            <v>44</v>
          </cell>
          <cell r="DU336">
            <v>14.4</v>
          </cell>
          <cell r="DV336">
            <v>84</v>
          </cell>
          <cell r="DW336">
            <v>67.430000000000007</v>
          </cell>
          <cell r="DX336">
            <v>40</v>
          </cell>
          <cell r="DY336">
            <v>20</v>
          </cell>
          <cell r="EA336">
            <v>20</v>
          </cell>
          <cell r="EG336">
            <v>20</v>
          </cell>
          <cell r="EH336" t="str">
            <v>ACTIVO</v>
          </cell>
          <cell r="EI336" t="str">
            <v/>
          </cell>
          <cell r="EJ336" t="str">
            <v/>
          </cell>
          <cell r="EK336">
            <v>38.728750000000005</v>
          </cell>
          <cell r="EL336">
            <v>6.4547916666666678</v>
          </cell>
        </row>
        <row r="337">
          <cell r="F337">
            <v>405702</v>
          </cell>
          <cell r="G337" t="str">
            <v>INSUMO INTERPLANTA BIZCOCHO RED VELVET 19 CM</v>
          </cell>
          <cell r="DV337">
            <v>193</v>
          </cell>
          <cell r="DW337">
            <v>107</v>
          </cell>
          <cell r="DX337">
            <v>24</v>
          </cell>
          <cell r="DY337">
            <v>96</v>
          </cell>
          <cell r="DZ337">
            <v>216</v>
          </cell>
          <cell r="EA337">
            <v>336</v>
          </cell>
          <cell r="EB337">
            <v>202</v>
          </cell>
          <cell r="EC337">
            <v>204</v>
          </cell>
          <cell r="ED337">
            <v>202.982</v>
          </cell>
          <cell r="EE337">
            <v>66</v>
          </cell>
          <cell r="EF337">
            <v>105</v>
          </cell>
          <cell r="EG337">
            <v>79</v>
          </cell>
          <cell r="EH337" t="str">
            <v>ACTIVO</v>
          </cell>
          <cell r="EI337" t="str">
            <v/>
          </cell>
          <cell r="EK337">
            <v>152.58183333333332</v>
          </cell>
          <cell r="EL337">
            <v>25.430305555555552</v>
          </cell>
        </row>
        <row r="338">
          <cell r="F338">
            <v>405691</v>
          </cell>
          <cell r="G338" t="str">
            <v>GRANA SECA BIZCOCHO AMAPOLA</v>
          </cell>
          <cell r="DW338">
            <v>3</v>
          </cell>
          <cell r="DX338">
            <v>20</v>
          </cell>
          <cell r="DZ338">
            <v>8</v>
          </cell>
          <cell r="EC338">
            <v>8.1</v>
          </cell>
          <cell r="EF338">
            <v>5</v>
          </cell>
          <cell r="EH338" t="str">
            <v>ACTIVO</v>
          </cell>
          <cell r="EI338" t="str">
            <v/>
          </cell>
          <cell r="EJ338" t="str">
            <v/>
          </cell>
          <cell r="EK338">
            <v>8.82</v>
          </cell>
          <cell r="EL338">
            <v>1.47</v>
          </cell>
        </row>
        <row r="339">
          <cell r="H339">
            <v>224095</v>
          </cell>
          <cell r="I339">
            <v>185236.5</v>
          </cell>
          <cell r="J339">
            <v>242916</v>
          </cell>
          <cell r="K339">
            <v>216093</v>
          </cell>
          <cell r="L339">
            <v>199020</v>
          </cell>
          <cell r="M339">
            <v>225242</v>
          </cell>
          <cell r="N339">
            <v>201783</v>
          </cell>
          <cell r="O339">
            <v>189344</v>
          </cell>
          <cell r="P339">
            <v>201255</v>
          </cell>
          <cell r="Q339">
            <v>201997</v>
          </cell>
          <cell r="R339">
            <v>206832.5</v>
          </cell>
          <cell r="S339">
            <v>132987</v>
          </cell>
          <cell r="T339">
            <v>190305.692002</v>
          </cell>
          <cell r="U339">
            <v>203099</v>
          </cell>
          <cell r="V339">
            <v>204450</v>
          </cell>
          <cell r="W339">
            <v>248696</v>
          </cell>
          <cell r="X339">
            <v>297382</v>
          </cell>
          <cell r="Y339">
            <v>223098</v>
          </cell>
          <cell r="Z339">
            <v>266160.26</v>
          </cell>
          <cell r="AA339">
            <v>225005</v>
          </cell>
          <cell r="AB339">
            <v>247186</v>
          </cell>
          <cell r="AC339">
            <v>253585</v>
          </cell>
          <cell r="AD339">
            <v>301563</v>
          </cell>
          <cell r="AE339">
            <v>271805</v>
          </cell>
          <cell r="AF339">
            <v>253751</v>
          </cell>
          <cell r="AG339">
            <v>252732.5</v>
          </cell>
          <cell r="AH339">
            <v>246678</v>
          </cell>
          <cell r="AI339">
            <v>255922</v>
          </cell>
          <cell r="AJ339">
            <v>259814</v>
          </cell>
          <cell r="AK339">
            <v>285662</v>
          </cell>
          <cell r="AL339">
            <v>269215</v>
          </cell>
          <cell r="AM339">
            <v>294478</v>
          </cell>
          <cell r="AN339">
            <v>239094</v>
          </cell>
          <cell r="AO339">
            <v>270931</v>
          </cell>
          <cell r="AP339">
            <v>249420</v>
          </cell>
          <cell r="AQ339">
            <v>285044</v>
          </cell>
          <cell r="AR339">
            <v>260820</v>
          </cell>
          <cell r="AS339">
            <v>135437</v>
          </cell>
          <cell r="AT339">
            <v>265466.61900000001</v>
          </cell>
          <cell r="AU339">
            <v>265312.5</v>
          </cell>
          <cell r="AV339">
            <v>279302</v>
          </cell>
          <cell r="AW339">
            <v>250707</v>
          </cell>
          <cell r="AX339">
            <v>335242</v>
          </cell>
          <cell r="AY339">
            <v>268021.52399999998</v>
          </cell>
          <cell r="AZ339">
            <v>271826</v>
          </cell>
          <cell r="BA339">
            <v>309624</v>
          </cell>
          <cell r="BB339">
            <v>321802</v>
          </cell>
          <cell r="BC339">
            <v>298435.00000100001</v>
          </cell>
          <cell r="BD339">
            <v>273823.5</v>
          </cell>
          <cell r="BE339">
            <v>246337.99999899999</v>
          </cell>
          <cell r="BF339">
            <v>287785.90500000003</v>
          </cell>
          <cell r="BG339">
            <v>328706.09499999997</v>
          </cell>
          <cell r="BH339">
            <v>132919</v>
          </cell>
          <cell r="BI339">
            <v>233578</v>
          </cell>
          <cell r="BJ339">
            <v>231570.54</v>
          </cell>
          <cell r="BK339">
            <v>358646</v>
          </cell>
          <cell r="BL339">
            <v>310918</v>
          </cell>
          <cell r="BM339">
            <v>292236</v>
          </cell>
          <cell r="BN339">
            <v>294547</v>
          </cell>
          <cell r="BO339">
            <v>289345</v>
          </cell>
          <cell r="BP339">
            <v>222792</v>
          </cell>
          <cell r="BQ339">
            <v>239825</v>
          </cell>
          <cell r="BR339">
            <v>313134</v>
          </cell>
          <cell r="BS339">
            <v>288625.5</v>
          </cell>
          <cell r="BT339">
            <v>319738</v>
          </cell>
          <cell r="BU339">
            <v>247386</v>
          </cell>
          <cell r="BV339">
            <v>276299</v>
          </cell>
          <cell r="BW339">
            <v>287194</v>
          </cell>
          <cell r="BX339">
            <v>312462.5</v>
          </cell>
          <cell r="BY339">
            <v>342463.5</v>
          </cell>
          <cell r="BZ339">
            <v>344034</v>
          </cell>
          <cell r="CA339">
            <v>257633</v>
          </cell>
          <cell r="CB339">
            <v>300840</v>
          </cell>
          <cell r="CC339">
            <v>281083</v>
          </cell>
          <cell r="CD339">
            <v>272472.5</v>
          </cell>
          <cell r="CE339">
            <v>358393.255</v>
          </cell>
          <cell r="CF339">
            <v>209519</v>
          </cell>
          <cell r="CG339">
            <v>326921</v>
          </cell>
          <cell r="CH339">
            <v>223747</v>
          </cell>
          <cell r="CI339">
            <v>280705.5</v>
          </cell>
          <cell r="CJ339">
            <v>225875</v>
          </cell>
          <cell r="CK339">
            <v>283069.5</v>
          </cell>
          <cell r="CL339">
            <v>256056</v>
          </cell>
          <cell r="CM339">
            <v>271633</v>
          </cell>
          <cell r="CN339">
            <v>359987.3</v>
          </cell>
          <cell r="CO339">
            <v>277575.75</v>
          </cell>
          <cell r="CP339">
            <v>324474</v>
          </cell>
          <cell r="CQ339">
            <v>310913.5</v>
          </cell>
          <cell r="CR339">
            <v>319020.25</v>
          </cell>
          <cell r="CS339">
            <v>161073.29999999999</v>
          </cell>
          <cell r="CT339">
            <v>280995.5</v>
          </cell>
          <cell r="CU339">
            <v>227700</v>
          </cell>
          <cell r="CV339">
            <v>272402</v>
          </cell>
          <cell r="CW339">
            <v>238814</v>
          </cell>
          <cell r="CX339">
            <v>298765</v>
          </cell>
          <cell r="CY339">
            <v>207771</v>
          </cell>
          <cell r="CZ339">
            <v>274271.5</v>
          </cell>
          <cell r="DA339">
            <v>321256</v>
          </cell>
          <cell r="DB339">
            <v>287468</v>
          </cell>
          <cell r="DC339">
            <v>298085</v>
          </cell>
          <cell r="DD339">
            <v>200489</v>
          </cell>
          <cell r="DE339">
            <v>183227</v>
          </cell>
          <cell r="DF339">
            <v>274497.5</v>
          </cell>
          <cell r="DG339">
            <v>209135</v>
          </cell>
          <cell r="DH339">
            <v>92384.5</v>
          </cell>
          <cell r="DI339">
            <v>64276</v>
          </cell>
          <cell r="DJ339">
            <v>235040.75</v>
          </cell>
          <cell r="DK339">
            <v>247853.75</v>
          </cell>
          <cell r="DL339">
            <v>290708</v>
          </cell>
          <cell r="DM339">
            <v>271136</v>
          </cell>
          <cell r="DN339">
            <v>252563</v>
          </cell>
          <cell r="DO339">
            <v>233071</v>
          </cell>
          <cell r="DP339">
            <v>209897.5</v>
          </cell>
          <cell r="DQ339">
            <v>225741.8</v>
          </cell>
          <cell r="DR339">
            <v>234467</v>
          </cell>
          <cell r="DS339">
            <v>243860.3</v>
          </cell>
          <cell r="DT339">
            <v>203216.6</v>
          </cell>
          <cell r="DU339">
            <v>246748.4</v>
          </cell>
          <cell r="DV339">
            <v>238791.52</v>
          </cell>
          <cell r="DW339">
            <v>268815.21000000002</v>
          </cell>
          <cell r="DX339">
            <v>297188.14500000002</v>
          </cell>
          <cell r="DY339">
            <v>390981.05000000005</v>
          </cell>
          <cell r="DZ339">
            <v>342217.5</v>
          </cell>
          <cell r="EA339">
            <v>224127</v>
          </cell>
          <cell r="EB339">
            <v>304424.05</v>
          </cell>
          <cell r="EC339">
            <v>316506.09999999998</v>
          </cell>
          <cell r="ED339">
            <v>250685.31199999998</v>
          </cell>
          <cell r="EE339">
            <v>238593.35</v>
          </cell>
          <cell r="EF339">
            <v>244453.75</v>
          </cell>
          <cell r="EG339">
            <v>292100</v>
          </cell>
          <cell r="EH339" t="str">
            <v>ACTIVO</v>
          </cell>
          <cell r="EI339" t="str">
            <v/>
          </cell>
          <cell r="EJ339" t="str">
            <v/>
          </cell>
          <cell r="EK339">
            <v>254698.52347999995</v>
          </cell>
          <cell r="EL339">
            <v>42449.753913333327</v>
          </cell>
        </row>
        <row r="340">
          <cell r="F340">
            <v>405370</v>
          </cell>
          <cell r="G340" t="str">
            <v>LECHE CONDENSADA MONACO</v>
          </cell>
          <cell r="AK340">
            <v>898.11</v>
          </cell>
          <cell r="AL340">
            <v>837</v>
          </cell>
          <cell r="AM340">
            <v>495</v>
          </cell>
          <cell r="EH340" t="str">
            <v>SIN USO</v>
          </cell>
          <cell r="EI340" t="str">
            <v/>
          </cell>
          <cell r="EJ340" t="str">
            <v/>
          </cell>
          <cell r="EK340">
            <v>0</v>
          </cell>
          <cell r="EL340">
            <v>0</v>
          </cell>
        </row>
        <row r="341">
          <cell r="F341">
            <v>107215</v>
          </cell>
          <cell r="G341" t="str">
            <v>LECHE CONDENSADA NESTLE</v>
          </cell>
          <cell r="H341">
            <v>225</v>
          </cell>
          <cell r="I341">
            <v>162</v>
          </cell>
          <cell r="L341">
            <v>90</v>
          </cell>
          <cell r="M341">
            <v>45</v>
          </cell>
          <cell r="N341">
            <v>90</v>
          </cell>
          <cell r="O341">
            <v>90</v>
          </cell>
          <cell r="S341">
            <v>45</v>
          </cell>
          <cell r="AB341">
            <v>31.5</v>
          </cell>
          <cell r="AC341">
            <v>112.5</v>
          </cell>
          <cell r="AD341">
            <v>193.5</v>
          </cell>
          <cell r="AE341">
            <v>1318.5</v>
          </cell>
          <cell r="AF341">
            <v>369</v>
          </cell>
          <cell r="AG341">
            <v>630</v>
          </cell>
          <cell r="AH341">
            <v>670.5</v>
          </cell>
          <cell r="AI341">
            <v>1123.1100000000001</v>
          </cell>
          <cell r="AJ341">
            <v>823.5</v>
          </cell>
          <cell r="AK341">
            <v>51.39</v>
          </cell>
          <cell r="AM341">
            <v>837</v>
          </cell>
          <cell r="AN341">
            <v>1012.5</v>
          </cell>
          <cell r="AO341">
            <v>1120.5</v>
          </cell>
          <cell r="AP341">
            <v>1080</v>
          </cell>
          <cell r="AQ341">
            <v>1165.5</v>
          </cell>
          <cell r="AR341">
            <v>886.5</v>
          </cell>
          <cell r="AS341">
            <v>666</v>
          </cell>
          <cell r="AT341">
            <v>1336.5</v>
          </cell>
          <cell r="AU341">
            <v>1188</v>
          </cell>
          <cell r="AV341">
            <v>1120.5</v>
          </cell>
          <cell r="AW341">
            <v>904.5</v>
          </cell>
          <cell r="AX341">
            <v>1179</v>
          </cell>
          <cell r="AY341">
            <v>1107</v>
          </cell>
          <cell r="AZ341">
            <v>1107</v>
          </cell>
          <cell r="BA341">
            <v>1201.5</v>
          </cell>
          <cell r="BB341">
            <v>994.5</v>
          </cell>
          <cell r="BC341">
            <v>1027</v>
          </cell>
          <cell r="BD341">
            <v>1057.5</v>
          </cell>
          <cell r="BE341">
            <v>1102.5</v>
          </cell>
          <cell r="BF341">
            <v>1062</v>
          </cell>
          <cell r="BG341">
            <v>972</v>
          </cell>
          <cell r="BH341">
            <v>598.5</v>
          </cell>
          <cell r="BI341">
            <v>1057.5</v>
          </cell>
          <cell r="BJ341">
            <v>679.5</v>
          </cell>
          <cell r="BK341">
            <v>846</v>
          </cell>
          <cell r="BL341">
            <v>913.5</v>
          </cell>
          <cell r="BM341">
            <v>936</v>
          </cell>
          <cell r="BN341">
            <v>1025.5</v>
          </cell>
          <cell r="BO341">
            <v>987</v>
          </cell>
          <cell r="BP341">
            <v>901.5</v>
          </cell>
          <cell r="BQ341">
            <v>955.5</v>
          </cell>
          <cell r="BR341">
            <v>1085</v>
          </cell>
          <cell r="BS341">
            <v>1087.5</v>
          </cell>
          <cell r="BT341">
            <v>1003.5</v>
          </cell>
          <cell r="BU341">
            <v>1234.5</v>
          </cell>
          <cell r="BV341">
            <v>1462.5</v>
          </cell>
          <cell r="BW341">
            <v>349.5</v>
          </cell>
          <cell r="BY341">
            <v>898.5</v>
          </cell>
          <cell r="BZ341">
            <v>2316</v>
          </cell>
          <cell r="CA341">
            <v>1116</v>
          </cell>
          <cell r="CB341">
            <v>1152</v>
          </cell>
          <cell r="CC341">
            <v>1518</v>
          </cell>
          <cell r="CD341">
            <v>1554</v>
          </cell>
          <cell r="CE341">
            <v>2077.0500000000002</v>
          </cell>
          <cell r="CK341">
            <v>921</v>
          </cell>
          <cell r="CL341">
            <v>1404</v>
          </cell>
          <cell r="CM341">
            <v>1374</v>
          </cell>
          <cell r="CN341">
            <v>1368</v>
          </cell>
          <cell r="CO341">
            <v>1278</v>
          </cell>
          <cell r="CP341">
            <v>1380</v>
          </cell>
          <cell r="CQ341">
            <v>1176</v>
          </cell>
          <cell r="CR341">
            <v>1278</v>
          </cell>
          <cell r="CS341">
            <v>492</v>
          </cell>
          <cell r="CT341">
            <v>1236</v>
          </cell>
          <cell r="CU341">
            <v>1110</v>
          </cell>
          <cell r="CV341">
            <v>1206</v>
          </cell>
          <cell r="CW341">
            <v>984</v>
          </cell>
          <cell r="CX341">
            <v>924</v>
          </cell>
          <cell r="CY341">
            <v>954</v>
          </cell>
          <cell r="CZ341">
            <v>900</v>
          </cell>
          <cell r="DA341">
            <v>888</v>
          </cell>
          <cell r="DB341">
            <v>708</v>
          </cell>
          <cell r="DC341">
            <v>1056</v>
          </cell>
          <cell r="DD341">
            <v>840</v>
          </cell>
          <cell r="DE341">
            <v>846</v>
          </cell>
          <cell r="DF341">
            <v>1002</v>
          </cell>
          <cell r="DG341">
            <v>786</v>
          </cell>
          <cell r="DH341">
            <v>468</v>
          </cell>
          <cell r="DI341">
            <v>264</v>
          </cell>
          <cell r="DJ341">
            <v>858</v>
          </cell>
          <cell r="DK341">
            <v>864</v>
          </cell>
          <cell r="DL341">
            <v>740</v>
          </cell>
          <cell r="DM341">
            <v>768</v>
          </cell>
          <cell r="DN341">
            <v>690</v>
          </cell>
          <cell r="DO341">
            <v>750</v>
          </cell>
          <cell r="DP341">
            <v>630</v>
          </cell>
          <cell r="DQ341">
            <v>684</v>
          </cell>
          <cell r="DR341">
            <v>744</v>
          </cell>
          <cell r="DS341">
            <v>786</v>
          </cell>
          <cell r="DT341">
            <v>540</v>
          </cell>
          <cell r="DU341">
            <v>780</v>
          </cell>
          <cell r="DV341">
            <v>810</v>
          </cell>
          <cell r="DW341">
            <v>726</v>
          </cell>
          <cell r="DX341">
            <v>774</v>
          </cell>
          <cell r="DY341">
            <v>762</v>
          </cell>
          <cell r="DZ341">
            <v>1266</v>
          </cell>
          <cell r="EA341">
            <v>1038</v>
          </cell>
          <cell r="EB341">
            <v>828</v>
          </cell>
          <cell r="EC341">
            <v>840</v>
          </cell>
          <cell r="ED341">
            <v>810</v>
          </cell>
          <cell r="EE341">
            <v>798</v>
          </cell>
          <cell r="EF341">
            <v>876</v>
          </cell>
          <cell r="EG341">
            <v>1488</v>
          </cell>
          <cell r="EH341" t="str">
            <v>ACTIVO</v>
          </cell>
          <cell r="EI341" t="str">
            <v>A</v>
          </cell>
          <cell r="EJ341">
            <v>1000</v>
          </cell>
          <cell r="EK341">
            <v>804.56</v>
          </cell>
          <cell r="EL341">
            <v>134.09333333333333</v>
          </cell>
        </row>
        <row r="342">
          <cell r="F342">
            <v>107270</v>
          </cell>
          <cell r="G342" t="str">
            <v>LECHE CONDENSADA NESTLE</v>
          </cell>
          <cell r="R342">
            <v>90</v>
          </cell>
          <cell r="BW342">
            <v>78</v>
          </cell>
          <cell r="EH342" t="str">
            <v>SIN USO</v>
          </cell>
          <cell r="EI342" t="str">
            <v>A</v>
          </cell>
          <cell r="EJ342" t="str">
            <v/>
          </cell>
          <cell r="EK342">
            <v>0</v>
          </cell>
          <cell r="EL342">
            <v>0</v>
          </cell>
        </row>
        <row r="343">
          <cell r="F343">
            <v>405382</v>
          </cell>
          <cell r="G343" t="str">
            <v>LECHE CONDENSADA EGC</v>
          </cell>
          <cell r="AP343">
            <v>40.5</v>
          </cell>
          <cell r="AR343">
            <v>229.5</v>
          </cell>
          <cell r="AS343">
            <v>180</v>
          </cell>
          <cell r="BT343">
            <v>162</v>
          </cell>
          <cell r="EH343" t="str">
            <v>SIN USO</v>
          </cell>
          <cell r="EI343" t="str">
            <v>C</v>
          </cell>
          <cell r="EJ343" t="str">
            <v/>
          </cell>
          <cell r="EK343">
            <v>0</v>
          </cell>
          <cell r="EL343">
            <v>0</v>
          </cell>
        </row>
        <row r="344">
          <cell r="F344">
            <v>107333</v>
          </cell>
          <cell r="G344" t="str">
            <v>LECHE CONDENSADA UNTABLE NESTLE</v>
          </cell>
          <cell r="L344">
            <v>54</v>
          </cell>
          <cell r="M344">
            <v>130.6</v>
          </cell>
          <cell r="V344">
            <v>130.5</v>
          </cell>
          <cell r="W344">
            <v>88.740000000000009</v>
          </cell>
          <cell r="X344">
            <v>20.88</v>
          </cell>
          <cell r="AB344">
            <v>36.54</v>
          </cell>
          <cell r="AC344">
            <v>91.35</v>
          </cell>
          <cell r="AD344">
            <v>46.98</v>
          </cell>
          <cell r="AE344">
            <v>121.50999999999999</v>
          </cell>
          <cell r="AF344">
            <v>23.49</v>
          </cell>
          <cell r="AG344">
            <v>2.6</v>
          </cell>
          <cell r="AH344">
            <v>28.7</v>
          </cell>
          <cell r="AI344">
            <v>46.980000000000004</v>
          </cell>
          <cell r="AJ344">
            <v>23.49</v>
          </cell>
          <cell r="AK344">
            <v>44.37</v>
          </cell>
          <cell r="AL344">
            <v>41.76</v>
          </cell>
          <cell r="AN344">
            <v>23.49</v>
          </cell>
          <cell r="AO344">
            <v>23.49</v>
          </cell>
          <cell r="BL344">
            <v>41.76</v>
          </cell>
          <cell r="BM344">
            <v>20.88</v>
          </cell>
          <cell r="BN344">
            <v>54.81</v>
          </cell>
          <cell r="BO344">
            <v>54.81</v>
          </cell>
          <cell r="BP344">
            <v>54.81</v>
          </cell>
          <cell r="BQ344">
            <v>36.54</v>
          </cell>
          <cell r="BR344">
            <v>18.72</v>
          </cell>
          <cell r="BS344">
            <v>73.08</v>
          </cell>
          <cell r="BT344">
            <v>36.54</v>
          </cell>
          <cell r="BU344">
            <v>18.27</v>
          </cell>
          <cell r="BV344">
            <v>101.35</v>
          </cell>
          <cell r="BW344">
            <v>133.4</v>
          </cell>
          <cell r="BX344">
            <v>36.54</v>
          </cell>
          <cell r="BY344">
            <v>18.27</v>
          </cell>
          <cell r="CA344">
            <v>18.27</v>
          </cell>
          <cell r="CB344">
            <v>57.42</v>
          </cell>
          <cell r="CC344">
            <v>83.52</v>
          </cell>
          <cell r="CD344">
            <v>49.589999999999996</v>
          </cell>
          <cell r="CE344">
            <v>18.27</v>
          </cell>
          <cell r="CF344">
            <v>73.08</v>
          </cell>
          <cell r="CG344">
            <v>86.13</v>
          </cell>
          <cell r="CH344">
            <v>10.44</v>
          </cell>
          <cell r="CI344">
            <v>20.88</v>
          </cell>
          <cell r="CJ344">
            <v>10.44</v>
          </cell>
          <cell r="CL344">
            <v>18.27</v>
          </cell>
          <cell r="CM344">
            <v>78.3</v>
          </cell>
          <cell r="CN344">
            <v>60.03</v>
          </cell>
          <cell r="CO344">
            <v>18.27</v>
          </cell>
          <cell r="CP344">
            <v>41.76</v>
          </cell>
          <cell r="CQ344">
            <v>59.89</v>
          </cell>
          <cell r="CR344">
            <v>56.16</v>
          </cell>
          <cell r="CS344">
            <v>36.54</v>
          </cell>
          <cell r="CT344">
            <v>31.32</v>
          </cell>
          <cell r="CU344">
            <v>41.760000000000005</v>
          </cell>
          <cell r="CV344">
            <v>27</v>
          </cell>
          <cell r="CW344">
            <v>86.58</v>
          </cell>
          <cell r="CY344">
            <v>66.16</v>
          </cell>
          <cell r="CZ344">
            <v>73.53</v>
          </cell>
          <cell r="DA344">
            <v>77.94</v>
          </cell>
          <cell r="DB344">
            <v>27.38</v>
          </cell>
          <cell r="DC344">
            <v>55.71</v>
          </cell>
          <cell r="DD344">
            <v>67.5</v>
          </cell>
          <cell r="DE344">
            <v>26.1</v>
          </cell>
          <cell r="DK344">
            <v>36.54</v>
          </cell>
          <cell r="DM344">
            <v>33.93</v>
          </cell>
          <cell r="DN344">
            <v>33.93</v>
          </cell>
          <cell r="DO344">
            <v>15.66</v>
          </cell>
          <cell r="DP344">
            <v>67.86</v>
          </cell>
          <cell r="DV344">
            <v>36.54</v>
          </cell>
          <cell r="DW344">
            <v>62.64</v>
          </cell>
          <cell r="DX344">
            <v>91.35</v>
          </cell>
          <cell r="DY344">
            <v>86.13</v>
          </cell>
          <cell r="DZ344">
            <v>18.27</v>
          </cell>
          <cell r="EA344">
            <v>18</v>
          </cell>
          <cell r="EH344" t="str">
            <v>ACTIVO</v>
          </cell>
          <cell r="EI344" t="str">
            <v>C</v>
          </cell>
          <cell r="EJ344">
            <v>156.6</v>
          </cell>
          <cell r="EK344">
            <v>45.531818181818181</v>
          </cell>
          <cell r="EL344">
            <v>7.5886363636363638</v>
          </cell>
        </row>
        <row r="345">
          <cell r="F345">
            <v>405539</v>
          </cell>
          <cell r="G345" t="str">
            <v>LECHE CONDENSADA WATTS</v>
          </cell>
          <cell r="BW345">
            <v>682.6</v>
          </cell>
          <cell r="BX345">
            <v>1239</v>
          </cell>
          <cell r="BY345">
            <v>432.5</v>
          </cell>
          <cell r="CE345">
            <v>274.95</v>
          </cell>
          <cell r="CF345">
            <v>1214</v>
          </cell>
          <cell r="CG345">
            <v>1420</v>
          </cell>
          <cell r="CH345">
            <v>1317</v>
          </cell>
          <cell r="CI345">
            <v>1291</v>
          </cell>
          <cell r="CJ345">
            <v>1380</v>
          </cell>
          <cell r="CK345">
            <v>812</v>
          </cell>
          <cell r="CU345">
            <v>55</v>
          </cell>
          <cell r="DB345">
            <v>109</v>
          </cell>
          <cell r="DC345">
            <v>15</v>
          </cell>
          <cell r="DE345">
            <v>85</v>
          </cell>
          <cell r="DF345">
            <v>95</v>
          </cell>
          <cell r="DG345">
            <v>20</v>
          </cell>
          <cell r="DH345">
            <v>60</v>
          </cell>
          <cell r="DJ345">
            <v>190</v>
          </cell>
          <cell r="DL345">
            <v>65</v>
          </cell>
          <cell r="DM345">
            <v>45</v>
          </cell>
          <cell r="DT345">
            <v>300</v>
          </cell>
          <cell r="DU345">
            <v>32.4</v>
          </cell>
          <cell r="DV345">
            <v>215</v>
          </cell>
          <cell r="DW345">
            <v>175</v>
          </cell>
          <cell r="EE345">
            <v>30</v>
          </cell>
          <cell r="EF345">
            <v>30</v>
          </cell>
          <cell r="EG345">
            <v>25</v>
          </cell>
          <cell r="EH345" t="str">
            <v>SIN USO</v>
          </cell>
          <cell r="EI345" t="str">
            <v>B</v>
          </cell>
          <cell r="EJ345" t="str">
            <v/>
          </cell>
          <cell r="EK345">
            <v>110.74000000000001</v>
          </cell>
          <cell r="EL345">
            <v>18.456666666666667</v>
          </cell>
        </row>
        <row r="346">
          <cell r="H346">
            <v>225</v>
          </cell>
          <cell r="I346">
            <v>162</v>
          </cell>
          <cell r="L346">
            <v>144</v>
          </cell>
          <cell r="M346">
            <v>175.6</v>
          </cell>
          <cell r="N346">
            <v>90</v>
          </cell>
          <cell r="O346">
            <v>90</v>
          </cell>
          <cell r="R346">
            <v>90</v>
          </cell>
          <cell r="S346">
            <v>45</v>
          </cell>
          <cell r="V346">
            <v>130.5</v>
          </cell>
          <cell r="W346">
            <v>88.740000000000009</v>
          </cell>
          <cell r="X346">
            <v>20.88</v>
          </cell>
          <cell r="AB346">
            <v>68.039999999999992</v>
          </cell>
          <cell r="AC346">
            <v>203.85</v>
          </cell>
          <cell r="AD346">
            <v>240.48</v>
          </cell>
          <cell r="AE346">
            <v>1440.01</v>
          </cell>
          <cell r="AF346">
            <v>392.49</v>
          </cell>
          <cell r="AG346">
            <v>632.6</v>
          </cell>
          <cell r="AH346">
            <v>699.2</v>
          </cell>
          <cell r="AI346">
            <v>1170.0900000000001</v>
          </cell>
          <cell r="AJ346">
            <v>846.99</v>
          </cell>
          <cell r="AK346">
            <v>993.87</v>
          </cell>
          <cell r="AL346">
            <v>878.76</v>
          </cell>
          <cell r="AM346">
            <v>1332</v>
          </cell>
          <cell r="AN346">
            <v>1035.99</v>
          </cell>
          <cell r="AO346">
            <v>1143.99</v>
          </cell>
          <cell r="AP346">
            <v>1120.5</v>
          </cell>
          <cell r="AQ346">
            <v>1165.5</v>
          </cell>
          <cell r="AR346">
            <v>1116</v>
          </cell>
          <cell r="AS346">
            <v>846</v>
          </cell>
          <cell r="AT346">
            <v>1336.5</v>
          </cell>
          <cell r="AU346">
            <v>1188</v>
          </cell>
          <cell r="AV346">
            <v>1120.5</v>
          </cell>
          <cell r="AW346">
            <v>904.5</v>
          </cell>
          <cell r="AX346">
            <v>1179</v>
          </cell>
          <cell r="AY346">
            <v>1107</v>
          </cell>
          <cell r="AZ346">
            <v>1107</v>
          </cell>
          <cell r="BA346">
            <v>1201.5</v>
          </cell>
          <cell r="BB346">
            <v>994.5</v>
          </cell>
          <cell r="BC346">
            <v>1027</v>
          </cell>
          <cell r="BD346">
            <v>1057.5</v>
          </cell>
          <cell r="BE346">
            <v>1102.5</v>
          </cell>
          <cell r="BF346">
            <v>1062</v>
          </cell>
          <cell r="BG346">
            <v>972</v>
          </cell>
          <cell r="BH346">
            <v>598.5</v>
          </cell>
          <cell r="BI346">
            <v>1057.5</v>
          </cell>
          <cell r="BJ346">
            <v>679.5</v>
          </cell>
          <cell r="BK346">
            <v>846</v>
          </cell>
          <cell r="BL346">
            <v>955.26</v>
          </cell>
          <cell r="BM346">
            <v>956.88</v>
          </cell>
          <cell r="BN346">
            <v>1080.31</v>
          </cell>
          <cell r="BO346">
            <v>1041.81</v>
          </cell>
          <cell r="BP346">
            <v>956.31</v>
          </cell>
          <cell r="BQ346">
            <v>992.04</v>
          </cell>
          <cell r="BR346">
            <v>1103.72</v>
          </cell>
          <cell r="BS346">
            <v>1160.58</v>
          </cell>
          <cell r="BT346">
            <v>1202.04</v>
          </cell>
          <cell r="BU346">
            <v>1252.77</v>
          </cell>
          <cell r="BV346">
            <v>1563.85</v>
          </cell>
          <cell r="BW346">
            <v>1243.5</v>
          </cell>
          <cell r="BX346">
            <v>1275.54</v>
          </cell>
          <cell r="BY346">
            <v>1349.27</v>
          </cell>
          <cell r="BZ346">
            <v>2316</v>
          </cell>
          <cell r="CA346">
            <v>1134.27</v>
          </cell>
          <cell r="CB346">
            <v>1209.42</v>
          </cell>
          <cell r="CC346">
            <v>1601.52</v>
          </cell>
          <cell r="CD346">
            <v>1603.59</v>
          </cell>
          <cell r="CE346">
            <v>2370.27</v>
          </cell>
          <cell r="CF346">
            <v>1287.08</v>
          </cell>
          <cell r="CG346">
            <v>1506.13</v>
          </cell>
          <cell r="CH346">
            <v>1327.44</v>
          </cell>
          <cell r="CI346">
            <v>1311.88</v>
          </cell>
          <cell r="CJ346">
            <v>1390.44</v>
          </cell>
          <cell r="CK346">
            <v>1733</v>
          </cell>
          <cell r="CL346">
            <v>1422.27</v>
          </cell>
          <cell r="CM346">
            <v>1452.3</v>
          </cell>
          <cell r="CN346">
            <v>1428.03</v>
          </cell>
          <cell r="CO346">
            <v>1296.27</v>
          </cell>
          <cell r="CP346">
            <v>1421.76</v>
          </cell>
          <cell r="CQ346">
            <v>1235.8900000000001</v>
          </cell>
          <cell r="CR346">
            <v>1334.16</v>
          </cell>
          <cell r="CS346">
            <v>528.54</v>
          </cell>
          <cell r="CT346">
            <v>1267.32</v>
          </cell>
          <cell r="CU346">
            <v>1206.76</v>
          </cell>
          <cell r="CV346">
            <v>1233</v>
          </cell>
          <cell r="CW346">
            <v>1070.58</v>
          </cell>
          <cell r="CX346">
            <v>924</v>
          </cell>
          <cell r="CY346">
            <v>1020.16</v>
          </cell>
          <cell r="CZ346">
            <v>973.53</v>
          </cell>
          <cell r="DA346">
            <v>965.94</v>
          </cell>
          <cell r="DB346">
            <v>844.38</v>
          </cell>
          <cell r="DC346">
            <v>1126.71</v>
          </cell>
          <cell r="DD346">
            <v>907.5</v>
          </cell>
          <cell r="DE346">
            <v>957.1</v>
          </cell>
          <cell r="DF346">
            <v>1097</v>
          </cell>
          <cell r="DG346">
            <v>806</v>
          </cell>
          <cell r="DH346">
            <v>528</v>
          </cell>
          <cell r="DI346">
            <v>264</v>
          </cell>
          <cell r="DJ346">
            <v>1048</v>
          </cell>
          <cell r="DK346">
            <v>900.54</v>
          </cell>
          <cell r="DL346">
            <v>805</v>
          </cell>
          <cell r="DM346">
            <v>846.93</v>
          </cell>
          <cell r="DN346">
            <v>723.93</v>
          </cell>
          <cell r="DO346">
            <v>765.66</v>
          </cell>
          <cell r="DP346">
            <v>697.86</v>
          </cell>
          <cell r="DQ346">
            <v>684</v>
          </cell>
          <cell r="DR346">
            <v>744</v>
          </cell>
          <cell r="DS346">
            <v>786</v>
          </cell>
          <cell r="DT346">
            <v>840</v>
          </cell>
          <cell r="DU346">
            <v>812.4</v>
          </cell>
          <cell r="DV346">
            <v>1061.54</v>
          </cell>
          <cell r="DW346">
            <v>963.64</v>
          </cell>
          <cell r="DX346">
            <v>865.35</v>
          </cell>
          <cell r="DY346">
            <v>848.13</v>
          </cell>
          <cell r="DZ346">
            <v>1284.27</v>
          </cell>
          <cell r="EA346">
            <v>1056</v>
          </cell>
          <cell r="EB346">
            <v>828</v>
          </cell>
          <cell r="EC346">
            <v>840</v>
          </cell>
          <cell r="ED346">
            <v>810</v>
          </cell>
          <cell r="EE346">
            <v>828</v>
          </cell>
          <cell r="EF346">
            <v>906</v>
          </cell>
          <cell r="EG346">
            <v>1513</v>
          </cell>
          <cell r="EH346" t="str">
            <v>ACTIVO</v>
          </cell>
          <cell r="EI346" t="str">
            <v/>
          </cell>
          <cell r="EJ346" t="str">
            <v/>
          </cell>
          <cell r="EK346">
            <v>868.88999999999987</v>
          </cell>
          <cell r="EL346">
            <v>144.81499999999997</v>
          </cell>
        </row>
        <row r="347">
          <cell r="F347">
            <v>107181</v>
          </cell>
          <cell r="G347" t="str">
            <v>RELLENO PIE DE LIMON SAN CRISTOBAL</v>
          </cell>
          <cell r="H347">
            <v>607.5</v>
          </cell>
          <cell r="I347">
            <v>594</v>
          </cell>
          <cell r="J347">
            <v>589.5</v>
          </cell>
          <cell r="K347">
            <v>567</v>
          </cell>
          <cell r="L347">
            <v>549</v>
          </cell>
          <cell r="M347">
            <v>603</v>
          </cell>
          <cell r="N347">
            <v>567</v>
          </cell>
          <cell r="O347">
            <v>562.5</v>
          </cell>
          <cell r="P347">
            <v>531</v>
          </cell>
          <cell r="Q347">
            <v>531</v>
          </cell>
          <cell r="R347">
            <v>549</v>
          </cell>
          <cell r="S347">
            <v>724.5</v>
          </cell>
          <cell r="T347">
            <v>670.5</v>
          </cell>
          <cell r="U347">
            <v>639</v>
          </cell>
          <cell r="V347">
            <v>823.5</v>
          </cell>
          <cell r="W347">
            <v>630</v>
          </cell>
          <cell r="X347">
            <v>652.5</v>
          </cell>
          <cell r="Y347">
            <v>675</v>
          </cell>
          <cell r="Z347">
            <v>1030.5</v>
          </cell>
          <cell r="AA347">
            <v>553.5</v>
          </cell>
          <cell r="AB347">
            <v>760.5</v>
          </cell>
          <cell r="AC347">
            <v>778.5</v>
          </cell>
          <cell r="AD347">
            <v>702</v>
          </cell>
          <cell r="AE347">
            <v>1017</v>
          </cell>
          <cell r="AF347">
            <v>760.5</v>
          </cell>
          <cell r="AG347">
            <v>877.5</v>
          </cell>
          <cell r="AH347">
            <v>927</v>
          </cell>
          <cell r="AI347">
            <v>1089</v>
          </cell>
          <cell r="AJ347">
            <v>1012.5</v>
          </cell>
          <cell r="AK347">
            <v>859.5</v>
          </cell>
          <cell r="AL347">
            <v>554.5</v>
          </cell>
          <cell r="AM347">
            <v>819</v>
          </cell>
          <cell r="AN347">
            <v>787.5</v>
          </cell>
          <cell r="AO347">
            <v>765</v>
          </cell>
          <cell r="AP347">
            <v>612</v>
          </cell>
          <cell r="AQ347">
            <v>594</v>
          </cell>
          <cell r="AR347">
            <v>630</v>
          </cell>
          <cell r="AS347">
            <v>481.5</v>
          </cell>
          <cell r="AT347">
            <v>756</v>
          </cell>
          <cell r="AU347">
            <v>697.5</v>
          </cell>
          <cell r="AV347">
            <v>648</v>
          </cell>
          <cell r="AW347">
            <v>648</v>
          </cell>
          <cell r="AX347">
            <v>775.5</v>
          </cell>
          <cell r="AY347">
            <v>513</v>
          </cell>
          <cell r="AZ347">
            <v>990</v>
          </cell>
          <cell r="BA347">
            <v>769.5</v>
          </cell>
          <cell r="BB347">
            <v>792</v>
          </cell>
          <cell r="BC347">
            <v>823.5</v>
          </cell>
          <cell r="BD347">
            <v>724.5</v>
          </cell>
          <cell r="BE347">
            <v>697.5</v>
          </cell>
          <cell r="BF347">
            <v>801</v>
          </cell>
          <cell r="BG347">
            <v>607.5</v>
          </cell>
          <cell r="BH347">
            <v>342</v>
          </cell>
          <cell r="BI347">
            <v>553.5</v>
          </cell>
          <cell r="BJ347">
            <v>486</v>
          </cell>
          <cell r="BK347">
            <v>846</v>
          </cell>
          <cell r="BL347">
            <v>607.5</v>
          </cell>
          <cell r="BM347">
            <v>706.5</v>
          </cell>
          <cell r="BN347">
            <v>715.5</v>
          </cell>
          <cell r="BO347">
            <v>549</v>
          </cell>
          <cell r="BP347">
            <v>571.5</v>
          </cell>
          <cell r="BQ347">
            <v>558</v>
          </cell>
          <cell r="BR347">
            <v>737</v>
          </cell>
          <cell r="BS347">
            <v>676</v>
          </cell>
          <cell r="BT347">
            <v>580.5</v>
          </cell>
          <cell r="BU347">
            <v>688.5</v>
          </cell>
          <cell r="BV347">
            <v>576</v>
          </cell>
          <cell r="BW347">
            <v>711</v>
          </cell>
          <cell r="BX347">
            <v>625.5</v>
          </cell>
          <cell r="BY347">
            <v>796.5</v>
          </cell>
          <cell r="BZ347">
            <v>751.5</v>
          </cell>
          <cell r="CA347">
            <v>562.5</v>
          </cell>
          <cell r="CB347">
            <v>639</v>
          </cell>
          <cell r="CC347">
            <v>711</v>
          </cell>
          <cell r="CD347">
            <v>769.5</v>
          </cell>
          <cell r="CE347">
            <v>877.5</v>
          </cell>
          <cell r="CF347">
            <v>571.5</v>
          </cell>
          <cell r="CG347">
            <v>625.5</v>
          </cell>
          <cell r="CH347">
            <v>657</v>
          </cell>
          <cell r="CI347">
            <v>954</v>
          </cell>
          <cell r="CJ347">
            <v>1017</v>
          </cell>
          <cell r="CK347">
            <v>562.5</v>
          </cell>
          <cell r="CL347">
            <v>405</v>
          </cell>
          <cell r="CM347">
            <v>540</v>
          </cell>
          <cell r="CN347">
            <v>805.5</v>
          </cell>
          <cell r="CO347">
            <v>778.5</v>
          </cell>
          <cell r="CP347">
            <v>886.5</v>
          </cell>
          <cell r="CQ347">
            <v>200.47</v>
          </cell>
          <cell r="EH347" t="str">
            <v>SIN USO</v>
          </cell>
          <cell r="EI347" t="str">
            <v>B</v>
          </cell>
          <cell r="EJ347">
            <v>540</v>
          </cell>
          <cell r="EK347">
            <v>0</v>
          </cell>
          <cell r="EL347">
            <v>0</v>
          </cell>
        </row>
        <row r="348">
          <cell r="F348">
            <v>107204</v>
          </cell>
          <cell r="G348" t="str">
            <v>RELLENO PIE MARACUYÁ BALDE 4,5 Kg</v>
          </cell>
          <cell r="H348">
            <v>63</v>
          </cell>
          <cell r="AB348">
            <v>31.5</v>
          </cell>
          <cell r="AC348">
            <v>90</v>
          </cell>
          <cell r="AD348">
            <v>171</v>
          </cell>
          <cell r="AE348">
            <v>409.5</v>
          </cell>
          <cell r="AF348">
            <v>265.5</v>
          </cell>
          <cell r="AG348">
            <v>351</v>
          </cell>
          <cell r="AH348">
            <v>400.5</v>
          </cell>
          <cell r="AI348">
            <v>490.5</v>
          </cell>
          <cell r="AJ348">
            <v>436.5</v>
          </cell>
          <cell r="AK348">
            <v>486</v>
          </cell>
          <cell r="AL348">
            <v>412.5</v>
          </cell>
          <cell r="AM348">
            <v>571.5</v>
          </cell>
          <cell r="AN348">
            <v>441</v>
          </cell>
          <cell r="AO348">
            <v>423</v>
          </cell>
          <cell r="AP348">
            <v>517.5</v>
          </cell>
          <cell r="AQ348">
            <v>454.5</v>
          </cell>
          <cell r="AR348">
            <v>418.5</v>
          </cell>
          <cell r="AS348">
            <v>126</v>
          </cell>
          <cell r="AT348">
            <v>459</v>
          </cell>
          <cell r="AU348">
            <v>380</v>
          </cell>
          <cell r="AV348">
            <v>355.5</v>
          </cell>
          <cell r="AW348">
            <v>301.5</v>
          </cell>
          <cell r="AX348">
            <v>342</v>
          </cell>
          <cell r="AY348">
            <v>351</v>
          </cell>
          <cell r="AZ348">
            <v>346.5</v>
          </cell>
          <cell r="BA348">
            <v>409.5</v>
          </cell>
          <cell r="BB348">
            <v>387</v>
          </cell>
          <cell r="BC348">
            <v>409.5</v>
          </cell>
          <cell r="BD348">
            <v>409.5</v>
          </cell>
          <cell r="BE348">
            <v>409.5</v>
          </cell>
          <cell r="BF348">
            <v>355.5</v>
          </cell>
          <cell r="BG348">
            <v>270</v>
          </cell>
          <cell r="BH348">
            <v>198</v>
          </cell>
          <cell r="BI348">
            <v>382.5</v>
          </cell>
          <cell r="BJ348">
            <v>286</v>
          </cell>
          <cell r="BK348">
            <v>387.5</v>
          </cell>
          <cell r="BL348">
            <v>369</v>
          </cell>
          <cell r="BM348">
            <v>306</v>
          </cell>
          <cell r="BN348">
            <v>342</v>
          </cell>
          <cell r="BO348">
            <v>328.5</v>
          </cell>
          <cell r="BP348">
            <v>333</v>
          </cell>
          <cell r="BQ348">
            <v>283.5</v>
          </cell>
          <cell r="BR348">
            <v>432</v>
          </cell>
          <cell r="BS348">
            <v>310.5</v>
          </cell>
          <cell r="BT348">
            <v>333</v>
          </cell>
          <cell r="BU348">
            <v>306</v>
          </cell>
          <cell r="BV348">
            <v>324</v>
          </cell>
          <cell r="BW348">
            <v>328.5</v>
          </cell>
          <cell r="BX348">
            <v>301.5</v>
          </cell>
          <cell r="BY348">
            <v>216</v>
          </cell>
          <cell r="BZ348">
            <v>4.5</v>
          </cell>
          <cell r="CA348">
            <v>49.5</v>
          </cell>
          <cell r="CB348">
            <v>40.5</v>
          </cell>
          <cell r="CC348">
            <v>49.5</v>
          </cell>
          <cell r="CD348">
            <v>58.5</v>
          </cell>
          <cell r="CE348">
            <v>49.5</v>
          </cell>
          <cell r="CF348">
            <v>36</v>
          </cell>
          <cell r="CG348">
            <v>49.5</v>
          </cell>
          <cell r="CH348">
            <v>112.5</v>
          </cell>
          <cell r="CI348">
            <v>306</v>
          </cell>
          <cell r="CJ348">
            <v>288</v>
          </cell>
          <cell r="CK348">
            <v>256.5</v>
          </cell>
          <cell r="CL348">
            <v>229.5</v>
          </cell>
          <cell r="CM348">
            <v>243</v>
          </cell>
          <cell r="CN348">
            <v>297</v>
          </cell>
          <cell r="CO348">
            <v>346.5</v>
          </cell>
          <cell r="CP348">
            <v>324</v>
          </cell>
          <cell r="CQ348">
            <v>270</v>
          </cell>
          <cell r="CR348">
            <v>283.5</v>
          </cell>
          <cell r="CS348">
            <v>49.5</v>
          </cell>
          <cell r="CT348">
            <v>256.5</v>
          </cell>
          <cell r="CU348">
            <v>207</v>
          </cell>
          <cell r="CV348">
            <v>175.5</v>
          </cell>
          <cell r="CW348">
            <v>162</v>
          </cell>
          <cell r="CX348">
            <v>162</v>
          </cell>
          <cell r="CY348">
            <v>162</v>
          </cell>
          <cell r="CZ348">
            <v>148.5</v>
          </cell>
          <cell r="DA348">
            <v>135</v>
          </cell>
          <cell r="DB348">
            <v>144</v>
          </cell>
          <cell r="DC348">
            <v>175.5</v>
          </cell>
          <cell r="DD348">
            <v>153</v>
          </cell>
          <cell r="DE348">
            <v>108</v>
          </cell>
          <cell r="DF348">
            <v>184.5</v>
          </cell>
          <cell r="DG348">
            <v>153</v>
          </cell>
          <cell r="DH348">
            <v>85.5</v>
          </cell>
          <cell r="DI348">
            <v>45</v>
          </cell>
          <cell r="DJ348">
            <v>139.5</v>
          </cell>
          <cell r="DK348">
            <v>130.5</v>
          </cell>
          <cell r="DL348">
            <v>135</v>
          </cell>
          <cell r="DM348">
            <v>130.5</v>
          </cell>
          <cell r="DN348">
            <v>117</v>
          </cell>
          <cell r="DO348">
            <v>112.5</v>
          </cell>
          <cell r="DP348">
            <v>126</v>
          </cell>
          <cell r="DQ348">
            <v>135</v>
          </cell>
          <cell r="DR348">
            <v>135</v>
          </cell>
          <cell r="DS348">
            <v>180</v>
          </cell>
          <cell r="DT348">
            <v>117</v>
          </cell>
          <cell r="DU348">
            <v>148.5</v>
          </cell>
          <cell r="DV348">
            <v>130.5</v>
          </cell>
          <cell r="DW348">
            <v>112.5</v>
          </cell>
          <cell r="DX348">
            <v>108</v>
          </cell>
          <cell r="DY348">
            <v>126</v>
          </cell>
          <cell r="DZ348">
            <v>112.5</v>
          </cell>
          <cell r="EA348">
            <v>85.5</v>
          </cell>
          <cell r="EB348">
            <v>117</v>
          </cell>
          <cell r="EC348">
            <v>90</v>
          </cell>
          <cell r="ED348">
            <v>121.5</v>
          </cell>
          <cell r="EE348">
            <v>135</v>
          </cell>
          <cell r="EF348">
            <v>121.5</v>
          </cell>
          <cell r="EG348">
            <v>103.5</v>
          </cell>
          <cell r="EH348" t="str">
            <v>ACTIVO</v>
          </cell>
          <cell r="EI348" t="str">
            <v>B</v>
          </cell>
          <cell r="EJ348">
            <v>540</v>
          </cell>
          <cell r="EK348">
            <v>120.6</v>
          </cell>
          <cell r="EL348">
            <v>20.099999999999998</v>
          </cell>
        </row>
        <row r="349">
          <cell r="F349">
            <v>107360</v>
          </cell>
          <cell r="G349" t="str">
            <v>RELLENO PIE DE FRAMBUESA</v>
          </cell>
          <cell r="AB349">
            <v>14.5</v>
          </cell>
          <cell r="AC349">
            <v>85.5</v>
          </cell>
          <cell r="AD349">
            <v>144</v>
          </cell>
          <cell r="AE349">
            <v>332.5</v>
          </cell>
          <cell r="AF349">
            <v>274</v>
          </cell>
          <cell r="AG349">
            <v>358.5</v>
          </cell>
          <cell r="AH349">
            <v>313</v>
          </cell>
          <cell r="AI349">
            <v>368.5</v>
          </cell>
          <cell r="AJ349">
            <v>333</v>
          </cell>
          <cell r="AK349">
            <v>471</v>
          </cell>
          <cell r="AL349">
            <v>347.5</v>
          </cell>
          <cell r="AM349">
            <v>500.5</v>
          </cell>
          <cell r="AN349">
            <v>407</v>
          </cell>
          <cell r="AO349">
            <v>382.5</v>
          </cell>
          <cell r="AP349">
            <v>398</v>
          </cell>
          <cell r="AQ349">
            <v>383</v>
          </cell>
          <cell r="AR349">
            <v>349</v>
          </cell>
          <cell r="AS349">
            <v>115</v>
          </cell>
          <cell r="AT349">
            <v>85</v>
          </cell>
          <cell r="AU349">
            <v>180</v>
          </cell>
          <cell r="BL349">
            <v>355.5</v>
          </cell>
          <cell r="BM349">
            <v>252</v>
          </cell>
          <cell r="BN349">
            <v>229.5</v>
          </cell>
          <cell r="BO349">
            <v>171</v>
          </cell>
          <cell r="BP349">
            <v>193.5</v>
          </cell>
          <cell r="BQ349">
            <v>148.5</v>
          </cell>
          <cell r="BR349">
            <v>220.5</v>
          </cell>
          <cell r="EH349" t="str">
            <v>SIN USO</v>
          </cell>
          <cell r="EI349" t="str">
            <v>C</v>
          </cell>
          <cell r="EJ349">
            <v>540</v>
          </cell>
          <cell r="EK349">
            <v>0</v>
          </cell>
          <cell r="EL349">
            <v>0</v>
          </cell>
        </row>
        <row r="350">
          <cell r="F350">
            <v>107294</v>
          </cell>
          <cell r="G350" t="str">
            <v>DULCE DE RELLENO DIWATTS</v>
          </cell>
          <cell r="H350">
            <v>840</v>
          </cell>
          <cell r="V350">
            <v>852</v>
          </cell>
          <cell r="W350">
            <v>270</v>
          </cell>
          <cell r="X350">
            <v>168</v>
          </cell>
          <cell r="Y350">
            <v>102</v>
          </cell>
          <cell r="AA350">
            <v>420</v>
          </cell>
          <cell r="AB350">
            <v>426</v>
          </cell>
          <cell r="AC350">
            <v>2509</v>
          </cell>
          <cell r="AD350">
            <v>4230</v>
          </cell>
          <cell r="AE350">
            <v>4470</v>
          </cell>
          <cell r="AF350">
            <v>1164</v>
          </cell>
          <cell r="AG350">
            <v>2470</v>
          </cell>
          <cell r="AH350">
            <v>1512</v>
          </cell>
          <cell r="AI350">
            <v>1650</v>
          </cell>
          <cell r="AJ350">
            <v>3684</v>
          </cell>
          <cell r="AK350">
            <v>2508</v>
          </cell>
          <cell r="AL350">
            <v>978</v>
          </cell>
          <cell r="AM350">
            <v>1566</v>
          </cell>
          <cell r="AN350">
            <v>1386</v>
          </cell>
          <cell r="AO350">
            <v>1356</v>
          </cell>
          <cell r="AP350">
            <v>1668</v>
          </cell>
          <cell r="AQ350">
            <v>1888</v>
          </cell>
          <cell r="AR350">
            <v>1944</v>
          </cell>
          <cell r="AS350">
            <v>210</v>
          </cell>
          <cell r="AT350">
            <v>1596</v>
          </cell>
          <cell r="AU350">
            <v>1698</v>
          </cell>
          <cell r="AV350">
            <v>1038</v>
          </cell>
          <cell r="AW350">
            <v>1266</v>
          </cell>
          <cell r="AX350">
            <v>4152</v>
          </cell>
          <cell r="AY350">
            <v>1548</v>
          </cell>
          <cell r="AZ350">
            <v>1002</v>
          </cell>
          <cell r="BA350">
            <v>3636</v>
          </cell>
          <cell r="BB350">
            <v>822</v>
          </cell>
          <cell r="BC350">
            <v>1242</v>
          </cell>
          <cell r="BD350">
            <v>2382</v>
          </cell>
          <cell r="BE350">
            <v>3480</v>
          </cell>
          <cell r="BF350">
            <v>1147</v>
          </cell>
          <cell r="BG350">
            <v>780</v>
          </cell>
          <cell r="BH350">
            <v>486</v>
          </cell>
          <cell r="BI350">
            <v>1002</v>
          </cell>
          <cell r="BJ350">
            <v>2976</v>
          </cell>
          <cell r="BK350">
            <v>1404</v>
          </cell>
          <cell r="BL350">
            <v>2472</v>
          </cell>
          <cell r="BM350">
            <v>1878</v>
          </cell>
          <cell r="BN350">
            <v>1170</v>
          </cell>
          <cell r="BO350">
            <v>3654</v>
          </cell>
          <cell r="BP350">
            <v>900</v>
          </cell>
          <cell r="BQ350">
            <v>3276</v>
          </cell>
          <cell r="BR350">
            <v>2718</v>
          </cell>
          <cell r="BS350">
            <v>3948</v>
          </cell>
          <cell r="BT350">
            <v>1866</v>
          </cell>
          <cell r="BU350">
            <v>2154</v>
          </cell>
          <cell r="BV350">
            <v>846</v>
          </cell>
          <cell r="BW350">
            <v>2624</v>
          </cell>
          <cell r="BX350">
            <v>2134</v>
          </cell>
          <cell r="BY350">
            <v>2082</v>
          </cell>
          <cell r="BZ350">
            <v>2004</v>
          </cell>
          <cell r="CA350">
            <v>2034</v>
          </cell>
          <cell r="CB350">
            <v>2136</v>
          </cell>
          <cell r="CC350">
            <v>2682</v>
          </cell>
          <cell r="CD350">
            <v>2118</v>
          </cell>
          <cell r="CE350">
            <v>2658</v>
          </cell>
          <cell r="CF350">
            <v>2376</v>
          </cell>
          <cell r="CG350">
            <v>1218</v>
          </cell>
          <cell r="CH350">
            <v>2004</v>
          </cell>
          <cell r="CI350">
            <v>2742</v>
          </cell>
          <cell r="CJ350">
            <v>2352</v>
          </cell>
          <cell r="CK350">
            <v>1908</v>
          </cell>
          <cell r="CL350">
            <v>1476</v>
          </cell>
          <cell r="CM350">
            <v>192</v>
          </cell>
          <cell r="CN350">
            <v>2646</v>
          </cell>
          <cell r="CO350">
            <v>2298</v>
          </cell>
          <cell r="CP350">
            <v>3774</v>
          </cell>
          <cell r="CQ350">
            <v>1296</v>
          </cell>
          <cell r="CR350">
            <v>3414</v>
          </cell>
          <cell r="CS350">
            <v>1344</v>
          </cell>
          <cell r="CT350">
            <v>1752</v>
          </cell>
          <cell r="CU350">
            <v>2214</v>
          </cell>
          <cell r="CV350">
            <v>1284</v>
          </cell>
          <cell r="CW350">
            <v>3505</v>
          </cell>
          <cell r="CX350">
            <v>2094</v>
          </cell>
          <cell r="CY350">
            <v>1146</v>
          </cell>
          <cell r="CZ350">
            <v>1536</v>
          </cell>
          <cell r="DA350">
            <v>2154</v>
          </cell>
          <cell r="DB350">
            <v>8070</v>
          </cell>
          <cell r="DC350">
            <v>1728</v>
          </cell>
          <cell r="DD350">
            <v>1110</v>
          </cell>
          <cell r="DE350">
            <v>1296</v>
          </cell>
          <cell r="DF350">
            <v>2094</v>
          </cell>
          <cell r="DG350">
            <v>390</v>
          </cell>
          <cell r="DH350">
            <v>1116</v>
          </cell>
          <cell r="DI350">
            <v>114</v>
          </cell>
          <cell r="DJ350">
            <v>1458</v>
          </cell>
          <cell r="DK350">
            <v>1986</v>
          </cell>
          <cell r="DL350">
            <v>2550</v>
          </cell>
          <cell r="DM350">
            <v>1680</v>
          </cell>
          <cell r="DN350">
            <v>2028</v>
          </cell>
          <cell r="DO350">
            <v>2406</v>
          </cell>
          <cell r="DP350">
            <v>1148</v>
          </cell>
          <cell r="DQ350">
            <v>1470</v>
          </cell>
          <cell r="DR350">
            <v>2592</v>
          </cell>
          <cell r="DS350">
            <v>1998</v>
          </cell>
          <cell r="DT350">
            <v>2376</v>
          </cell>
          <cell r="DU350">
            <v>1674</v>
          </cell>
          <cell r="DV350">
            <v>1428</v>
          </cell>
          <cell r="DW350">
            <v>2346</v>
          </cell>
          <cell r="DX350">
            <v>3744</v>
          </cell>
          <cell r="DY350">
            <v>4656</v>
          </cell>
          <cell r="DZ350">
            <v>1772</v>
          </cell>
          <cell r="EA350">
            <v>1476</v>
          </cell>
          <cell r="EB350">
            <v>3600</v>
          </cell>
          <cell r="EC350">
            <v>3288</v>
          </cell>
          <cell r="ED350">
            <v>1776</v>
          </cell>
          <cell r="EE350">
            <v>2556</v>
          </cell>
          <cell r="EF350">
            <v>2658</v>
          </cell>
          <cell r="EG350">
            <v>2622</v>
          </cell>
          <cell r="EH350" t="str">
            <v>ACTIVO</v>
          </cell>
          <cell r="EI350" t="str">
            <v>A</v>
          </cell>
          <cell r="EJ350">
            <v>1200</v>
          </cell>
          <cell r="EK350">
            <v>2216.08</v>
          </cell>
          <cell r="EL350">
            <v>369.34666666666664</v>
          </cell>
        </row>
        <row r="351">
          <cell r="F351">
            <v>107129</v>
          </cell>
          <cell r="G351" t="str">
            <v>MERM. MEL FRAMBUESA QUINTA BALDE 5 Kg</v>
          </cell>
          <cell r="H351">
            <v>2020</v>
          </cell>
          <cell r="I351">
            <v>1650</v>
          </cell>
          <cell r="J351">
            <v>1450</v>
          </cell>
          <cell r="K351">
            <v>1400</v>
          </cell>
          <cell r="L351">
            <v>1630</v>
          </cell>
          <cell r="M351">
            <v>2350</v>
          </cell>
          <cell r="N351">
            <v>1700</v>
          </cell>
          <cell r="O351">
            <v>1210</v>
          </cell>
          <cell r="P351">
            <v>1490</v>
          </cell>
          <cell r="Q351">
            <v>1810</v>
          </cell>
          <cell r="R351">
            <v>2210</v>
          </cell>
          <cell r="S351">
            <v>1425</v>
          </cell>
          <cell r="T351">
            <v>1330</v>
          </cell>
          <cell r="U351">
            <v>1705</v>
          </cell>
          <cell r="V351">
            <v>2005</v>
          </cell>
          <cell r="W351">
            <v>1965</v>
          </cell>
          <cell r="X351">
            <v>2470</v>
          </cell>
          <cell r="Y351">
            <v>1930</v>
          </cell>
          <cell r="Z351">
            <v>2580</v>
          </cell>
          <cell r="AA351">
            <v>1590</v>
          </cell>
          <cell r="AB351">
            <v>2080</v>
          </cell>
          <cell r="AC351">
            <v>1600</v>
          </cell>
          <cell r="AD351">
            <v>2630</v>
          </cell>
          <cell r="AE351">
            <v>2160</v>
          </cell>
          <cell r="AF351">
            <v>1660</v>
          </cell>
          <cell r="AG351">
            <v>2060</v>
          </cell>
          <cell r="AH351">
            <v>1530</v>
          </cell>
          <cell r="AI351">
            <v>1660</v>
          </cell>
          <cell r="AJ351">
            <v>2175</v>
          </cell>
          <cell r="AK351">
            <v>2145</v>
          </cell>
          <cell r="AL351">
            <v>1806.6</v>
          </cell>
          <cell r="AM351">
            <v>1930</v>
          </cell>
          <cell r="AN351">
            <v>1530</v>
          </cell>
          <cell r="AO351">
            <v>1790</v>
          </cell>
          <cell r="AP351">
            <v>1675</v>
          </cell>
          <cell r="AQ351">
            <v>1815</v>
          </cell>
          <cell r="AR351">
            <v>1600</v>
          </cell>
          <cell r="AS351">
            <v>875</v>
          </cell>
          <cell r="AT351">
            <v>1405</v>
          </cell>
          <cell r="AU351">
            <v>1641</v>
          </cell>
          <cell r="AV351">
            <v>1390</v>
          </cell>
          <cell r="AW351">
            <v>1480</v>
          </cell>
          <cell r="AX351">
            <v>1725</v>
          </cell>
          <cell r="AY351">
            <v>1515</v>
          </cell>
          <cell r="AZ351">
            <v>1495</v>
          </cell>
          <cell r="BA351">
            <v>1505</v>
          </cell>
          <cell r="BB351">
            <v>1305</v>
          </cell>
          <cell r="BC351">
            <v>1600</v>
          </cell>
          <cell r="BD351">
            <v>1320</v>
          </cell>
          <cell r="BE351">
            <v>1445</v>
          </cell>
          <cell r="BF351">
            <v>2010</v>
          </cell>
          <cell r="BG351">
            <v>1765</v>
          </cell>
          <cell r="BH351">
            <v>795</v>
          </cell>
          <cell r="BI351">
            <v>1525</v>
          </cell>
          <cell r="BJ351">
            <v>1225</v>
          </cell>
          <cell r="BK351">
            <v>1555</v>
          </cell>
          <cell r="BL351">
            <v>1430</v>
          </cell>
          <cell r="BM351">
            <v>1595</v>
          </cell>
          <cell r="BN351">
            <v>1690</v>
          </cell>
          <cell r="BO351">
            <v>1854.5</v>
          </cell>
          <cell r="BP351">
            <v>1480</v>
          </cell>
          <cell r="BQ351">
            <v>1590</v>
          </cell>
          <cell r="BR351">
            <v>1560</v>
          </cell>
          <cell r="BS351">
            <v>1010</v>
          </cell>
          <cell r="BT351">
            <v>1200</v>
          </cell>
          <cell r="BU351">
            <v>1730</v>
          </cell>
          <cell r="BV351">
            <v>1165</v>
          </cell>
          <cell r="BW351">
            <v>1620</v>
          </cell>
          <cell r="BX351">
            <v>1665</v>
          </cell>
          <cell r="BY351">
            <v>2110</v>
          </cell>
          <cell r="BZ351">
            <v>2465</v>
          </cell>
          <cell r="CA351">
            <v>1740</v>
          </cell>
          <cell r="CB351">
            <v>1075</v>
          </cell>
          <cell r="CC351">
            <v>1290</v>
          </cell>
          <cell r="CD351">
            <v>1340</v>
          </cell>
          <cell r="CE351">
            <v>2080</v>
          </cell>
          <cell r="CF351">
            <v>1850</v>
          </cell>
          <cell r="CG351">
            <v>1305</v>
          </cell>
          <cell r="CH351">
            <v>1910</v>
          </cell>
          <cell r="CI351">
            <v>1310</v>
          </cell>
          <cell r="CJ351">
            <v>1275</v>
          </cell>
          <cell r="CK351">
            <v>1395</v>
          </cell>
          <cell r="CL351">
            <v>1430</v>
          </cell>
          <cell r="CM351">
            <v>1810</v>
          </cell>
          <cell r="CN351">
            <v>1685</v>
          </cell>
          <cell r="CO351">
            <v>1535</v>
          </cell>
          <cell r="CP351">
            <v>1380</v>
          </cell>
          <cell r="CQ351">
            <v>2050</v>
          </cell>
          <cell r="CR351">
            <v>1685</v>
          </cell>
          <cell r="CS351">
            <v>1095</v>
          </cell>
          <cell r="CT351">
            <v>1880</v>
          </cell>
          <cell r="CU351">
            <v>2005</v>
          </cell>
          <cell r="CV351">
            <v>1695</v>
          </cell>
          <cell r="CW351">
            <v>1720</v>
          </cell>
          <cell r="CX351">
            <v>1765</v>
          </cell>
          <cell r="CY351">
            <v>2040</v>
          </cell>
          <cell r="CZ351">
            <v>1740</v>
          </cell>
          <cell r="DA351">
            <v>1305</v>
          </cell>
          <cell r="DB351">
            <v>2730</v>
          </cell>
          <cell r="DC351">
            <v>1330</v>
          </cell>
          <cell r="DD351">
            <v>1480</v>
          </cell>
          <cell r="DE351">
            <v>1030</v>
          </cell>
          <cell r="DF351">
            <v>2865</v>
          </cell>
          <cell r="DG351">
            <v>2325</v>
          </cell>
          <cell r="DH351">
            <v>1080</v>
          </cell>
          <cell r="DI351">
            <v>330</v>
          </cell>
          <cell r="DJ351">
            <v>2150</v>
          </cell>
          <cell r="DK351">
            <v>2535</v>
          </cell>
          <cell r="DL351">
            <v>1620</v>
          </cell>
          <cell r="DM351">
            <v>1440</v>
          </cell>
          <cell r="DN351">
            <v>1175</v>
          </cell>
          <cell r="DO351">
            <v>1700</v>
          </cell>
          <cell r="DP351">
            <v>1600</v>
          </cell>
          <cell r="DQ351">
            <v>1050</v>
          </cell>
          <cell r="DR351">
            <v>2010</v>
          </cell>
          <cell r="DS351">
            <v>1442</v>
          </cell>
          <cell r="DT351">
            <v>1935</v>
          </cell>
          <cell r="DU351">
            <v>1485</v>
          </cell>
          <cell r="DV351">
            <v>1585</v>
          </cell>
          <cell r="DW351">
            <v>1960</v>
          </cell>
          <cell r="DX351">
            <v>1895</v>
          </cell>
          <cell r="DY351">
            <v>3155</v>
          </cell>
          <cell r="DZ351">
            <v>2020</v>
          </cell>
          <cell r="EA351">
            <v>2005</v>
          </cell>
          <cell r="EB351">
            <v>2135</v>
          </cell>
          <cell r="EC351">
            <v>1260</v>
          </cell>
          <cell r="ED351">
            <v>1950</v>
          </cell>
          <cell r="EE351">
            <v>1665</v>
          </cell>
          <cell r="EF351">
            <v>1690</v>
          </cell>
          <cell r="EG351">
            <v>1940</v>
          </cell>
          <cell r="EH351" t="str">
            <v>ACTIVO</v>
          </cell>
          <cell r="EI351" t="str">
            <v>A</v>
          </cell>
          <cell r="EJ351">
            <v>600</v>
          </cell>
          <cell r="EK351">
            <v>1749.28</v>
          </cell>
          <cell r="EL351">
            <v>291.54666666666668</v>
          </cell>
        </row>
        <row r="352">
          <cell r="F352">
            <v>403407</v>
          </cell>
          <cell r="G352" t="str">
            <v>MERM. LAMARKA FRAMBUESA BALDE 5 Kg</v>
          </cell>
          <cell r="AF352">
            <v>235</v>
          </cell>
          <cell r="AG352">
            <v>200</v>
          </cell>
          <cell r="AH352">
            <v>195</v>
          </cell>
          <cell r="AI352">
            <v>220</v>
          </cell>
          <cell r="AJ352">
            <v>205</v>
          </cell>
          <cell r="AK352">
            <v>195</v>
          </cell>
          <cell r="AL352">
            <v>607</v>
          </cell>
          <cell r="AM352">
            <v>50</v>
          </cell>
          <cell r="AN352">
            <v>175</v>
          </cell>
          <cell r="AO352">
            <v>360</v>
          </cell>
          <cell r="AP352">
            <v>175</v>
          </cell>
          <cell r="AQ352">
            <v>170</v>
          </cell>
          <cell r="AR352">
            <v>165</v>
          </cell>
          <cell r="AT352">
            <v>150</v>
          </cell>
          <cell r="AU352">
            <v>160</v>
          </cell>
          <cell r="AV352">
            <v>145</v>
          </cell>
          <cell r="AW352">
            <v>100</v>
          </cell>
          <cell r="BA352">
            <v>600</v>
          </cell>
          <cell r="BC352">
            <v>1885</v>
          </cell>
          <cell r="EH352" t="str">
            <v>SIN USO</v>
          </cell>
          <cell r="EI352" t="str">
            <v/>
          </cell>
          <cell r="EJ352">
            <v>600</v>
          </cell>
          <cell r="EK352">
            <v>0</v>
          </cell>
          <cell r="EL352">
            <v>0</v>
          </cell>
        </row>
        <row r="353">
          <cell r="F353">
            <v>107193</v>
          </cell>
          <cell r="G353" t="str">
            <v>MERMELADA DE FRAMBUESA EBEL</v>
          </cell>
          <cell r="H353">
            <v>790</v>
          </cell>
          <cell r="I353">
            <v>1305</v>
          </cell>
          <cell r="J353">
            <v>1150</v>
          </cell>
          <cell r="K353">
            <v>975</v>
          </cell>
          <cell r="L353">
            <v>1115</v>
          </cell>
          <cell r="M353">
            <v>2050</v>
          </cell>
          <cell r="N353">
            <v>930</v>
          </cell>
          <cell r="O353">
            <v>775</v>
          </cell>
          <cell r="P353">
            <v>1080</v>
          </cell>
          <cell r="Q353">
            <v>1040</v>
          </cell>
          <cell r="R353">
            <v>1050</v>
          </cell>
          <cell r="S353">
            <v>670</v>
          </cell>
          <cell r="T353">
            <v>970</v>
          </cell>
          <cell r="U353">
            <v>1295</v>
          </cell>
          <cell r="V353">
            <v>875</v>
          </cell>
          <cell r="W353">
            <v>755</v>
          </cell>
          <cell r="X353">
            <v>1210</v>
          </cell>
          <cell r="Y353">
            <v>1630</v>
          </cell>
          <cell r="Z353">
            <v>1085</v>
          </cell>
          <cell r="AA353">
            <v>990</v>
          </cell>
          <cell r="AB353">
            <v>1120</v>
          </cell>
          <cell r="AC353">
            <v>1000</v>
          </cell>
          <cell r="AD353">
            <v>1985</v>
          </cell>
          <cell r="AE353">
            <v>1455.5</v>
          </cell>
          <cell r="AF353">
            <v>865</v>
          </cell>
          <cell r="AG353">
            <v>970</v>
          </cell>
          <cell r="AH353">
            <v>930</v>
          </cell>
          <cell r="AI353">
            <v>1135</v>
          </cell>
          <cell r="AJ353">
            <v>1050</v>
          </cell>
          <cell r="AK353">
            <v>1130</v>
          </cell>
          <cell r="AL353">
            <v>1330</v>
          </cell>
          <cell r="AM353">
            <v>935</v>
          </cell>
          <cell r="AN353">
            <v>1070</v>
          </cell>
          <cell r="AO353">
            <v>845</v>
          </cell>
          <cell r="AP353">
            <v>770</v>
          </cell>
          <cell r="AQ353">
            <v>799.5</v>
          </cell>
          <cell r="AR353">
            <v>850</v>
          </cell>
          <cell r="AS353">
            <v>400</v>
          </cell>
          <cell r="AT353">
            <v>675</v>
          </cell>
          <cell r="AU353">
            <v>800.5</v>
          </cell>
          <cell r="AV353">
            <v>665</v>
          </cell>
          <cell r="AW353">
            <v>570</v>
          </cell>
          <cell r="AX353">
            <v>2340</v>
          </cell>
          <cell r="AY353">
            <v>1160</v>
          </cell>
          <cell r="AZ353">
            <v>1110</v>
          </cell>
          <cell r="BA353">
            <v>910</v>
          </cell>
          <cell r="BB353">
            <v>1275</v>
          </cell>
          <cell r="BC353">
            <v>850</v>
          </cell>
          <cell r="BD353">
            <v>710</v>
          </cell>
          <cell r="BE353">
            <v>810</v>
          </cell>
          <cell r="BF353">
            <v>1570</v>
          </cell>
          <cell r="BG353">
            <v>545</v>
          </cell>
          <cell r="BH353">
            <v>230</v>
          </cell>
          <cell r="BI353">
            <v>1140</v>
          </cell>
          <cell r="BJ353">
            <v>920</v>
          </cell>
          <cell r="BK353">
            <v>1200</v>
          </cell>
          <cell r="BL353">
            <v>915</v>
          </cell>
          <cell r="BM353">
            <v>1235</v>
          </cell>
          <cell r="BN353">
            <v>990</v>
          </cell>
          <cell r="BO353">
            <v>935</v>
          </cell>
          <cell r="BP353">
            <v>645</v>
          </cell>
          <cell r="BQ353">
            <v>965</v>
          </cell>
          <cell r="BR353">
            <v>1465</v>
          </cell>
          <cell r="BS353">
            <v>985</v>
          </cell>
          <cell r="BT353">
            <v>945</v>
          </cell>
          <cell r="BU353">
            <v>835</v>
          </cell>
          <cell r="BV353">
            <v>930</v>
          </cell>
          <cell r="BW353">
            <v>1540</v>
          </cell>
          <cell r="BX353">
            <v>635</v>
          </cell>
          <cell r="BY353">
            <v>1110</v>
          </cell>
          <cell r="BZ353">
            <v>1110</v>
          </cell>
          <cell r="CA353">
            <v>650</v>
          </cell>
          <cell r="CB353">
            <v>1530</v>
          </cell>
          <cell r="CC353">
            <v>1220</v>
          </cell>
          <cell r="CD353">
            <v>770</v>
          </cell>
          <cell r="CE353">
            <v>1720</v>
          </cell>
          <cell r="CF353">
            <v>545</v>
          </cell>
          <cell r="CG353">
            <v>630</v>
          </cell>
          <cell r="CH353">
            <v>695</v>
          </cell>
          <cell r="CI353">
            <v>940</v>
          </cell>
          <cell r="CJ353">
            <v>1070</v>
          </cell>
          <cell r="CK353">
            <v>815</v>
          </cell>
          <cell r="CL353">
            <v>805</v>
          </cell>
          <cell r="CM353">
            <v>970</v>
          </cell>
          <cell r="CN353">
            <v>1125</v>
          </cell>
          <cell r="CO353">
            <v>880</v>
          </cell>
          <cell r="CP353">
            <v>1015</v>
          </cell>
          <cell r="CQ353">
            <v>855</v>
          </cell>
          <cell r="CR353">
            <v>1000</v>
          </cell>
          <cell r="CS353">
            <v>580</v>
          </cell>
          <cell r="CT353">
            <v>1155</v>
          </cell>
          <cell r="CU353">
            <v>1215</v>
          </cell>
          <cell r="CV353">
            <v>1005</v>
          </cell>
          <cell r="CW353">
            <v>965</v>
          </cell>
          <cell r="CX353">
            <v>1210</v>
          </cell>
          <cell r="CY353">
            <v>1335</v>
          </cell>
          <cell r="CZ353">
            <v>1105</v>
          </cell>
          <cell r="DA353">
            <v>1520</v>
          </cell>
          <cell r="DB353">
            <v>945</v>
          </cell>
          <cell r="DC353">
            <v>1080</v>
          </cell>
          <cell r="DD353">
            <v>880</v>
          </cell>
          <cell r="DE353">
            <v>635</v>
          </cell>
          <cell r="DF353">
            <v>1165</v>
          </cell>
          <cell r="DG353">
            <v>815</v>
          </cell>
          <cell r="DH353">
            <v>605</v>
          </cell>
          <cell r="DI353">
            <v>190</v>
          </cell>
          <cell r="DJ353">
            <v>1156</v>
          </cell>
          <cell r="DK353">
            <v>1320</v>
          </cell>
          <cell r="DL353">
            <v>1180</v>
          </cell>
          <cell r="DM353">
            <v>700</v>
          </cell>
          <cell r="DN353">
            <v>775</v>
          </cell>
          <cell r="DO353">
            <v>920</v>
          </cell>
          <cell r="DP353">
            <v>885</v>
          </cell>
          <cell r="DQ353">
            <v>765</v>
          </cell>
          <cell r="DR353">
            <v>825</v>
          </cell>
          <cell r="DS353">
            <v>860</v>
          </cell>
          <cell r="DT353">
            <v>755</v>
          </cell>
          <cell r="DU353">
            <v>875</v>
          </cell>
          <cell r="DV353">
            <v>1015</v>
          </cell>
          <cell r="DW353">
            <v>830</v>
          </cell>
          <cell r="DX353">
            <v>895</v>
          </cell>
          <cell r="DY353">
            <v>1480</v>
          </cell>
          <cell r="DZ353">
            <v>2070</v>
          </cell>
          <cell r="EA353">
            <v>1055</v>
          </cell>
          <cell r="EB353">
            <v>1040</v>
          </cell>
          <cell r="EC353">
            <v>830</v>
          </cell>
          <cell r="ED353">
            <v>940</v>
          </cell>
          <cell r="EE353">
            <v>835</v>
          </cell>
          <cell r="EF353">
            <v>790</v>
          </cell>
          <cell r="EG353">
            <v>2040</v>
          </cell>
          <cell r="EH353" t="str">
            <v>ACTIVO</v>
          </cell>
          <cell r="EI353" t="str">
            <v>A</v>
          </cell>
          <cell r="EJ353">
            <v>600</v>
          </cell>
          <cell r="EK353">
            <v>1001.04</v>
          </cell>
          <cell r="EL353">
            <v>166.84</v>
          </cell>
        </row>
        <row r="354">
          <cell r="F354">
            <v>107275</v>
          </cell>
          <cell r="G354" t="str">
            <v>SALSA DE GUINDA BALDE 5 Kg</v>
          </cell>
          <cell r="H354">
            <v>488.5</v>
          </cell>
          <cell r="I354">
            <v>300</v>
          </cell>
          <cell r="J354">
            <v>255</v>
          </cell>
          <cell r="K354">
            <v>305</v>
          </cell>
          <cell r="L354">
            <v>285</v>
          </cell>
          <cell r="M354">
            <v>330</v>
          </cell>
          <cell r="N354">
            <v>485</v>
          </cell>
          <cell r="O354">
            <v>350</v>
          </cell>
          <cell r="P354">
            <v>375</v>
          </cell>
          <cell r="Q354">
            <v>380</v>
          </cell>
          <cell r="R354">
            <v>395</v>
          </cell>
          <cell r="S354">
            <v>125</v>
          </cell>
          <cell r="T354">
            <v>105</v>
          </cell>
          <cell r="U354">
            <v>365</v>
          </cell>
          <cell r="V354">
            <v>450</v>
          </cell>
          <cell r="W354">
            <v>410</v>
          </cell>
          <cell r="X354">
            <v>445</v>
          </cell>
          <cell r="Y354">
            <v>485</v>
          </cell>
          <cell r="Z354">
            <v>1090</v>
          </cell>
          <cell r="AA354">
            <v>495</v>
          </cell>
          <cell r="AB354">
            <v>490</v>
          </cell>
          <cell r="AC354">
            <v>485</v>
          </cell>
          <cell r="AD354">
            <v>540</v>
          </cell>
          <cell r="AE354">
            <v>755</v>
          </cell>
          <cell r="AF354">
            <v>520</v>
          </cell>
          <cell r="AG354">
            <v>570</v>
          </cell>
          <cell r="AH354">
            <v>610</v>
          </cell>
          <cell r="AI354">
            <v>640</v>
          </cell>
          <cell r="AJ354">
            <v>740</v>
          </cell>
          <cell r="AK354">
            <v>635</v>
          </cell>
          <cell r="AL354">
            <v>633.32999999999993</v>
          </cell>
          <cell r="AM354">
            <v>735</v>
          </cell>
          <cell r="AN354">
            <v>640</v>
          </cell>
          <cell r="AO354">
            <v>670</v>
          </cell>
          <cell r="AP354">
            <v>715</v>
          </cell>
          <cell r="AQ354">
            <v>755</v>
          </cell>
          <cell r="AR354">
            <v>705</v>
          </cell>
          <cell r="AS354">
            <v>235</v>
          </cell>
          <cell r="AT354">
            <v>710</v>
          </cell>
          <cell r="AU354">
            <v>747</v>
          </cell>
          <cell r="AV354">
            <v>715</v>
          </cell>
          <cell r="AW354">
            <v>635</v>
          </cell>
          <cell r="AX354">
            <v>835</v>
          </cell>
          <cell r="AY354">
            <v>705</v>
          </cell>
          <cell r="AZ354">
            <v>765</v>
          </cell>
          <cell r="BA354">
            <v>930</v>
          </cell>
          <cell r="BB354">
            <v>685</v>
          </cell>
          <cell r="BC354">
            <v>770</v>
          </cell>
          <cell r="BD354">
            <v>790</v>
          </cell>
          <cell r="BE354">
            <v>835</v>
          </cell>
          <cell r="BF354">
            <v>1140</v>
          </cell>
          <cell r="BG354">
            <v>790</v>
          </cell>
          <cell r="BH354">
            <v>445</v>
          </cell>
          <cell r="BI354">
            <v>775</v>
          </cell>
          <cell r="BJ354">
            <v>615</v>
          </cell>
          <cell r="BK354">
            <v>735</v>
          </cell>
          <cell r="BL354">
            <v>780</v>
          </cell>
          <cell r="BM354">
            <v>800</v>
          </cell>
          <cell r="BN354">
            <v>870</v>
          </cell>
          <cell r="BO354">
            <v>645</v>
          </cell>
          <cell r="BP354">
            <v>770</v>
          </cell>
          <cell r="BQ354">
            <v>690</v>
          </cell>
          <cell r="BR354">
            <v>835</v>
          </cell>
          <cell r="BS354">
            <v>645</v>
          </cell>
          <cell r="BT354">
            <v>820</v>
          </cell>
          <cell r="BU354">
            <v>760</v>
          </cell>
          <cell r="BV354">
            <v>750</v>
          </cell>
          <cell r="BW354">
            <v>720</v>
          </cell>
          <cell r="BX354">
            <v>665</v>
          </cell>
          <cell r="BY354">
            <v>650</v>
          </cell>
          <cell r="BZ354">
            <v>720</v>
          </cell>
          <cell r="CA354">
            <v>655</v>
          </cell>
          <cell r="CB354">
            <v>665</v>
          </cell>
          <cell r="CC354">
            <v>760</v>
          </cell>
          <cell r="CD354">
            <v>690</v>
          </cell>
          <cell r="CE354">
            <v>1115</v>
          </cell>
          <cell r="CF354">
            <v>635</v>
          </cell>
          <cell r="CG354">
            <v>755</v>
          </cell>
          <cell r="CH354">
            <v>715</v>
          </cell>
          <cell r="CI354">
            <v>740</v>
          </cell>
          <cell r="CJ354">
            <v>685</v>
          </cell>
          <cell r="CK354">
            <v>755</v>
          </cell>
          <cell r="CL354">
            <v>750</v>
          </cell>
          <cell r="CM354">
            <v>735</v>
          </cell>
          <cell r="CN354">
            <v>865</v>
          </cell>
          <cell r="CO354">
            <v>725</v>
          </cell>
          <cell r="CP354">
            <v>595</v>
          </cell>
          <cell r="CQ354">
            <v>640</v>
          </cell>
          <cell r="CR354">
            <v>660</v>
          </cell>
          <cell r="CS354">
            <v>125</v>
          </cell>
          <cell r="CT354">
            <v>645</v>
          </cell>
          <cell r="CU354">
            <v>635</v>
          </cell>
          <cell r="CV354">
            <v>615</v>
          </cell>
          <cell r="CW354">
            <v>595</v>
          </cell>
          <cell r="CX354">
            <v>570</v>
          </cell>
          <cell r="CY354">
            <v>605</v>
          </cell>
          <cell r="CZ354">
            <v>570</v>
          </cell>
          <cell r="DA354">
            <v>570</v>
          </cell>
          <cell r="DB354">
            <v>525</v>
          </cell>
          <cell r="DC354">
            <v>600</v>
          </cell>
          <cell r="DD354">
            <v>620</v>
          </cell>
          <cell r="DE354">
            <v>520</v>
          </cell>
          <cell r="DF354">
            <v>750</v>
          </cell>
          <cell r="DG354">
            <v>645</v>
          </cell>
          <cell r="DH354">
            <v>295</v>
          </cell>
          <cell r="DI354">
            <v>190</v>
          </cell>
          <cell r="DJ354">
            <v>580</v>
          </cell>
          <cell r="DK354">
            <v>540</v>
          </cell>
          <cell r="DL354">
            <v>485</v>
          </cell>
          <cell r="DM354">
            <v>545</v>
          </cell>
          <cell r="DN354">
            <v>595</v>
          </cell>
          <cell r="DO354">
            <v>675</v>
          </cell>
          <cell r="DP354">
            <v>540</v>
          </cell>
          <cell r="DQ354">
            <v>615</v>
          </cell>
          <cell r="DR354">
            <v>550</v>
          </cell>
          <cell r="DS354">
            <v>595</v>
          </cell>
          <cell r="DT354">
            <v>575</v>
          </cell>
          <cell r="DU354">
            <v>760</v>
          </cell>
          <cell r="DV354">
            <v>830</v>
          </cell>
          <cell r="DW354">
            <v>745</v>
          </cell>
          <cell r="DX354">
            <v>785</v>
          </cell>
          <cell r="DY354">
            <v>905</v>
          </cell>
          <cell r="DZ354">
            <v>855</v>
          </cell>
          <cell r="EA354">
            <v>590</v>
          </cell>
          <cell r="EB354">
            <v>835</v>
          </cell>
          <cell r="EC354">
            <v>700</v>
          </cell>
          <cell r="ED354">
            <v>740</v>
          </cell>
          <cell r="EE354">
            <v>745</v>
          </cell>
          <cell r="EF354">
            <v>735</v>
          </cell>
          <cell r="EG354">
            <v>1005</v>
          </cell>
          <cell r="EH354" t="str">
            <v>ACTIVO</v>
          </cell>
          <cell r="EI354" t="str">
            <v>A</v>
          </cell>
          <cell r="EJ354">
            <v>600</v>
          </cell>
          <cell r="EK354">
            <v>668.6</v>
          </cell>
          <cell r="EL354">
            <v>111.43333333333334</v>
          </cell>
        </row>
        <row r="355">
          <cell r="F355">
            <v>107202</v>
          </cell>
          <cell r="G355" t="str">
            <v>BRILLO PARA CONGELADOS PURATOS</v>
          </cell>
          <cell r="H355">
            <v>13.5</v>
          </cell>
          <cell r="K355">
            <v>139.5</v>
          </cell>
          <cell r="CN355">
            <v>22.5</v>
          </cell>
          <cell r="EH355" t="str">
            <v>SIN USO</v>
          </cell>
          <cell r="EI355" t="str">
            <v>C</v>
          </cell>
          <cell r="EJ355" t="str">
            <v/>
          </cell>
          <cell r="EK355">
            <v>0</v>
          </cell>
          <cell r="EL355">
            <v>0</v>
          </cell>
        </row>
        <row r="356">
          <cell r="F356">
            <v>107113</v>
          </cell>
          <cell r="G356" t="str">
            <v>MERM. MEL GUINDA ÁCIDA QUINTA BALDE 5 Kg</v>
          </cell>
          <cell r="H356">
            <v>500</v>
          </cell>
          <cell r="I356">
            <v>450</v>
          </cell>
          <cell r="J356">
            <v>450</v>
          </cell>
          <cell r="K356">
            <v>435</v>
          </cell>
          <cell r="L356">
            <v>1025</v>
          </cell>
          <cell r="M356">
            <v>185</v>
          </cell>
          <cell r="N356">
            <v>245</v>
          </cell>
          <cell r="O356">
            <v>385</v>
          </cell>
          <cell r="P356">
            <v>440</v>
          </cell>
          <cell r="Q356">
            <v>1015</v>
          </cell>
          <cell r="R356">
            <v>455</v>
          </cell>
          <cell r="S356">
            <v>130</v>
          </cell>
          <cell r="T356">
            <v>90</v>
          </cell>
          <cell r="U356">
            <v>1165</v>
          </cell>
          <cell r="V356">
            <v>1045</v>
          </cell>
          <cell r="W356">
            <v>420</v>
          </cell>
          <cell r="X356">
            <v>455</v>
          </cell>
          <cell r="Y356">
            <v>290</v>
          </cell>
          <cell r="Z356">
            <v>315</v>
          </cell>
          <cell r="AA356">
            <v>460</v>
          </cell>
          <cell r="AB356">
            <v>435</v>
          </cell>
          <cell r="AC356">
            <v>415</v>
          </cell>
          <cell r="AD356">
            <v>505</v>
          </cell>
          <cell r="AE356">
            <v>630</v>
          </cell>
          <cell r="AF356">
            <v>465</v>
          </cell>
          <cell r="AG356">
            <v>500</v>
          </cell>
          <cell r="AH356">
            <v>440</v>
          </cell>
          <cell r="AI356">
            <v>515</v>
          </cell>
          <cell r="AJ356">
            <v>470</v>
          </cell>
          <cell r="AK356">
            <v>495</v>
          </cell>
          <cell r="AL356">
            <v>446.4</v>
          </cell>
          <cell r="AM356">
            <v>895</v>
          </cell>
          <cell r="AN356">
            <v>545</v>
          </cell>
          <cell r="AO356">
            <v>415</v>
          </cell>
          <cell r="AP356">
            <v>480</v>
          </cell>
          <cell r="AQ356">
            <v>450</v>
          </cell>
          <cell r="AR356">
            <v>485</v>
          </cell>
          <cell r="AS356">
            <v>610</v>
          </cell>
          <cell r="AT356">
            <v>350</v>
          </cell>
          <cell r="AU356">
            <v>455</v>
          </cell>
          <cell r="AV356">
            <v>445</v>
          </cell>
          <cell r="AW356">
            <v>385</v>
          </cell>
          <cell r="AX356">
            <v>460</v>
          </cell>
          <cell r="AY356">
            <v>440</v>
          </cell>
          <cell r="AZ356">
            <v>465</v>
          </cell>
          <cell r="BA356">
            <v>510</v>
          </cell>
          <cell r="BB356">
            <v>380</v>
          </cell>
          <cell r="BC356">
            <v>430</v>
          </cell>
          <cell r="BD356">
            <v>420</v>
          </cell>
          <cell r="BE356">
            <v>435</v>
          </cell>
          <cell r="BF356">
            <v>465</v>
          </cell>
          <cell r="BG356">
            <v>430</v>
          </cell>
          <cell r="BH356">
            <v>225</v>
          </cell>
          <cell r="BI356">
            <v>410</v>
          </cell>
          <cell r="BJ356">
            <v>425</v>
          </cell>
          <cell r="BK356">
            <v>790</v>
          </cell>
          <cell r="BL356">
            <v>505</v>
          </cell>
          <cell r="BM356">
            <v>450</v>
          </cell>
          <cell r="BN356">
            <v>355</v>
          </cell>
          <cell r="BO356">
            <v>750</v>
          </cell>
          <cell r="BP356">
            <v>495</v>
          </cell>
          <cell r="BQ356">
            <v>130</v>
          </cell>
          <cell r="BR356">
            <v>610</v>
          </cell>
          <cell r="BS356">
            <v>1456.5</v>
          </cell>
          <cell r="BT356">
            <v>405</v>
          </cell>
          <cell r="BU356">
            <v>270</v>
          </cell>
          <cell r="BV356">
            <v>725</v>
          </cell>
          <cell r="BW356">
            <v>320</v>
          </cell>
          <cell r="BX356">
            <v>845</v>
          </cell>
          <cell r="BY356">
            <v>785</v>
          </cell>
          <cell r="BZ356">
            <v>510</v>
          </cell>
          <cell r="CA356">
            <v>1050</v>
          </cell>
          <cell r="CC356">
            <v>360</v>
          </cell>
          <cell r="CD356">
            <v>480</v>
          </cell>
          <cell r="CE356">
            <v>320</v>
          </cell>
          <cell r="CF356">
            <v>600</v>
          </cell>
          <cell r="CG356">
            <v>560</v>
          </cell>
          <cell r="CH356">
            <v>670</v>
          </cell>
          <cell r="CI356">
            <v>80</v>
          </cell>
          <cell r="CJ356">
            <v>730</v>
          </cell>
          <cell r="CK356">
            <v>510</v>
          </cell>
          <cell r="CL356">
            <v>1110</v>
          </cell>
          <cell r="CN356">
            <v>360</v>
          </cell>
          <cell r="CO356">
            <v>350</v>
          </cell>
          <cell r="CP356">
            <v>1075</v>
          </cell>
          <cell r="CQ356">
            <v>240</v>
          </cell>
          <cell r="CR356">
            <v>360</v>
          </cell>
          <cell r="CS356">
            <v>410</v>
          </cell>
          <cell r="CT356">
            <v>540</v>
          </cell>
          <cell r="CU356">
            <v>735</v>
          </cell>
          <cell r="CV356">
            <v>600</v>
          </cell>
          <cell r="CW356">
            <v>720</v>
          </cell>
          <cell r="CY356">
            <v>385</v>
          </cell>
          <cell r="CZ356">
            <v>1085</v>
          </cell>
          <cell r="DA356">
            <v>360</v>
          </cell>
          <cell r="DC356">
            <v>435</v>
          </cell>
          <cell r="DD356">
            <v>290</v>
          </cell>
          <cell r="DE356">
            <v>145</v>
          </cell>
          <cell r="DF356">
            <v>460</v>
          </cell>
          <cell r="DG356">
            <v>145</v>
          </cell>
          <cell r="DH356">
            <v>190</v>
          </cell>
          <cell r="DI356">
            <v>115</v>
          </cell>
          <cell r="DJ356">
            <v>655</v>
          </cell>
          <cell r="DK356">
            <v>215</v>
          </cell>
          <cell r="DL356">
            <v>490</v>
          </cell>
          <cell r="DM356">
            <v>720</v>
          </cell>
          <cell r="DN356">
            <v>290</v>
          </cell>
          <cell r="DO356">
            <v>855</v>
          </cell>
          <cell r="DP356">
            <v>602</v>
          </cell>
          <cell r="DQ356">
            <v>240</v>
          </cell>
          <cell r="DR356">
            <v>120</v>
          </cell>
          <cell r="DS356">
            <v>240</v>
          </cell>
          <cell r="DT356">
            <v>480</v>
          </cell>
          <cell r="DU356">
            <v>720</v>
          </cell>
          <cell r="DV356">
            <v>370</v>
          </cell>
          <cell r="DW356">
            <v>360</v>
          </cell>
          <cell r="DX356">
            <v>720</v>
          </cell>
          <cell r="DY356">
            <v>480</v>
          </cell>
          <cell r="DZ356">
            <v>1080</v>
          </cell>
          <cell r="EB356">
            <v>585</v>
          </cell>
          <cell r="EC356">
            <v>290</v>
          </cell>
          <cell r="ED356">
            <v>450</v>
          </cell>
          <cell r="EE356">
            <v>820</v>
          </cell>
          <cell r="EF356">
            <v>700</v>
          </cell>
          <cell r="EG356">
            <v>265</v>
          </cell>
          <cell r="EH356" t="str">
            <v>ACTIVO</v>
          </cell>
          <cell r="EI356" t="str">
            <v>B</v>
          </cell>
          <cell r="EJ356">
            <v>600</v>
          </cell>
          <cell r="EK356">
            <v>494.25</v>
          </cell>
          <cell r="EL356">
            <v>82.375</v>
          </cell>
        </row>
        <row r="357">
          <cell r="F357">
            <v>107157</v>
          </cell>
          <cell r="G357" t="str">
            <v>MERM. EBEL GUINDA (ET. VERDE) BL 5 Kg</v>
          </cell>
          <cell r="H357">
            <v>490</v>
          </cell>
          <cell r="I357">
            <v>950</v>
          </cell>
          <cell r="J357">
            <v>1175</v>
          </cell>
          <cell r="K357">
            <v>725</v>
          </cell>
          <cell r="L357">
            <v>510</v>
          </cell>
          <cell r="M357">
            <v>255</v>
          </cell>
          <cell r="N357">
            <v>905</v>
          </cell>
          <cell r="O357">
            <v>1445</v>
          </cell>
          <cell r="P357">
            <v>495</v>
          </cell>
          <cell r="Q357">
            <v>485</v>
          </cell>
          <cell r="R357">
            <v>500</v>
          </cell>
          <cell r="S357">
            <v>155</v>
          </cell>
          <cell r="T357">
            <v>790</v>
          </cell>
          <cell r="U357">
            <v>565</v>
          </cell>
          <cell r="V357">
            <v>380</v>
          </cell>
          <cell r="W357">
            <v>600</v>
          </cell>
          <cell r="X357">
            <v>785</v>
          </cell>
          <cell r="Y357">
            <v>430</v>
          </cell>
          <cell r="Z357">
            <v>50</v>
          </cell>
          <cell r="AA357">
            <v>675</v>
          </cell>
          <cell r="AB357">
            <v>1175</v>
          </cell>
          <cell r="AC357">
            <v>850</v>
          </cell>
          <cell r="AD357">
            <v>805</v>
          </cell>
          <cell r="AE357">
            <v>335</v>
          </cell>
          <cell r="AF357">
            <v>1200</v>
          </cell>
          <cell r="AG357">
            <v>1010</v>
          </cell>
          <cell r="AH357">
            <v>780</v>
          </cell>
          <cell r="AI357">
            <v>664</v>
          </cell>
          <cell r="AJ357">
            <v>930</v>
          </cell>
          <cell r="AK357">
            <v>830</v>
          </cell>
          <cell r="AL357">
            <v>595</v>
          </cell>
          <cell r="AM357">
            <v>665</v>
          </cell>
          <cell r="AN357">
            <v>970</v>
          </cell>
          <cell r="AO357">
            <v>615</v>
          </cell>
          <cell r="AP357">
            <v>765</v>
          </cell>
          <cell r="AQ357">
            <v>905</v>
          </cell>
          <cell r="AR357">
            <v>1135</v>
          </cell>
          <cell r="AS357">
            <v>330</v>
          </cell>
          <cell r="AT357">
            <v>775</v>
          </cell>
          <cell r="AU357">
            <v>670</v>
          </cell>
          <cell r="AV357">
            <v>2265</v>
          </cell>
          <cell r="AW357">
            <v>95</v>
          </cell>
          <cell r="AX357">
            <v>170</v>
          </cell>
          <cell r="AY357">
            <v>190</v>
          </cell>
          <cell r="AZ357">
            <v>2335</v>
          </cell>
          <cell r="BA357">
            <v>810</v>
          </cell>
          <cell r="BB357">
            <v>1420</v>
          </cell>
          <cell r="BC357">
            <v>1580</v>
          </cell>
          <cell r="BD357">
            <v>245</v>
          </cell>
          <cell r="BE357">
            <v>295</v>
          </cell>
          <cell r="BF357">
            <v>1380</v>
          </cell>
          <cell r="BG357">
            <v>685</v>
          </cell>
          <cell r="BH357">
            <v>465</v>
          </cell>
          <cell r="BI357">
            <v>3575</v>
          </cell>
          <cell r="BJ357">
            <v>515</v>
          </cell>
          <cell r="BK357">
            <v>420</v>
          </cell>
          <cell r="BL357">
            <v>1945</v>
          </cell>
          <cell r="BM357">
            <v>1295</v>
          </cell>
          <cell r="BN357">
            <v>1725</v>
          </cell>
          <cell r="BO357">
            <v>930</v>
          </cell>
          <cell r="BP357">
            <v>1075</v>
          </cell>
          <cell r="BQ357">
            <v>2500</v>
          </cell>
          <cell r="BR357">
            <v>380</v>
          </cell>
          <cell r="BS357">
            <v>800</v>
          </cell>
          <cell r="BT357">
            <v>995</v>
          </cell>
          <cell r="BU357">
            <v>2825</v>
          </cell>
          <cell r="BV357">
            <v>1620</v>
          </cell>
          <cell r="BW357">
            <v>885</v>
          </cell>
          <cell r="BX357">
            <v>1530</v>
          </cell>
          <cell r="BY357">
            <v>1585</v>
          </cell>
          <cell r="BZ357">
            <v>135</v>
          </cell>
          <cell r="CA357">
            <v>1780</v>
          </cell>
          <cell r="CB357">
            <v>1490</v>
          </cell>
          <cell r="CC357">
            <v>2670</v>
          </cell>
          <cell r="CD357">
            <v>1150</v>
          </cell>
          <cell r="CE357">
            <v>230</v>
          </cell>
          <cell r="CF357">
            <v>210</v>
          </cell>
          <cell r="CG357">
            <v>2895</v>
          </cell>
          <cell r="CH357">
            <v>2015</v>
          </cell>
          <cell r="CI357">
            <v>200</v>
          </cell>
          <cell r="CJ357">
            <v>2110</v>
          </cell>
          <cell r="CK357">
            <v>1665</v>
          </cell>
          <cell r="CL357">
            <v>1570</v>
          </cell>
          <cell r="CM357">
            <v>1780</v>
          </cell>
          <cell r="CN357">
            <v>860</v>
          </cell>
          <cell r="CO357">
            <v>1895</v>
          </cell>
          <cell r="CP357">
            <v>1960</v>
          </cell>
          <cell r="CQ357">
            <v>2275</v>
          </cell>
          <cell r="CR357">
            <v>510</v>
          </cell>
          <cell r="CS357">
            <v>335</v>
          </cell>
          <cell r="CT357">
            <v>635</v>
          </cell>
          <cell r="CU357">
            <v>1100</v>
          </cell>
          <cell r="CV357">
            <v>1955</v>
          </cell>
          <cell r="CW357">
            <v>1185</v>
          </cell>
          <cell r="CX357">
            <v>2165</v>
          </cell>
          <cell r="CY357">
            <v>205</v>
          </cell>
          <cell r="CZ357">
            <v>1195</v>
          </cell>
          <cell r="DA357">
            <v>365</v>
          </cell>
          <cell r="DB357">
            <v>2115</v>
          </cell>
          <cell r="DC357">
            <v>672</v>
          </cell>
          <cell r="DD357">
            <v>1585</v>
          </cell>
          <cell r="DE357">
            <v>990</v>
          </cell>
          <cell r="DF357">
            <v>90</v>
          </cell>
          <cell r="DG357">
            <v>800</v>
          </cell>
          <cell r="DK357">
            <v>800</v>
          </cell>
          <cell r="DL357">
            <v>800</v>
          </cell>
          <cell r="DM357">
            <v>800</v>
          </cell>
          <cell r="DN357">
            <v>800</v>
          </cell>
          <cell r="DO357">
            <v>800</v>
          </cell>
          <cell r="DP357">
            <v>1175</v>
          </cell>
          <cell r="DQ357">
            <v>920</v>
          </cell>
          <cell r="DR357">
            <v>930</v>
          </cell>
          <cell r="DS357">
            <v>135</v>
          </cell>
          <cell r="DT357">
            <v>260</v>
          </cell>
          <cell r="DU357">
            <v>1465</v>
          </cell>
          <cell r="DV357">
            <v>865</v>
          </cell>
          <cell r="DW357">
            <v>1055</v>
          </cell>
          <cell r="DX357">
            <v>485</v>
          </cell>
          <cell r="DY357">
            <v>1085</v>
          </cell>
          <cell r="DZ357">
            <v>995</v>
          </cell>
          <cell r="EB357">
            <v>1060</v>
          </cell>
          <cell r="EC357">
            <v>995</v>
          </cell>
          <cell r="ED357">
            <v>1185</v>
          </cell>
          <cell r="EE357">
            <v>1160</v>
          </cell>
          <cell r="EF357">
            <v>1285</v>
          </cell>
          <cell r="EG357">
            <v>410</v>
          </cell>
          <cell r="EH357" t="str">
            <v>ACTIVO</v>
          </cell>
          <cell r="EI357" t="str">
            <v>A</v>
          </cell>
          <cell r="EJ357">
            <v>600</v>
          </cell>
          <cell r="EK357">
            <v>884.77272727272725</v>
          </cell>
          <cell r="EL357">
            <v>147.46212121212122</v>
          </cell>
        </row>
        <row r="358">
          <cell r="F358">
            <v>170173</v>
          </cell>
          <cell r="G358" t="str">
            <v>MERM. EBEL GRANDES CONSUMIDORES FRUTILLA BALDE 5 Kg</v>
          </cell>
          <cell r="H358">
            <v>280</v>
          </cell>
          <cell r="I358">
            <v>285</v>
          </cell>
          <cell r="J358">
            <v>270</v>
          </cell>
          <cell r="K358">
            <v>290</v>
          </cell>
          <cell r="L358">
            <v>300</v>
          </cell>
          <cell r="M358">
            <v>350</v>
          </cell>
          <cell r="N358">
            <v>330</v>
          </cell>
          <cell r="O358">
            <v>295</v>
          </cell>
          <cell r="P358">
            <v>285</v>
          </cell>
          <cell r="Q358">
            <v>260</v>
          </cell>
          <cell r="R358">
            <v>290</v>
          </cell>
          <cell r="S358">
            <v>325</v>
          </cell>
          <cell r="T358">
            <v>310</v>
          </cell>
          <cell r="U358">
            <v>335</v>
          </cell>
          <cell r="V358">
            <v>290</v>
          </cell>
          <cell r="W358">
            <v>245</v>
          </cell>
          <cell r="X358">
            <v>310</v>
          </cell>
          <cell r="Y358">
            <v>350</v>
          </cell>
          <cell r="Z358">
            <v>430</v>
          </cell>
          <cell r="AA358">
            <v>255</v>
          </cell>
          <cell r="AB358">
            <v>305</v>
          </cell>
          <cell r="AC358">
            <v>295</v>
          </cell>
          <cell r="AD358">
            <v>320</v>
          </cell>
          <cell r="AE358">
            <v>285</v>
          </cell>
          <cell r="AF358">
            <v>320</v>
          </cell>
          <cell r="AG358">
            <v>330</v>
          </cell>
          <cell r="AH358">
            <v>305</v>
          </cell>
          <cell r="AI358">
            <v>305</v>
          </cell>
          <cell r="AJ358">
            <v>315</v>
          </cell>
          <cell r="AK358">
            <v>285</v>
          </cell>
          <cell r="AL358">
            <v>420</v>
          </cell>
          <cell r="AM358">
            <v>435</v>
          </cell>
          <cell r="AN358">
            <v>230</v>
          </cell>
          <cell r="AO358">
            <v>265</v>
          </cell>
          <cell r="AP358">
            <v>250</v>
          </cell>
          <cell r="AQ358">
            <v>240</v>
          </cell>
          <cell r="AR358">
            <v>230</v>
          </cell>
          <cell r="AS358">
            <v>80</v>
          </cell>
          <cell r="AT358">
            <v>560</v>
          </cell>
          <cell r="AU358">
            <v>225</v>
          </cell>
          <cell r="AV358">
            <v>165</v>
          </cell>
          <cell r="AW358">
            <v>235</v>
          </cell>
          <cell r="AX358">
            <v>210</v>
          </cell>
          <cell r="AY358">
            <v>185</v>
          </cell>
          <cell r="AZ358">
            <v>280</v>
          </cell>
          <cell r="BA358">
            <v>235</v>
          </cell>
          <cell r="BB358">
            <v>220</v>
          </cell>
          <cell r="BC358">
            <v>270</v>
          </cell>
          <cell r="BD358">
            <v>235</v>
          </cell>
          <cell r="BE358">
            <v>215</v>
          </cell>
          <cell r="BF358">
            <v>260</v>
          </cell>
          <cell r="BG358">
            <v>235</v>
          </cell>
          <cell r="BH358">
            <v>135</v>
          </cell>
          <cell r="BI358">
            <v>215</v>
          </cell>
          <cell r="BJ358">
            <v>155</v>
          </cell>
          <cell r="BK358">
            <v>245</v>
          </cell>
          <cell r="BL358">
            <v>230</v>
          </cell>
          <cell r="BM358">
            <v>235</v>
          </cell>
          <cell r="BN358">
            <v>280</v>
          </cell>
          <cell r="BO358">
            <v>195</v>
          </cell>
          <cell r="BP358">
            <v>215</v>
          </cell>
          <cell r="BQ358">
            <v>180</v>
          </cell>
          <cell r="BR358">
            <v>220</v>
          </cell>
          <cell r="BS358">
            <v>205</v>
          </cell>
          <cell r="BT358">
            <v>200</v>
          </cell>
          <cell r="BU358">
            <v>220</v>
          </cell>
          <cell r="BV358">
            <v>200</v>
          </cell>
          <cell r="BW358">
            <v>215</v>
          </cell>
          <cell r="BX358">
            <v>250</v>
          </cell>
          <cell r="BY358">
            <v>320</v>
          </cell>
          <cell r="BZ358">
            <v>480</v>
          </cell>
          <cell r="CA358">
            <v>230</v>
          </cell>
          <cell r="CB358">
            <v>220</v>
          </cell>
          <cell r="CC358">
            <v>230</v>
          </cell>
          <cell r="CD358">
            <v>220</v>
          </cell>
          <cell r="CE358">
            <v>435</v>
          </cell>
          <cell r="CF358">
            <v>205</v>
          </cell>
          <cell r="CG358">
            <v>235</v>
          </cell>
          <cell r="CH358">
            <v>235</v>
          </cell>
          <cell r="CI358">
            <v>270</v>
          </cell>
          <cell r="CJ358">
            <v>245</v>
          </cell>
          <cell r="CK358">
            <v>245</v>
          </cell>
          <cell r="CL358">
            <v>230</v>
          </cell>
          <cell r="CM358">
            <v>295</v>
          </cell>
          <cell r="CN358">
            <v>320</v>
          </cell>
          <cell r="CO358">
            <v>265</v>
          </cell>
          <cell r="CP358">
            <v>265</v>
          </cell>
          <cell r="CQ358">
            <v>180</v>
          </cell>
          <cell r="CR358">
            <v>220</v>
          </cell>
          <cell r="CS358">
            <v>55</v>
          </cell>
          <cell r="CT358">
            <v>345</v>
          </cell>
          <cell r="CU358">
            <v>390</v>
          </cell>
          <cell r="CV358">
            <v>385</v>
          </cell>
          <cell r="CW358">
            <v>355</v>
          </cell>
          <cell r="CX358">
            <v>335</v>
          </cell>
          <cell r="CY358">
            <v>320</v>
          </cell>
          <cell r="CZ358">
            <v>260</v>
          </cell>
          <cell r="DA358">
            <v>330</v>
          </cell>
          <cell r="DB358">
            <v>260</v>
          </cell>
          <cell r="DC358">
            <v>270</v>
          </cell>
          <cell r="DD358">
            <v>265</v>
          </cell>
          <cell r="DE358">
            <v>230</v>
          </cell>
          <cell r="DF358">
            <v>305</v>
          </cell>
          <cell r="DG358">
            <v>225</v>
          </cell>
          <cell r="DH358">
            <v>130</v>
          </cell>
          <cell r="DI358">
            <v>70</v>
          </cell>
          <cell r="DJ358">
            <v>265</v>
          </cell>
          <cell r="DK358">
            <v>277</v>
          </cell>
          <cell r="DL358">
            <v>260</v>
          </cell>
          <cell r="DM358">
            <v>275</v>
          </cell>
          <cell r="DN358">
            <v>245</v>
          </cell>
          <cell r="DO358">
            <v>265</v>
          </cell>
          <cell r="DP358">
            <v>240</v>
          </cell>
          <cell r="DQ358">
            <v>260</v>
          </cell>
          <cell r="DR358">
            <v>255</v>
          </cell>
          <cell r="DS358">
            <v>295</v>
          </cell>
          <cell r="DT358">
            <v>255</v>
          </cell>
          <cell r="DU358">
            <v>290</v>
          </cell>
          <cell r="DV358">
            <v>275</v>
          </cell>
          <cell r="DW358">
            <v>255</v>
          </cell>
          <cell r="DX358">
            <v>255</v>
          </cell>
          <cell r="DY358">
            <v>255</v>
          </cell>
          <cell r="DZ358">
            <v>300</v>
          </cell>
          <cell r="EA358">
            <v>295</v>
          </cell>
          <cell r="EB358">
            <v>315</v>
          </cell>
          <cell r="EC358">
            <v>225</v>
          </cell>
          <cell r="ED358">
            <v>250</v>
          </cell>
          <cell r="EE358">
            <v>255</v>
          </cell>
          <cell r="EF358">
            <v>225</v>
          </cell>
          <cell r="EG358">
            <v>430</v>
          </cell>
          <cell r="EH358" t="str">
            <v>ACTIVO</v>
          </cell>
          <cell r="EI358" t="str">
            <v>B</v>
          </cell>
          <cell r="EJ358">
            <v>600</v>
          </cell>
          <cell r="EK358">
            <v>263.48</v>
          </cell>
          <cell r="EL358">
            <v>43.913333333333334</v>
          </cell>
        </row>
        <row r="359">
          <cell r="F359">
            <v>107158</v>
          </cell>
          <cell r="G359" t="str">
            <v>MER. MEL PIÑA BALDE 5 Kg</v>
          </cell>
          <cell r="H359">
            <v>505</v>
          </cell>
          <cell r="I359">
            <v>430</v>
          </cell>
          <cell r="J359">
            <v>395</v>
          </cell>
          <cell r="K359">
            <v>625</v>
          </cell>
          <cell r="L359">
            <v>465</v>
          </cell>
          <cell r="M359">
            <v>560</v>
          </cell>
          <cell r="N359">
            <v>480</v>
          </cell>
          <cell r="O359">
            <v>415</v>
          </cell>
          <cell r="P359">
            <v>450</v>
          </cell>
          <cell r="Q359">
            <v>445</v>
          </cell>
          <cell r="R359">
            <v>470</v>
          </cell>
          <cell r="S359">
            <v>551</v>
          </cell>
          <cell r="T359">
            <v>550</v>
          </cell>
          <cell r="U359">
            <v>435</v>
          </cell>
          <cell r="V359">
            <v>550</v>
          </cell>
          <cell r="W359">
            <v>450</v>
          </cell>
          <cell r="X359">
            <v>480</v>
          </cell>
          <cell r="Y359">
            <v>690</v>
          </cell>
          <cell r="Z359">
            <v>1065</v>
          </cell>
          <cell r="AA359">
            <v>475</v>
          </cell>
          <cell r="AB359">
            <v>455</v>
          </cell>
          <cell r="AC359">
            <v>430</v>
          </cell>
          <cell r="AD359">
            <v>620</v>
          </cell>
          <cell r="AE359">
            <v>835</v>
          </cell>
          <cell r="AF359">
            <v>500</v>
          </cell>
          <cell r="AG359">
            <v>630</v>
          </cell>
          <cell r="AH359">
            <v>520</v>
          </cell>
          <cell r="AI359">
            <v>525</v>
          </cell>
          <cell r="AJ359">
            <v>490</v>
          </cell>
          <cell r="AK359">
            <v>450</v>
          </cell>
          <cell r="AL359">
            <v>525</v>
          </cell>
          <cell r="AM359">
            <v>630</v>
          </cell>
          <cell r="AN359">
            <v>455</v>
          </cell>
          <cell r="AO359">
            <v>400</v>
          </cell>
          <cell r="AP359">
            <v>494.5</v>
          </cell>
          <cell r="AQ359">
            <v>475</v>
          </cell>
          <cell r="AR359">
            <v>505</v>
          </cell>
          <cell r="AS359">
            <v>415</v>
          </cell>
          <cell r="AT359">
            <v>480.5</v>
          </cell>
          <cell r="AU359">
            <v>530</v>
          </cell>
          <cell r="AV359">
            <v>455</v>
          </cell>
          <cell r="AW359">
            <v>360</v>
          </cell>
          <cell r="AX359">
            <v>480</v>
          </cell>
          <cell r="AY359">
            <v>480</v>
          </cell>
          <cell r="AZ359">
            <v>475</v>
          </cell>
          <cell r="BA359">
            <v>490</v>
          </cell>
          <cell r="BB359">
            <v>405</v>
          </cell>
          <cell r="BC359">
            <v>430</v>
          </cell>
          <cell r="BD359">
            <v>440</v>
          </cell>
          <cell r="BE359">
            <v>450</v>
          </cell>
          <cell r="BF359">
            <v>550</v>
          </cell>
          <cell r="BG359">
            <v>465</v>
          </cell>
          <cell r="BH359">
            <v>225</v>
          </cell>
          <cell r="BI359">
            <v>450</v>
          </cell>
          <cell r="BJ359">
            <v>345</v>
          </cell>
          <cell r="BK359">
            <v>440</v>
          </cell>
          <cell r="BL359">
            <v>445</v>
          </cell>
          <cell r="BM359">
            <v>400</v>
          </cell>
          <cell r="BN359">
            <v>495</v>
          </cell>
          <cell r="BO359">
            <v>355</v>
          </cell>
          <cell r="BP359">
            <v>405</v>
          </cell>
          <cell r="BQ359">
            <v>370</v>
          </cell>
          <cell r="BR359">
            <v>495</v>
          </cell>
          <cell r="BS359">
            <v>365</v>
          </cell>
          <cell r="BT359">
            <v>985</v>
          </cell>
          <cell r="BU359">
            <v>400</v>
          </cell>
          <cell r="BV359">
            <v>590</v>
          </cell>
          <cell r="BW359">
            <v>625</v>
          </cell>
          <cell r="BX359">
            <v>410</v>
          </cell>
          <cell r="BY359">
            <v>620</v>
          </cell>
          <cell r="BZ359">
            <v>935</v>
          </cell>
          <cell r="CA359">
            <v>600</v>
          </cell>
          <cell r="CB359">
            <v>875</v>
          </cell>
          <cell r="CC359">
            <v>650</v>
          </cell>
          <cell r="CD359">
            <v>385</v>
          </cell>
          <cell r="CE359">
            <v>1150</v>
          </cell>
          <cell r="CF359">
            <v>435</v>
          </cell>
          <cell r="CG359">
            <v>1110</v>
          </cell>
          <cell r="CH359">
            <v>435</v>
          </cell>
          <cell r="CI359">
            <v>505</v>
          </cell>
          <cell r="CJ359">
            <v>470</v>
          </cell>
          <cell r="CK359">
            <v>720</v>
          </cell>
          <cell r="CL359">
            <v>475</v>
          </cell>
          <cell r="CM359">
            <v>690</v>
          </cell>
          <cell r="CN359">
            <v>800</v>
          </cell>
          <cell r="CO359">
            <v>435</v>
          </cell>
          <cell r="CP359">
            <v>420</v>
          </cell>
          <cell r="CQ359">
            <v>760</v>
          </cell>
          <cell r="CR359">
            <v>845</v>
          </cell>
          <cell r="CS359">
            <v>195</v>
          </cell>
          <cell r="CT359">
            <v>830</v>
          </cell>
          <cell r="CU359">
            <v>505</v>
          </cell>
          <cell r="CV359">
            <v>855</v>
          </cell>
          <cell r="CW359">
            <v>425</v>
          </cell>
          <cell r="CX359">
            <v>725</v>
          </cell>
          <cell r="CY359">
            <v>815</v>
          </cell>
          <cell r="CZ359">
            <v>410</v>
          </cell>
          <cell r="DA359">
            <v>395</v>
          </cell>
          <cell r="DB359">
            <v>385</v>
          </cell>
          <cell r="DC359">
            <v>770</v>
          </cell>
          <cell r="DD359">
            <v>435</v>
          </cell>
          <cell r="DE359">
            <v>335</v>
          </cell>
          <cell r="DF359">
            <v>555</v>
          </cell>
          <cell r="DG359">
            <v>595</v>
          </cell>
          <cell r="DH359">
            <v>185</v>
          </cell>
          <cell r="DI359">
            <v>440</v>
          </cell>
          <cell r="DJ359">
            <v>410</v>
          </cell>
          <cell r="DK359">
            <v>690</v>
          </cell>
          <cell r="DL359">
            <v>510</v>
          </cell>
          <cell r="DM359">
            <v>1005</v>
          </cell>
          <cell r="DN359">
            <v>640</v>
          </cell>
          <cell r="DO359">
            <v>515</v>
          </cell>
          <cell r="DP359">
            <v>645</v>
          </cell>
          <cell r="DQ359">
            <v>660</v>
          </cell>
          <cell r="DR359">
            <v>395</v>
          </cell>
          <cell r="DS359">
            <v>695</v>
          </cell>
          <cell r="DT359">
            <v>365</v>
          </cell>
          <cell r="DU359">
            <v>395</v>
          </cell>
          <cell r="DV359">
            <v>730</v>
          </cell>
          <cell r="DW359">
            <v>365</v>
          </cell>
          <cell r="DX359">
            <v>570</v>
          </cell>
          <cell r="DY359">
            <v>680</v>
          </cell>
          <cell r="DZ359">
            <v>550</v>
          </cell>
          <cell r="EA359">
            <v>840</v>
          </cell>
          <cell r="EB359">
            <v>390</v>
          </cell>
          <cell r="EC359">
            <v>675</v>
          </cell>
          <cell r="ED359">
            <v>590</v>
          </cell>
          <cell r="EE359">
            <v>400</v>
          </cell>
          <cell r="EF359">
            <v>400</v>
          </cell>
          <cell r="EG359">
            <v>1090</v>
          </cell>
          <cell r="EH359" t="str">
            <v>ACTIVO</v>
          </cell>
          <cell r="EI359" t="str">
            <v>A</v>
          </cell>
          <cell r="EJ359">
            <v>600</v>
          </cell>
          <cell r="EK359">
            <v>585.79999999999995</v>
          </cell>
          <cell r="EL359">
            <v>97.633333333333326</v>
          </cell>
        </row>
        <row r="360">
          <cell r="F360">
            <v>107095</v>
          </cell>
          <cell r="G360" t="str">
            <v>PURE DE LUCUMA (ET. VERDE) BALDE 4,5 Kg</v>
          </cell>
          <cell r="H360">
            <v>1363.5</v>
          </cell>
          <cell r="I360">
            <v>1174.5</v>
          </cell>
          <cell r="J360">
            <v>571.5</v>
          </cell>
          <cell r="K360">
            <v>738</v>
          </cell>
          <cell r="L360">
            <v>1102.5</v>
          </cell>
          <cell r="M360">
            <v>963</v>
          </cell>
          <cell r="N360">
            <v>1066.5</v>
          </cell>
          <cell r="O360">
            <v>819</v>
          </cell>
          <cell r="P360">
            <v>679.5</v>
          </cell>
          <cell r="Q360">
            <v>675</v>
          </cell>
          <cell r="R360">
            <v>1732.5</v>
          </cell>
          <cell r="S360">
            <v>747</v>
          </cell>
          <cell r="T360">
            <v>724.5</v>
          </cell>
          <cell r="U360">
            <v>999</v>
          </cell>
          <cell r="V360">
            <v>1642.5</v>
          </cell>
          <cell r="W360">
            <v>1111.5</v>
          </cell>
          <cell r="X360">
            <v>1440</v>
          </cell>
          <cell r="Y360">
            <v>1296</v>
          </cell>
          <cell r="Z360">
            <v>1462</v>
          </cell>
          <cell r="AA360">
            <v>1440</v>
          </cell>
          <cell r="AB360">
            <v>1237.5</v>
          </cell>
          <cell r="AC360">
            <v>991</v>
          </cell>
          <cell r="AD360">
            <v>1462.5</v>
          </cell>
          <cell r="AE360">
            <v>2083.5</v>
          </cell>
          <cell r="AF360">
            <v>1219.5</v>
          </cell>
          <cell r="AG360">
            <v>1476</v>
          </cell>
          <cell r="AH360">
            <v>1197</v>
          </cell>
          <cell r="AI360">
            <v>1368</v>
          </cell>
          <cell r="AJ360">
            <v>1588.5</v>
          </cell>
          <cell r="AK360">
            <v>1818</v>
          </cell>
          <cell r="AL360">
            <v>1575</v>
          </cell>
          <cell r="AM360">
            <v>1665</v>
          </cell>
          <cell r="AN360">
            <v>1831.5</v>
          </cell>
          <cell r="AO360">
            <v>1975.5</v>
          </cell>
          <cell r="AP360">
            <v>1498.5</v>
          </cell>
          <cell r="AQ360">
            <v>1629</v>
          </cell>
          <cell r="AR360">
            <v>1813.5</v>
          </cell>
          <cell r="AS360">
            <v>522</v>
          </cell>
          <cell r="AT360">
            <v>2479.5</v>
          </cell>
          <cell r="AU360">
            <v>1885.5</v>
          </cell>
          <cell r="AV360">
            <v>1777.5</v>
          </cell>
          <cell r="AW360">
            <v>1912.5</v>
          </cell>
          <cell r="AX360">
            <v>2235.5</v>
          </cell>
          <cell r="AY360">
            <v>1575</v>
          </cell>
          <cell r="AZ360">
            <v>2097</v>
          </cell>
          <cell r="BA360">
            <v>2489</v>
          </cell>
          <cell r="BB360">
            <v>2331</v>
          </cell>
          <cell r="BC360">
            <v>1968.5</v>
          </cell>
          <cell r="BD360">
            <v>2124</v>
          </cell>
          <cell r="BE360">
            <v>2836.5</v>
          </cell>
          <cell r="BF360">
            <v>2395</v>
          </cell>
          <cell r="BG360">
            <v>2497.5</v>
          </cell>
          <cell r="BH360">
            <v>949.5</v>
          </cell>
          <cell r="BI360">
            <v>1813.5</v>
          </cell>
          <cell r="BJ360">
            <v>2112</v>
          </cell>
          <cell r="BK360">
            <v>1993.5</v>
          </cell>
          <cell r="BL360">
            <v>2209.5</v>
          </cell>
          <cell r="BM360">
            <v>1746</v>
          </cell>
          <cell r="BN360">
            <v>1966.5</v>
          </cell>
          <cell r="BO360">
            <v>1863</v>
          </cell>
          <cell r="BP360">
            <v>1714.5</v>
          </cell>
          <cell r="BQ360">
            <v>1789.5</v>
          </cell>
          <cell r="BR360">
            <v>2632.5</v>
          </cell>
          <cell r="BS360">
            <v>1773</v>
          </cell>
          <cell r="BT360">
            <v>2592</v>
          </cell>
          <cell r="BU360">
            <v>1786.5</v>
          </cell>
          <cell r="BV360">
            <v>2393.5</v>
          </cell>
          <cell r="BW360">
            <v>2214</v>
          </cell>
          <cell r="BX360">
            <v>1768.5</v>
          </cell>
          <cell r="BY360">
            <v>2569.5</v>
          </cell>
          <cell r="BZ360">
            <v>2929.5</v>
          </cell>
          <cell r="CA360">
            <v>1827</v>
          </cell>
          <cell r="CB360">
            <v>2286</v>
          </cell>
          <cell r="CC360">
            <v>1584</v>
          </cell>
          <cell r="CD360">
            <v>2007</v>
          </cell>
          <cell r="CE360">
            <v>2659.5</v>
          </cell>
          <cell r="CF360">
            <v>1494</v>
          </cell>
          <cell r="CG360">
            <v>2322</v>
          </cell>
          <cell r="CH360">
            <v>1417.5</v>
          </cell>
          <cell r="CI360">
            <v>1804.5</v>
          </cell>
          <cell r="CJ360">
            <v>1777.5</v>
          </cell>
          <cell r="CK360">
            <v>1674</v>
          </cell>
          <cell r="CL360">
            <v>1831.5</v>
          </cell>
          <cell r="CM360">
            <v>1854</v>
          </cell>
          <cell r="CN360">
            <v>1840.5</v>
          </cell>
          <cell r="CO360">
            <v>1818</v>
          </cell>
          <cell r="CP360">
            <v>2061</v>
          </cell>
          <cell r="CQ360">
            <v>2115</v>
          </cell>
          <cell r="CR360">
            <v>2439</v>
          </cell>
          <cell r="CS360">
            <v>1300.5</v>
          </cell>
          <cell r="CT360">
            <v>2018.4</v>
          </cell>
          <cell r="CU360">
            <v>2169</v>
          </cell>
          <cell r="CV360">
            <v>2479.5</v>
          </cell>
          <cell r="CW360">
            <v>1841.5</v>
          </cell>
          <cell r="CX360">
            <v>2083.5</v>
          </cell>
          <cell r="CY360">
            <v>1530</v>
          </cell>
          <cell r="CZ360">
            <v>1845</v>
          </cell>
          <cell r="DA360">
            <v>2394</v>
          </cell>
          <cell r="DB360">
            <v>1822.5</v>
          </cell>
          <cell r="DC360">
            <v>2052</v>
          </cell>
          <cell r="DD360">
            <v>1363.5</v>
          </cell>
          <cell r="DE360">
            <v>2362.6999999999998</v>
          </cell>
          <cell r="DF360">
            <v>2196</v>
          </cell>
          <cell r="DG360">
            <v>1543.5</v>
          </cell>
          <cell r="DH360">
            <v>927</v>
          </cell>
          <cell r="DI360">
            <v>409.5</v>
          </cell>
          <cell r="DJ360">
            <v>2065.5</v>
          </cell>
          <cell r="DK360">
            <v>1692</v>
          </cell>
          <cell r="DL360">
            <v>2419.52</v>
          </cell>
          <cell r="DM360">
            <v>1548</v>
          </cell>
          <cell r="DN360">
            <v>1944.5</v>
          </cell>
          <cell r="DO360">
            <v>1521</v>
          </cell>
          <cell r="DP360">
            <v>1215</v>
          </cell>
          <cell r="DQ360">
            <v>1287</v>
          </cell>
          <cell r="DR360">
            <v>1453.5</v>
          </cell>
          <cell r="DS360">
            <v>1728</v>
          </cell>
          <cell r="DT360">
            <v>1737</v>
          </cell>
          <cell r="DU360">
            <v>2088</v>
          </cell>
          <cell r="DV360">
            <v>1891</v>
          </cell>
          <cell r="DW360">
            <v>2155.5</v>
          </cell>
          <cell r="DX360">
            <v>2236.5</v>
          </cell>
          <cell r="DY360">
            <v>2263.5</v>
          </cell>
          <cell r="DZ360">
            <v>2907</v>
          </cell>
          <cell r="EA360">
            <v>1890</v>
          </cell>
          <cell r="EB360">
            <v>2218.5</v>
          </cell>
          <cell r="EC360">
            <v>1917</v>
          </cell>
          <cell r="ED360">
            <v>1723.5</v>
          </cell>
          <cell r="EE360">
            <v>1557</v>
          </cell>
          <cell r="EF360">
            <v>1390.5</v>
          </cell>
          <cell r="EG360">
            <v>2169</v>
          </cell>
          <cell r="EH360" t="str">
            <v>ACTIVO</v>
          </cell>
          <cell r="EI360" t="str">
            <v>A</v>
          </cell>
          <cell r="EJ360">
            <v>540</v>
          </cell>
          <cell r="EK360">
            <v>1817.1008000000002</v>
          </cell>
          <cell r="EL360">
            <v>302.85013333333336</v>
          </cell>
        </row>
        <row r="361">
          <cell r="F361">
            <v>405537</v>
          </cell>
          <cell r="G361" t="str">
            <v>RELLENO PISTACHO SIN TROZOS CERRILLOS</v>
          </cell>
          <cell r="BY361">
            <v>138</v>
          </cell>
          <cell r="EH361" t="str">
            <v>SIN USO</v>
          </cell>
          <cell r="EI361" t="str">
            <v>C</v>
          </cell>
          <cell r="EJ361" t="str">
            <v/>
          </cell>
          <cell r="EK361">
            <v>0</v>
          </cell>
          <cell r="EL361">
            <v>0</v>
          </cell>
        </row>
        <row r="362">
          <cell r="F362">
            <v>405556</v>
          </cell>
          <cell r="G362" t="str">
            <v>RELLENO CHOCOLATE CREAM BAKELS</v>
          </cell>
          <cell r="CD362">
            <v>112.5</v>
          </cell>
          <cell r="CE362">
            <v>153</v>
          </cell>
          <cell r="CF362">
            <v>238.5</v>
          </cell>
          <cell r="CG362">
            <v>139.5</v>
          </cell>
          <cell r="CM362">
            <v>144</v>
          </cell>
          <cell r="CO362">
            <v>81</v>
          </cell>
          <cell r="CP362">
            <v>94.5</v>
          </cell>
          <cell r="CQ362">
            <v>211.5</v>
          </cell>
          <cell r="CT362">
            <v>108</v>
          </cell>
          <cell r="CU362">
            <v>94.5</v>
          </cell>
          <cell r="CV362">
            <v>162</v>
          </cell>
          <cell r="CX362">
            <v>166.5</v>
          </cell>
          <cell r="CY362">
            <v>211.5</v>
          </cell>
          <cell r="DA362">
            <v>90</v>
          </cell>
          <cell r="DB362">
            <v>499.5</v>
          </cell>
          <cell r="DC362">
            <v>162</v>
          </cell>
          <cell r="DJ362">
            <v>360</v>
          </cell>
          <cell r="DK362">
            <v>202.5</v>
          </cell>
          <cell r="DL362">
            <v>202.5</v>
          </cell>
          <cell r="DM362">
            <v>76.5</v>
          </cell>
          <cell r="DN362">
            <v>405</v>
          </cell>
          <cell r="DO362">
            <v>162</v>
          </cell>
          <cell r="DP362">
            <v>18</v>
          </cell>
          <cell r="DR362">
            <v>198</v>
          </cell>
          <cell r="DS362">
            <v>184.5</v>
          </cell>
          <cell r="DT362">
            <v>594</v>
          </cell>
          <cell r="DU362">
            <v>612</v>
          </cell>
          <cell r="DV362">
            <v>198</v>
          </cell>
          <cell r="DW362">
            <v>297</v>
          </cell>
          <cell r="DX362">
            <v>481.5</v>
          </cell>
          <cell r="DZ362">
            <v>315</v>
          </cell>
          <cell r="EC362">
            <v>720</v>
          </cell>
          <cell r="EE362">
            <v>288</v>
          </cell>
          <cell r="EF362">
            <v>724.5</v>
          </cell>
          <cell r="EH362" t="str">
            <v>ACTIVO</v>
          </cell>
          <cell r="EI362" t="str">
            <v>C</v>
          </cell>
          <cell r="EJ362" t="str">
            <v/>
          </cell>
          <cell r="EK362">
            <v>335.5</v>
          </cell>
          <cell r="EL362">
            <v>55.916666666666664</v>
          </cell>
        </row>
        <row r="363">
          <cell r="F363">
            <v>170180</v>
          </cell>
          <cell r="G363" t="str">
            <v>REMOJO DULCERÍO 10 LITROS PURATOS</v>
          </cell>
          <cell r="CP363">
            <v>475</v>
          </cell>
          <cell r="CQ363">
            <v>576</v>
          </cell>
          <cell r="CR363">
            <v>496</v>
          </cell>
          <cell r="CS363">
            <v>103</v>
          </cell>
          <cell r="CT363">
            <v>501</v>
          </cell>
          <cell r="CU363">
            <v>560</v>
          </cell>
          <cell r="CV363">
            <v>500</v>
          </cell>
          <cell r="CW363">
            <v>460</v>
          </cell>
          <cell r="CX363">
            <v>460</v>
          </cell>
          <cell r="CY363">
            <v>500</v>
          </cell>
          <cell r="CZ363">
            <v>520</v>
          </cell>
          <cell r="DA363">
            <v>520</v>
          </cell>
          <cell r="DB363">
            <v>480</v>
          </cell>
          <cell r="DC363">
            <v>700</v>
          </cell>
          <cell r="DD363">
            <v>1280</v>
          </cell>
          <cell r="DE363">
            <v>1031</v>
          </cell>
          <cell r="DF363">
            <v>1740</v>
          </cell>
          <cell r="DG363">
            <v>1300</v>
          </cell>
          <cell r="DH363">
            <v>600</v>
          </cell>
          <cell r="DI363">
            <v>340</v>
          </cell>
          <cell r="DJ363">
            <v>1190</v>
          </cell>
          <cell r="DK363">
            <v>1110</v>
          </cell>
          <cell r="DL363">
            <v>1038.6400000000001</v>
          </cell>
          <cell r="DM363">
            <v>1110</v>
          </cell>
          <cell r="DN363">
            <v>1120</v>
          </cell>
          <cell r="DO363">
            <v>1510</v>
          </cell>
          <cell r="DP363">
            <v>1060</v>
          </cell>
          <cell r="DQ363">
            <v>1080</v>
          </cell>
          <cell r="DR363">
            <v>1160</v>
          </cell>
          <cell r="DS363">
            <v>1180</v>
          </cell>
          <cell r="DT363">
            <v>971</v>
          </cell>
          <cell r="DU363">
            <v>1300</v>
          </cell>
          <cell r="DV363">
            <v>1270</v>
          </cell>
          <cell r="DW363">
            <v>1025</v>
          </cell>
          <cell r="DX363">
            <v>1170</v>
          </cell>
          <cell r="DY363">
            <v>1270</v>
          </cell>
          <cell r="DZ363">
            <v>1840</v>
          </cell>
          <cell r="EA363">
            <v>2990</v>
          </cell>
          <cell r="EB363">
            <v>1470</v>
          </cell>
          <cell r="EC363">
            <v>1430</v>
          </cell>
          <cell r="ED363">
            <v>1360</v>
          </cell>
          <cell r="EE363">
            <v>1580</v>
          </cell>
          <cell r="EF363">
            <v>1430</v>
          </cell>
          <cell r="EG363">
            <v>2300</v>
          </cell>
          <cell r="EH363" t="str">
            <v>ACTIVO</v>
          </cell>
          <cell r="EI363" t="str">
            <v>B</v>
          </cell>
          <cell r="EJ363" t="str">
            <v/>
          </cell>
          <cell r="EK363">
            <v>1332.1856</v>
          </cell>
          <cell r="EL363">
            <v>222.03093333333334</v>
          </cell>
        </row>
        <row r="364">
          <cell r="F364">
            <v>107105</v>
          </cell>
          <cell r="G364" t="str">
            <v>CREMFIL PIE DE LIMON PURATOS</v>
          </cell>
          <cell r="CQ364">
            <v>402.53</v>
          </cell>
          <cell r="CR364">
            <v>549</v>
          </cell>
          <cell r="CS364">
            <v>274.5</v>
          </cell>
          <cell r="CT364">
            <v>634.5</v>
          </cell>
          <cell r="CU364">
            <v>599</v>
          </cell>
          <cell r="CV364">
            <v>436.5</v>
          </cell>
          <cell r="CW364">
            <v>513</v>
          </cell>
          <cell r="CX364">
            <v>481.5</v>
          </cell>
          <cell r="CY364">
            <v>631.5</v>
          </cell>
          <cell r="CZ364">
            <v>450</v>
          </cell>
          <cell r="DA364">
            <v>468</v>
          </cell>
          <cell r="DB364">
            <v>283.5</v>
          </cell>
          <cell r="DC364">
            <v>328.5</v>
          </cell>
          <cell r="DD364">
            <v>324</v>
          </cell>
          <cell r="DE364">
            <v>288</v>
          </cell>
          <cell r="DF364">
            <v>472.5</v>
          </cell>
          <cell r="DG364">
            <v>531</v>
          </cell>
          <cell r="DH364">
            <v>180</v>
          </cell>
          <cell r="DI364">
            <v>112.5</v>
          </cell>
          <cell r="DJ364">
            <v>427.5</v>
          </cell>
          <cell r="DK364">
            <v>418.5</v>
          </cell>
          <cell r="DL364">
            <v>409.5</v>
          </cell>
          <cell r="DM364">
            <v>409.5</v>
          </cell>
          <cell r="DN364">
            <v>373.5</v>
          </cell>
          <cell r="DO364">
            <v>355.5</v>
          </cell>
          <cell r="DP364">
            <v>373.5</v>
          </cell>
          <cell r="DQ364">
            <v>414</v>
          </cell>
          <cell r="DR364">
            <v>423</v>
          </cell>
          <cell r="DS364">
            <v>441</v>
          </cell>
          <cell r="DT364">
            <v>387</v>
          </cell>
          <cell r="DU364">
            <v>531</v>
          </cell>
          <cell r="DV364">
            <v>495</v>
          </cell>
          <cell r="DW364">
            <v>472.5</v>
          </cell>
          <cell r="DX364">
            <v>472.5</v>
          </cell>
          <cell r="DY364">
            <v>450</v>
          </cell>
          <cell r="DZ364">
            <v>544.5</v>
          </cell>
          <cell r="EA364">
            <v>360</v>
          </cell>
          <cell r="EB364">
            <v>531</v>
          </cell>
          <cell r="EC364">
            <v>418.5</v>
          </cell>
          <cell r="ED364">
            <v>481.5</v>
          </cell>
          <cell r="EE364">
            <v>477</v>
          </cell>
          <cell r="EF364">
            <v>468</v>
          </cell>
          <cell r="EG364">
            <v>598.5</v>
          </cell>
          <cell r="EH364" t="str">
            <v>ACTIVO</v>
          </cell>
          <cell r="EI364" t="str">
            <v>C</v>
          </cell>
          <cell r="EJ364" t="str">
            <v/>
          </cell>
          <cell r="EK364">
            <v>433.8</v>
          </cell>
          <cell r="EL364">
            <v>72.3</v>
          </cell>
        </row>
        <row r="365">
          <cell r="F365">
            <v>405607</v>
          </cell>
          <cell r="G365" t="str">
            <v>PISTACHO S/CASCARA TRES ERRES</v>
          </cell>
          <cell r="DR365">
            <v>1</v>
          </cell>
          <cell r="DS365">
            <v>10</v>
          </cell>
          <cell r="DT365">
            <v>4</v>
          </cell>
          <cell r="DU365">
            <v>1</v>
          </cell>
          <cell r="DV365">
            <v>4</v>
          </cell>
          <cell r="DW365">
            <v>1</v>
          </cell>
          <cell r="DX365">
            <v>1</v>
          </cell>
          <cell r="DY365">
            <v>4</v>
          </cell>
          <cell r="EA365">
            <v>5</v>
          </cell>
          <cell r="EB365">
            <v>3</v>
          </cell>
          <cell r="EC365">
            <v>3</v>
          </cell>
          <cell r="ED365">
            <v>4</v>
          </cell>
          <cell r="EE365">
            <v>1</v>
          </cell>
          <cell r="EF365">
            <v>4</v>
          </cell>
          <cell r="EG365">
            <v>4</v>
          </cell>
          <cell r="EH365" t="str">
            <v>ACTIVO</v>
          </cell>
          <cell r="EI365" t="str">
            <v>C</v>
          </cell>
          <cell r="EJ365" t="str">
            <v/>
          </cell>
          <cell r="EK365">
            <v>3.3333333333333335</v>
          </cell>
          <cell r="EL365">
            <v>0.55555555555555558</v>
          </cell>
        </row>
        <row r="366">
          <cell r="F366">
            <v>107280</v>
          </cell>
          <cell r="G366" t="str">
            <v>NUEVO BRILLO PARA CONGELADO PURATOS</v>
          </cell>
          <cell r="H366">
            <v>418.5</v>
          </cell>
          <cell r="I366">
            <v>396</v>
          </cell>
          <cell r="J366">
            <v>585</v>
          </cell>
          <cell r="K366">
            <v>666</v>
          </cell>
          <cell r="L366">
            <v>319.5</v>
          </cell>
          <cell r="M366">
            <v>454.5</v>
          </cell>
          <cell r="N366">
            <v>481.5</v>
          </cell>
          <cell r="O366">
            <v>472.5</v>
          </cell>
          <cell r="P366">
            <v>292.5</v>
          </cell>
          <cell r="Q366">
            <v>301.5</v>
          </cell>
          <cell r="R366">
            <v>297</v>
          </cell>
          <cell r="S366">
            <v>225</v>
          </cell>
          <cell r="T366">
            <v>301.5</v>
          </cell>
          <cell r="U366">
            <v>490.5</v>
          </cell>
          <cell r="V366">
            <v>229.5</v>
          </cell>
          <cell r="W366">
            <v>544.5</v>
          </cell>
          <cell r="X366">
            <v>495</v>
          </cell>
          <cell r="Y366">
            <v>274.5</v>
          </cell>
          <cell r="Z366">
            <v>103.5</v>
          </cell>
          <cell r="AA366">
            <v>319.5</v>
          </cell>
          <cell r="AB366">
            <v>508.5</v>
          </cell>
          <cell r="AC366">
            <v>337.5</v>
          </cell>
          <cell r="AD366">
            <v>495</v>
          </cell>
          <cell r="AE366">
            <v>333</v>
          </cell>
          <cell r="AF366">
            <v>265.5</v>
          </cell>
          <cell r="AG366">
            <v>346.5</v>
          </cell>
          <cell r="AH366">
            <v>292.5</v>
          </cell>
          <cell r="AI366">
            <v>306</v>
          </cell>
          <cell r="AJ366">
            <v>265.5</v>
          </cell>
          <cell r="AK366">
            <v>405</v>
          </cell>
          <cell r="AL366">
            <v>556</v>
          </cell>
          <cell r="AM366">
            <v>400.5</v>
          </cell>
          <cell r="AN366">
            <v>207</v>
          </cell>
          <cell r="AO366">
            <v>252</v>
          </cell>
          <cell r="AP366">
            <v>324</v>
          </cell>
          <cell r="AQ366">
            <v>301.5</v>
          </cell>
          <cell r="AR366">
            <v>229.5</v>
          </cell>
          <cell r="AS366">
            <v>229.5</v>
          </cell>
          <cell r="AT366">
            <v>225</v>
          </cell>
          <cell r="AU366">
            <v>369.76</v>
          </cell>
          <cell r="AV366">
            <v>319.5</v>
          </cell>
          <cell r="AW366">
            <v>288</v>
          </cell>
          <cell r="AX366">
            <v>378</v>
          </cell>
          <cell r="AY366">
            <v>396</v>
          </cell>
          <cell r="AZ366">
            <v>220.5</v>
          </cell>
          <cell r="BA366">
            <v>517.5</v>
          </cell>
          <cell r="BB366">
            <v>549</v>
          </cell>
          <cell r="BC366">
            <v>396</v>
          </cell>
          <cell r="BD366">
            <v>522</v>
          </cell>
          <cell r="BE366">
            <v>685</v>
          </cell>
          <cell r="BF366">
            <v>310.5</v>
          </cell>
          <cell r="BG366">
            <v>589.5</v>
          </cell>
          <cell r="BH366">
            <v>166.5</v>
          </cell>
          <cell r="BI366">
            <v>576</v>
          </cell>
          <cell r="BJ366">
            <v>594</v>
          </cell>
          <cell r="BK366">
            <v>490.5</v>
          </cell>
          <cell r="BL366">
            <v>666</v>
          </cell>
          <cell r="BM366">
            <v>567</v>
          </cell>
          <cell r="BN366">
            <v>607</v>
          </cell>
          <cell r="BO366">
            <v>728.5</v>
          </cell>
          <cell r="BP366">
            <v>328.5</v>
          </cell>
          <cell r="BQ366">
            <v>504</v>
          </cell>
          <cell r="BR366">
            <v>592</v>
          </cell>
          <cell r="BS366">
            <v>760.5</v>
          </cell>
          <cell r="BT366">
            <v>1030.5</v>
          </cell>
          <cell r="BU366">
            <v>508.5</v>
          </cell>
          <cell r="BV366">
            <v>821</v>
          </cell>
          <cell r="BW366">
            <v>904.5</v>
          </cell>
          <cell r="BX366">
            <v>760.5</v>
          </cell>
          <cell r="BY366">
            <v>585</v>
          </cell>
          <cell r="BZ366">
            <v>175.5</v>
          </cell>
          <cell r="CA366">
            <v>760.5</v>
          </cell>
          <cell r="CB366">
            <v>1164.5</v>
          </cell>
          <cell r="CC366">
            <v>1179</v>
          </cell>
          <cell r="CD366">
            <v>567</v>
          </cell>
          <cell r="CE366">
            <v>274.5</v>
          </cell>
          <cell r="CF366">
            <v>805.5</v>
          </cell>
          <cell r="CG366">
            <v>1026</v>
          </cell>
          <cell r="CH366">
            <v>328.5</v>
          </cell>
          <cell r="CI366">
            <v>680.5</v>
          </cell>
          <cell r="CJ366">
            <v>202.5</v>
          </cell>
          <cell r="CK366">
            <v>927</v>
          </cell>
          <cell r="CL366">
            <v>679.5</v>
          </cell>
          <cell r="CM366">
            <v>684</v>
          </cell>
          <cell r="CN366">
            <v>765</v>
          </cell>
          <cell r="CO366">
            <v>666</v>
          </cell>
          <cell r="CP366">
            <v>980</v>
          </cell>
          <cell r="CQ366">
            <v>585</v>
          </cell>
          <cell r="CR366">
            <v>1053</v>
          </cell>
          <cell r="CS366">
            <v>454.5</v>
          </cell>
          <cell r="CT366">
            <v>553.5</v>
          </cell>
          <cell r="CU366">
            <v>261</v>
          </cell>
          <cell r="CV366">
            <v>553.5</v>
          </cell>
          <cell r="CW366">
            <v>558</v>
          </cell>
          <cell r="CX366">
            <v>657</v>
          </cell>
          <cell r="CY366">
            <v>427.5</v>
          </cell>
          <cell r="CZ366">
            <v>333</v>
          </cell>
          <cell r="DA366">
            <v>648</v>
          </cell>
          <cell r="DB366">
            <v>675</v>
          </cell>
          <cell r="DC366">
            <v>693</v>
          </cell>
          <cell r="DD366">
            <v>513</v>
          </cell>
          <cell r="DE366">
            <v>544.5</v>
          </cell>
          <cell r="DF366">
            <v>405</v>
          </cell>
          <cell r="DG366">
            <v>103.5</v>
          </cell>
          <cell r="DH366">
            <v>180</v>
          </cell>
          <cell r="DI366">
            <v>157.5</v>
          </cell>
          <cell r="DJ366">
            <v>513</v>
          </cell>
          <cell r="DK366">
            <v>639</v>
          </cell>
          <cell r="DL366">
            <v>580.66999999999996</v>
          </cell>
          <cell r="DM366">
            <v>801</v>
          </cell>
          <cell r="DN366">
            <v>796.5</v>
          </cell>
          <cell r="DO366">
            <v>432</v>
          </cell>
          <cell r="DP366">
            <v>418.5</v>
          </cell>
          <cell r="DQ366">
            <v>571.70000000000005</v>
          </cell>
          <cell r="DR366">
            <v>567</v>
          </cell>
          <cell r="DS366">
            <v>531</v>
          </cell>
          <cell r="DT366">
            <v>599.5</v>
          </cell>
          <cell r="DU366">
            <v>441</v>
          </cell>
          <cell r="DV366">
            <v>414</v>
          </cell>
          <cell r="DW366">
            <v>364.5</v>
          </cell>
          <cell r="DX366">
            <v>868.5</v>
          </cell>
          <cell r="DY366">
            <v>1323</v>
          </cell>
          <cell r="DZ366">
            <v>346.5</v>
          </cell>
          <cell r="EA366">
            <v>4.5</v>
          </cell>
          <cell r="EB366">
            <v>702</v>
          </cell>
          <cell r="EC366">
            <v>738</v>
          </cell>
          <cell r="ED366">
            <v>720</v>
          </cell>
          <cell r="EE366">
            <v>702</v>
          </cell>
          <cell r="EF366">
            <v>787.5</v>
          </cell>
          <cell r="EG366">
            <v>688.5</v>
          </cell>
          <cell r="EH366" t="str">
            <v>ACTIVO</v>
          </cell>
          <cell r="EI366" t="str">
            <v>A</v>
          </cell>
          <cell r="EK366">
            <v>588.29480000000001</v>
          </cell>
          <cell r="EL366">
            <v>98.04913333333333</v>
          </cell>
        </row>
        <row r="367">
          <cell r="F367">
            <v>107120</v>
          </cell>
          <cell r="G367" t="str">
            <v>BRILLO FRIO RTU PURATOS</v>
          </cell>
          <cell r="H367">
            <v>391.5</v>
          </cell>
          <cell r="I367">
            <v>486</v>
          </cell>
          <cell r="J367">
            <v>508.5</v>
          </cell>
          <cell r="K367">
            <v>562.5</v>
          </cell>
          <cell r="L367">
            <v>594</v>
          </cell>
          <cell r="M367">
            <v>558</v>
          </cell>
          <cell r="N367">
            <v>423</v>
          </cell>
          <cell r="O367">
            <v>562.5</v>
          </cell>
          <cell r="P367">
            <v>594</v>
          </cell>
          <cell r="Q367">
            <v>540</v>
          </cell>
          <cell r="R367">
            <v>567</v>
          </cell>
          <cell r="S367">
            <v>472.5</v>
          </cell>
          <cell r="T367">
            <v>364.5</v>
          </cell>
          <cell r="U367">
            <v>562.5</v>
          </cell>
          <cell r="V367">
            <v>463.5</v>
          </cell>
          <cell r="W367">
            <v>432</v>
          </cell>
          <cell r="X367">
            <v>571.5</v>
          </cell>
          <cell r="Y367">
            <v>657</v>
          </cell>
          <cell r="Z367">
            <v>675</v>
          </cell>
          <cell r="AA367">
            <v>603</v>
          </cell>
          <cell r="AB367">
            <v>666</v>
          </cell>
          <cell r="AC367">
            <v>639</v>
          </cell>
          <cell r="AD367">
            <v>621</v>
          </cell>
          <cell r="AE367">
            <v>553.5</v>
          </cell>
          <cell r="AF367">
            <v>661.5</v>
          </cell>
          <cell r="AG367">
            <v>652.5</v>
          </cell>
          <cell r="AH367">
            <v>661.5</v>
          </cell>
          <cell r="AI367">
            <v>643.5</v>
          </cell>
          <cell r="AJ367">
            <v>711</v>
          </cell>
          <cell r="AK367">
            <v>729</v>
          </cell>
          <cell r="AL367">
            <v>619.5</v>
          </cell>
          <cell r="AM367">
            <v>616.5</v>
          </cell>
          <cell r="AN367">
            <v>634.5</v>
          </cell>
          <cell r="AO367">
            <v>526.5</v>
          </cell>
          <cell r="AP367">
            <v>621</v>
          </cell>
          <cell r="AQ367">
            <v>729</v>
          </cell>
          <cell r="AR367">
            <v>769.5</v>
          </cell>
          <cell r="AS367">
            <v>270</v>
          </cell>
          <cell r="AT367">
            <v>675</v>
          </cell>
          <cell r="AU367">
            <v>589.5</v>
          </cell>
          <cell r="AV367">
            <v>553.5</v>
          </cell>
          <cell r="AW367">
            <v>454.5</v>
          </cell>
          <cell r="AX367">
            <v>1053</v>
          </cell>
          <cell r="AY367">
            <v>508.2</v>
          </cell>
          <cell r="AZ367">
            <v>517.5</v>
          </cell>
          <cell r="BA367">
            <v>868.5</v>
          </cell>
          <cell r="BB367">
            <v>540</v>
          </cell>
          <cell r="BC367">
            <v>418.5</v>
          </cell>
          <cell r="BD367">
            <v>436.5</v>
          </cell>
          <cell r="BE367">
            <v>314.7</v>
          </cell>
          <cell r="BF367">
            <v>517.5</v>
          </cell>
          <cell r="BG367">
            <v>328.5</v>
          </cell>
          <cell r="BH367">
            <v>166.5</v>
          </cell>
          <cell r="BI367">
            <v>441</v>
          </cell>
          <cell r="BJ367">
            <v>360</v>
          </cell>
          <cell r="BK367">
            <v>549</v>
          </cell>
          <cell r="BL367">
            <v>459</v>
          </cell>
          <cell r="BM367">
            <v>477</v>
          </cell>
          <cell r="BN367">
            <v>504</v>
          </cell>
          <cell r="BO367">
            <v>400.5</v>
          </cell>
          <cell r="BP367">
            <v>477</v>
          </cell>
          <cell r="BQ367">
            <v>499.5</v>
          </cell>
          <cell r="BR367">
            <v>549</v>
          </cell>
          <cell r="BS367">
            <v>387</v>
          </cell>
          <cell r="BT367">
            <v>418.5</v>
          </cell>
          <cell r="BU367">
            <v>472.5</v>
          </cell>
          <cell r="BV367">
            <v>422.8</v>
          </cell>
          <cell r="BW367">
            <v>441</v>
          </cell>
          <cell r="BX367">
            <v>409.5</v>
          </cell>
          <cell r="BY367">
            <v>396</v>
          </cell>
          <cell r="BZ367">
            <v>432</v>
          </cell>
          <cell r="CA367">
            <v>369</v>
          </cell>
          <cell r="CB367">
            <v>328.5</v>
          </cell>
          <cell r="CC367">
            <v>351</v>
          </cell>
          <cell r="CD367">
            <v>288</v>
          </cell>
          <cell r="CE367">
            <v>589.5</v>
          </cell>
          <cell r="CF367">
            <v>265.5</v>
          </cell>
          <cell r="CG367">
            <v>337.5</v>
          </cell>
          <cell r="CH367">
            <v>324</v>
          </cell>
          <cell r="CI367">
            <v>441</v>
          </cell>
          <cell r="CJ367">
            <v>481.5</v>
          </cell>
          <cell r="CK367">
            <v>391.5</v>
          </cell>
          <cell r="CL367">
            <v>351</v>
          </cell>
          <cell r="CM367">
            <v>355.5</v>
          </cell>
          <cell r="CN367">
            <v>472.5</v>
          </cell>
          <cell r="CO367">
            <v>450</v>
          </cell>
          <cell r="CP367">
            <v>432</v>
          </cell>
          <cell r="CQ367">
            <v>396</v>
          </cell>
          <cell r="CR367">
            <v>427.5</v>
          </cell>
          <cell r="CS367">
            <v>139.5</v>
          </cell>
          <cell r="CT367">
            <v>513</v>
          </cell>
          <cell r="CU367">
            <v>454.5</v>
          </cell>
          <cell r="CV367">
            <v>463.5</v>
          </cell>
          <cell r="CW367">
            <v>423</v>
          </cell>
          <cell r="CX367">
            <v>427.5</v>
          </cell>
          <cell r="CY367">
            <v>432</v>
          </cell>
          <cell r="CZ367">
            <v>400.5</v>
          </cell>
          <cell r="DA367">
            <v>481.5</v>
          </cell>
          <cell r="DB367">
            <v>351</v>
          </cell>
          <cell r="DC367">
            <v>391.5</v>
          </cell>
          <cell r="DD367">
            <v>382.5</v>
          </cell>
          <cell r="DE367">
            <v>328.5</v>
          </cell>
          <cell r="DF367">
            <v>481.5</v>
          </cell>
          <cell r="DG367">
            <v>319.5</v>
          </cell>
          <cell r="DH367">
            <v>184.5</v>
          </cell>
          <cell r="DI367">
            <v>108</v>
          </cell>
          <cell r="DJ367">
            <v>378</v>
          </cell>
          <cell r="DK367">
            <v>382.5</v>
          </cell>
          <cell r="DL367">
            <v>427.5</v>
          </cell>
          <cell r="DM367">
            <v>387</v>
          </cell>
          <cell r="DN367">
            <v>382.5</v>
          </cell>
          <cell r="DO367">
            <v>477</v>
          </cell>
          <cell r="DP367">
            <v>391.5</v>
          </cell>
          <cell r="DQ367">
            <v>418.5</v>
          </cell>
          <cell r="DR367">
            <v>418.5</v>
          </cell>
          <cell r="DS367">
            <v>427.5</v>
          </cell>
          <cell r="DT367">
            <v>400.5</v>
          </cell>
          <cell r="DU367">
            <v>445.5</v>
          </cell>
          <cell r="DV367">
            <v>436.5</v>
          </cell>
          <cell r="DW367">
            <v>391.5</v>
          </cell>
          <cell r="DX367">
            <v>423</v>
          </cell>
          <cell r="DY367">
            <v>549</v>
          </cell>
          <cell r="DZ367">
            <v>517.5</v>
          </cell>
          <cell r="EA367">
            <v>652.4</v>
          </cell>
          <cell r="EB367">
            <v>535.5</v>
          </cell>
          <cell r="EC367">
            <v>405</v>
          </cell>
          <cell r="ED367">
            <v>535.5</v>
          </cell>
          <cell r="EE367">
            <v>468</v>
          </cell>
          <cell r="EF367">
            <v>522</v>
          </cell>
          <cell r="EG367">
            <v>774</v>
          </cell>
          <cell r="EH367" t="str">
            <v>ACTIVO</v>
          </cell>
          <cell r="EI367" t="str">
            <v>B</v>
          </cell>
          <cell r="EJ367">
            <v>540</v>
          </cell>
          <cell r="EK367">
            <v>450.17599999999999</v>
          </cell>
          <cell r="EL367">
            <v>75.029333333333327</v>
          </cell>
        </row>
        <row r="368">
          <cell r="F368">
            <v>403391</v>
          </cell>
          <cell r="G368" t="str">
            <v>MERM. EBEL PIÑA QUINTA BALDE 5 Kg</v>
          </cell>
          <cell r="AT368">
            <v>24.5</v>
          </cell>
          <cell r="AU368">
            <v>105</v>
          </cell>
          <cell r="AV368">
            <v>160</v>
          </cell>
          <cell r="AW368">
            <v>45</v>
          </cell>
          <cell r="AX368">
            <v>215</v>
          </cell>
          <cell r="AY368">
            <v>265</v>
          </cell>
          <cell r="AZ368">
            <v>45</v>
          </cell>
          <cell r="BB368">
            <v>285</v>
          </cell>
          <cell r="BC368">
            <v>420</v>
          </cell>
          <cell r="BD368">
            <v>35</v>
          </cell>
          <cell r="BF368">
            <v>190</v>
          </cell>
          <cell r="BG368">
            <v>125</v>
          </cell>
          <cell r="BH368">
            <v>5</v>
          </cell>
          <cell r="BI368">
            <v>140</v>
          </cell>
          <cell r="BJ368">
            <v>70</v>
          </cell>
          <cell r="BK368">
            <v>255</v>
          </cell>
          <cell r="BL368">
            <v>200</v>
          </cell>
          <cell r="BM368">
            <v>85</v>
          </cell>
          <cell r="BN368">
            <v>260</v>
          </cell>
          <cell r="BO368">
            <v>10</v>
          </cell>
          <cell r="BP368">
            <v>185</v>
          </cell>
          <cell r="BQ368">
            <v>220</v>
          </cell>
          <cell r="BR368">
            <v>155</v>
          </cell>
          <cell r="BS368">
            <v>10</v>
          </cell>
          <cell r="BT368">
            <v>265</v>
          </cell>
          <cell r="BU368">
            <v>235</v>
          </cell>
          <cell r="BW368">
            <v>600</v>
          </cell>
          <cell r="BX368">
            <v>160</v>
          </cell>
          <cell r="CB368">
            <v>220</v>
          </cell>
          <cell r="CG368">
            <v>180</v>
          </cell>
          <cell r="CI368">
            <v>60</v>
          </cell>
          <cell r="CK368">
            <v>80</v>
          </cell>
          <cell r="CL368">
            <v>65</v>
          </cell>
          <cell r="CN368">
            <v>70</v>
          </cell>
          <cell r="CO368">
            <v>85</v>
          </cell>
          <cell r="CP368">
            <v>195</v>
          </cell>
          <cell r="CR368">
            <v>15</v>
          </cell>
          <cell r="DM368">
            <v>635</v>
          </cell>
          <cell r="EH368" t="str">
            <v>SIN USO</v>
          </cell>
          <cell r="EI368" t="str">
            <v>C</v>
          </cell>
          <cell r="EJ368">
            <v>540</v>
          </cell>
          <cell r="EK368">
            <v>635</v>
          </cell>
          <cell r="EL368">
            <v>105.83333333333333</v>
          </cell>
        </row>
        <row r="369">
          <cell r="F369">
            <v>405436</v>
          </cell>
          <cell r="G369" t="str">
            <v>PURE DE MANZANA BALDE 4,5 Kg MEL</v>
          </cell>
          <cell r="BB369">
            <v>211.5</v>
          </cell>
          <cell r="BC369">
            <v>698.5</v>
          </cell>
          <cell r="BF369">
            <v>333</v>
          </cell>
          <cell r="BK369">
            <v>477</v>
          </cell>
          <cell r="BL369">
            <v>18</v>
          </cell>
          <cell r="BN369">
            <v>279</v>
          </cell>
          <cell r="BO369">
            <v>409.5</v>
          </cell>
          <cell r="BR369">
            <v>589.5</v>
          </cell>
          <cell r="BT369">
            <v>236.5</v>
          </cell>
          <cell r="BU369">
            <v>198</v>
          </cell>
          <cell r="BV369">
            <v>279</v>
          </cell>
          <cell r="CE369">
            <v>864.5</v>
          </cell>
          <cell r="CF369">
            <v>1228.5</v>
          </cell>
          <cell r="CM369">
            <v>23.5</v>
          </cell>
          <cell r="CN369">
            <v>122.5</v>
          </cell>
          <cell r="CQ369">
            <v>77</v>
          </cell>
          <cell r="CR369">
            <v>95.5</v>
          </cell>
          <cell r="CS369">
            <v>81.5</v>
          </cell>
          <cell r="CT369">
            <v>54</v>
          </cell>
          <cell r="CU369">
            <v>77</v>
          </cell>
          <cell r="CW369">
            <v>4.5</v>
          </cell>
          <cell r="CX369">
            <v>231</v>
          </cell>
          <cell r="CY369">
            <v>180</v>
          </cell>
          <cell r="CZ369">
            <v>213.5</v>
          </cell>
          <cell r="DA369">
            <v>217</v>
          </cell>
          <cell r="DB369">
            <v>213.5</v>
          </cell>
          <cell r="DD369">
            <v>10.5</v>
          </cell>
          <cell r="DG369">
            <v>157</v>
          </cell>
          <cell r="DH369">
            <v>147</v>
          </cell>
          <cell r="DI369">
            <v>36</v>
          </cell>
          <cell r="DJ369">
            <v>360</v>
          </cell>
          <cell r="DK369">
            <v>301</v>
          </cell>
          <cell r="DL369">
            <v>217</v>
          </cell>
          <cell r="DM369">
            <v>220.5</v>
          </cell>
          <cell r="DU369">
            <v>176</v>
          </cell>
          <cell r="DV369">
            <v>77</v>
          </cell>
          <cell r="DW369">
            <v>143.5</v>
          </cell>
          <cell r="DX369">
            <v>207.9</v>
          </cell>
          <cell r="DY369">
            <v>213.5</v>
          </cell>
          <cell r="EF369">
            <v>156</v>
          </cell>
          <cell r="EH369" t="str">
            <v>ACTIVO</v>
          </cell>
          <cell r="EI369" t="str">
            <v>C</v>
          </cell>
          <cell r="EK369">
            <v>191.67272727272729</v>
          </cell>
          <cell r="EL369">
            <v>31.945454545454549</v>
          </cell>
        </row>
        <row r="370">
          <cell r="F370">
            <v>405306</v>
          </cell>
          <cell r="G370" t="str">
            <v>RELLENO COCO CREAM BAKELS</v>
          </cell>
          <cell r="AV370">
            <v>4.5</v>
          </cell>
          <cell r="AW370">
            <v>27</v>
          </cell>
          <cell r="AX370">
            <v>126</v>
          </cell>
          <cell r="AY370">
            <v>27</v>
          </cell>
          <cell r="AZ370">
            <v>18.5</v>
          </cell>
          <cell r="BA370">
            <v>4</v>
          </cell>
          <cell r="BB370">
            <v>112</v>
          </cell>
          <cell r="BF370">
            <v>117</v>
          </cell>
          <cell r="BH370">
            <v>4.5</v>
          </cell>
          <cell r="BI370">
            <v>45</v>
          </cell>
          <cell r="BJ370">
            <v>31.5</v>
          </cell>
          <cell r="BK370">
            <v>67.5</v>
          </cell>
          <cell r="BL370">
            <v>144</v>
          </cell>
          <cell r="BN370">
            <v>126</v>
          </cell>
          <cell r="BP370">
            <v>99</v>
          </cell>
          <cell r="BQ370">
            <v>27</v>
          </cell>
          <cell r="BR370">
            <v>103.5</v>
          </cell>
          <cell r="BT370">
            <v>153</v>
          </cell>
          <cell r="BU370">
            <v>121.5</v>
          </cell>
          <cell r="BX370">
            <v>175.5</v>
          </cell>
          <cell r="CB370">
            <v>180</v>
          </cell>
          <cell r="CG370">
            <v>103.5</v>
          </cell>
          <cell r="CI370">
            <v>45</v>
          </cell>
          <cell r="CK370">
            <v>49.5</v>
          </cell>
          <cell r="CL370">
            <v>36</v>
          </cell>
          <cell r="CN370">
            <v>40.5</v>
          </cell>
          <cell r="CO370">
            <v>45</v>
          </cell>
          <cell r="CP370">
            <v>135</v>
          </cell>
          <cell r="CR370">
            <v>4.5</v>
          </cell>
          <cell r="EH370" t="str">
            <v>SIN USO</v>
          </cell>
          <cell r="EI370" t="str">
            <v>C</v>
          </cell>
          <cell r="EJ370">
            <v>103.5</v>
          </cell>
          <cell r="EK370">
            <v>0</v>
          </cell>
          <cell r="EL370">
            <v>0</v>
          </cell>
        </row>
        <row r="371">
          <cell r="F371">
            <v>107172</v>
          </cell>
          <cell r="G371" t="str">
            <v>MERM. MEL DURAZNO ENT. BALDE 5 Kg</v>
          </cell>
          <cell r="AX371">
            <v>300</v>
          </cell>
          <cell r="BD371">
            <v>600</v>
          </cell>
          <cell r="BJ371">
            <v>565</v>
          </cell>
          <cell r="BV371">
            <v>920</v>
          </cell>
          <cell r="BW371">
            <v>405</v>
          </cell>
          <cell r="BX371">
            <v>930</v>
          </cell>
          <cell r="BY371">
            <v>605</v>
          </cell>
          <cell r="CA371">
            <v>70</v>
          </cell>
          <cell r="CB371">
            <v>1000</v>
          </cell>
          <cell r="CC371">
            <v>30</v>
          </cell>
          <cell r="CD371">
            <v>1390</v>
          </cell>
          <cell r="CF371">
            <v>540</v>
          </cell>
          <cell r="CH371">
            <v>875</v>
          </cell>
          <cell r="CI371">
            <v>1260</v>
          </cell>
          <cell r="CL371">
            <v>1085</v>
          </cell>
          <cell r="CO371">
            <v>550</v>
          </cell>
          <cell r="CP371">
            <v>640</v>
          </cell>
          <cell r="CQ371">
            <v>710</v>
          </cell>
          <cell r="CR371">
            <v>640</v>
          </cell>
          <cell r="CS371">
            <v>370</v>
          </cell>
          <cell r="CT371">
            <v>695</v>
          </cell>
          <cell r="CV371">
            <v>740</v>
          </cell>
          <cell r="CZ371">
            <v>1480</v>
          </cell>
          <cell r="DD371">
            <v>320</v>
          </cell>
          <cell r="DF371">
            <v>965</v>
          </cell>
          <cell r="DH371">
            <v>655</v>
          </cell>
          <cell r="DL371">
            <v>640</v>
          </cell>
          <cell r="DN371">
            <v>640</v>
          </cell>
          <cell r="DO371">
            <v>640</v>
          </cell>
          <cell r="DP371">
            <v>640</v>
          </cell>
          <cell r="DQ371">
            <v>675</v>
          </cell>
          <cell r="DR371">
            <v>640</v>
          </cell>
          <cell r="DU371">
            <v>640</v>
          </cell>
          <cell r="DW371">
            <v>640</v>
          </cell>
          <cell r="DX371">
            <v>660</v>
          </cell>
          <cell r="DZ371">
            <v>690</v>
          </cell>
          <cell r="EC371">
            <v>660</v>
          </cell>
          <cell r="ED371">
            <v>640</v>
          </cell>
          <cell r="EF371">
            <v>970</v>
          </cell>
          <cell r="EG371">
            <v>240</v>
          </cell>
          <cell r="EH371" t="str">
            <v>ACTIVO</v>
          </cell>
          <cell r="EI371" t="str">
            <v>B</v>
          </cell>
          <cell r="EJ371">
            <v>600</v>
          </cell>
          <cell r="EK371">
            <v>643.92857142857144</v>
          </cell>
          <cell r="EL371">
            <v>107.32142857142857</v>
          </cell>
        </row>
        <row r="372">
          <cell r="F372">
            <v>405447</v>
          </cell>
          <cell r="G372" t="str">
            <v>MERM. LAMARKA MARACUYA BALDE 5 Kg</v>
          </cell>
          <cell r="BA372">
            <v>20</v>
          </cell>
          <cell r="BB372">
            <v>40</v>
          </cell>
          <cell r="BC372">
            <v>25</v>
          </cell>
          <cell r="BD372">
            <v>75</v>
          </cell>
          <cell r="BE372">
            <v>50</v>
          </cell>
          <cell r="BF372">
            <v>35</v>
          </cell>
          <cell r="BH372">
            <v>10</v>
          </cell>
          <cell r="BI372">
            <v>50</v>
          </cell>
          <cell r="BJ372">
            <v>34.5</v>
          </cell>
          <cell r="BK372">
            <v>85</v>
          </cell>
          <cell r="BL372">
            <v>70</v>
          </cell>
          <cell r="BM372">
            <v>50</v>
          </cell>
          <cell r="BN372">
            <v>30</v>
          </cell>
          <cell r="BO372">
            <v>30</v>
          </cell>
          <cell r="BP372">
            <v>35</v>
          </cell>
          <cell r="BQ372">
            <v>30</v>
          </cell>
          <cell r="BR372">
            <v>50</v>
          </cell>
          <cell r="BS372">
            <v>30</v>
          </cell>
          <cell r="BT372">
            <v>30</v>
          </cell>
          <cell r="BU372">
            <v>30</v>
          </cell>
          <cell r="BV372">
            <v>40</v>
          </cell>
          <cell r="BW372">
            <v>50</v>
          </cell>
          <cell r="BX372">
            <v>30</v>
          </cell>
          <cell r="BY372">
            <v>30</v>
          </cell>
          <cell r="BZ372">
            <v>5</v>
          </cell>
          <cell r="CA372">
            <v>40</v>
          </cell>
          <cell r="CB372">
            <v>30</v>
          </cell>
          <cell r="CC372">
            <v>30</v>
          </cell>
          <cell r="CD372">
            <v>35</v>
          </cell>
          <cell r="CE372">
            <v>25</v>
          </cell>
          <cell r="CF372">
            <v>30</v>
          </cell>
          <cell r="CG372">
            <v>30</v>
          </cell>
          <cell r="CH372">
            <v>30</v>
          </cell>
          <cell r="CI372">
            <v>40</v>
          </cell>
          <cell r="CJ372">
            <v>50</v>
          </cell>
          <cell r="CK372">
            <v>35</v>
          </cell>
          <cell r="CL372">
            <v>30</v>
          </cell>
          <cell r="CM372">
            <v>30</v>
          </cell>
          <cell r="CN372">
            <v>30</v>
          </cell>
          <cell r="CO372">
            <v>30</v>
          </cell>
          <cell r="CP372">
            <v>30</v>
          </cell>
          <cell r="CQ372">
            <v>30</v>
          </cell>
          <cell r="CR372">
            <v>30</v>
          </cell>
          <cell r="CS372">
            <v>10</v>
          </cell>
          <cell r="CT372">
            <v>20</v>
          </cell>
          <cell r="EH372" t="str">
            <v>ACTIVO</v>
          </cell>
          <cell r="EI372" t="str">
            <v>C</v>
          </cell>
          <cell r="EJ372">
            <v>540</v>
          </cell>
          <cell r="EK372">
            <v>0</v>
          </cell>
          <cell r="EL372">
            <v>0</v>
          </cell>
        </row>
        <row r="373">
          <cell r="F373">
            <v>107263</v>
          </cell>
          <cell r="G373" t="str">
            <v>RELLENO SABOR VAINILLA PURATOS</v>
          </cell>
          <cell r="H373">
            <v>198</v>
          </cell>
          <cell r="BD373">
            <v>99</v>
          </cell>
          <cell r="BF373">
            <v>288</v>
          </cell>
          <cell r="BM373">
            <v>90</v>
          </cell>
          <cell r="BN373">
            <v>328.5</v>
          </cell>
          <cell r="BO373">
            <v>198</v>
          </cell>
          <cell r="BT373">
            <v>90</v>
          </cell>
          <cell r="BU373">
            <v>90</v>
          </cell>
          <cell r="BV373">
            <v>90</v>
          </cell>
          <cell r="BW373">
            <v>279</v>
          </cell>
          <cell r="CD373">
            <v>310</v>
          </cell>
          <cell r="EH373" t="str">
            <v>SIN USO</v>
          </cell>
          <cell r="EI373" t="str">
            <v>C</v>
          </cell>
          <cell r="EJ373" t="str">
            <v/>
          </cell>
          <cell r="EK373">
            <v>0</v>
          </cell>
          <cell r="EL373">
            <v>0</v>
          </cell>
        </row>
        <row r="374">
          <cell r="F374">
            <v>107155</v>
          </cell>
          <cell r="G374" t="str">
            <v>MER. EBEL PIÑA BALDE 5 Kg</v>
          </cell>
          <cell r="BK374">
            <v>80</v>
          </cell>
          <cell r="BP374">
            <v>5</v>
          </cell>
          <cell r="BQ374">
            <v>10</v>
          </cell>
          <cell r="BT374">
            <v>50</v>
          </cell>
          <cell r="BU374">
            <v>15</v>
          </cell>
          <cell r="BW374">
            <v>5</v>
          </cell>
          <cell r="BX374">
            <v>75</v>
          </cell>
          <cell r="BZ374">
            <v>10</v>
          </cell>
          <cell r="CB374">
            <v>50</v>
          </cell>
          <cell r="CE374">
            <v>10</v>
          </cell>
          <cell r="CG374">
            <v>420</v>
          </cell>
          <cell r="CI374">
            <v>20</v>
          </cell>
          <cell r="CJ374">
            <v>470</v>
          </cell>
          <cell r="EH374" t="str">
            <v>SIN USO</v>
          </cell>
          <cell r="EI374" t="str">
            <v>C</v>
          </cell>
          <cell r="EJ374">
            <v>600</v>
          </cell>
          <cell r="EK374">
            <v>0</v>
          </cell>
          <cell r="EL374">
            <v>0</v>
          </cell>
        </row>
        <row r="375">
          <cell r="F375">
            <v>107320</v>
          </cell>
          <cell r="G375" t="str">
            <v>COLDFIL PIE DE LIMÓN</v>
          </cell>
          <cell r="DF375">
            <v>0</v>
          </cell>
          <cell r="DK375">
            <v>211.5</v>
          </cell>
          <cell r="DL375">
            <v>40.5</v>
          </cell>
          <cell r="DM375">
            <v>225</v>
          </cell>
          <cell r="DO375">
            <v>94.5</v>
          </cell>
          <cell r="DS375">
            <v>283.5</v>
          </cell>
          <cell r="DU375">
            <v>81</v>
          </cell>
          <cell r="DW375">
            <v>234</v>
          </cell>
          <cell r="DX375">
            <v>184.5</v>
          </cell>
          <cell r="DY375">
            <v>162</v>
          </cell>
          <cell r="EC375">
            <v>540</v>
          </cell>
          <cell r="EH375" t="str">
            <v>ACTIVO</v>
          </cell>
          <cell r="EI375" t="str">
            <v>C</v>
          </cell>
          <cell r="EJ375" t="str">
            <v/>
          </cell>
          <cell r="EK375">
            <v>205.65</v>
          </cell>
          <cell r="EL375">
            <v>34.274999999999999</v>
          </cell>
        </row>
        <row r="376">
          <cell r="F376">
            <v>107246</v>
          </cell>
          <cell r="G376" t="str">
            <v>SALSA DE FRAMBUESA MEL</v>
          </cell>
          <cell r="DF376">
            <v>0</v>
          </cell>
          <cell r="DR376">
            <v>20</v>
          </cell>
          <cell r="DS376">
            <v>40</v>
          </cell>
          <cell r="DT376">
            <v>55</v>
          </cell>
          <cell r="DU376">
            <v>45</v>
          </cell>
          <cell r="DV376">
            <v>45</v>
          </cell>
          <cell r="DW376">
            <v>45</v>
          </cell>
          <cell r="DX376">
            <v>45</v>
          </cell>
          <cell r="DY376">
            <v>85</v>
          </cell>
          <cell r="DZ376">
            <v>70</v>
          </cell>
          <cell r="EA376">
            <v>105</v>
          </cell>
          <cell r="EB376">
            <v>50</v>
          </cell>
          <cell r="EC376">
            <v>35</v>
          </cell>
          <cell r="ED376">
            <v>45</v>
          </cell>
          <cell r="EE376">
            <v>50</v>
          </cell>
          <cell r="EF376">
            <v>45</v>
          </cell>
          <cell r="EG376">
            <v>80</v>
          </cell>
          <cell r="EH376" t="str">
            <v>ACTIVO</v>
          </cell>
          <cell r="EI376" t="str">
            <v>C</v>
          </cell>
          <cell r="EJ376" t="str">
            <v/>
          </cell>
          <cell r="EK376">
            <v>53.75</v>
          </cell>
          <cell r="EL376">
            <v>8.9583333333333339</v>
          </cell>
        </row>
        <row r="377">
          <cell r="H377">
            <v>8969</v>
          </cell>
          <cell r="I377">
            <v>8020.5</v>
          </cell>
          <cell r="J377">
            <v>7399.5</v>
          </cell>
          <cell r="K377">
            <v>7428</v>
          </cell>
          <cell r="L377">
            <v>7895</v>
          </cell>
          <cell r="M377">
            <v>8658.5</v>
          </cell>
          <cell r="N377">
            <v>7613</v>
          </cell>
          <cell r="O377">
            <v>7291.5</v>
          </cell>
          <cell r="P377">
            <v>6712</v>
          </cell>
          <cell r="Q377">
            <v>7482.5</v>
          </cell>
          <cell r="R377">
            <v>8515.5</v>
          </cell>
          <cell r="S377">
            <v>5550</v>
          </cell>
          <cell r="T377">
            <v>6206</v>
          </cell>
          <cell r="U377">
            <v>8556</v>
          </cell>
          <cell r="V377">
            <v>9606</v>
          </cell>
          <cell r="W377">
            <v>7833</v>
          </cell>
          <cell r="X377">
            <v>9482</v>
          </cell>
          <cell r="Y377">
            <v>8809.5</v>
          </cell>
          <cell r="Z377">
            <v>9886</v>
          </cell>
          <cell r="AA377">
            <v>8276</v>
          </cell>
          <cell r="AB377">
            <v>9704.5</v>
          </cell>
          <cell r="AC377">
            <v>10505.5</v>
          </cell>
          <cell r="AD377">
            <v>15230.5</v>
          </cell>
          <cell r="AE377">
            <v>15654.5</v>
          </cell>
          <cell r="AF377">
            <v>10375.5</v>
          </cell>
          <cell r="AG377">
            <v>12802</v>
          </cell>
          <cell r="AH377">
            <v>10613.5</v>
          </cell>
          <cell r="AI377">
            <v>11579.5</v>
          </cell>
          <cell r="AJ377">
            <v>14406</v>
          </cell>
          <cell r="AK377">
            <v>13441.5</v>
          </cell>
          <cell r="AL377">
            <v>11406.33</v>
          </cell>
          <cell r="AM377">
            <v>12414</v>
          </cell>
          <cell r="AN377">
            <v>11309.5</v>
          </cell>
          <cell r="AO377">
            <v>11040.5</v>
          </cell>
          <cell r="AP377">
            <v>10963.5</v>
          </cell>
          <cell r="AQ377">
            <v>11588.5</v>
          </cell>
          <cell r="AR377">
            <v>11829</v>
          </cell>
          <cell r="AS377">
            <v>4899</v>
          </cell>
          <cell r="AT377">
            <v>11405.5</v>
          </cell>
          <cell r="AU377">
            <v>11133.76</v>
          </cell>
          <cell r="AV377">
            <v>11101.5</v>
          </cell>
          <cell r="AW377">
            <v>8802.5</v>
          </cell>
          <cell r="AX377">
            <v>15797</v>
          </cell>
          <cell r="AY377">
            <v>9858.2000000000007</v>
          </cell>
          <cell r="AZ377">
            <v>12162</v>
          </cell>
          <cell r="BA377">
            <v>14704</v>
          </cell>
          <cell r="BB377">
            <v>11759.5</v>
          </cell>
          <cell r="BC377">
            <v>14216.5</v>
          </cell>
          <cell r="BD377">
            <v>11567.5</v>
          </cell>
          <cell r="BE377">
            <v>12958.2</v>
          </cell>
          <cell r="BF377">
            <v>13864.5</v>
          </cell>
          <cell r="BG377">
            <v>10113</v>
          </cell>
          <cell r="BH377">
            <v>4848</v>
          </cell>
          <cell r="BI377">
            <v>13093.5</v>
          </cell>
          <cell r="BJ377">
            <v>11715</v>
          </cell>
          <cell r="BK377">
            <v>12020</v>
          </cell>
          <cell r="BL377">
            <v>13820.5</v>
          </cell>
          <cell r="BM377">
            <v>12167.5</v>
          </cell>
          <cell r="BN377">
            <v>12963</v>
          </cell>
          <cell r="BO377">
            <v>14006.5</v>
          </cell>
          <cell r="BP377">
            <v>9927</v>
          </cell>
          <cell r="BQ377">
            <v>13771</v>
          </cell>
          <cell r="BR377">
            <v>14344</v>
          </cell>
          <cell r="BS377">
            <v>13361.5</v>
          </cell>
          <cell r="BT377">
            <v>13195</v>
          </cell>
          <cell r="BU377">
            <v>13645.5</v>
          </cell>
          <cell r="BV377">
            <v>12692.3</v>
          </cell>
          <cell r="BW377">
            <v>14487</v>
          </cell>
          <cell r="BX377">
            <v>13370</v>
          </cell>
          <cell r="BY377">
            <v>14598</v>
          </cell>
          <cell r="BZ377">
            <v>12667</v>
          </cell>
          <cell r="CA377">
            <v>12417.5</v>
          </cell>
          <cell r="CB377">
            <v>13929.5</v>
          </cell>
          <cell r="CC377">
            <v>13796.5</v>
          </cell>
          <cell r="CD377">
            <v>12690.5</v>
          </cell>
          <cell r="CE377">
            <v>15211</v>
          </cell>
          <cell r="CF377">
            <v>12065.5</v>
          </cell>
          <cell r="CG377">
            <v>13941.5</v>
          </cell>
          <cell r="CH377">
            <v>12423.5</v>
          </cell>
          <cell r="CI377">
            <v>12398</v>
          </cell>
          <cell r="CJ377">
            <v>13223.5</v>
          </cell>
          <cell r="CK377">
            <v>11989</v>
          </cell>
          <cell r="CL377">
            <v>12558.5</v>
          </cell>
          <cell r="CM377">
            <v>10346</v>
          </cell>
          <cell r="CN377">
            <v>13127</v>
          </cell>
          <cell r="CO377">
            <v>13233</v>
          </cell>
          <cell r="CP377">
            <v>16737</v>
          </cell>
          <cell r="CQ377">
            <v>13869.500000000002</v>
          </cell>
          <cell r="CR377">
            <v>14727</v>
          </cell>
          <cell r="CS377">
            <v>6922</v>
          </cell>
          <cell r="CT377">
            <v>13135.9</v>
          </cell>
          <cell r="CU377">
            <v>13221</v>
          </cell>
          <cell r="CV377">
            <v>13904.5</v>
          </cell>
          <cell r="CW377">
            <v>13432</v>
          </cell>
          <cell r="CX377">
            <v>13533</v>
          </cell>
          <cell r="CY377">
            <v>10925.5</v>
          </cell>
          <cell r="CZ377">
            <v>13291.5</v>
          </cell>
          <cell r="DA377">
            <v>11952.5</v>
          </cell>
          <cell r="DB377">
            <v>19499</v>
          </cell>
          <cell r="DC377">
            <v>11387.5</v>
          </cell>
          <cell r="DD377">
            <v>11011.5</v>
          </cell>
          <cell r="DE377">
            <v>9843.7000000000007</v>
          </cell>
          <cell r="DF377">
            <v>14728.5</v>
          </cell>
          <cell r="DG377">
            <v>10047.5</v>
          </cell>
          <cell r="DH377">
            <v>6560</v>
          </cell>
          <cell r="DI377">
            <v>2657.5</v>
          </cell>
          <cell r="DJ377">
            <v>12107.5</v>
          </cell>
          <cell r="DK377">
            <v>13450.5</v>
          </cell>
          <cell r="DL377">
            <v>14005.83</v>
          </cell>
          <cell r="DM377">
            <v>12708</v>
          </cell>
          <cell r="DN377">
            <v>12327</v>
          </cell>
          <cell r="DO377">
            <v>13440.5</v>
          </cell>
          <cell r="DP377">
            <v>11077.5</v>
          </cell>
          <cell r="DQ377">
            <v>10561.2</v>
          </cell>
          <cell r="DR377">
            <v>12693</v>
          </cell>
          <cell r="DS377">
            <v>11265.5</v>
          </cell>
          <cell r="DT377">
            <v>11866</v>
          </cell>
          <cell r="DU377">
            <v>14173</v>
          </cell>
          <cell r="DV377">
            <v>12059</v>
          </cell>
          <cell r="DW377">
            <v>13798</v>
          </cell>
          <cell r="DX377">
            <v>16207.4</v>
          </cell>
          <cell r="DY377">
            <v>19142</v>
          </cell>
          <cell r="DZ377">
            <v>16985</v>
          </cell>
          <cell r="EA377">
            <v>12353.4</v>
          </cell>
          <cell r="EB377">
            <v>15587</v>
          </cell>
          <cell r="EC377">
            <v>15219.5</v>
          </cell>
          <cell r="ED377">
            <v>13512</v>
          </cell>
          <cell r="EE377">
            <v>13694</v>
          </cell>
          <cell r="EF377">
            <v>15102</v>
          </cell>
          <cell r="EG377">
            <v>16759.5</v>
          </cell>
          <cell r="EH377" t="str">
            <v>ACTIVO</v>
          </cell>
          <cell r="EI377" t="str">
            <v/>
          </cell>
          <cell r="EJ377" t="str">
            <v/>
          </cell>
          <cell r="EK377">
            <v>13310.073199999999</v>
          </cell>
          <cell r="EL377">
            <v>2218.3455333333332</v>
          </cell>
        </row>
        <row r="378">
          <cell r="F378">
            <v>100302</v>
          </cell>
          <cell r="G378" t="str">
            <v>JARABE REMOJO SISA DIWATTS</v>
          </cell>
          <cell r="H378">
            <v>250</v>
          </cell>
          <cell r="T378">
            <v>310</v>
          </cell>
          <cell r="U378">
            <v>941</v>
          </cell>
          <cell r="V378">
            <v>1465</v>
          </cell>
          <cell r="W378">
            <v>425</v>
          </cell>
          <cell r="X378">
            <v>1040</v>
          </cell>
          <cell r="Y378">
            <v>2365</v>
          </cell>
          <cell r="Z378">
            <v>826.000001</v>
          </cell>
          <cell r="AA378">
            <v>1085</v>
          </cell>
          <cell r="AB378">
            <v>1150</v>
          </cell>
          <cell r="AD378">
            <v>2019</v>
          </cell>
          <cell r="AE378">
            <v>936</v>
          </cell>
          <cell r="AF378">
            <v>735</v>
          </cell>
          <cell r="AG378">
            <v>1189</v>
          </cell>
          <cell r="AH378">
            <v>1025</v>
          </cell>
          <cell r="AI378">
            <v>245</v>
          </cell>
          <cell r="AJ378">
            <v>350</v>
          </cell>
          <cell r="AK378">
            <v>1720</v>
          </cell>
          <cell r="AL378">
            <v>2222</v>
          </cell>
          <cell r="AM378">
            <v>1300</v>
          </cell>
          <cell r="AN378">
            <v>585</v>
          </cell>
          <cell r="AO378">
            <v>845</v>
          </cell>
          <cell r="AP378">
            <v>4460</v>
          </cell>
          <cell r="AQ378">
            <v>1630</v>
          </cell>
          <cell r="AR378">
            <v>1505</v>
          </cell>
          <cell r="AS378">
            <v>985</v>
          </cell>
          <cell r="AT378">
            <v>1065</v>
          </cell>
          <cell r="AU378">
            <v>1215</v>
          </cell>
          <cell r="AV378">
            <v>1055</v>
          </cell>
          <cell r="AW378">
            <v>1010</v>
          </cell>
          <cell r="AX378">
            <v>1255</v>
          </cell>
          <cell r="AY378">
            <v>975</v>
          </cell>
          <cell r="AZ378">
            <v>825</v>
          </cell>
          <cell r="BA378">
            <v>1125</v>
          </cell>
          <cell r="BB378">
            <v>990</v>
          </cell>
          <cell r="BC378">
            <v>1005</v>
          </cell>
          <cell r="BD378">
            <v>950</v>
          </cell>
          <cell r="BE378">
            <v>885</v>
          </cell>
          <cell r="BF378">
            <v>1430</v>
          </cell>
          <cell r="BG378">
            <v>1355</v>
          </cell>
          <cell r="BH378">
            <v>575</v>
          </cell>
          <cell r="BI378">
            <v>990</v>
          </cell>
          <cell r="BJ378">
            <v>820</v>
          </cell>
          <cell r="BK378">
            <v>1100</v>
          </cell>
          <cell r="BL378">
            <v>1050</v>
          </cell>
          <cell r="BM378">
            <v>1065</v>
          </cell>
          <cell r="BN378">
            <v>1155</v>
          </cell>
          <cell r="BO378">
            <v>1240</v>
          </cell>
          <cell r="BP378">
            <v>1035</v>
          </cell>
          <cell r="BQ378">
            <v>1095</v>
          </cell>
          <cell r="BR378">
            <v>910</v>
          </cell>
          <cell r="BS378">
            <v>980</v>
          </cell>
          <cell r="BT378">
            <v>765</v>
          </cell>
          <cell r="BU378">
            <v>938</v>
          </cell>
          <cell r="BV378">
            <v>730</v>
          </cell>
          <cell r="BW378">
            <v>1195</v>
          </cell>
          <cell r="BX378">
            <v>1100</v>
          </cell>
          <cell r="BY378">
            <v>1535</v>
          </cell>
          <cell r="BZ378">
            <v>1525</v>
          </cell>
          <cell r="CA378">
            <v>1260</v>
          </cell>
          <cell r="CB378">
            <v>830</v>
          </cell>
          <cell r="CC378">
            <v>775</v>
          </cell>
          <cell r="CD378">
            <v>1070</v>
          </cell>
          <cell r="CE378">
            <v>1770</v>
          </cell>
          <cell r="CF378">
            <v>1080</v>
          </cell>
          <cell r="CG378">
            <v>770</v>
          </cell>
          <cell r="CH378">
            <v>1235</v>
          </cell>
          <cell r="CI378">
            <v>830</v>
          </cell>
          <cell r="CJ378">
            <v>775</v>
          </cell>
          <cell r="CK378">
            <v>945</v>
          </cell>
          <cell r="CL378">
            <v>805</v>
          </cell>
          <cell r="CM378">
            <v>1455</v>
          </cell>
          <cell r="CN378">
            <v>1300</v>
          </cell>
          <cell r="CO378">
            <v>1165</v>
          </cell>
          <cell r="CP378">
            <v>1070</v>
          </cell>
          <cell r="CQ378">
            <v>1075</v>
          </cell>
          <cell r="CR378">
            <v>160</v>
          </cell>
          <cell r="CT378">
            <v>30</v>
          </cell>
          <cell r="CU378">
            <v>3390</v>
          </cell>
          <cell r="EH378" t="str">
            <v>SIN USO</v>
          </cell>
          <cell r="EI378" t="str">
            <v>B</v>
          </cell>
          <cell r="EK378">
            <v>0</v>
          </cell>
          <cell r="EL378">
            <v>0</v>
          </cell>
        </row>
        <row r="379">
          <cell r="F379">
            <v>501147</v>
          </cell>
          <cell r="G379" t="str">
            <v>JARABE DE REMOJO 35° BIDON</v>
          </cell>
          <cell r="W379">
            <v>800</v>
          </cell>
          <cell r="AC379">
            <v>1155</v>
          </cell>
          <cell r="AD379">
            <v>481</v>
          </cell>
          <cell r="AE379">
            <v>49</v>
          </cell>
          <cell r="AF379">
            <v>470</v>
          </cell>
          <cell r="AG379">
            <v>81</v>
          </cell>
          <cell r="AH379">
            <v>315</v>
          </cell>
          <cell r="AI379">
            <v>1280</v>
          </cell>
          <cell r="AJ379">
            <v>965</v>
          </cell>
          <cell r="AN379">
            <v>580</v>
          </cell>
          <cell r="AO379">
            <v>135</v>
          </cell>
          <cell r="EH379" t="str">
            <v>SIN USO</v>
          </cell>
          <cell r="EI379" t="str">
            <v/>
          </cell>
          <cell r="EJ379" t="str">
            <v/>
          </cell>
          <cell r="EK379">
            <v>0</v>
          </cell>
          <cell r="EL379">
            <v>0</v>
          </cell>
        </row>
        <row r="380">
          <cell r="F380">
            <v>100304</v>
          </cell>
          <cell r="G380" t="str">
            <v>JARABE 3 LECHES DIWATTS</v>
          </cell>
          <cell r="J380">
            <v>390</v>
          </cell>
          <cell r="K380">
            <v>2183</v>
          </cell>
          <cell r="L380">
            <v>336</v>
          </cell>
          <cell r="BD380">
            <v>1970</v>
          </cell>
          <cell r="BE380">
            <v>838</v>
          </cell>
          <cell r="BG380">
            <v>794</v>
          </cell>
          <cell r="BW380">
            <v>168</v>
          </cell>
          <cell r="BY380">
            <v>530</v>
          </cell>
          <cell r="BZ380">
            <v>30.5</v>
          </cell>
          <cell r="EH380" t="str">
            <v>SIN USO</v>
          </cell>
          <cell r="EI380" t="str">
            <v>C</v>
          </cell>
          <cell r="EJ380" t="str">
            <v/>
          </cell>
          <cell r="EK380">
            <v>0</v>
          </cell>
          <cell r="EL380">
            <v>0</v>
          </cell>
        </row>
        <row r="381">
          <cell r="F381">
            <v>107259</v>
          </cell>
          <cell r="G381" t="str">
            <v>JARABE 3 LECHES SCHOLLE 10LT DIWATTS</v>
          </cell>
          <cell r="H381">
            <v>2990</v>
          </cell>
          <cell r="I381">
            <v>2950</v>
          </cell>
          <cell r="J381">
            <v>2550</v>
          </cell>
          <cell r="K381">
            <v>357.827316</v>
          </cell>
          <cell r="L381">
            <v>2630</v>
          </cell>
          <cell r="M381">
            <v>3510</v>
          </cell>
          <cell r="N381">
            <v>2650</v>
          </cell>
          <cell r="O381">
            <v>2590</v>
          </cell>
          <cell r="P381">
            <v>2350</v>
          </cell>
          <cell r="Q381">
            <v>2500</v>
          </cell>
          <cell r="R381">
            <v>2940</v>
          </cell>
          <cell r="S381">
            <v>2480</v>
          </cell>
          <cell r="T381">
            <v>2340</v>
          </cell>
          <cell r="U381">
            <v>2580</v>
          </cell>
          <cell r="V381">
            <v>2540</v>
          </cell>
          <cell r="W381">
            <v>2470</v>
          </cell>
          <cell r="X381">
            <v>2520</v>
          </cell>
          <cell r="Y381">
            <v>3380</v>
          </cell>
          <cell r="Z381">
            <v>6480</v>
          </cell>
          <cell r="AA381">
            <v>2420</v>
          </cell>
          <cell r="AB381">
            <v>2570</v>
          </cell>
          <cell r="AC381">
            <v>2450</v>
          </cell>
          <cell r="AD381">
            <v>2470</v>
          </cell>
          <cell r="AE381">
            <v>5070</v>
          </cell>
          <cell r="AF381">
            <v>2560</v>
          </cell>
          <cell r="AG381">
            <v>2770</v>
          </cell>
          <cell r="AH381">
            <v>2750</v>
          </cell>
          <cell r="AI381">
            <v>2930</v>
          </cell>
          <cell r="AJ381">
            <v>3180</v>
          </cell>
          <cell r="AK381">
            <v>2800</v>
          </cell>
          <cell r="AL381">
            <v>2390</v>
          </cell>
          <cell r="AM381">
            <v>4410</v>
          </cell>
          <cell r="AN381">
            <v>2190</v>
          </cell>
          <cell r="AO381">
            <v>2130</v>
          </cell>
          <cell r="AP381">
            <v>2380</v>
          </cell>
          <cell r="AQ381">
            <v>2340</v>
          </cell>
          <cell r="AR381">
            <v>2670</v>
          </cell>
          <cell r="AS381">
            <v>800</v>
          </cell>
          <cell r="AT381">
            <v>2580</v>
          </cell>
          <cell r="AU381">
            <v>2330</v>
          </cell>
          <cell r="AV381">
            <v>2131</v>
          </cell>
          <cell r="AW381">
            <v>2120</v>
          </cell>
          <cell r="AX381">
            <v>2140</v>
          </cell>
          <cell r="AY381">
            <v>2010</v>
          </cell>
          <cell r="AZ381">
            <v>2260</v>
          </cell>
          <cell r="BA381">
            <v>2420</v>
          </cell>
          <cell r="BB381">
            <v>1970</v>
          </cell>
          <cell r="BC381">
            <v>1980</v>
          </cell>
          <cell r="BD381">
            <v>290</v>
          </cell>
          <cell r="BE381">
            <v>1652</v>
          </cell>
          <cell r="BF381">
            <v>3180</v>
          </cell>
          <cell r="BG381">
            <v>3016</v>
          </cell>
          <cell r="BH381">
            <v>1420</v>
          </cell>
          <cell r="BI381">
            <v>2040</v>
          </cell>
          <cell r="BJ381">
            <v>1690</v>
          </cell>
          <cell r="BK381">
            <v>2520</v>
          </cell>
          <cell r="BL381">
            <v>2310</v>
          </cell>
          <cell r="BM381">
            <v>2200</v>
          </cell>
          <cell r="BN381">
            <v>2750</v>
          </cell>
          <cell r="BO381">
            <v>1990</v>
          </cell>
          <cell r="BP381">
            <v>2150</v>
          </cell>
          <cell r="BQ381">
            <v>1950</v>
          </cell>
          <cell r="BR381">
            <v>2360</v>
          </cell>
          <cell r="BS381">
            <v>1920</v>
          </cell>
          <cell r="BT381">
            <v>2060</v>
          </cell>
          <cell r="BU381">
            <v>2120</v>
          </cell>
          <cell r="BV381">
            <v>2050</v>
          </cell>
          <cell r="BW381">
            <v>2092</v>
          </cell>
          <cell r="BX381">
            <v>2170</v>
          </cell>
          <cell r="BY381">
            <v>2740</v>
          </cell>
          <cell r="BZ381">
            <v>4640</v>
          </cell>
          <cell r="CA381">
            <v>2120</v>
          </cell>
          <cell r="CB381">
            <v>2240</v>
          </cell>
          <cell r="CC381">
            <v>2350</v>
          </cell>
          <cell r="CD381">
            <v>2285</v>
          </cell>
          <cell r="CE381">
            <v>3530</v>
          </cell>
          <cell r="CF381">
            <v>1580</v>
          </cell>
          <cell r="CG381">
            <v>1830</v>
          </cell>
          <cell r="CH381">
            <v>1860</v>
          </cell>
          <cell r="CI381">
            <v>2080</v>
          </cell>
          <cell r="CJ381">
            <v>1870</v>
          </cell>
          <cell r="CK381">
            <v>1930</v>
          </cell>
          <cell r="CL381">
            <v>1800</v>
          </cell>
          <cell r="CM381">
            <v>1770</v>
          </cell>
          <cell r="CN381">
            <v>3490</v>
          </cell>
          <cell r="CO381">
            <v>2270</v>
          </cell>
          <cell r="CP381">
            <v>2260</v>
          </cell>
          <cell r="CQ381">
            <v>1850</v>
          </cell>
          <cell r="CR381">
            <v>1950</v>
          </cell>
          <cell r="CS381">
            <v>410</v>
          </cell>
          <cell r="CT381">
            <v>2170</v>
          </cell>
          <cell r="CU381">
            <v>1990</v>
          </cell>
          <cell r="CV381">
            <v>1980</v>
          </cell>
          <cell r="CW381">
            <v>1760</v>
          </cell>
          <cell r="CX381">
            <v>1760</v>
          </cell>
          <cell r="CY381">
            <v>1890</v>
          </cell>
          <cell r="CZ381">
            <v>1680</v>
          </cell>
          <cell r="DA381">
            <v>1800</v>
          </cell>
          <cell r="DB381">
            <v>1410</v>
          </cell>
          <cell r="DC381">
            <v>1720</v>
          </cell>
          <cell r="DD381">
            <v>1380</v>
          </cell>
          <cell r="DE381">
            <v>970</v>
          </cell>
          <cell r="DF381">
            <v>1770</v>
          </cell>
          <cell r="DG381">
            <v>1290</v>
          </cell>
          <cell r="DH381">
            <v>690</v>
          </cell>
          <cell r="DI381">
            <v>430</v>
          </cell>
          <cell r="DJ381">
            <v>1070</v>
          </cell>
          <cell r="DK381">
            <v>990</v>
          </cell>
          <cell r="DL381">
            <v>930</v>
          </cell>
          <cell r="DM381">
            <v>970</v>
          </cell>
          <cell r="DN381">
            <v>930</v>
          </cell>
          <cell r="DO381">
            <v>1590</v>
          </cell>
          <cell r="DP381">
            <v>880</v>
          </cell>
          <cell r="DQ381">
            <v>910</v>
          </cell>
          <cell r="DR381">
            <v>990</v>
          </cell>
          <cell r="DS381">
            <v>1120</v>
          </cell>
          <cell r="DT381">
            <v>990</v>
          </cell>
          <cell r="DU381">
            <v>1050</v>
          </cell>
          <cell r="DV381">
            <v>1050</v>
          </cell>
          <cell r="DW381">
            <v>1020</v>
          </cell>
          <cell r="DX381">
            <v>940</v>
          </cell>
          <cell r="DY381">
            <v>1040</v>
          </cell>
          <cell r="DZ381">
            <v>1360</v>
          </cell>
          <cell r="EA381">
            <v>1980</v>
          </cell>
          <cell r="EB381">
            <v>1180</v>
          </cell>
          <cell r="EC381">
            <v>1180</v>
          </cell>
          <cell r="ED381">
            <v>1161.53</v>
          </cell>
          <cell r="EE381">
            <v>1130</v>
          </cell>
          <cell r="EF381">
            <v>1160</v>
          </cell>
          <cell r="EG381">
            <v>2060</v>
          </cell>
          <cell r="EH381" t="str">
            <v>ACTIVO</v>
          </cell>
          <cell r="EI381" t="str">
            <v>A</v>
          </cell>
          <cell r="EJ381">
            <v>900</v>
          </cell>
          <cell r="EK381">
            <v>1124.4612</v>
          </cell>
          <cell r="EL381">
            <v>187.4102</v>
          </cell>
        </row>
        <row r="382">
          <cell r="F382">
            <v>107260</v>
          </cell>
          <cell r="G382" t="str">
            <v>JARABE DE REMOJO OCTOBINS</v>
          </cell>
          <cell r="H382">
            <v>3900</v>
          </cell>
          <cell r="I382">
            <v>5850</v>
          </cell>
          <cell r="J382">
            <v>7800</v>
          </cell>
          <cell r="K382">
            <v>8775</v>
          </cell>
          <cell r="L382">
            <v>6825</v>
          </cell>
          <cell r="M382">
            <v>5850</v>
          </cell>
          <cell r="N382">
            <v>5850</v>
          </cell>
          <cell r="O382">
            <v>8775</v>
          </cell>
          <cell r="P382">
            <v>4875</v>
          </cell>
          <cell r="Q382">
            <v>8775</v>
          </cell>
          <cell r="R382">
            <v>6825</v>
          </cell>
          <cell r="S382">
            <v>3900</v>
          </cell>
          <cell r="T382">
            <v>975</v>
          </cell>
          <cell r="U382">
            <v>7800</v>
          </cell>
          <cell r="V382">
            <v>7800</v>
          </cell>
          <cell r="W382">
            <v>3900</v>
          </cell>
          <cell r="X382">
            <v>5850</v>
          </cell>
          <cell r="Y382">
            <v>3900</v>
          </cell>
          <cell r="Z382">
            <v>3900</v>
          </cell>
          <cell r="AA382">
            <v>3900</v>
          </cell>
          <cell r="AB382">
            <v>6825</v>
          </cell>
          <cell r="AC382">
            <v>5850</v>
          </cell>
          <cell r="AD382">
            <v>5850</v>
          </cell>
          <cell r="AE382">
            <v>5850</v>
          </cell>
          <cell r="AF382">
            <v>3900</v>
          </cell>
          <cell r="AG382">
            <v>4875</v>
          </cell>
          <cell r="AH382">
            <v>4876</v>
          </cell>
          <cell r="AI382">
            <v>4875</v>
          </cell>
          <cell r="AJ382">
            <v>5850</v>
          </cell>
          <cell r="AK382">
            <v>6825</v>
          </cell>
          <cell r="AL382">
            <v>5850</v>
          </cell>
          <cell r="AM382">
            <v>4875</v>
          </cell>
          <cell r="AN382">
            <v>4875</v>
          </cell>
          <cell r="AO382">
            <v>5850</v>
          </cell>
          <cell r="AP382">
            <v>1950</v>
          </cell>
          <cell r="AQ382">
            <v>2925</v>
          </cell>
          <cell r="AR382">
            <v>5850</v>
          </cell>
          <cell r="AS382">
            <v>975</v>
          </cell>
          <cell r="AT382">
            <v>4875</v>
          </cell>
          <cell r="AU382">
            <v>5035</v>
          </cell>
          <cell r="AV382">
            <v>5850</v>
          </cell>
          <cell r="AW382">
            <v>8775</v>
          </cell>
          <cell r="AX382">
            <v>8775</v>
          </cell>
          <cell r="AY382">
            <v>5850</v>
          </cell>
          <cell r="AZ382">
            <v>6825</v>
          </cell>
          <cell r="BA382">
            <v>6825</v>
          </cell>
          <cell r="BB382">
            <v>7800</v>
          </cell>
          <cell r="BC382">
            <v>2925</v>
          </cell>
          <cell r="BD382">
            <v>6825</v>
          </cell>
          <cell r="BE382">
            <v>5850</v>
          </cell>
          <cell r="BF382">
            <v>4875</v>
          </cell>
          <cell r="BG382">
            <v>6825</v>
          </cell>
          <cell r="BH382">
            <v>1950</v>
          </cell>
          <cell r="BI382">
            <v>4875</v>
          </cell>
          <cell r="BJ382">
            <v>2925</v>
          </cell>
          <cell r="BK382">
            <v>4875</v>
          </cell>
          <cell r="BL382">
            <v>2925</v>
          </cell>
          <cell r="BM382">
            <v>5850</v>
          </cell>
          <cell r="BN382">
            <v>4875</v>
          </cell>
          <cell r="BO382">
            <v>4875</v>
          </cell>
          <cell r="BP382">
            <v>3900</v>
          </cell>
          <cell r="BQ382">
            <v>4881</v>
          </cell>
          <cell r="BR382">
            <v>2925</v>
          </cell>
          <cell r="BS382">
            <v>5850</v>
          </cell>
          <cell r="BT382">
            <v>5850</v>
          </cell>
          <cell r="BU382">
            <v>3900</v>
          </cell>
          <cell r="BV382">
            <v>9750</v>
          </cell>
          <cell r="BW382">
            <v>5850</v>
          </cell>
          <cell r="BX382">
            <v>4875</v>
          </cell>
          <cell r="BY382">
            <v>5850</v>
          </cell>
          <cell r="BZ382">
            <v>4875</v>
          </cell>
          <cell r="CA382">
            <v>5850</v>
          </cell>
          <cell r="CB382">
            <v>5850</v>
          </cell>
          <cell r="CC382">
            <v>7800</v>
          </cell>
          <cell r="CD382">
            <v>4875</v>
          </cell>
          <cell r="CE382">
            <v>3900</v>
          </cell>
          <cell r="CF382">
            <v>4875</v>
          </cell>
          <cell r="CG382">
            <v>7800</v>
          </cell>
          <cell r="CH382">
            <v>6825</v>
          </cell>
          <cell r="CI382">
            <v>5850</v>
          </cell>
          <cell r="CJ382">
            <v>3900</v>
          </cell>
          <cell r="CK382">
            <v>8775</v>
          </cell>
          <cell r="CL382">
            <v>6825</v>
          </cell>
          <cell r="CM382">
            <v>5850</v>
          </cell>
          <cell r="CN382">
            <v>6825</v>
          </cell>
          <cell r="CO382">
            <v>6825</v>
          </cell>
          <cell r="CP382">
            <v>7800</v>
          </cell>
          <cell r="CQ382">
            <v>6825</v>
          </cell>
          <cell r="CR382">
            <v>6825</v>
          </cell>
          <cell r="CS382">
            <v>3900</v>
          </cell>
          <cell r="CT382">
            <v>8775</v>
          </cell>
          <cell r="CU382">
            <v>2925</v>
          </cell>
          <cell r="CV382">
            <v>5850</v>
          </cell>
          <cell r="CW382">
            <v>5850</v>
          </cell>
          <cell r="CX382">
            <v>6825</v>
          </cell>
          <cell r="CY382">
            <v>3900</v>
          </cell>
          <cell r="CZ382">
            <v>7800</v>
          </cell>
          <cell r="DA382">
            <v>3900</v>
          </cell>
          <cell r="DB382">
            <v>4875</v>
          </cell>
          <cell r="DC382">
            <v>4875</v>
          </cell>
          <cell r="DD382">
            <v>4875</v>
          </cell>
          <cell r="DE382">
            <v>4875</v>
          </cell>
          <cell r="DF382">
            <v>5850</v>
          </cell>
          <cell r="DG382">
            <v>4875</v>
          </cell>
          <cell r="DH382">
            <v>2925</v>
          </cell>
          <cell r="DI382">
            <v>1950</v>
          </cell>
          <cell r="DJ382">
            <v>3900</v>
          </cell>
          <cell r="DK382">
            <v>4875</v>
          </cell>
          <cell r="DL382">
            <v>7800</v>
          </cell>
          <cell r="DM382">
            <v>5850</v>
          </cell>
          <cell r="DN382">
            <v>6825</v>
          </cell>
          <cell r="DO382">
            <v>6825</v>
          </cell>
          <cell r="DP382">
            <v>5850</v>
          </cell>
          <cell r="DQ382">
            <v>4875</v>
          </cell>
          <cell r="DR382">
            <v>7800</v>
          </cell>
          <cell r="DS382">
            <v>3900</v>
          </cell>
          <cell r="DT382">
            <v>6825</v>
          </cell>
          <cell r="DU382">
            <v>7800</v>
          </cell>
          <cell r="DV382">
            <v>3900</v>
          </cell>
          <cell r="DW382">
            <v>3900</v>
          </cell>
          <cell r="DX382">
            <v>7810</v>
          </cell>
          <cell r="DY382">
            <v>7815</v>
          </cell>
          <cell r="DZ382">
            <v>6825</v>
          </cell>
          <cell r="EA382">
            <v>3900</v>
          </cell>
          <cell r="EB382">
            <v>6825</v>
          </cell>
          <cell r="EC382">
            <v>7800</v>
          </cell>
          <cell r="ED382">
            <v>7800</v>
          </cell>
          <cell r="EE382">
            <v>4875</v>
          </cell>
          <cell r="EF382">
            <v>7800</v>
          </cell>
          <cell r="EG382">
            <v>4875</v>
          </cell>
          <cell r="EH382" t="str">
            <v>ACTIVO</v>
          </cell>
          <cell r="EI382" t="str">
            <v>A</v>
          </cell>
          <cell r="EJ382">
            <v>975</v>
          </cell>
          <cell r="EK382">
            <v>5968</v>
          </cell>
          <cell r="EL382">
            <v>994.66666666666663</v>
          </cell>
        </row>
        <row r="383">
          <cell r="F383">
            <v>107278</v>
          </cell>
          <cell r="G383" t="str">
            <v>JARABE DE REMOJO RON-NJA 40 BIDÓN 5 Lt</v>
          </cell>
          <cell r="H383">
            <v>500</v>
          </cell>
          <cell r="I383">
            <v>495</v>
          </cell>
          <cell r="J383">
            <v>430</v>
          </cell>
          <cell r="K383">
            <v>910</v>
          </cell>
          <cell r="L383">
            <v>355</v>
          </cell>
          <cell r="M383">
            <v>530</v>
          </cell>
          <cell r="N383">
            <v>561.43050000000005</v>
          </cell>
          <cell r="O383">
            <v>705.34</v>
          </cell>
          <cell r="P383">
            <v>350</v>
          </cell>
          <cell r="Q383">
            <v>515</v>
          </cell>
          <cell r="R383">
            <v>230</v>
          </cell>
          <cell r="S383">
            <v>260</v>
          </cell>
          <cell r="T383">
            <v>180</v>
          </cell>
          <cell r="U383">
            <v>479</v>
          </cell>
          <cell r="V383">
            <v>115</v>
          </cell>
          <cell r="W383">
            <v>410</v>
          </cell>
          <cell r="X383">
            <v>570</v>
          </cell>
          <cell r="Y383">
            <v>285</v>
          </cell>
          <cell r="Z383">
            <v>170</v>
          </cell>
          <cell r="AA383">
            <v>640</v>
          </cell>
          <cell r="AB383">
            <v>660</v>
          </cell>
          <cell r="AC383">
            <v>571</v>
          </cell>
          <cell r="AD383">
            <v>771</v>
          </cell>
          <cell r="AE383">
            <v>395</v>
          </cell>
          <cell r="AF383">
            <v>435</v>
          </cell>
          <cell r="AG383">
            <v>506</v>
          </cell>
          <cell r="AH383">
            <v>595</v>
          </cell>
          <cell r="AI383">
            <v>730</v>
          </cell>
          <cell r="AJ383">
            <v>635</v>
          </cell>
          <cell r="AK383">
            <v>880</v>
          </cell>
          <cell r="AL383">
            <v>815</v>
          </cell>
          <cell r="AM383">
            <v>350</v>
          </cell>
          <cell r="AN383">
            <v>495</v>
          </cell>
          <cell r="AO383">
            <v>740</v>
          </cell>
          <cell r="AP383">
            <v>655</v>
          </cell>
          <cell r="AQ383">
            <v>1240</v>
          </cell>
          <cell r="AR383">
            <v>745</v>
          </cell>
          <cell r="AS383">
            <v>175</v>
          </cell>
          <cell r="AT383">
            <v>630</v>
          </cell>
          <cell r="AU383">
            <v>925</v>
          </cell>
          <cell r="AV383">
            <v>428</v>
          </cell>
          <cell r="AW383">
            <v>1392</v>
          </cell>
          <cell r="AX383">
            <v>2160</v>
          </cell>
          <cell r="AY383">
            <v>725</v>
          </cell>
          <cell r="AZ383">
            <v>975</v>
          </cell>
          <cell r="BA383">
            <v>1775</v>
          </cell>
          <cell r="BB383">
            <v>1210</v>
          </cell>
          <cell r="BC383">
            <v>720</v>
          </cell>
          <cell r="BD383">
            <v>1570</v>
          </cell>
          <cell r="BE383">
            <v>1960</v>
          </cell>
          <cell r="BF383">
            <v>536</v>
          </cell>
          <cell r="BG383">
            <v>1025</v>
          </cell>
          <cell r="BH383">
            <v>350</v>
          </cell>
          <cell r="BI383">
            <v>1135</v>
          </cell>
          <cell r="BJ383">
            <v>1310</v>
          </cell>
          <cell r="BK383">
            <v>1385</v>
          </cell>
          <cell r="BL383">
            <v>1260</v>
          </cell>
          <cell r="BM383">
            <v>1625</v>
          </cell>
          <cell r="BN383">
            <v>1290</v>
          </cell>
          <cell r="BO383">
            <v>1930</v>
          </cell>
          <cell r="BP383">
            <v>405</v>
          </cell>
          <cell r="BQ383">
            <v>1765</v>
          </cell>
          <cell r="BR383">
            <v>1814</v>
          </cell>
          <cell r="BS383">
            <v>1490</v>
          </cell>
          <cell r="BT383">
            <v>1300</v>
          </cell>
          <cell r="BU383">
            <v>1275</v>
          </cell>
          <cell r="BV383">
            <v>1450</v>
          </cell>
          <cell r="BW383">
            <v>1705</v>
          </cell>
          <cell r="BX383">
            <v>1750</v>
          </cell>
          <cell r="BY383">
            <v>1740</v>
          </cell>
          <cell r="BZ383">
            <v>670</v>
          </cell>
          <cell r="CA383">
            <v>1400</v>
          </cell>
          <cell r="CB383">
            <v>1640</v>
          </cell>
          <cell r="CC383">
            <v>2440</v>
          </cell>
          <cell r="CD383">
            <v>1455</v>
          </cell>
          <cell r="CE383">
            <v>1375</v>
          </cell>
          <cell r="CF383">
            <v>1915</v>
          </cell>
          <cell r="CG383">
            <v>930</v>
          </cell>
          <cell r="CH383">
            <v>1170</v>
          </cell>
          <cell r="CI383">
            <v>1600</v>
          </cell>
          <cell r="CJ383">
            <v>860</v>
          </cell>
          <cell r="CK383">
            <v>1495</v>
          </cell>
          <cell r="CL383">
            <v>1995</v>
          </cell>
          <cell r="CM383">
            <v>1010</v>
          </cell>
          <cell r="CN383">
            <v>1540</v>
          </cell>
          <cell r="CO383">
            <v>1985</v>
          </cell>
          <cell r="CP383">
            <v>2780</v>
          </cell>
          <cell r="CQ383">
            <v>735</v>
          </cell>
          <cell r="CR383">
            <v>1780</v>
          </cell>
          <cell r="CS383">
            <v>925</v>
          </cell>
          <cell r="CT383">
            <v>1055</v>
          </cell>
          <cell r="CU383">
            <v>1049</v>
          </cell>
          <cell r="CV383">
            <v>580</v>
          </cell>
          <cell r="CW383">
            <v>1500</v>
          </cell>
          <cell r="CX383">
            <v>905</v>
          </cell>
          <cell r="CY383">
            <v>460</v>
          </cell>
          <cell r="CZ383">
            <v>1275</v>
          </cell>
          <cell r="DA383">
            <v>650</v>
          </cell>
          <cell r="DB383">
            <v>1030</v>
          </cell>
          <cell r="DC383">
            <v>505</v>
          </cell>
          <cell r="DD383">
            <v>845</v>
          </cell>
          <cell r="DE383">
            <v>590</v>
          </cell>
          <cell r="DF383">
            <v>1435</v>
          </cell>
          <cell r="DG383">
            <v>320</v>
          </cell>
          <cell r="DH383">
            <v>790</v>
          </cell>
          <cell r="DJ383">
            <v>930</v>
          </cell>
          <cell r="DK383">
            <v>560</v>
          </cell>
          <cell r="DL383">
            <v>1465</v>
          </cell>
          <cell r="DM383">
            <v>835</v>
          </cell>
          <cell r="DN383">
            <v>1180</v>
          </cell>
          <cell r="DO383">
            <v>1615</v>
          </cell>
          <cell r="DP383">
            <v>830</v>
          </cell>
          <cell r="DQ383">
            <v>970</v>
          </cell>
          <cell r="DR383">
            <v>1375</v>
          </cell>
          <cell r="DS383">
            <v>940</v>
          </cell>
          <cell r="DT383">
            <v>1515</v>
          </cell>
          <cell r="DU383">
            <v>785</v>
          </cell>
          <cell r="DV383">
            <v>580</v>
          </cell>
          <cell r="DW383">
            <v>1000</v>
          </cell>
          <cell r="DX383">
            <v>891</v>
          </cell>
          <cell r="DY383">
            <v>750</v>
          </cell>
          <cell r="DZ383">
            <v>885</v>
          </cell>
          <cell r="EA383">
            <v>5</v>
          </cell>
          <cell r="EB383">
            <v>1185</v>
          </cell>
          <cell r="EC383">
            <v>1175</v>
          </cell>
          <cell r="ED383">
            <v>605</v>
          </cell>
          <cell r="EE383">
            <v>745</v>
          </cell>
          <cell r="EF383">
            <v>680</v>
          </cell>
          <cell r="EG383">
            <v>400</v>
          </cell>
          <cell r="EH383" t="str">
            <v>ACTIVO</v>
          </cell>
          <cell r="EI383" t="str">
            <v>B</v>
          </cell>
          <cell r="EJ383">
            <v>450</v>
          </cell>
          <cell r="EK383">
            <v>912.54166666666663</v>
          </cell>
          <cell r="EL383">
            <v>152.09027777777777</v>
          </cell>
        </row>
        <row r="384">
          <cell r="F384">
            <v>107262</v>
          </cell>
          <cell r="G384" t="str">
            <v>REMOJO 3 LECHES RICHI</v>
          </cell>
          <cell r="H384">
            <v>54</v>
          </cell>
          <cell r="AL384">
            <v>128</v>
          </cell>
          <cell r="AM384">
            <v>371</v>
          </cell>
          <cell r="AO384">
            <v>225</v>
          </cell>
          <cell r="AP384">
            <v>384</v>
          </cell>
          <cell r="AQ384">
            <v>754</v>
          </cell>
          <cell r="AR384">
            <v>443</v>
          </cell>
          <cell r="AS384">
            <v>262</v>
          </cell>
          <cell r="AT384">
            <v>169</v>
          </cell>
          <cell r="AU384">
            <v>695</v>
          </cell>
          <cell r="AV384">
            <v>439</v>
          </cell>
          <cell r="AW384">
            <v>821</v>
          </cell>
          <cell r="AX384">
            <v>1398</v>
          </cell>
          <cell r="AY384">
            <v>807</v>
          </cell>
          <cell r="AZ384">
            <v>712</v>
          </cell>
          <cell r="BA384">
            <v>213</v>
          </cell>
          <cell r="BB384">
            <v>969</v>
          </cell>
          <cell r="BC384">
            <v>1027</v>
          </cell>
          <cell r="BD384">
            <v>725</v>
          </cell>
          <cell r="BE384">
            <v>188</v>
          </cell>
          <cell r="BF384">
            <v>987</v>
          </cell>
          <cell r="BG384">
            <v>260</v>
          </cell>
          <cell r="BH384">
            <v>593</v>
          </cell>
          <cell r="BI384">
            <v>636</v>
          </cell>
          <cell r="BJ384">
            <v>476</v>
          </cell>
          <cell r="BK384">
            <v>1414</v>
          </cell>
          <cell r="BL384">
            <v>2393</v>
          </cell>
          <cell r="BM384">
            <v>490</v>
          </cell>
          <cell r="BN384">
            <v>1495</v>
          </cell>
          <cell r="BO384">
            <v>1004</v>
          </cell>
          <cell r="BP384">
            <v>716</v>
          </cell>
          <cell r="BQ384">
            <v>316</v>
          </cell>
          <cell r="BR384">
            <v>1751</v>
          </cell>
          <cell r="BS384">
            <v>367</v>
          </cell>
          <cell r="BT384">
            <v>2712.45</v>
          </cell>
          <cell r="BU384">
            <v>1030</v>
          </cell>
          <cell r="BV384">
            <v>239</v>
          </cell>
          <cell r="BW384">
            <v>261</v>
          </cell>
          <cell r="BX384">
            <v>1852</v>
          </cell>
          <cell r="BY384">
            <v>732</v>
          </cell>
          <cell r="BZ384">
            <v>52</v>
          </cell>
          <cell r="CA384">
            <v>24</v>
          </cell>
          <cell r="CB384">
            <v>1070</v>
          </cell>
          <cell r="CC384">
            <v>696</v>
          </cell>
          <cell r="CD384">
            <v>307</v>
          </cell>
          <cell r="CE384">
            <v>1485</v>
          </cell>
          <cell r="CF384">
            <v>1707</v>
          </cell>
          <cell r="CG384">
            <v>1101</v>
          </cell>
          <cell r="CH384">
            <v>347</v>
          </cell>
          <cell r="CI384">
            <v>1152</v>
          </cell>
          <cell r="CJ384">
            <v>508</v>
          </cell>
          <cell r="CK384">
            <v>819</v>
          </cell>
          <cell r="CL384">
            <v>962</v>
          </cell>
          <cell r="CM384">
            <v>724</v>
          </cell>
          <cell r="CN384">
            <v>1251</v>
          </cell>
          <cell r="CO384">
            <v>1152</v>
          </cell>
          <cell r="CP384">
            <v>2673</v>
          </cell>
          <cell r="CQ384">
            <v>380</v>
          </cell>
          <cell r="CR384">
            <v>75</v>
          </cell>
          <cell r="CT384">
            <v>846</v>
          </cell>
          <cell r="CU384">
            <v>531</v>
          </cell>
          <cell r="CV384">
            <v>360</v>
          </cell>
          <cell r="CW384">
            <v>600</v>
          </cell>
          <cell r="CX384">
            <v>300</v>
          </cell>
          <cell r="CY384">
            <v>845</v>
          </cell>
          <cell r="CZ384">
            <v>51</v>
          </cell>
          <cell r="DA384">
            <v>655</v>
          </cell>
          <cell r="DB384">
            <v>49</v>
          </cell>
          <cell r="DC384">
            <v>1008</v>
          </cell>
          <cell r="DD384">
            <v>48</v>
          </cell>
          <cell r="DE384">
            <v>65</v>
          </cell>
          <cell r="DF384">
            <v>634</v>
          </cell>
          <cell r="DG384">
            <v>138</v>
          </cell>
          <cell r="DH384">
            <v>45</v>
          </cell>
          <cell r="DJ384">
            <v>1099</v>
          </cell>
          <cell r="DK384">
            <v>112</v>
          </cell>
          <cell r="DL384">
            <v>395</v>
          </cell>
          <cell r="DM384">
            <v>644</v>
          </cell>
          <cell r="DN384">
            <v>336</v>
          </cell>
          <cell r="DO384">
            <v>714</v>
          </cell>
          <cell r="DP384">
            <v>624</v>
          </cell>
          <cell r="DQ384">
            <v>672</v>
          </cell>
          <cell r="DR384">
            <v>120</v>
          </cell>
          <cell r="DS384">
            <v>1270</v>
          </cell>
          <cell r="DT384">
            <v>432</v>
          </cell>
          <cell r="DU384">
            <v>1085</v>
          </cell>
          <cell r="DV384">
            <v>532</v>
          </cell>
          <cell r="DW384">
            <v>1427</v>
          </cell>
          <cell r="DX384">
            <v>73</v>
          </cell>
          <cell r="DY384">
            <v>78</v>
          </cell>
          <cell r="DZ384">
            <v>739</v>
          </cell>
          <cell r="EB384">
            <v>540</v>
          </cell>
          <cell r="EC384">
            <v>244</v>
          </cell>
          <cell r="ED384">
            <v>593</v>
          </cell>
          <cell r="EE384">
            <v>719</v>
          </cell>
          <cell r="EF384">
            <v>354</v>
          </cell>
          <cell r="EG384">
            <v>612.76800000000003</v>
          </cell>
          <cell r="EH384" t="str">
            <v>ACTIVO</v>
          </cell>
          <cell r="EI384" t="str">
            <v>B</v>
          </cell>
          <cell r="EJ384">
            <v>900</v>
          </cell>
          <cell r="EK384">
            <v>583.25078260869566</v>
          </cell>
          <cell r="EL384">
            <v>97.208463768115948</v>
          </cell>
        </row>
        <row r="385">
          <cell r="F385">
            <v>100303</v>
          </cell>
          <cell r="G385" t="str">
            <v>JARABE DE REMOJO 35° TOTEM 1000 Lt</v>
          </cell>
          <cell r="BU385">
            <v>1000</v>
          </cell>
          <cell r="EH385" t="str">
            <v>SIN USO</v>
          </cell>
          <cell r="EI385" t="str">
            <v>C</v>
          </cell>
          <cell r="EK385">
            <v>0</v>
          </cell>
          <cell r="EL385">
            <v>0</v>
          </cell>
        </row>
        <row r="386">
          <cell r="H386">
            <v>7694</v>
          </cell>
          <cell r="I386">
            <v>9295</v>
          </cell>
          <cell r="J386">
            <v>11170</v>
          </cell>
          <cell r="K386">
            <v>12225.827315999999</v>
          </cell>
          <cell r="L386">
            <v>10146</v>
          </cell>
          <cell r="M386">
            <v>9890</v>
          </cell>
          <cell r="N386">
            <v>9061.4305000000004</v>
          </cell>
          <cell r="O386">
            <v>12070.34</v>
          </cell>
          <cell r="P386">
            <v>7575</v>
          </cell>
          <cell r="Q386">
            <v>11790</v>
          </cell>
          <cell r="R386">
            <v>9995</v>
          </cell>
          <cell r="S386">
            <v>6640</v>
          </cell>
          <cell r="T386">
            <v>3805</v>
          </cell>
          <cell r="U386">
            <v>11800</v>
          </cell>
          <cell r="V386">
            <v>11920</v>
          </cell>
          <cell r="W386">
            <v>8005</v>
          </cell>
          <cell r="X386">
            <v>9980</v>
          </cell>
          <cell r="Y386">
            <v>9930</v>
          </cell>
          <cell r="Z386">
            <v>11376.000001</v>
          </cell>
          <cell r="AA386">
            <v>8045</v>
          </cell>
          <cell r="AB386">
            <v>11205</v>
          </cell>
          <cell r="AC386">
            <v>10026</v>
          </cell>
          <cell r="AD386">
            <v>11591</v>
          </cell>
          <cell r="AE386">
            <v>12300</v>
          </cell>
          <cell r="AF386">
            <v>8100</v>
          </cell>
          <cell r="AG386">
            <v>9421</v>
          </cell>
          <cell r="AH386">
            <v>9561</v>
          </cell>
          <cell r="AI386">
            <v>10060</v>
          </cell>
          <cell r="AJ386">
            <v>10980</v>
          </cell>
          <cell r="AK386">
            <v>12225</v>
          </cell>
          <cell r="AL386">
            <v>11405</v>
          </cell>
          <cell r="AM386">
            <v>11306</v>
          </cell>
          <cell r="AN386">
            <v>8725</v>
          </cell>
          <cell r="AO386">
            <v>9925</v>
          </cell>
          <cell r="AP386">
            <v>9829</v>
          </cell>
          <cell r="AQ386">
            <v>8889</v>
          </cell>
          <cell r="AR386">
            <v>11213</v>
          </cell>
          <cell r="AS386">
            <v>3197</v>
          </cell>
          <cell r="AT386">
            <v>9319</v>
          </cell>
          <cell r="AU386">
            <v>10200</v>
          </cell>
          <cell r="AV386">
            <v>9903</v>
          </cell>
          <cell r="AW386">
            <v>14118</v>
          </cell>
          <cell r="AX386">
            <v>15728</v>
          </cell>
          <cell r="AY386">
            <v>10367</v>
          </cell>
          <cell r="AZ386">
            <v>11597</v>
          </cell>
          <cell r="BA386">
            <v>12358</v>
          </cell>
          <cell r="BB386">
            <v>12939</v>
          </cell>
          <cell r="BC386">
            <v>7657</v>
          </cell>
          <cell r="BD386">
            <v>12330</v>
          </cell>
          <cell r="BE386">
            <v>11373</v>
          </cell>
          <cell r="BF386">
            <v>11008</v>
          </cell>
          <cell r="BG386">
            <v>13275</v>
          </cell>
          <cell r="BH386">
            <v>4888</v>
          </cell>
          <cell r="BI386">
            <v>9676</v>
          </cell>
          <cell r="BJ386">
            <v>7221</v>
          </cell>
          <cell r="BK386">
            <v>11294</v>
          </cell>
          <cell r="BL386">
            <v>9938</v>
          </cell>
          <cell r="BM386">
            <v>11230</v>
          </cell>
          <cell r="BN386">
            <v>11565</v>
          </cell>
          <cell r="BO386">
            <v>11039</v>
          </cell>
          <cell r="BP386">
            <v>8206</v>
          </cell>
          <cell r="BQ386">
            <v>10007</v>
          </cell>
          <cell r="BR386">
            <v>9760</v>
          </cell>
          <cell r="BS386">
            <v>10607</v>
          </cell>
          <cell r="BT386">
            <v>12687.45</v>
          </cell>
          <cell r="BU386">
            <v>10263</v>
          </cell>
          <cell r="BV386">
            <v>14219</v>
          </cell>
          <cell r="BW386">
            <v>11271</v>
          </cell>
          <cell r="BX386">
            <v>11747</v>
          </cell>
          <cell r="BY386">
            <v>13127</v>
          </cell>
          <cell r="BZ386">
            <v>11792.5</v>
          </cell>
          <cell r="CA386">
            <v>10654</v>
          </cell>
          <cell r="CB386">
            <v>11630</v>
          </cell>
          <cell r="CC386">
            <v>14061</v>
          </cell>
          <cell r="CD386">
            <v>9992</v>
          </cell>
          <cell r="CE386">
            <v>12060</v>
          </cell>
          <cell r="CF386">
            <v>11157</v>
          </cell>
          <cell r="CG386">
            <v>12431</v>
          </cell>
          <cell r="CH386">
            <v>11437</v>
          </cell>
          <cell r="CI386">
            <v>11512</v>
          </cell>
          <cell r="CJ386">
            <v>7913</v>
          </cell>
          <cell r="CK386">
            <v>13964</v>
          </cell>
          <cell r="CL386">
            <v>12387</v>
          </cell>
          <cell r="CM386">
            <v>10809</v>
          </cell>
          <cell r="CN386">
            <v>14406</v>
          </cell>
          <cell r="CO386">
            <v>13397</v>
          </cell>
          <cell r="CP386">
            <v>16583</v>
          </cell>
          <cell r="CQ386">
            <v>10865</v>
          </cell>
          <cell r="CR386">
            <v>10790</v>
          </cell>
          <cell r="CS386">
            <v>5235</v>
          </cell>
          <cell r="CT386">
            <v>12876</v>
          </cell>
          <cell r="CU386">
            <v>9885</v>
          </cell>
          <cell r="CV386">
            <v>8770</v>
          </cell>
          <cell r="CW386">
            <v>9710</v>
          </cell>
          <cell r="CX386">
            <v>9790</v>
          </cell>
          <cell r="CY386">
            <v>7095</v>
          </cell>
          <cell r="CZ386">
            <v>10806</v>
          </cell>
          <cell r="DA386">
            <v>7005</v>
          </cell>
          <cell r="DB386">
            <v>7364</v>
          </cell>
          <cell r="DC386">
            <v>8108</v>
          </cell>
          <cell r="DD386">
            <v>7148</v>
          </cell>
          <cell r="DE386">
            <v>6500</v>
          </cell>
          <cell r="DF386">
            <v>9689</v>
          </cell>
          <cell r="DG386">
            <v>6623</v>
          </cell>
          <cell r="DH386">
            <v>4450</v>
          </cell>
          <cell r="DI386">
            <v>2380</v>
          </cell>
          <cell r="DJ386">
            <v>6999</v>
          </cell>
          <cell r="DK386">
            <v>6537</v>
          </cell>
          <cell r="DL386">
            <v>10590</v>
          </cell>
          <cell r="DM386">
            <v>8299</v>
          </cell>
          <cell r="DN386">
            <v>9271</v>
          </cell>
          <cell r="DO386">
            <v>10744</v>
          </cell>
          <cell r="DP386">
            <v>8184</v>
          </cell>
          <cell r="DQ386">
            <v>7427</v>
          </cell>
          <cell r="DR386">
            <v>10285</v>
          </cell>
          <cell r="DS386">
            <v>7230</v>
          </cell>
          <cell r="DT386">
            <v>9762</v>
          </cell>
          <cell r="DU386">
            <v>10720</v>
          </cell>
          <cell r="DV386">
            <v>6062</v>
          </cell>
          <cell r="DW386">
            <v>7347</v>
          </cell>
          <cell r="DX386">
            <v>9714</v>
          </cell>
          <cell r="DY386">
            <v>9683</v>
          </cell>
          <cell r="DZ386">
            <v>9809</v>
          </cell>
          <cell r="EA386">
            <v>5885</v>
          </cell>
          <cell r="EB386">
            <v>9730</v>
          </cell>
          <cell r="EC386">
            <v>10399</v>
          </cell>
          <cell r="ED386">
            <v>10159.530000000001</v>
          </cell>
          <cell r="EE386">
            <v>7469</v>
          </cell>
          <cell r="EF386">
            <v>9994</v>
          </cell>
          <cell r="EG386">
            <v>7947.768</v>
          </cell>
          <cell r="EH386" t="str">
            <v>ACTIVO</v>
          </cell>
          <cell r="EI386" t="str">
            <v/>
          </cell>
          <cell r="EJ386" t="str">
            <v/>
          </cell>
          <cell r="EK386">
            <v>8505.0919200000008</v>
          </cell>
          <cell r="EL386">
            <v>1417.5153200000002</v>
          </cell>
        </row>
        <row r="387">
          <cell r="F387">
            <v>404309</v>
          </cell>
          <cell r="G387" t="str">
            <v>CINTA NEGRA GC ZUKKER</v>
          </cell>
          <cell r="H387">
            <v>64</v>
          </cell>
          <cell r="I387">
            <v>200</v>
          </cell>
          <cell r="J387">
            <v>344</v>
          </cell>
          <cell r="K387">
            <v>192</v>
          </cell>
          <cell r="L387">
            <v>67.5</v>
          </cell>
          <cell r="M387">
            <v>108</v>
          </cell>
          <cell r="N387">
            <v>270</v>
          </cell>
          <cell r="O387">
            <v>324</v>
          </cell>
          <cell r="P387">
            <v>121.5</v>
          </cell>
          <cell r="Q387">
            <v>165</v>
          </cell>
          <cell r="R387">
            <v>133.5</v>
          </cell>
          <cell r="S387">
            <v>54</v>
          </cell>
          <cell r="T387">
            <v>180</v>
          </cell>
          <cell r="U387">
            <v>121.5</v>
          </cell>
          <cell r="V387">
            <v>162</v>
          </cell>
          <cell r="W387">
            <v>130.5</v>
          </cell>
          <cell r="X387">
            <v>175.5</v>
          </cell>
          <cell r="Y387">
            <v>94.5</v>
          </cell>
          <cell r="Z387">
            <v>0</v>
          </cell>
          <cell r="AA387">
            <v>105</v>
          </cell>
          <cell r="AB387">
            <v>238.5</v>
          </cell>
          <cell r="AC387">
            <v>162</v>
          </cell>
          <cell r="AD387">
            <v>229.5</v>
          </cell>
          <cell r="AE387">
            <v>84</v>
          </cell>
          <cell r="AF387">
            <v>240</v>
          </cell>
          <cell r="AG387">
            <v>193.5</v>
          </cell>
          <cell r="AH387">
            <v>127</v>
          </cell>
          <cell r="AI387">
            <v>175.5</v>
          </cell>
          <cell r="AJ387">
            <v>135</v>
          </cell>
          <cell r="AK387">
            <v>186.5</v>
          </cell>
          <cell r="AL387">
            <v>108</v>
          </cell>
          <cell r="AM387">
            <v>121.5</v>
          </cell>
          <cell r="AN387">
            <v>148.5</v>
          </cell>
          <cell r="AO387">
            <v>216</v>
          </cell>
          <cell r="AP387">
            <v>108.5</v>
          </cell>
          <cell r="AQ387">
            <v>132</v>
          </cell>
          <cell r="AR387">
            <v>200</v>
          </cell>
          <cell r="AS387">
            <v>12</v>
          </cell>
          <cell r="AT387">
            <v>137.5</v>
          </cell>
          <cell r="AU387">
            <v>135</v>
          </cell>
          <cell r="AV387">
            <v>450</v>
          </cell>
          <cell r="AW387">
            <v>50</v>
          </cell>
          <cell r="AX387">
            <v>38</v>
          </cell>
          <cell r="AY387">
            <v>66</v>
          </cell>
          <cell r="AZ387">
            <v>530</v>
          </cell>
          <cell r="BB387">
            <v>144</v>
          </cell>
          <cell r="BC387">
            <v>324</v>
          </cell>
          <cell r="BE387">
            <v>6</v>
          </cell>
          <cell r="BF387">
            <v>276</v>
          </cell>
          <cell r="BG387">
            <v>20</v>
          </cell>
          <cell r="BH387">
            <v>92</v>
          </cell>
          <cell r="BI387">
            <v>344</v>
          </cell>
          <cell r="BJ387">
            <v>84</v>
          </cell>
          <cell r="BK387">
            <v>56</v>
          </cell>
          <cell r="BL387">
            <v>376</v>
          </cell>
          <cell r="BM387">
            <v>124</v>
          </cell>
          <cell r="BN387">
            <v>212</v>
          </cell>
          <cell r="BO387">
            <v>212</v>
          </cell>
          <cell r="BP387">
            <v>164</v>
          </cell>
          <cell r="BQ387">
            <v>439</v>
          </cell>
          <cell r="BS387">
            <v>156</v>
          </cell>
          <cell r="BT387">
            <v>208</v>
          </cell>
          <cell r="BU387">
            <v>380</v>
          </cell>
          <cell r="BW387">
            <v>40</v>
          </cell>
          <cell r="BX387">
            <v>212</v>
          </cell>
          <cell r="BY387">
            <v>204</v>
          </cell>
          <cell r="BZ387">
            <v>20</v>
          </cell>
          <cell r="CA387">
            <v>188</v>
          </cell>
          <cell r="CB387">
            <v>164</v>
          </cell>
          <cell r="CC387">
            <v>164</v>
          </cell>
          <cell r="CD387">
            <v>172</v>
          </cell>
          <cell r="CG387">
            <v>336</v>
          </cell>
          <cell r="CH387">
            <v>160</v>
          </cell>
          <cell r="CI387">
            <v>24</v>
          </cell>
          <cell r="CJ387">
            <v>424</v>
          </cell>
          <cell r="CK387">
            <v>444</v>
          </cell>
          <cell r="CM387">
            <v>284</v>
          </cell>
          <cell r="CN387">
            <v>132</v>
          </cell>
          <cell r="CO387">
            <v>228</v>
          </cell>
          <cell r="CP387">
            <v>216</v>
          </cell>
          <cell r="CQ387">
            <v>472</v>
          </cell>
          <cell r="CR387">
            <v>36</v>
          </cell>
          <cell r="CS387">
            <v>28</v>
          </cell>
          <cell r="CT387">
            <v>16</v>
          </cell>
          <cell r="CU387">
            <v>208</v>
          </cell>
          <cell r="CV387">
            <v>312</v>
          </cell>
          <cell r="CW387">
            <v>236</v>
          </cell>
          <cell r="CX387">
            <v>436</v>
          </cell>
          <cell r="CZ387">
            <v>220</v>
          </cell>
          <cell r="DB387">
            <v>404</v>
          </cell>
          <cell r="DC387">
            <v>24</v>
          </cell>
          <cell r="DD387">
            <v>196</v>
          </cell>
          <cell r="DE387">
            <v>220</v>
          </cell>
          <cell r="DG387">
            <v>184</v>
          </cell>
          <cell r="DH387">
            <v>27</v>
          </cell>
          <cell r="DJ387">
            <v>84</v>
          </cell>
          <cell r="DK387">
            <v>240</v>
          </cell>
          <cell r="DL387">
            <v>244</v>
          </cell>
          <cell r="DM387">
            <v>408</v>
          </cell>
          <cell r="DN387">
            <v>204</v>
          </cell>
          <cell r="DO387">
            <v>256</v>
          </cell>
          <cell r="DP387">
            <v>220</v>
          </cell>
          <cell r="DQ387">
            <v>184</v>
          </cell>
          <cell r="DR387">
            <v>184</v>
          </cell>
          <cell r="DU387">
            <v>272</v>
          </cell>
          <cell r="DV387">
            <v>280</v>
          </cell>
          <cell r="DW387">
            <v>220</v>
          </cell>
          <cell r="DX387">
            <v>44</v>
          </cell>
          <cell r="DY387">
            <v>396</v>
          </cell>
          <cell r="DZ387">
            <v>240</v>
          </cell>
          <cell r="EB387">
            <v>184</v>
          </cell>
          <cell r="EC387">
            <v>220</v>
          </cell>
          <cell r="ED387">
            <v>244</v>
          </cell>
          <cell r="EE387">
            <v>184</v>
          </cell>
          <cell r="EF387">
            <v>184</v>
          </cell>
          <cell r="EG387">
            <v>100</v>
          </cell>
          <cell r="EH387" t="str">
            <v>ACTIVO</v>
          </cell>
          <cell r="EI387" t="str">
            <v>B</v>
          </cell>
          <cell r="EJ387">
            <v>400</v>
          </cell>
          <cell r="EK387">
            <v>218.66666666666666</v>
          </cell>
          <cell r="EL387">
            <v>36.444444444444443</v>
          </cell>
        </row>
        <row r="388">
          <cell r="F388">
            <v>405133</v>
          </cell>
          <cell r="G388" t="str">
            <v>RALLADO NEGRO 3mm ZUKKER</v>
          </cell>
          <cell r="H388">
            <v>48</v>
          </cell>
          <cell r="I388">
            <v>195</v>
          </cell>
          <cell r="J388">
            <v>180</v>
          </cell>
          <cell r="K388">
            <v>424</v>
          </cell>
          <cell r="L388">
            <v>249</v>
          </cell>
          <cell r="M388">
            <v>135</v>
          </cell>
          <cell r="N388">
            <v>175</v>
          </cell>
          <cell r="O388">
            <v>411</v>
          </cell>
          <cell r="P388">
            <v>60</v>
          </cell>
          <cell r="Q388">
            <v>315</v>
          </cell>
          <cell r="R388">
            <v>80</v>
          </cell>
          <cell r="S388">
            <v>165</v>
          </cell>
          <cell r="T388">
            <v>155</v>
          </cell>
          <cell r="U388">
            <v>262.5</v>
          </cell>
          <cell r="V388">
            <v>180</v>
          </cell>
          <cell r="W388">
            <v>15</v>
          </cell>
          <cell r="X388">
            <v>330</v>
          </cell>
          <cell r="Y388">
            <v>138</v>
          </cell>
          <cell r="Z388">
            <v>45</v>
          </cell>
          <cell r="AA388">
            <v>210</v>
          </cell>
          <cell r="AB388">
            <v>300</v>
          </cell>
          <cell r="AC388">
            <v>165</v>
          </cell>
          <cell r="AD388">
            <v>290</v>
          </cell>
          <cell r="AE388">
            <v>120</v>
          </cell>
          <cell r="AF388">
            <v>225</v>
          </cell>
          <cell r="AG388">
            <v>180</v>
          </cell>
          <cell r="AH388">
            <v>241</v>
          </cell>
          <cell r="AI388">
            <v>355</v>
          </cell>
          <cell r="AJ388">
            <v>225</v>
          </cell>
          <cell r="AK388">
            <v>434</v>
          </cell>
          <cell r="AL388">
            <v>273</v>
          </cell>
          <cell r="AM388">
            <v>135</v>
          </cell>
          <cell r="AN388">
            <v>216</v>
          </cell>
          <cell r="AO388">
            <v>315</v>
          </cell>
          <cell r="AP388">
            <v>215</v>
          </cell>
          <cell r="AQ388">
            <v>225</v>
          </cell>
          <cell r="AR388">
            <v>180</v>
          </cell>
          <cell r="AS388">
            <v>140</v>
          </cell>
          <cell r="AT388">
            <v>130</v>
          </cell>
          <cell r="AU388">
            <v>115</v>
          </cell>
          <cell r="AV388">
            <v>228</v>
          </cell>
          <cell r="AW388">
            <v>651</v>
          </cell>
          <cell r="AX388">
            <v>108</v>
          </cell>
          <cell r="AY388">
            <v>105</v>
          </cell>
          <cell r="AZ388">
            <v>275</v>
          </cell>
          <cell r="BA388">
            <v>203</v>
          </cell>
          <cell r="BB388">
            <v>418</v>
          </cell>
          <cell r="BC388">
            <v>108</v>
          </cell>
          <cell r="BD388">
            <v>368</v>
          </cell>
          <cell r="BE388">
            <v>343</v>
          </cell>
          <cell r="BF388">
            <v>223</v>
          </cell>
          <cell r="BG388">
            <v>440</v>
          </cell>
          <cell r="BH388">
            <v>54</v>
          </cell>
          <cell r="BI388">
            <v>261</v>
          </cell>
          <cell r="BJ388">
            <v>126</v>
          </cell>
          <cell r="BK388">
            <v>441</v>
          </cell>
          <cell r="BL388">
            <v>123</v>
          </cell>
          <cell r="BM388">
            <v>430</v>
          </cell>
          <cell r="BN388">
            <v>363</v>
          </cell>
          <cell r="BO388">
            <v>245</v>
          </cell>
          <cell r="BP388">
            <v>130</v>
          </cell>
          <cell r="BQ388">
            <v>162</v>
          </cell>
          <cell r="BR388">
            <v>316</v>
          </cell>
          <cell r="BS388">
            <v>539</v>
          </cell>
          <cell r="BT388">
            <v>105</v>
          </cell>
          <cell r="BU388">
            <v>178</v>
          </cell>
          <cell r="BV388">
            <v>582</v>
          </cell>
          <cell r="BW388">
            <v>147</v>
          </cell>
          <cell r="BX388">
            <v>233</v>
          </cell>
          <cell r="BY388">
            <v>239</v>
          </cell>
          <cell r="BZ388">
            <v>151</v>
          </cell>
          <cell r="CA388">
            <v>371</v>
          </cell>
          <cell r="CB388">
            <v>30</v>
          </cell>
          <cell r="CC388">
            <v>324</v>
          </cell>
          <cell r="CD388">
            <v>155</v>
          </cell>
          <cell r="CE388">
            <v>206</v>
          </cell>
          <cell r="CF388">
            <v>340</v>
          </cell>
          <cell r="CG388">
            <v>220</v>
          </cell>
          <cell r="CH388">
            <v>165</v>
          </cell>
          <cell r="CI388">
            <v>8</v>
          </cell>
          <cell r="CJ388">
            <v>111</v>
          </cell>
          <cell r="CK388">
            <v>309</v>
          </cell>
          <cell r="CL388">
            <v>222</v>
          </cell>
          <cell r="CM388">
            <v>170</v>
          </cell>
          <cell r="CN388">
            <v>193</v>
          </cell>
          <cell r="CO388">
            <v>297</v>
          </cell>
          <cell r="CP388">
            <v>371</v>
          </cell>
          <cell r="CQ388">
            <v>249</v>
          </cell>
          <cell r="CR388">
            <v>170</v>
          </cell>
          <cell r="CS388">
            <v>178</v>
          </cell>
          <cell r="CT388">
            <v>357</v>
          </cell>
          <cell r="CU388">
            <v>335</v>
          </cell>
          <cell r="CV388">
            <v>65</v>
          </cell>
          <cell r="CW388">
            <v>170</v>
          </cell>
          <cell r="CX388">
            <v>240</v>
          </cell>
          <cell r="CY388">
            <v>60</v>
          </cell>
          <cell r="CZ388">
            <v>295</v>
          </cell>
          <cell r="DA388">
            <v>70</v>
          </cell>
          <cell r="DB388">
            <v>90</v>
          </cell>
          <cell r="DC388">
            <v>60</v>
          </cell>
          <cell r="DD388">
            <v>205</v>
          </cell>
          <cell r="DE388">
            <v>15</v>
          </cell>
          <cell r="DF388">
            <v>70</v>
          </cell>
          <cell r="DG388">
            <v>180</v>
          </cell>
          <cell r="DH388">
            <v>20</v>
          </cell>
          <cell r="DI388">
            <v>15</v>
          </cell>
          <cell r="DJ388">
            <v>216</v>
          </cell>
          <cell r="DK388">
            <v>84</v>
          </cell>
          <cell r="DL388">
            <v>260</v>
          </cell>
          <cell r="DM388">
            <v>180</v>
          </cell>
          <cell r="DN388">
            <v>175</v>
          </cell>
          <cell r="DO388">
            <v>275</v>
          </cell>
          <cell r="DP388">
            <v>160</v>
          </cell>
          <cell r="DQ388">
            <v>115</v>
          </cell>
          <cell r="DR388">
            <v>120</v>
          </cell>
          <cell r="DS388">
            <v>204</v>
          </cell>
          <cell r="DT388">
            <v>450</v>
          </cell>
          <cell r="DU388">
            <v>120</v>
          </cell>
          <cell r="DV388">
            <v>170</v>
          </cell>
          <cell r="DW388">
            <v>45</v>
          </cell>
          <cell r="DX388">
            <v>255</v>
          </cell>
          <cell r="DY388">
            <v>85</v>
          </cell>
          <cell r="DZ388">
            <v>258</v>
          </cell>
          <cell r="EB388">
            <v>80</v>
          </cell>
          <cell r="EC388">
            <v>115</v>
          </cell>
          <cell r="ED388">
            <v>70</v>
          </cell>
          <cell r="EE388">
            <v>365</v>
          </cell>
          <cell r="EF388">
            <v>220</v>
          </cell>
          <cell r="EG388">
            <v>130</v>
          </cell>
          <cell r="EH388" t="str">
            <v>ACTIVO</v>
          </cell>
          <cell r="EI388" t="str">
            <v>B</v>
          </cell>
          <cell r="EJ388">
            <v>10000</v>
          </cell>
          <cell r="EK388">
            <v>173.625</v>
          </cell>
          <cell r="EL388">
            <v>28.9375</v>
          </cell>
        </row>
        <row r="389">
          <cell r="F389">
            <v>107170</v>
          </cell>
          <cell r="G389" t="str">
            <v>GRANILLO CHOCOLATE MANAR</v>
          </cell>
          <cell r="H389">
            <v>150</v>
          </cell>
          <cell r="I389">
            <v>150</v>
          </cell>
          <cell r="J389">
            <v>100</v>
          </cell>
          <cell r="K389">
            <v>125</v>
          </cell>
          <cell r="L389">
            <v>100</v>
          </cell>
          <cell r="M389">
            <v>100</v>
          </cell>
          <cell r="N389">
            <v>125</v>
          </cell>
          <cell r="O389">
            <v>150</v>
          </cell>
          <cell r="P389">
            <v>150</v>
          </cell>
          <cell r="Q389">
            <v>200</v>
          </cell>
          <cell r="R389">
            <v>300</v>
          </cell>
          <cell r="S389">
            <v>100</v>
          </cell>
          <cell r="T389">
            <v>25</v>
          </cell>
          <cell r="U389">
            <v>150</v>
          </cell>
          <cell r="V389">
            <v>250</v>
          </cell>
          <cell r="W389">
            <v>250</v>
          </cell>
          <cell r="X389">
            <v>150</v>
          </cell>
          <cell r="Y389">
            <v>125</v>
          </cell>
          <cell r="Z389">
            <v>50</v>
          </cell>
          <cell r="AA389">
            <v>75</v>
          </cell>
          <cell r="AB389">
            <v>200</v>
          </cell>
          <cell r="AC389">
            <v>100</v>
          </cell>
          <cell r="AD389">
            <v>100</v>
          </cell>
          <cell r="AE389">
            <v>250</v>
          </cell>
          <cell r="AF389">
            <v>180</v>
          </cell>
          <cell r="AG389">
            <v>185</v>
          </cell>
          <cell r="AH389">
            <v>101</v>
          </cell>
          <cell r="AI389">
            <v>175</v>
          </cell>
          <cell r="AJ389">
            <v>175</v>
          </cell>
          <cell r="AK389">
            <v>175</v>
          </cell>
          <cell r="AL389">
            <v>150</v>
          </cell>
          <cell r="AM389">
            <v>200</v>
          </cell>
          <cell r="AN389">
            <v>200</v>
          </cell>
          <cell r="AO389">
            <v>100</v>
          </cell>
          <cell r="AP389">
            <v>100</v>
          </cell>
          <cell r="AQ389">
            <v>200</v>
          </cell>
          <cell r="AR389">
            <v>125</v>
          </cell>
          <cell r="AS389">
            <v>25</v>
          </cell>
          <cell r="AT389">
            <v>175</v>
          </cell>
          <cell r="AU389">
            <v>100</v>
          </cell>
          <cell r="AV389">
            <v>125</v>
          </cell>
          <cell r="AW389">
            <v>225</v>
          </cell>
          <cell r="AX389">
            <v>200</v>
          </cell>
          <cell r="AY389">
            <v>175</v>
          </cell>
          <cell r="AZ389">
            <v>150</v>
          </cell>
          <cell r="BA389">
            <v>125</v>
          </cell>
          <cell r="BB389">
            <v>125</v>
          </cell>
          <cell r="BC389">
            <v>100</v>
          </cell>
          <cell r="BD389">
            <v>100</v>
          </cell>
          <cell r="BE389">
            <v>100</v>
          </cell>
          <cell r="BF389">
            <v>100</v>
          </cell>
          <cell r="BG389">
            <v>150</v>
          </cell>
          <cell r="BH389">
            <v>75</v>
          </cell>
          <cell r="BI389">
            <v>175</v>
          </cell>
          <cell r="BJ389">
            <v>125</v>
          </cell>
          <cell r="BK389">
            <v>125</v>
          </cell>
          <cell r="BL389">
            <v>125</v>
          </cell>
          <cell r="BM389">
            <v>125</v>
          </cell>
          <cell r="BN389">
            <v>100</v>
          </cell>
          <cell r="BO389">
            <v>375</v>
          </cell>
          <cell r="BP389">
            <v>75</v>
          </cell>
          <cell r="BQ389">
            <v>150</v>
          </cell>
          <cell r="BR389">
            <v>75</v>
          </cell>
          <cell r="BS389">
            <v>75</v>
          </cell>
          <cell r="BT389">
            <v>75</v>
          </cell>
          <cell r="BU389">
            <v>150</v>
          </cell>
          <cell r="BV389">
            <v>25</v>
          </cell>
          <cell r="BW389">
            <v>225</v>
          </cell>
          <cell r="BX389">
            <v>300</v>
          </cell>
          <cell r="BY389">
            <v>150</v>
          </cell>
          <cell r="BZ389">
            <v>100</v>
          </cell>
          <cell r="CA389">
            <v>325</v>
          </cell>
          <cell r="CC389">
            <v>25</v>
          </cell>
          <cell r="CD389">
            <v>225</v>
          </cell>
          <cell r="CE389">
            <v>100</v>
          </cell>
          <cell r="CF389">
            <v>425</v>
          </cell>
          <cell r="CG389">
            <v>50</v>
          </cell>
          <cell r="CH389">
            <v>250</v>
          </cell>
          <cell r="CI389">
            <v>50</v>
          </cell>
          <cell r="CJ389">
            <v>75</v>
          </cell>
          <cell r="CK389">
            <v>200</v>
          </cell>
          <cell r="CL389">
            <v>25</v>
          </cell>
          <cell r="CM389">
            <v>275</v>
          </cell>
          <cell r="CN389">
            <v>100</v>
          </cell>
          <cell r="CO389">
            <v>275</v>
          </cell>
          <cell r="CP389">
            <v>200</v>
          </cell>
          <cell r="CQ389">
            <v>325</v>
          </cell>
          <cell r="CR389">
            <v>50</v>
          </cell>
          <cell r="CS389">
            <v>125</v>
          </cell>
          <cell r="CT389">
            <v>225</v>
          </cell>
          <cell r="CU389">
            <v>175</v>
          </cell>
          <cell r="CV389">
            <v>200</v>
          </cell>
          <cell r="CW389">
            <v>125</v>
          </cell>
          <cell r="CX389">
            <v>150</v>
          </cell>
          <cell r="CY389">
            <v>350</v>
          </cell>
          <cell r="CZ389">
            <v>25</v>
          </cell>
          <cell r="DA389">
            <v>125</v>
          </cell>
          <cell r="DB389">
            <v>250</v>
          </cell>
          <cell r="DC389">
            <v>150</v>
          </cell>
          <cell r="DD389">
            <v>25</v>
          </cell>
          <cell r="DE389">
            <v>100</v>
          </cell>
          <cell r="DF389">
            <v>150</v>
          </cell>
          <cell r="DG389">
            <v>25</v>
          </cell>
          <cell r="DH389">
            <v>25</v>
          </cell>
          <cell r="DI389">
            <v>25</v>
          </cell>
          <cell r="DJ389">
            <v>175</v>
          </cell>
          <cell r="DK389">
            <v>100</v>
          </cell>
          <cell r="DL389">
            <v>75</v>
          </cell>
          <cell r="DM389">
            <v>275</v>
          </cell>
          <cell r="DN389">
            <v>125</v>
          </cell>
          <cell r="DO389">
            <v>275</v>
          </cell>
          <cell r="DP389">
            <v>50</v>
          </cell>
          <cell r="DQ389">
            <v>75</v>
          </cell>
          <cell r="DR389">
            <v>150</v>
          </cell>
          <cell r="DS389">
            <v>300</v>
          </cell>
          <cell r="DT389">
            <v>250</v>
          </cell>
          <cell r="DU389">
            <v>250</v>
          </cell>
          <cell r="DV389">
            <v>175</v>
          </cell>
          <cell r="DW389">
            <v>225</v>
          </cell>
          <cell r="DX389">
            <v>275</v>
          </cell>
          <cell r="DY389">
            <v>174</v>
          </cell>
          <cell r="DZ389">
            <v>150</v>
          </cell>
          <cell r="EA389">
            <v>50</v>
          </cell>
          <cell r="EB389">
            <v>250</v>
          </cell>
          <cell r="EC389">
            <v>100</v>
          </cell>
          <cell r="ED389">
            <v>50</v>
          </cell>
          <cell r="EE389">
            <v>275</v>
          </cell>
          <cell r="EF389">
            <v>150</v>
          </cell>
          <cell r="EH389" t="str">
            <v>ACTIVO</v>
          </cell>
          <cell r="EI389" t="str">
            <v>B</v>
          </cell>
          <cell r="EJ389">
            <v>375</v>
          </cell>
          <cell r="EK389">
            <v>166.625</v>
          </cell>
          <cell r="EL389">
            <v>27.770833333333332</v>
          </cell>
        </row>
        <row r="390">
          <cell r="F390">
            <v>393399</v>
          </cell>
          <cell r="G390" t="str">
            <v>PALITOS DE CHOCOLATE PURATOS</v>
          </cell>
          <cell r="H390">
            <v>2.52</v>
          </cell>
          <cell r="I390">
            <v>2.1599999999999997</v>
          </cell>
          <cell r="J390">
            <v>1.7999999999999998</v>
          </cell>
          <cell r="K390">
            <v>1.7999999999999998</v>
          </cell>
          <cell r="L390">
            <v>1.44</v>
          </cell>
          <cell r="M390">
            <v>1.7999999999999998</v>
          </cell>
          <cell r="N390">
            <v>2.5199999999999996</v>
          </cell>
          <cell r="O390">
            <v>2.16</v>
          </cell>
          <cell r="P390">
            <v>2.52</v>
          </cell>
          <cell r="Q390">
            <v>2.5199999999999996</v>
          </cell>
          <cell r="R390">
            <v>3.6</v>
          </cell>
          <cell r="S390">
            <v>1.44</v>
          </cell>
          <cell r="U390">
            <v>2.1599999999999997</v>
          </cell>
          <cell r="V390">
            <v>1.08</v>
          </cell>
          <cell r="W390">
            <v>2.88</v>
          </cell>
          <cell r="X390">
            <v>4.3199999999999994</v>
          </cell>
          <cell r="Y390">
            <v>3.24</v>
          </cell>
          <cell r="Z390">
            <v>5.4</v>
          </cell>
          <cell r="AA390">
            <v>1.44</v>
          </cell>
          <cell r="AB390">
            <v>3.96</v>
          </cell>
          <cell r="AC390">
            <v>2.16</v>
          </cell>
          <cell r="AD390">
            <v>3.24</v>
          </cell>
          <cell r="AE390">
            <v>3.24</v>
          </cell>
          <cell r="AF390">
            <v>2.8799999999999994</v>
          </cell>
          <cell r="AG390">
            <v>3.96</v>
          </cell>
          <cell r="AH390">
            <v>2.8</v>
          </cell>
          <cell r="AI390">
            <v>3.96</v>
          </cell>
          <cell r="AJ390">
            <v>3.24</v>
          </cell>
          <cell r="AK390">
            <v>5.4</v>
          </cell>
          <cell r="AL390">
            <v>3.96</v>
          </cell>
          <cell r="AM390">
            <v>5.3999999999999995</v>
          </cell>
          <cell r="AN390">
            <v>3.24</v>
          </cell>
          <cell r="AO390">
            <v>5.04</v>
          </cell>
          <cell r="AP390">
            <v>3.96</v>
          </cell>
          <cell r="AQ390">
            <v>4.3199999999999994</v>
          </cell>
          <cell r="AR390">
            <v>4.32</v>
          </cell>
          <cell r="AS390">
            <v>0.72</v>
          </cell>
          <cell r="AT390">
            <v>5.4</v>
          </cell>
          <cell r="AU390">
            <v>5.04</v>
          </cell>
          <cell r="AV390">
            <v>4.3199999999999994</v>
          </cell>
          <cell r="AW390">
            <v>3.24</v>
          </cell>
          <cell r="AX390">
            <v>4.68</v>
          </cell>
          <cell r="AY390">
            <v>5.04</v>
          </cell>
          <cell r="AZ390">
            <v>4.32</v>
          </cell>
          <cell r="BA390">
            <v>5.3999999999999995</v>
          </cell>
          <cell r="BB390">
            <v>4.3199999999999994</v>
          </cell>
          <cell r="BC390">
            <v>5.4</v>
          </cell>
          <cell r="BD390">
            <v>4.68</v>
          </cell>
          <cell r="BE390">
            <v>5.04</v>
          </cell>
          <cell r="BF390">
            <v>6.84</v>
          </cell>
          <cell r="BG390">
            <v>4.32</v>
          </cell>
          <cell r="BH390">
            <v>2.88</v>
          </cell>
          <cell r="BI390">
            <v>5.76</v>
          </cell>
          <cell r="BJ390">
            <v>3.9599999999999991</v>
          </cell>
          <cell r="BK390">
            <v>4.3199999999999994</v>
          </cell>
          <cell r="BL390">
            <v>4.3199999999999994</v>
          </cell>
          <cell r="BM390">
            <v>4.68</v>
          </cell>
          <cell r="BN390">
            <v>5.76</v>
          </cell>
          <cell r="BO390">
            <v>3.9599999999999995</v>
          </cell>
          <cell r="BP390">
            <v>4.68</v>
          </cell>
          <cell r="BQ390">
            <v>3.96</v>
          </cell>
          <cell r="BR390">
            <v>5.3999999999999995</v>
          </cell>
          <cell r="BS390">
            <v>3.9599999999999995</v>
          </cell>
          <cell r="BT390">
            <v>3.96</v>
          </cell>
          <cell r="BU390">
            <v>4.68</v>
          </cell>
          <cell r="BV390">
            <v>4.32</v>
          </cell>
          <cell r="BW390">
            <v>4.32</v>
          </cell>
          <cell r="BX390">
            <v>5.0399999999999991</v>
          </cell>
          <cell r="BY390">
            <v>5.04</v>
          </cell>
          <cell r="BZ390">
            <v>5.4</v>
          </cell>
          <cell r="CA390">
            <v>5.04</v>
          </cell>
          <cell r="CB390">
            <v>4.68</v>
          </cell>
          <cell r="CC390">
            <v>4.32</v>
          </cell>
          <cell r="CD390">
            <v>4.32</v>
          </cell>
          <cell r="CE390">
            <v>5.4</v>
          </cell>
          <cell r="CF390">
            <v>4.3199999999999994</v>
          </cell>
          <cell r="CG390">
            <v>4.3199999999999994</v>
          </cell>
          <cell r="CH390">
            <v>4.68</v>
          </cell>
          <cell r="CI390">
            <v>3.96</v>
          </cell>
          <cell r="CJ390">
            <v>4.68</v>
          </cell>
          <cell r="CK390">
            <v>3.9599999999999995</v>
          </cell>
          <cell r="CL390">
            <v>3.96</v>
          </cell>
          <cell r="CM390">
            <v>4.68</v>
          </cell>
          <cell r="CN390">
            <v>4.68</v>
          </cell>
          <cell r="CO390">
            <v>4.68</v>
          </cell>
          <cell r="CP390">
            <v>4.32</v>
          </cell>
          <cell r="CQ390">
            <v>4.68</v>
          </cell>
          <cell r="CR390">
            <v>3.96</v>
          </cell>
          <cell r="CS390">
            <v>0.72</v>
          </cell>
          <cell r="CT390">
            <v>3.9599999999999991</v>
          </cell>
          <cell r="CU390">
            <v>3.5999999999999996</v>
          </cell>
          <cell r="CV390">
            <v>3.2399999999999998</v>
          </cell>
          <cell r="CW390">
            <v>3.5999999999999992</v>
          </cell>
          <cell r="CX390">
            <v>3.5999999999999996</v>
          </cell>
          <cell r="CY390">
            <v>3.2399999999999998</v>
          </cell>
          <cell r="CZ390">
            <v>2.88</v>
          </cell>
          <cell r="DA390">
            <v>3.5999999999999992</v>
          </cell>
          <cell r="DB390">
            <v>3.2399999999999998</v>
          </cell>
          <cell r="DC390">
            <v>3.2399999999999998</v>
          </cell>
          <cell r="DD390">
            <v>3.5999999999999996</v>
          </cell>
          <cell r="DE390">
            <v>2.8799999999999994</v>
          </cell>
          <cell r="DF390">
            <v>3.5999999999999996</v>
          </cell>
          <cell r="DG390">
            <v>3.5999999999999996</v>
          </cell>
          <cell r="DH390">
            <v>1.44</v>
          </cell>
          <cell r="DM390">
            <v>0.72</v>
          </cell>
          <cell r="DO390">
            <v>1.08</v>
          </cell>
          <cell r="DP390">
            <v>2.88</v>
          </cell>
          <cell r="DQ390">
            <v>3.2399999999999998</v>
          </cell>
          <cell r="DR390">
            <v>3.5999999999999992</v>
          </cell>
          <cell r="DS390">
            <v>3.5999999999999992</v>
          </cell>
          <cell r="DT390">
            <v>4.32</v>
          </cell>
          <cell r="DU390">
            <v>5.7600000000000007</v>
          </cell>
          <cell r="DV390">
            <v>4.3199999999999994</v>
          </cell>
          <cell r="DW390">
            <v>3.2399999999999998</v>
          </cell>
          <cell r="DX390">
            <v>3.9599999999999995</v>
          </cell>
          <cell r="DY390">
            <v>4.3199999999999994</v>
          </cell>
          <cell r="DZ390">
            <v>4.3199999999999994</v>
          </cell>
          <cell r="EA390">
            <v>5.04</v>
          </cell>
          <cell r="EB390">
            <v>5.3999999999999995</v>
          </cell>
          <cell r="EC390">
            <v>3.2799999999999994</v>
          </cell>
          <cell r="ED390">
            <v>5.3999999999999995</v>
          </cell>
          <cell r="EE390">
            <v>3.2399999999999998</v>
          </cell>
          <cell r="EF390">
            <v>3.2399999999999993</v>
          </cell>
          <cell r="EG390">
            <v>5.76</v>
          </cell>
          <cell r="EH390" t="str">
            <v>ACTIVO</v>
          </cell>
          <cell r="EI390" t="str">
            <v>C</v>
          </cell>
          <cell r="EJ390">
            <v>57.6</v>
          </cell>
          <cell r="EK390">
            <v>3.8359999999999999</v>
          </cell>
          <cell r="EL390">
            <v>0.63933333333333331</v>
          </cell>
        </row>
        <row r="391">
          <cell r="F391">
            <v>107249</v>
          </cell>
          <cell r="G391" t="str">
            <v>COBERTURA CHOCOLATES MONEDAS PURATOS</v>
          </cell>
          <cell r="H391">
            <v>60</v>
          </cell>
          <cell r="I391">
            <v>60</v>
          </cell>
          <cell r="J391">
            <v>90</v>
          </cell>
          <cell r="K391">
            <v>30</v>
          </cell>
          <cell r="L391">
            <v>60</v>
          </cell>
          <cell r="M391">
            <v>70</v>
          </cell>
          <cell r="N391">
            <v>60</v>
          </cell>
          <cell r="O391">
            <v>100</v>
          </cell>
          <cell r="P391">
            <v>50</v>
          </cell>
          <cell r="Q391">
            <v>80</v>
          </cell>
          <cell r="R391">
            <v>120</v>
          </cell>
          <cell r="S391">
            <v>30</v>
          </cell>
          <cell r="T391">
            <v>40</v>
          </cell>
          <cell r="U391">
            <v>20</v>
          </cell>
          <cell r="V391">
            <v>120</v>
          </cell>
          <cell r="W391">
            <v>60</v>
          </cell>
          <cell r="X391">
            <v>80</v>
          </cell>
          <cell r="Y391">
            <v>61</v>
          </cell>
          <cell r="AA391">
            <v>11</v>
          </cell>
          <cell r="AB391">
            <v>80</v>
          </cell>
          <cell r="AC391">
            <v>60</v>
          </cell>
          <cell r="AD391">
            <v>50</v>
          </cell>
          <cell r="AE391">
            <v>130</v>
          </cell>
          <cell r="AF391">
            <v>20</v>
          </cell>
          <cell r="AG391">
            <v>50</v>
          </cell>
          <cell r="AH391">
            <v>41</v>
          </cell>
          <cell r="AI391">
            <v>60</v>
          </cell>
          <cell r="AJ391">
            <v>79</v>
          </cell>
          <cell r="AK391">
            <v>50</v>
          </cell>
          <cell r="AL391">
            <v>40</v>
          </cell>
          <cell r="AM391">
            <v>70</v>
          </cell>
          <cell r="AN391">
            <v>60</v>
          </cell>
          <cell r="AO391">
            <v>60</v>
          </cell>
          <cell r="AP391">
            <v>30</v>
          </cell>
          <cell r="AQ391">
            <v>100</v>
          </cell>
          <cell r="AR391">
            <v>20</v>
          </cell>
          <cell r="AS391">
            <v>20</v>
          </cell>
          <cell r="AT391">
            <v>30</v>
          </cell>
          <cell r="AU391">
            <v>40</v>
          </cell>
          <cell r="AV391">
            <v>30</v>
          </cell>
          <cell r="AW391">
            <v>31</v>
          </cell>
          <cell r="AX391">
            <v>40</v>
          </cell>
          <cell r="AY391">
            <v>50</v>
          </cell>
          <cell r="AZ391">
            <v>70</v>
          </cell>
          <cell r="BA391">
            <v>20</v>
          </cell>
          <cell r="BB391">
            <v>80</v>
          </cell>
          <cell r="BC391">
            <v>20</v>
          </cell>
          <cell r="BD391">
            <v>40</v>
          </cell>
          <cell r="BE391">
            <v>50</v>
          </cell>
          <cell r="BF391">
            <v>60</v>
          </cell>
          <cell r="BG391">
            <v>20</v>
          </cell>
          <cell r="BH391">
            <v>10</v>
          </cell>
          <cell r="BI391">
            <v>90</v>
          </cell>
          <cell r="BJ391">
            <v>120</v>
          </cell>
          <cell r="BK391">
            <v>30</v>
          </cell>
          <cell r="BL391">
            <v>40</v>
          </cell>
          <cell r="BM391">
            <v>100</v>
          </cell>
          <cell r="BO391">
            <v>200</v>
          </cell>
          <cell r="BP391">
            <v>30</v>
          </cell>
          <cell r="BQ391">
            <v>40</v>
          </cell>
          <cell r="BR391">
            <v>20</v>
          </cell>
          <cell r="BU391">
            <v>130</v>
          </cell>
          <cell r="BW391">
            <v>80</v>
          </cell>
          <cell r="BX391">
            <v>168</v>
          </cell>
          <cell r="BY391">
            <v>68</v>
          </cell>
          <cell r="BZ391">
            <v>26</v>
          </cell>
          <cell r="CA391">
            <v>156</v>
          </cell>
          <cell r="CD391">
            <v>109</v>
          </cell>
          <cell r="CE391">
            <v>20</v>
          </cell>
          <cell r="CF391">
            <v>110</v>
          </cell>
          <cell r="CH391">
            <v>120</v>
          </cell>
          <cell r="CK391">
            <v>30</v>
          </cell>
          <cell r="CM391">
            <v>91</v>
          </cell>
          <cell r="CN391">
            <v>32</v>
          </cell>
          <cell r="CO391">
            <v>87</v>
          </cell>
          <cell r="CP391">
            <v>10</v>
          </cell>
          <cell r="CQ391">
            <v>134</v>
          </cell>
          <cell r="CS391">
            <v>72</v>
          </cell>
          <cell r="CT391">
            <v>88</v>
          </cell>
          <cell r="CU391">
            <v>75</v>
          </cell>
          <cell r="CW391">
            <v>58</v>
          </cell>
          <cell r="CX391">
            <v>87</v>
          </cell>
          <cell r="CY391">
            <v>72</v>
          </cell>
          <cell r="DB391">
            <v>129</v>
          </cell>
          <cell r="DF391">
            <v>61</v>
          </cell>
          <cell r="DK391">
            <v>58</v>
          </cell>
          <cell r="DM391">
            <v>87</v>
          </cell>
          <cell r="DN391">
            <v>22</v>
          </cell>
          <cell r="DO391">
            <v>72</v>
          </cell>
          <cell r="DP391">
            <v>22</v>
          </cell>
          <cell r="DR391">
            <v>74</v>
          </cell>
          <cell r="DS391">
            <v>62</v>
          </cell>
          <cell r="DT391">
            <v>75</v>
          </cell>
          <cell r="DX391">
            <v>109</v>
          </cell>
          <cell r="DY391">
            <v>76</v>
          </cell>
          <cell r="EB391">
            <v>135</v>
          </cell>
          <cell r="ED391">
            <v>44</v>
          </cell>
          <cell r="EE391">
            <v>45</v>
          </cell>
          <cell r="EH391" t="str">
            <v>ACTIVO</v>
          </cell>
          <cell r="EI391" t="str">
            <v>C</v>
          </cell>
          <cell r="EJ391">
            <v>200</v>
          </cell>
          <cell r="EK391">
            <v>67.769230769230774</v>
          </cell>
          <cell r="EL391">
            <v>11.294871794871796</v>
          </cell>
        </row>
        <row r="392">
          <cell r="F392">
            <v>107133</v>
          </cell>
          <cell r="G392" t="str">
            <v>GANACHE PURATOS</v>
          </cell>
          <cell r="H392">
            <v>120</v>
          </cell>
          <cell r="V392">
            <v>28</v>
          </cell>
          <cell r="W392">
            <v>464</v>
          </cell>
          <cell r="X392">
            <v>585.5</v>
          </cell>
          <cell r="Y392">
            <v>416</v>
          </cell>
          <cell r="Z392">
            <v>164</v>
          </cell>
          <cell r="AA392">
            <v>367</v>
          </cell>
          <cell r="AB392">
            <v>627.5</v>
          </cell>
          <cell r="AC392">
            <v>493</v>
          </cell>
          <cell r="AD392">
            <v>717.5</v>
          </cell>
          <cell r="AE392">
            <v>577</v>
          </cell>
          <cell r="AF392">
            <v>423</v>
          </cell>
          <cell r="AG392">
            <v>707.5</v>
          </cell>
          <cell r="AH392">
            <v>742.5</v>
          </cell>
          <cell r="AI392">
            <v>670.5</v>
          </cell>
          <cell r="AJ392">
            <v>652.5</v>
          </cell>
          <cell r="AK392">
            <v>785.5</v>
          </cell>
          <cell r="AL392">
            <v>534.5</v>
          </cell>
          <cell r="AM392">
            <v>536</v>
          </cell>
          <cell r="AN392">
            <v>734</v>
          </cell>
          <cell r="AO392">
            <v>490</v>
          </cell>
          <cell r="AP392">
            <v>553.5</v>
          </cell>
          <cell r="AQ392">
            <v>678.5</v>
          </cell>
          <cell r="AR392">
            <v>522</v>
          </cell>
          <cell r="AS392">
            <v>260</v>
          </cell>
          <cell r="AT392">
            <v>552</v>
          </cell>
          <cell r="AU392">
            <v>470</v>
          </cell>
          <cell r="AV392">
            <v>416</v>
          </cell>
          <cell r="AW392">
            <v>324</v>
          </cell>
          <cell r="AX392">
            <v>388</v>
          </cell>
          <cell r="AY392">
            <v>368</v>
          </cell>
          <cell r="AZ392">
            <v>376</v>
          </cell>
          <cell r="BA392">
            <v>364</v>
          </cell>
          <cell r="BB392">
            <v>644</v>
          </cell>
          <cell r="BC392">
            <v>593.5</v>
          </cell>
          <cell r="BD392">
            <v>560</v>
          </cell>
          <cell r="BE392">
            <v>668</v>
          </cell>
          <cell r="BF392">
            <v>725</v>
          </cell>
          <cell r="BG392">
            <v>444</v>
          </cell>
          <cell r="BH392">
            <v>248</v>
          </cell>
          <cell r="BI392">
            <v>568</v>
          </cell>
          <cell r="BJ392">
            <v>540</v>
          </cell>
          <cell r="BK392">
            <v>828</v>
          </cell>
          <cell r="BL392">
            <v>956</v>
          </cell>
          <cell r="BM392">
            <v>848</v>
          </cell>
          <cell r="BN392">
            <v>765</v>
          </cell>
          <cell r="BO392">
            <v>496</v>
          </cell>
          <cell r="BP392">
            <v>620</v>
          </cell>
          <cell r="BQ392">
            <v>732</v>
          </cell>
          <cell r="BR392">
            <v>700</v>
          </cell>
          <cell r="BS392">
            <v>616</v>
          </cell>
          <cell r="BT392">
            <v>720</v>
          </cell>
          <cell r="BU392">
            <v>1476</v>
          </cell>
          <cell r="BV392">
            <v>2304</v>
          </cell>
          <cell r="BW392">
            <v>880</v>
          </cell>
          <cell r="BX392">
            <v>1006</v>
          </cell>
          <cell r="BY392">
            <v>770</v>
          </cell>
          <cell r="BZ392">
            <v>156</v>
          </cell>
          <cell r="CA392">
            <v>600</v>
          </cell>
          <cell r="CB392">
            <v>464</v>
          </cell>
          <cell r="CC392">
            <v>760</v>
          </cell>
          <cell r="CD392">
            <v>1058</v>
          </cell>
          <cell r="CE392">
            <v>624</v>
          </cell>
          <cell r="CF392">
            <v>589</v>
          </cell>
          <cell r="CG392">
            <v>2584</v>
          </cell>
          <cell r="CH392">
            <v>312</v>
          </cell>
          <cell r="CI392">
            <v>460</v>
          </cell>
          <cell r="CJ392">
            <v>648</v>
          </cell>
          <cell r="CK392">
            <v>584</v>
          </cell>
          <cell r="CL392">
            <v>760</v>
          </cell>
          <cell r="CM392">
            <v>788</v>
          </cell>
          <cell r="CN392">
            <v>976</v>
          </cell>
          <cell r="CO392">
            <v>892</v>
          </cell>
          <cell r="CP392">
            <v>935</v>
          </cell>
          <cell r="CQ392">
            <v>1084</v>
          </cell>
          <cell r="CR392">
            <v>1164</v>
          </cell>
          <cell r="CS392">
            <v>864</v>
          </cell>
          <cell r="CT392">
            <v>1504</v>
          </cell>
          <cell r="CU392">
            <v>440</v>
          </cell>
          <cell r="CV392">
            <v>884</v>
          </cell>
          <cell r="CW392">
            <v>653</v>
          </cell>
          <cell r="CX392">
            <v>888</v>
          </cell>
          <cell r="CY392">
            <v>544</v>
          </cell>
          <cell r="CZ392">
            <v>676</v>
          </cell>
          <cell r="DA392">
            <v>1016</v>
          </cell>
          <cell r="DB392">
            <v>1060</v>
          </cell>
          <cell r="DC392">
            <v>1384</v>
          </cell>
          <cell r="DD392">
            <v>1808</v>
          </cell>
          <cell r="DE392">
            <v>592</v>
          </cell>
          <cell r="DF392">
            <v>312</v>
          </cell>
          <cell r="DG392">
            <v>118.8</v>
          </cell>
          <cell r="DH392">
            <v>24</v>
          </cell>
          <cell r="DJ392">
            <v>96</v>
          </cell>
          <cell r="DK392">
            <v>120</v>
          </cell>
          <cell r="DL392">
            <v>105</v>
          </cell>
          <cell r="DM392">
            <v>80</v>
          </cell>
          <cell r="DN392">
            <v>52</v>
          </cell>
          <cell r="DO392">
            <v>88</v>
          </cell>
          <cell r="DP392">
            <v>204</v>
          </cell>
          <cell r="DQ392">
            <v>360</v>
          </cell>
          <cell r="DR392">
            <v>424</v>
          </cell>
          <cell r="DS392">
            <v>436</v>
          </cell>
          <cell r="DT392">
            <v>671</v>
          </cell>
          <cell r="DU392">
            <v>620</v>
          </cell>
          <cell r="DV392">
            <v>172</v>
          </cell>
          <cell r="DW392">
            <v>680</v>
          </cell>
          <cell r="DX392">
            <v>1216</v>
          </cell>
          <cell r="DY392">
            <v>752</v>
          </cell>
          <cell r="DZ392">
            <v>624</v>
          </cell>
          <cell r="EB392">
            <v>664</v>
          </cell>
          <cell r="EC392">
            <v>548</v>
          </cell>
          <cell r="ED392">
            <v>900</v>
          </cell>
          <cell r="EE392">
            <v>958</v>
          </cell>
          <cell r="EF392">
            <v>1136</v>
          </cell>
          <cell r="EG392">
            <v>312</v>
          </cell>
          <cell r="EH392" t="str">
            <v>ACTIVO</v>
          </cell>
          <cell r="EI392" t="str">
            <v>A</v>
          </cell>
          <cell r="EJ392">
            <v>480</v>
          </cell>
          <cell r="EK392">
            <v>487.73913043478262</v>
          </cell>
          <cell r="EL392">
            <v>81.289855072463766</v>
          </cell>
        </row>
        <row r="393">
          <cell r="F393">
            <v>107303</v>
          </cell>
          <cell r="G393" t="str">
            <v>CURLS CHOCOLATE PURATOS</v>
          </cell>
          <cell r="H393">
            <v>4</v>
          </cell>
          <cell r="W393">
            <v>40</v>
          </cell>
          <cell r="X393">
            <v>4</v>
          </cell>
          <cell r="Y393">
            <v>0</v>
          </cell>
          <cell r="Z393">
            <v>16</v>
          </cell>
          <cell r="AA393">
            <v>4</v>
          </cell>
          <cell r="AB393">
            <v>36</v>
          </cell>
          <cell r="AC393">
            <v>20</v>
          </cell>
          <cell r="AD393">
            <v>56</v>
          </cell>
          <cell r="AF393">
            <v>32</v>
          </cell>
          <cell r="AG393">
            <v>20</v>
          </cell>
          <cell r="AH393">
            <v>12</v>
          </cell>
          <cell r="AI393">
            <v>20</v>
          </cell>
          <cell r="AJ393">
            <v>24</v>
          </cell>
          <cell r="AK393">
            <v>16</v>
          </cell>
          <cell r="AL393">
            <v>16</v>
          </cell>
          <cell r="AM393">
            <v>16</v>
          </cell>
          <cell r="AN393">
            <v>16</v>
          </cell>
          <cell r="AO393">
            <v>28</v>
          </cell>
          <cell r="AP393">
            <v>8</v>
          </cell>
          <cell r="AQ393">
            <v>20</v>
          </cell>
          <cell r="AR393">
            <v>12</v>
          </cell>
          <cell r="AS393">
            <v>16</v>
          </cell>
          <cell r="AT393">
            <v>12</v>
          </cell>
          <cell r="AU393">
            <v>16</v>
          </cell>
          <cell r="AV393">
            <v>16</v>
          </cell>
          <cell r="AW393">
            <v>36</v>
          </cell>
          <cell r="AX393">
            <v>12</v>
          </cell>
          <cell r="AZ393">
            <v>12</v>
          </cell>
          <cell r="BA393">
            <v>4</v>
          </cell>
          <cell r="BB393">
            <v>20</v>
          </cell>
          <cell r="BC393">
            <v>16</v>
          </cell>
          <cell r="BD393">
            <v>12</v>
          </cell>
          <cell r="BE393">
            <v>12</v>
          </cell>
          <cell r="BG393">
            <v>4</v>
          </cell>
          <cell r="BI393">
            <v>8</v>
          </cell>
          <cell r="BJ393">
            <v>16</v>
          </cell>
          <cell r="BK393">
            <v>16</v>
          </cell>
          <cell r="BL393">
            <v>16</v>
          </cell>
          <cell r="BM393">
            <v>16</v>
          </cell>
          <cell r="BN393">
            <v>4</v>
          </cell>
          <cell r="BO393">
            <v>12</v>
          </cell>
          <cell r="BP393">
            <v>4</v>
          </cell>
          <cell r="BQ393">
            <v>20</v>
          </cell>
          <cell r="BR393">
            <v>16</v>
          </cell>
          <cell r="BS393">
            <v>16</v>
          </cell>
          <cell r="BT393">
            <v>28</v>
          </cell>
          <cell r="BU393">
            <v>8</v>
          </cell>
          <cell r="BW393">
            <v>8</v>
          </cell>
          <cell r="BX393">
            <v>60</v>
          </cell>
          <cell r="BY393">
            <v>16</v>
          </cell>
          <cell r="BZ393">
            <v>4</v>
          </cell>
          <cell r="CA393">
            <v>28</v>
          </cell>
          <cell r="CB393">
            <v>8</v>
          </cell>
          <cell r="CC393">
            <v>32</v>
          </cell>
          <cell r="CD393">
            <v>12</v>
          </cell>
          <cell r="CE393">
            <v>12</v>
          </cell>
          <cell r="CF393">
            <v>8</v>
          </cell>
          <cell r="CG393">
            <v>20</v>
          </cell>
          <cell r="CH393">
            <v>12</v>
          </cell>
          <cell r="CI393">
            <v>12</v>
          </cell>
          <cell r="CJ393">
            <v>4</v>
          </cell>
          <cell r="CK393">
            <v>8</v>
          </cell>
          <cell r="CL393">
            <v>16</v>
          </cell>
          <cell r="CM393">
            <v>8</v>
          </cell>
          <cell r="CN393">
            <v>8</v>
          </cell>
          <cell r="CO393">
            <v>12</v>
          </cell>
          <cell r="CP393">
            <v>16</v>
          </cell>
          <cell r="CQ393">
            <v>12</v>
          </cell>
          <cell r="CR393">
            <v>16</v>
          </cell>
          <cell r="CS393">
            <v>12</v>
          </cell>
          <cell r="CT393">
            <v>28</v>
          </cell>
          <cell r="CU393">
            <v>4</v>
          </cell>
          <cell r="CV393">
            <v>16</v>
          </cell>
          <cell r="CW393">
            <v>16</v>
          </cell>
          <cell r="CX393">
            <v>20</v>
          </cell>
          <cell r="CY393">
            <v>8</v>
          </cell>
          <cell r="CZ393">
            <v>4</v>
          </cell>
          <cell r="DA393">
            <v>20</v>
          </cell>
          <cell r="DC393">
            <v>12</v>
          </cell>
          <cell r="DD393">
            <v>12</v>
          </cell>
          <cell r="DE393">
            <v>24</v>
          </cell>
          <cell r="DF393">
            <v>16</v>
          </cell>
          <cell r="DG393">
            <v>8</v>
          </cell>
          <cell r="DH393">
            <v>4</v>
          </cell>
          <cell r="DJ393">
            <v>12</v>
          </cell>
          <cell r="DK393">
            <v>28</v>
          </cell>
          <cell r="DL393">
            <v>28</v>
          </cell>
          <cell r="DM393">
            <v>12</v>
          </cell>
          <cell r="DN393">
            <v>20</v>
          </cell>
          <cell r="DO393">
            <v>20</v>
          </cell>
          <cell r="DP393">
            <v>24</v>
          </cell>
          <cell r="DQ393">
            <v>32</v>
          </cell>
          <cell r="DR393">
            <v>20</v>
          </cell>
          <cell r="DS393">
            <v>24</v>
          </cell>
          <cell r="DT393">
            <v>24</v>
          </cell>
          <cell r="DU393">
            <v>16</v>
          </cell>
          <cell r="DV393">
            <v>8</v>
          </cell>
          <cell r="DW393">
            <v>20</v>
          </cell>
          <cell r="DX393">
            <v>24</v>
          </cell>
          <cell r="DY393">
            <v>32</v>
          </cell>
          <cell r="DZ393">
            <v>36</v>
          </cell>
          <cell r="EB393">
            <v>24</v>
          </cell>
          <cell r="EC393">
            <v>20</v>
          </cell>
          <cell r="ED393">
            <v>28</v>
          </cell>
          <cell r="EE393">
            <v>24</v>
          </cell>
          <cell r="EF393">
            <v>12</v>
          </cell>
          <cell r="EH393" t="str">
            <v>ACTIVO</v>
          </cell>
          <cell r="EI393" t="str">
            <v>B</v>
          </cell>
          <cell r="EK393">
            <v>22.181818181818183</v>
          </cell>
          <cell r="EL393">
            <v>3.6969696969696972</v>
          </cell>
        </row>
        <row r="394">
          <cell r="F394">
            <v>107356</v>
          </cell>
          <cell r="G394" t="str">
            <v>CHOCOLATE SEMI AMARGO 54% MEL</v>
          </cell>
          <cell r="H394">
            <v>30</v>
          </cell>
          <cell r="V394">
            <v>45</v>
          </cell>
          <cell r="W394">
            <v>285</v>
          </cell>
          <cell r="X394">
            <v>44</v>
          </cell>
          <cell r="Y394">
            <v>120</v>
          </cell>
          <cell r="Z394">
            <v>90</v>
          </cell>
          <cell r="AA394">
            <v>170</v>
          </cell>
          <cell r="AB394">
            <v>250</v>
          </cell>
          <cell r="AC394">
            <v>170</v>
          </cell>
          <cell r="AD394">
            <v>390</v>
          </cell>
          <cell r="AE394">
            <v>100</v>
          </cell>
          <cell r="AF394">
            <v>190</v>
          </cell>
          <cell r="AG394">
            <v>160</v>
          </cell>
          <cell r="AH394">
            <v>200</v>
          </cell>
          <cell r="AI394">
            <v>170</v>
          </cell>
          <cell r="AJ394">
            <v>180</v>
          </cell>
          <cell r="AK394">
            <v>200</v>
          </cell>
          <cell r="AL394">
            <v>330</v>
          </cell>
          <cell r="AM394">
            <v>130</v>
          </cell>
          <cell r="AN394">
            <v>130</v>
          </cell>
          <cell r="AO394">
            <v>150</v>
          </cell>
          <cell r="AP394">
            <v>140</v>
          </cell>
          <cell r="AQ394">
            <v>280</v>
          </cell>
          <cell r="AR394">
            <v>210</v>
          </cell>
          <cell r="AS394">
            <v>70</v>
          </cell>
          <cell r="AT394">
            <v>70</v>
          </cell>
          <cell r="AU394">
            <v>160</v>
          </cell>
          <cell r="AV394">
            <v>56.5</v>
          </cell>
          <cell r="AZ394">
            <v>30</v>
          </cell>
          <cell r="BA394">
            <v>30</v>
          </cell>
          <cell r="BB394">
            <v>168</v>
          </cell>
          <cell r="BC394">
            <v>136.44</v>
          </cell>
          <cell r="BD394">
            <v>120</v>
          </cell>
          <cell r="BE394">
            <v>110</v>
          </cell>
          <cell r="BF394">
            <v>60</v>
          </cell>
          <cell r="BG394">
            <v>100</v>
          </cell>
          <cell r="BH394">
            <v>60</v>
          </cell>
          <cell r="BI394">
            <v>110</v>
          </cell>
          <cell r="BJ394">
            <v>84</v>
          </cell>
          <cell r="BK394">
            <v>120</v>
          </cell>
          <cell r="BL394">
            <v>20</v>
          </cell>
          <cell r="BM394">
            <v>50</v>
          </cell>
          <cell r="BN394">
            <v>40</v>
          </cell>
          <cell r="BO394">
            <v>60</v>
          </cell>
          <cell r="BP394">
            <v>80</v>
          </cell>
          <cell r="BQ394">
            <v>50</v>
          </cell>
          <cell r="BR394">
            <v>70</v>
          </cell>
          <cell r="BS394">
            <v>130</v>
          </cell>
          <cell r="BT394">
            <v>110</v>
          </cell>
          <cell r="BU394">
            <v>80</v>
          </cell>
          <cell r="BV394">
            <v>30</v>
          </cell>
          <cell r="BW394">
            <v>130</v>
          </cell>
          <cell r="BX394">
            <v>320</v>
          </cell>
          <cell r="BY394">
            <v>230</v>
          </cell>
          <cell r="BZ394">
            <v>30</v>
          </cell>
          <cell r="CA394">
            <v>200</v>
          </cell>
          <cell r="CB394">
            <v>110</v>
          </cell>
          <cell r="CC394">
            <v>210</v>
          </cell>
          <cell r="CD394">
            <v>60</v>
          </cell>
          <cell r="CE394">
            <v>60</v>
          </cell>
          <cell r="CF394">
            <v>50</v>
          </cell>
          <cell r="CG394">
            <v>180</v>
          </cell>
          <cell r="CH394">
            <v>80</v>
          </cell>
          <cell r="CI394">
            <v>80</v>
          </cell>
          <cell r="CJ394">
            <v>90</v>
          </cell>
          <cell r="CK394">
            <v>200</v>
          </cell>
          <cell r="CL394">
            <v>170</v>
          </cell>
          <cell r="CM394">
            <v>30</v>
          </cell>
          <cell r="CN394">
            <v>60</v>
          </cell>
          <cell r="CO394">
            <v>190</v>
          </cell>
          <cell r="CP394">
            <v>240</v>
          </cell>
          <cell r="CQ394">
            <v>110</v>
          </cell>
          <cell r="CR394">
            <v>160</v>
          </cell>
          <cell r="CS394">
            <v>80</v>
          </cell>
          <cell r="CT394">
            <v>210</v>
          </cell>
          <cell r="CU394">
            <v>30</v>
          </cell>
          <cell r="CV394">
            <v>200</v>
          </cell>
          <cell r="CW394">
            <v>110</v>
          </cell>
          <cell r="CX394">
            <v>100</v>
          </cell>
          <cell r="CY394">
            <v>80</v>
          </cell>
          <cell r="CZ394">
            <v>90</v>
          </cell>
          <cell r="DA394">
            <v>150</v>
          </cell>
          <cell r="DB394">
            <v>50</v>
          </cell>
          <cell r="DC394">
            <v>160</v>
          </cell>
          <cell r="DD394">
            <v>90</v>
          </cell>
          <cell r="DE394">
            <v>150</v>
          </cell>
          <cell r="DF394">
            <v>80</v>
          </cell>
          <cell r="DG394">
            <v>20</v>
          </cell>
          <cell r="DH394">
            <v>30</v>
          </cell>
          <cell r="DJ394">
            <v>190</v>
          </cell>
          <cell r="DK394">
            <v>140</v>
          </cell>
          <cell r="DL394">
            <v>190</v>
          </cell>
          <cell r="DM394">
            <v>80</v>
          </cell>
          <cell r="DN394">
            <v>110</v>
          </cell>
          <cell r="DO394">
            <v>140</v>
          </cell>
          <cell r="DP394">
            <v>120</v>
          </cell>
          <cell r="DQ394">
            <v>120</v>
          </cell>
          <cell r="DR394">
            <v>110</v>
          </cell>
          <cell r="DS394">
            <v>100</v>
          </cell>
          <cell r="DT394">
            <v>120</v>
          </cell>
          <cell r="DU394">
            <v>80</v>
          </cell>
          <cell r="DV394">
            <v>60</v>
          </cell>
          <cell r="DW394">
            <v>50</v>
          </cell>
          <cell r="DZ394">
            <v>98</v>
          </cell>
          <cell r="EB394">
            <v>62</v>
          </cell>
          <cell r="ED394">
            <v>100</v>
          </cell>
          <cell r="EE394">
            <v>150</v>
          </cell>
          <cell r="EF394">
            <v>90</v>
          </cell>
          <cell r="EG394">
            <v>20</v>
          </cell>
          <cell r="EH394" t="str">
            <v>ACTIVO</v>
          </cell>
          <cell r="EI394" t="str">
            <v>B</v>
          </cell>
          <cell r="EJ394">
            <v>600</v>
          </cell>
          <cell r="EK394">
            <v>106.5</v>
          </cell>
          <cell r="EL394">
            <v>17.75</v>
          </cell>
        </row>
        <row r="395">
          <cell r="F395">
            <v>393400</v>
          </cell>
          <cell r="G395" t="str">
            <v>COVER PASTELERÍA U2 SEMIAMARGO GOTA PURATOS</v>
          </cell>
          <cell r="H395">
            <v>34</v>
          </cell>
          <cell r="J395">
            <v>24</v>
          </cell>
          <cell r="K395">
            <v>48</v>
          </cell>
          <cell r="L395">
            <v>12</v>
          </cell>
          <cell r="M395">
            <v>24</v>
          </cell>
          <cell r="N395">
            <v>60</v>
          </cell>
          <cell r="P395">
            <v>36</v>
          </cell>
          <cell r="Q395">
            <v>32</v>
          </cell>
          <cell r="S395">
            <v>10</v>
          </cell>
          <cell r="T395">
            <v>36</v>
          </cell>
          <cell r="U395">
            <v>72</v>
          </cell>
          <cell r="V395">
            <v>60</v>
          </cell>
          <cell r="W395">
            <v>36</v>
          </cell>
          <cell r="X395">
            <v>36</v>
          </cell>
          <cell r="Y395">
            <v>46</v>
          </cell>
          <cell r="Z395">
            <v>36</v>
          </cell>
          <cell r="AA395">
            <v>0</v>
          </cell>
          <cell r="AB395">
            <v>48</v>
          </cell>
          <cell r="AC395">
            <v>44</v>
          </cell>
          <cell r="AD395">
            <v>44</v>
          </cell>
          <cell r="AE395">
            <v>96</v>
          </cell>
          <cell r="AF395">
            <v>12</v>
          </cell>
          <cell r="AG395">
            <v>12</v>
          </cell>
          <cell r="AH395">
            <v>72</v>
          </cell>
          <cell r="AI395">
            <v>48</v>
          </cell>
          <cell r="AJ395">
            <v>48</v>
          </cell>
          <cell r="AK395">
            <v>44</v>
          </cell>
          <cell r="AL395">
            <v>36</v>
          </cell>
          <cell r="AM395">
            <v>60</v>
          </cell>
          <cell r="AN395">
            <v>60</v>
          </cell>
          <cell r="AO395">
            <v>72</v>
          </cell>
          <cell r="AP395">
            <v>48</v>
          </cell>
          <cell r="AQ395">
            <v>36</v>
          </cell>
          <cell r="AR395">
            <v>36</v>
          </cell>
          <cell r="AS395">
            <v>12</v>
          </cell>
          <cell r="AT395">
            <v>72</v>
          </cell>
          <cell r="AU395">
            <v>24</v>
          </cell>
          <cell r="AV395">
            <v>22</v>
          </cell>
          <cell r="AW395">
            <v>84</v>
          </cell>
          <cell r="AX395">
            <v>24</v>
          </cell>
          <cell r="AY395">
            <v>48</v>
          </cell>
          <cell r="AZ395">
            <v>84</v>
          </cell>
          <cell r="BA395">
            <v>36</v>
          </cell>
          <cell r="BB395">
            <v>76</v>
          </cell>
          <cell r="BD395">
            <v>48</v>
          </cell>
          <cell r="BE395">
            <v>24</v>
          </cell>
          <cell r="BF395">
            <v>84</v>
          </cell>
          <cell r="BG395">
            <v>80</v>
          </cell>
          <cell r="BH395">
            <v>12</v>
          </cell>
          <cell r="BI395">
            <v>60</v>
          </cell>
          <cell r="BJ395">
            <v>48</v>
          </cell>
          <cell r="BK395">
            <v>44</v>
          </cell>
          <cell r="BL395">
            <v>48</v>
          </cell>
          <cell r="BM395">
            <v>96</v>
          </cell>
          <cell r="BN395">
            <v>24</v>
          </cell>
          <cell r="BO395">
            <v>60</v>
          </cell>
          <cell r="BQ395">
            <v>72</v>
          </cell>
          <cell r="BR395">
            <v>72</v>
          </cell>
          <cell r="BS395">
            <v>54</v>
          </cell>
          <cell r="BU395">
            <v>72</v>
          </cell>
          <cell r="BV395">
            <v>48</v>
          </cell>
          <cell r="BW395">
            <v>36</v>
          </cell>
          <cell r="BX395">
            <v>36</v>
          </cell>
          <cell r="BY395">
            <v>36</v>
          </cell>
          <cell r="BZ395">
            <v>36</v>
          </cell>
          <cell r="CA395">
            <v>48</v>
          </cell>
          <cell r="CC395">
            <v>36</v>
          </cell>
          <cell r="CD395">
            <v>24</v>
          </cell>
          <cell r="CE395">
            <v>72</v>
          </cell>
          <cell r="CF395">
            <v>48</v>
          </cell>
          <cell r="CG395">
            <v>48</v>
          </cell>
          <cell r="CH395">
            <v>24</v>
          </cell>
          <cell r="CI395">
            <v>36</v>
          </cell>
          <cell r="CJ395">
            <v>36</v>
          </cell>
          <cell r="CK395">
            <v>48</v>
          </cell>
          <cell r="CL395">
            <v>36</v>
          </cell>
          <cell r="CM395">
            <v>48</v>
          </cell>
          <cell r="CN395">
            <v>30</v>
          </cell>
          <cell r="CO395">
            <v>24</v>
          </cell>
          <cell r="CP395">
            <v>48</v>
          </cell>
          <cell r="CQ395">
            <v>58</v>
          </cell>
          <cell r="CR395">
            <v>12</v>
          </cell>
          <cell r="CS395">
            <v>20</v>
          </cell>
          <cell r="CT395">
            <v>46</v>
          </cell>
          <cell r="CU395">
            <v>24</v>
          </cell>
          <cell r="CV395">
            <v>48</v>
          </cell>
          <cell r="CW395">
            <v>24</v>
          </cell>
          <cell r="CX395">
            <v>24</v>
          </cell>
          <cell r="CY395">
            <v>36</v>
          </cell>
          <cell r="CZ395">
            <v>36</v>
          </cell>
          <cell r="DA395">
            <v>24</v>
          </cell>
          <cell r="DB395">
            <v>36</v>
          </cell>
          <cell r="DC395">
            <v>36</v>
          </cell>
          <cell r="DD395">
            <v>36</v>
          </cell>
          <cell r="DE395">
            <v>36</v>
          </cell>
          <cell r="DF395">
            <v>36</v>
          </cell>
          <cell r="DG395">
            <v>36</v>
          </cell>
          <cell r="DH395">
            <v>24</v>
          </cell>
          <cell r="DI395">
            <v>12</v>
          </cell>
          <cell r="DJ395">
            <v>36</v>
          </cell>
          <cell r="DK395">
            <v>12</v>
          </cell>
          <cell r="DL395">
            <v>34</v>
          </cell>
          <cell r="DM395">
            <v>24</v>
          </cell>
          <cell r="DN395">
            <v>36</v>
          </cell>
          <cell r="DO395">
            <v>48</v>
          </cell>
          <cell r="DP395">
            <v>36</v>
          </cell>
          <cell r="DR395">
            <v>36</v>
          </cell>
          <cell r="DS395">
            <v>12</v>
          </cell>
          <cell r="DT395">
            <v>24</v>
          </cell>
          <cell r="DU395">
            <v>58</v>
          </cell>
          <cell r="DV395">
            <v>24</v>
          </cell>
          <cell r="DW395">
            <v>36</v>
          </cell>
          <cell r="DX395">
            <v>60</v>
          </cell>
          <cell r="DY395">
            <v>48</v>
          </cell>
          <cell r="DZ395">
            <v>36</v>
          </cell>
          <cell r="EA395">
            <v>60</v>
          </cell>
          <cell r="EB395">
            <v>24</v>
          </cell>
          <cell r="EC395">
            <v>22</v>
          </cell>
          <cell r="ED395">
            <v>43.84</v>
          </cell>
          <cell r="EE395">
            <v>48</v>
          </cell>
          <cell r="EF395">
            <v>2.36</v>
          </cell>
          <cell r="EG395">
            <v>48</v>
          </cell>
          <cell r="EH395" t="str">
            <v>ACTIVO</v>
          </cell>
          <cell r="EI395" t="str">
            <v>C</v>
          </cell>
          <cell r="EK395">
            <v>34.175000000000004</v>
          </cell>
          <cell r="EL395">
            <v>5.6958333333333337</v>
          </cell>
        </row>
        <row r="396">
          <cell r="F396">
            <v>107302</v>
          </cell>
          <cell r="G396" t="str">
            <v>BELCOLADE AMARGO 55% PURATOS</v>
          </cell>
          <cell r="I396">
            <v>15</v>
          </cell>
          <cell r="J396">
            <v>15</v>
          </cell>
          <cell r="K396">
            <v>15</v>
          </cell>
          <cell r="M396">
            <v>45</v>
          </cell>
          <cell r="N396">
            <v>15</v>
          </cell>
          <cell r="O396">
            <v>30</v>
          </cell>
          <cell r="Q396">
            <v>45</v>
          </cell>
          <cell r="R396">
            <v>15</v>
          </cell>
          <cell r="S396">
            <v>30</v>
          </cell>
          <cell r="T396">
            <v>45</v>
          </cell>
          <cell r="U396">
            <v>75</v>
          </cell>
          <cell r="V396">
            <v>65</v>
          </cell>
          <cell r="W396">
            <v>43</v>
          </cell>
          <cell r="X396">
            <v>91</v>
          </cell>
          <cell r="Y396">
            <v>34</v>
          </cell>
          <cell r="AU396">
            <v>26.5</v>
          </cell>
          <cell r="AV396">
            <v>83.5</v>
          </cell>
          <cell r="AW396">
            <v>224</v>
          </cell>
          <cell r="AX396">
            <v>182</v>
          </cell>
          <cell r="AY396">
            <v>78</v>
          </cell>
          <cell r="AZ396">
            <v>73</v>
          </cell>
          <cell r="BA396">
            <v>24</v>
          </cell>
          <cell r="BB396">
            <v>26</v>
          </cell>
          <cell r="BC396">
            <v>20</v>
          </cell>
          <cell r="BG396">
            <v>20</v>
          </cell>
          <cell r="BK396">
            <v>60</v>
          </cell>
          <cell r="BL396">
            <v>170</v>
          </cell>
          <cell r="BM396">
            <v>80</v>
          </cell>
          <cell r="BN396">
            <v>40</v>
          </cell>
          <cell r="BO396">
            <v>70</v>
          </cell>
          <cell r="BP396">
            <v>20</v>
          </cell>
          <cell r="BQ396">
            <v>70</v>
          </cell>
          <cell r="BR396">
            <v>30</v>
          </cell>
          <cell r="BS396">
            <v>60</v>
          </cell>
          <cell r="BT396">
            <v>30</v>
          </cell>
          <cell r="BX396">
            <v>10</v>
          </cell>
          <cell r="DW396">
            <v>50</v>
          </cell>
          <cell r="DX396">
            <v>147</v>
          </cell>
          <cell r="DY396">
            <v>210</v>
          </cell>
          <cell r="DZ396">
            <v>104</v>
          </cell>
          <cell r="EB396">
            <v>64</v>
          </cell>
          <cell r="EC396">
            <v>178</v>
          </cell>
          <cell r="ED396">
            <v>77</v>
          </cell>
          <cell r="EE396">
            <v>30</v>
          </cell>
          <cell r="EH396" t="str">
            <v>ACTIVO</v>
          </cell>
          <cell r="EI396" t="str">
            <v>C</v>
          </cell>
          <cell r="EJ396">
            <v>0</v>
          </cell>
          <cell r="EK396">
            <v>107.5</v>
          </cell>
          <cell r="EL396">
            <v>17.916666666666668</v>
          </cell>
        </row>
        <row r="397">
          <cell r="F397">
            <v>405350</v>
          </cell>
          <cell r="G397" t="str">
            <v>MOSTACILLA CIRCULO 6 COLORES AMBROSIA</v>
          </cell>
          <cell r="AL397">
            <v>72</v>
          </cell>
          <cell r="AM397">
            <v>128</v>
          </cell>
          <cell r="EH397" t="str">
            <v>SIN USO</v>
          </cell>
          <cell r="EI397" t="str">
            <v/>
          </cell>
          <cell r="EJ397" t="str">
            <v/>
          </cell>
          <cell r="EK397">
            <v>0</v>
          </cell>
          <cell r="EL397">
            <v>0</v>
          </cell>
        </row>
        <row r="398">
          <cell r="F398">
            <v>101002</v>
          </cell>
          <cell r="G398" t="str">
            <v>CACAO AMARGO PURATOS</v>
          </cell>
          <cell r="H398">
            <v>25</v>
          </cell>
          <cell r="I398">
            <v>25</v>
          </cell>
          <cell r="K398">
            <v>25</v>
          </cell>
          <cell r="L398">
            <v>25</v>
          </cell>
          <cell r="M398">
            <v>25</v>
          </cell>
          <cell r="N398">
            <v>25</v>
          </cell>
          <cell r="O398">
            <v>25</v>
          </cell>
          <cell r="P398">
            <v>50</v>
          </cell>
          <cell r="Q398">
            <v>25</v>
          </cell>
          <cell r="R398">
            <v>25</v>
          </cell>
          <cell r="S398">
            <v>25</v>
          </cell>
          <cell r="U398">
            <v>25</v>
          </cell>
          <cell r="V398">
            <v>50</v>
          </cell>
          <cell r="W398">
            <v>25</v>
          </cell>
          <cell r="X398">
            <v>25</v>
          </cell>
          <cell r="AB398">
            <v>25</v>
          </cell>
          <cell r="AC398">
            <v>25</v>
          </cell>
          <cell r="AD398">
            <v>100</v>
          </cell>
          <cell r="AE398">
            <v>25</v>
          </cell>
          <cell r="AF398">
            <v>25</v>
          </cell>
          <cell r="AG398">
            <v>25</v>
          </cell>
          <cell r="AH398">
            <v>1</v>
          </cell>
          <cell r="AI398">
            <v>25</v>
          </cell>
          <cell r="AJ398">
            <v>50</v>
          </cell>
          <cell r="AM398">
            <v>50</v>
          </cell>
          <cell r="AN398">
            <v>25</v>
          </cell>
          <cell r="AO398">
            <v>25</v>
          </cell>
          <cell r="AQ398">
            <v>50</v>
          </cell>
          <cell r="AR398">
            <v>25</v>
          </cell>
          <cell r="AT398">
            <v>25</v>
          </cell>
          <cell r="AV398">
            <v>25</v>
          </cell>
          <cell r="AW398">
            <v>25</v>
          </cell>
          <cell r="AX398">
            <v>25</v>
          </cell>
          <cell r="AZ398">
            <v>25</v>
          </cell>
          <cell r="BA398">
            <v>25</v>
          </cell>
          <cell r="BB398">
            <v>25</v>
          </cell>
          <cell r="BD398">
            <v>25</v>
          </cell>
          <cell r="BE398">
            <v>25</v>
          </cell>
          <cell r="BF398">
            <v>25.83</v>
          </cell>
          <cell r="BG398">
            <v>25</v>
          </cell>
          <cell r="BI398">
            <v>25</v>
          </cell>
          <cell r="BJ398">
            <v>25</v>
          </cell>
          <cell r="BK398">
            <v>50</v>
          </cell>
          <cell r="BL398">
            <v>25</v>
          </cell>
          <cell r="BM398">
            <v>50</v>
          </cell>
          <cell r="BO398">
            <v>50</v>
          </cell>
          <cell r="BP398">
            <v>25</v>
          </cell>
          <cell r="BQ398">
            <v>25</v>
          </cell>
          <cell r="BU398">
            <v>25</v>
          </cell>
          <cell r="BW398">
            <v>25</v>
          </cell>
          <cell r="BX398">
            <v>56.489000000000004</v>
          </cell>
          <cell r="BY398">
            <v>25</v>
          </cell>
          <cell r="CA398">
            <v>75</v>
          </cell>
          <cell r="CD398">
            <v>25</v>
          </cell>
          <cell r="CF398">
            <v>25</v>
          </cell>
          <cell r="CH398">
            <v>75</v>
          </cell>
          <cell r="CM398">
            <v>75</v>
          </cell>
          <cell r="CN398">
            <v>25</v>
          </cell>
          <cell r="CP398">
            <v>25</v>
          </cell>
          <cell r="CQ398">
            <v>50</v>
          </cell>
          <cell r="CT398">
            <v>25</v>
          </cell>
          <cell r="CU398">
            <v>50</v>
          </cell>
          <cell r="CX398">
            <v>25</v>
          </cell>
          <cell r="CY398">
            <v>75</v>
          </cell>
          <cell r="DB398">
            <v>75</v>
          </cell>
          <cell r="DC398">
            <v>25</v>
          </cell>
          <cell r="DK398">
            <v>25</v>
          </cell>
          <cell r="DM398">
            <v>50</v>
          </cell>
          <cell r="DO398">
            <v>50</v>
          </cell>
          <cell r="DR398">
            <v>25</v>
          </cell>
          <cell r="DS398">
            <v>25</v>
          </cell>
          <cell r="DT398">
            <v>25</v>
          </cell>
          <cell r="DX398">
            <v>50</v>
          </cell>
          <cell r="DY398">
            <v>25</v>
          </cell>
          <cell r="EB398">
            <v>50</v>
          </cell>
          <cell r="EC398">
            <v>25</v>
          </cell>
          <cell r="ED398">
            <v>25</v>
          </cell>
          <cell r="EE398">
            <v>25</v>
          </cell>
          <cell r="EH398" t="str">
            <v>ACTIVO</v>
          </cell>
          <cell r="EI398" t="str">
            <v>C</v>
          </cell>
          <cell r="EK398">
            <v>33.333333333333336</v>
          </cell>
          <cell r="EL398">
            <v>5.5555555555555562</v>
          </cell>
        </row>
        <row r="399">
          <cell r="F399">
            <v>107108</v>
          </cell>
          <cell r="G399" t="str">
            <v>DECORCREM NEGRO PURATOS</v>
          </cell>
          <cell r="H399">
            <v>985.5</v>
          </cell>
          <cell r="I399">
            <v>603</v>
          </cell>
          <cell r="J399">
            <v>1012.5</v>
          </cell>
          <cell r="K399">
            <v>477</v>
          </cell>
          <cell r="L399">
            <v>652.5</v>
          </cell>
          <cell r="M399">
            <v>517.5</v>
          </cell>
          <cell r="N399">
            <v>504</v>
          </cell>
          <cell r="O399">
            <v>598.5</v>
          </cell>
          <cell r="P399">
            <v>400.5</v>
          </cell>
          <cell r="Q399">
            <v>774</v>
          </cell>
          <cell r="R399">
            <v>693</v>
          </cell>
          <cell r="S399">
            <v>423</v>
          </cell>
          <cell r="T399">
            <v>137.5</v>
          </cell>
          <cell r="U399">
            <v>792.5</v>
          </cell>
          <cell r="V399">
            <v>810</v>
          </cell>
          <cell r="W399">
            <v>639</v>
          </cell>
          <cell r="X399">
            <v>769.5</v>
          </cell>
          <cell r="Y399">
            <v>1215</v>
          </cell>
          <cell r="Z399">
            <v>940.5</v>
          </cell>
          <cell r="AA399">
            <v>418.5</v>
          </cell>
          <cell r="AB399">
            <v>877.5</v>
          </cell>
          <cell r="AC399">
            <v>986.5</v>
          </cell>
          <cell r="AD399">
            <v>936</v>
          </cell>
          <cell r="AE399">
            <v>922.5</v>
          </cell>
          <cell r="AF399">
            <v>391.5</v>
          </cell>
          <cell r="AG399">
            <v>756</v>
          </cell>
          <cell r="AH399">
            <v>517.5</v>
          </cell>
          <cell r="AI399">
            <v>1210.5</v>
          </cell>
          <cell r="AJ399">
            <v>1269</v>
          </cell>
          <cell r="AK399">
            <v>567</v>
          </cell>
          <cell r="AL399">
            <v>1557</v>
          </cell>
          <cell r="AM399">
            <v>603</v>
          </cell>
          <cell r="AN399">
            <v>765</v>
          </cell>
          <cell r="AO399">
            <v>616.5</v>
          </cell>
          <cell r="AP399">
            <v>738</v>
          </cell>
          <cell r="AQ399">
            <v>720</v>
          </cell>
          <cell r="AR399">
            <v>1089</v>
          </cell>
          <cell r="AS399">
            <v>297</v>
          </cell>
          <cell r="AT399">
            <v>855</v>
          </cell>
          <cell r="AU399">
            <v>576</v>
          </cell>
          <cell r="AV399">
            <v>805.5</v>
          </cell>
          <cell r="AW399">
            <v>652.5</v>
          </cell>
          <cell r="AX399">
            <v>760.5</v>
          </cell>
          <cell r="AY399">
            <v>706.5</v>
          </cell>
          <cell r="AZ399">
            <v>423</v>
          </cell>
          <cell r="BA399">
            <v>171</v>
          </cell>
          <cell r="BB399">
            <v>554.70000000000005</v>
          </cell>
          <cell r="BC399">
            <v>400.5</v>
          </cell>
          <cell r="BD399">
            <v>243</v>
          </cell>
          <cell r="BE399">
            <v>310.5</v>
          </cell>
          <cell r="BF399">
            <v>167.5</v>
          </cell>
          <cell r="BG399">
            <v>661.5</v>
          </cell>
          <cell r="BH399">
            <v>373.5</v>
          </cell>
          <cell r="BI399">
            <v>1012.5</v>
          </cell>
          <cell r="BJ399">
            <v>625.5</v>
          </cell>
          <cell r="BK399">
            <v>689.5</v>
          </cell>
          <cell r="BL399">
            <v>644.5</v>
          </cell>
          <cell r="BM399">
            <v>769.5</v>
          </cell>
          <cell r="BN399">
            <v>684.5</v>
          </cell>
          <cell r="BO399">
            <v>693</v>
          </cell>
          <cell r="BP399">
            <v>476.5</v>
          </cell>
          <cell r="BQ399">
            <v>647.5</v>
          </cell>
          <cell r="BR399">
            <v>808.5</v>
          </cell>
          <cell r="BS399">
            <v>501</v>
          </cell>
          <cell r="BT399">
            <v>751.5</v>
          </cell>
          <cell r="BU399">
            <v>634.5</v>
          </cell>
          <cell r="BV399">
            <v>1350</v>
          </cell>
          <cell r="BW399">
            <v>1719</v>
          </cell>
          <cell r="BX399">
            <v>1165.5</v>
          </cell>
          <cell r="BY399">
            <v>1255.5</v>
          </cell>
          <cell r="BZ399">
            <v>922.5</v>
          </cell>
          <cell r="CA399">
            <v>517.5</v>
          </cell>
          <cell r="CB399">
            <v>1624.5</v>
          </cell>
          <cell r="CC399">
            <v>963</v>
          </cell>
          <cell r="CD399">
            <v>2313</v>
          </cell>
          <cell r="CE399">
            <v>1399.5</v>
          </cell>
          <cell r="CF399">
            <v>927</v>
          </cell>
          <cell r="CG399">
            <v>814.5</v>
          </cell>
          <cell r="CH399">
            <v>1399.5</v>
          </cell>
          <cell r="CI399">
            <v>1993.5</v>
          </cell>
          <cell r="CJ399">
            <v>1039.5</v>
          </cell>
          <cell r="CK399">
            <v>1201.5</v>
          </cell>
          <cell r="CL399">
            <v>1494</v>
          </cell>
          <cell r="CM399">
            <v>1390.5</v>
          </cell>
          <cell r="CN399">
            <v>481.5</v>
          </cell>
          <cell r="CO399">
            <v>1251</v>
          </cell>
          <cell r="CP399">
            <v>1363.5</v>
          </cell>
          <cell r="CQ399">
            <v>1014</v>
          </cell>
          <cell r="CR399">
            <v>1660.5</v>
          </cell>
          <cell r="CS399">
            <v>711</v>
          </cell>
          <cell r="CT399">
            <v>1431</v>
          </cell>
          <cell r="CU399">
            <v>738</v>
          </cell>
          <cell r="CV399">
            <v>1588.5</v>
          </cell>
          <cell r="CW399">
            <v>829</v>
          </cell>
          <cell r="CX399">
            <v>918</v>
          </cell>
          <cell r="CY399">
            <v>922.5</v>
          </cell>
          <cell r="CZ399">
            <v>1669.5</v>
          </cell>
          <cell r="DA399">
            <v>913.5</v>
          </cell>
          <cell r="DB399">
            <v>769.5</v>
          </cell>
          <cell r="DC399">
            <v>895.5</v>
          </cell>
          <cell r="DD399">
            <v>1044</v>
          </cell>
          <cell r="DE399">
            <v>783</v>
          </cell>
          <cell r="DF399">
            <v>1747.5</v>
          </cell>
          <cell r="DG399">
            <v>1242</v>
          </cell>
          <cell r="DH399">
            <v>1030.5</v>
          </cell>
          <cell r="DI399">
            <v>117</v>
          </cell>
          <cell r="DJ399">
            <v>873</v>
          </cell>
          <cell r="DK399">
            <v>571.5</v>
          </cell>
          <cell r="DL399">
            <v>1345.5</v>
          </cell>
          <cell r="DM399">
            <v>792</v>
          </cell>
          <cell r="DN399">
            <v>1161</v>
          </cell>
          <cell r="DO399">
            <v>1440</v>
          </cell>
          <cell r="DP399">
            <v>1381.5</v>
          </cell>
          <cell r="DQ399">
            <v>1314</v>
          </cell>
          <cell r="DR399">
            <v>1462.5</v>
          </cell>
          <cell r="DS399">
            <v>567</v>
          </cell>
          <cell r="DT399">
            <v>562.5</v>
          </cell>
          <cell r="DU399">
            <v>1521</v>
          </cell>
          <cell r="DV399">
            <v>985.5</v>
          </cell>
          <cell r="DW399">
            <v>1431</v>
          </cell>
          <cell r="DX399">
            <v>1579.5</v>
          </cell>
          <cell r="DY399">
            <v>859.5</v>
          </cell>
          <cell r="DZ399">
            <v>1687.5</v>
          </cell>
          <cell r="EA399">
            <v>837</v>
          </cell>
          <cell r="EB399">
            <v>1026</v>
          </cell>
          <cell r="EC399">
            <v>2007</v>
          </cell>
          <cell r="ED399">
            <v>1557</v>
          </cell>
          <cell r="EE399">
            <v>945</v>
          </cell>
          <cell r="EF399">
            <v>1521</v>
          </cell>
          <cell r="EG399">
            <v>1291.5</v>
          </cell>
          <cell r="EH399" t="str">
            <v>ACTIVO</v>
          </cell>
          <cell r="EI399" t="str">
            <v>A</v>
          </cell>
          <cell r="EJ399">
            <v>540</v>
          </cell>
          <cell r="EK399">
            <v>1153.44</v>
          </cell>
          <cell r="EL399">
            <v>192.24</v>
          </cell>
        </row>
        <row r="400">
          <cell r="F400">
            <v>107127</v>
          </cell>
          <cell r="G400" t="str">
            <v>DECORCREM BLANCO 4k PURATOS</v>
          </cell>
          <cell r="H400">
            <v>264</v>
          </cell>
          <cell r="J400">
            <v>240</v>
          </cell>
          <cell r="L400">
            <v>140</v>
          </cell>
          <cell r="M400">
            <v>56</v>
          </cell>
          <cell r="N400">
            <v>144</v>
          </cell>
          <cell r="O400">
            <v>128</v>
          </cell>
          <cell r="P400">
            <v>8</v>
          </cell>
          <cell r="Q400">
            <v>24</v>
          </cell>
          <cell r="R400">
            <v>20</v>
          </cell>
          <cell r="S400">
            <v>244</v>
          </cell>
          <cell r="T400">
            <v>8</v>
          </cell>
          <cell r="U400">
            <v>144</v>
          </cell>
          <cell r="V400">
            <v>92</v>
          </cell>
          <cell r="W400">
            <v>92</v>
          </cell>
          <cell r="X400">
            <v>136</v>
          </cell>
          <cell r="Y400">
            <v>128</v>
          </cell>
          <cell r="Z400">
            <v>208</v>
          </cell>
          <cell r="AA400">
            <v>8</v>
          </cell>
          <cell r="AB400">
            <v>208</v>
          </cell>
          <cell r="AC400">
            <v>244</v>
          </cell>
          <cell r="AD400">
            <v>16</v>
          </cell>
          <cell r="AE400">
            <v>212</v>
          </cell>
          <cell r="AF400">
            <v>8</v>
          </cell>
          <cell r="AG400">
            <v>128</v>
          </cell>
          <cell r="AH400">
            <v>9</v>
          </cell>
          <cell r="AI400">
            <v>172</v>
          </cell>
          <cell r="AJ400">
            <v>220</v>
          </cell>
          <cell r="AK400">
            <v>12</v>
          </cell>
          <cell r="AL400">
            <v>248</v>
          </cell>
          <cell r="AM400">
            <v>16</v>
          </cell>
          <cell r="AN400">
            <v>248</v>
          </cell>
          <cell r="AO400">
            <v>156</v>
          </cell>
          <cell r="AP400">
            <v>4</v>
          </cell>
          <cell r="AQ400">
            <v>132</v>
          </cell>
          <cell r="AR400">
            <v>188</v>
          </cell>
          <cell r="AS400">
            <v>24</v>
          </cell>
          <cell r="AT400">
            <v>48</v>
          </cell>
          <cell r="AU400">
            <v>88</v>
          </cell>
          <cell r="AV400">
            <v>140</v>
          </cell>
          <cell r="AW400">
            <v>137</v>
          </cell>
          <cell r="AX400">
            <v>28</v>
          </cell>
          <cell r="AY400">
            <v>40</v>
          </cell>
          <cell r="AZ400">
            <v>103</v>
          </cell>
          <cell r="BA400">
            <v>24</v>
          </cell>
          <cell r="BB400">
            <v>104</v>
          </cell>
          <cell r="BC400">
            <v>148</v>
          </cell>
          <cell r="BD400">
            <v>24</v>
          </cell>
          <cell r="BE400">
            <v>24</v>
          </cell>
          <cell r="BF400">
            <v>104</v>
          </cell>
          <cell r="BG400">
            <v>100</v>
          </cell>
          <cell r="BH400">
            <v>20</v>
          </cell>
          <cell r="BI400">
            <v>48</v>
          </cell>
          <cell r="BJ400">
            <v>160</v>
          </cell>
          <cell r="BK400">
            <v>56</v>
          </cell>
          <cell r="BL400">
            <v>88</v>
          </cell>
          <cell r="BM400">
            <v>104</v>
          </cell>
          <cell r="BN400">
            <v>104</v>
          </cell>
          <cell r="BO400">
            <v>84</v>
          </cell>
          <cell r="BP400">
            <v>84</v>
          </cell>
          <cell r="BQ400">
            <v>20</v>
          </cell>
          <cell r="BR400">
            <v>188</v>
          </cell>
          <cell r="BS400">
            <v>24</v>
          </cell>
          <cell r="BT400">
            <v>84</v>
          </cell>
          <cell r="BU400">
            <v>124</v>
          </cell>
          <cell r="BV400">
            <v>108</v>
          </cell>
          <cell r="BW400">
            <v>156</v>
          </cell>
          <cell r="BX400">
            <v>28</v>
          </cell>
          <cell r="BY400">
            <v>84.5</v>
          </cell>
          <cell r="BZ400">
            <v>192</v>
          </cell>
          <cell r="CA400">
            <v>28</v>
          </cell>
          <cell r="CB400">
            <v>104</v>
          </cell>
          <cell r="CC400">
            <v>264</v>
          </cell>
          <cell r="CD400">
            <v>144</v>
          </cell>
          <cell r="CE400">
            <v>168.5</v>
          </cell>
          <cell r="CF400">
            <v>32</v>
          </cell>
          <cell r="CG400">
            <v>44</v>
          </cell>
          <cell r="CH400">
            <v>24</v>
          </cell>
          <cell r="CI400">
            <v>144</v>
          </cell>
          <cell r="CJ400">
            <v>24</v>
          </cell>
          <cell r="CK400">
            <v>92</v>
          </cell>
          <cell r="CL400">
            <v>16</v>
          </cell>
          <cell r="CM400">
            <v>12</v>
          </cell>
          <cell r="CN400">
            <v>4</v>
          </cell>
          <cell r="CQ400">
            <v>8</v>
          </cell>
          <cell r="CR400">
            <v>48</v>
          </cell>
          <cell r="CT400">
            <v>116</v>
          </cell>
          <cell r="CU400">
            <v>12</v>
          </cell>
          <cell r="CV400">
            <v>136</v>
          </cell>
          <cell r="CW400">
            <v>52</v>
          </cell>
          <cell r="CX400">
            <v>84</v>
          </cell>
          <cell r="CY400">
            <v>112</v>
          </cell>
          <cell r="CZ400">
            <v>140</v>
          </cell>
          <cell r="DA400">
            <v>24</v>
          </cell>
          <cell r="DB400">
            <v>104</v>
          </cell>
          <cell r="DC400">
            <v>88</v>
          </cell>
          <cell r="DD400">
            <v>36</v>
          </cell>
          <cell r="DE400">
            <v>80</v>
          </cell>
          <cell r="DF400">
            <v>40</v>
          </cell>
          <cell r="DG400">
            <v>100.5</v>
          </cell>
          <cell r="DH400">
            <v>12</v>
          </cell>
          <cell r="DI400">
            <v>20</v>
          </cell>
          <cell r="DJ400">
            <v>144</v>
          </cell>
          <cell r="DK400">
            <v>24</v>
          </cell>
          <cell r="DL400">
            <v>68</v>
          </cell>
          <cell r="DM400">
            <v>64</v>
          </cell>
          <cell r="DN400">
            <v>20</v>
          </cell>
          <cell r="DO400">
            <v>76</v>
          </cell>
          <cell r="DP400">
            <v>84</v>
          </cell>
          <cell r="DQ400">
            <v>20</v>
          </cell>
          <cell r="DR400">
            <v>280</v>
          </cell>
          <cell r="DS400">
            <v>84</v>
          </cell>
          <cell r="DT400">
            <v>76</v>
          </cell>
          <cell r="DU400">
            <v>31</v>
          </cell>
          <cell r="DV400">
            <v>88</v>
          </cell>
          <cell r="DX400">
            <v>144</v>
          </cell>
          <cell r="DY400">
            <v>208</v>
          </cell>
          <cell r="DZ400">
            <v>584</v>
          </cell>
          <cell r="EA400">
            <v>628</v>
          </cell>
          <cell r="EB400">
            <v>28</v>
          </cell>
          <cell r="EC400">
            <v>64</v>
          </cell>
          <cell r="ED400">
            <v>144</v>
          </cell>
          <cell r="EE400">
            <v>100</v>
          </cell>
          <cell r="EF400">
            <v>192</v>
          </cell>
          <cell r="EG400">
            <v>160</v>
          </cell>
          <cell r="EH400" t="str">
            <v>ACTIVO</v>
          </cell>
          <cell r="EI400" t="str">
            <v>B</v>
          </cell>
          <cell r="EJ400">
            <v>480</v>
          </cell>
          <cell r="EK400">
            <v>138.79166666666666</v>
          </cell>
          <cell r="EL400">
            <v>23.131944444444443</v>
          </cell>
        </row>
        <row r="401">
          <cell r="F401">
            <v>107197</v>
          </cell>
          <cell r="G401" t="str">
            <v>COBERTURA CHOCOLATE BLANCO</v>
          </cell>
          <cell r="H401">
            <v>170</v>
          </cell>
          <cell r="I401">
            <v>130</v>
          </cell>
          <cell r="J401">
            <v>10</v>
          </cell>
          <cell r="K401">
            <v>10</v>
          </cell>
          <cell r="L401">
            <v>20</v>
          </cell>
          <cell r="O401">
            <v>20</v>
          </cell>
          <cell r="CK401">
            <v>244</v>
          </cell>
          <cell r="CL401">
            <v>24</v>
          </cell>
          <cell r="CM401">
            <v>24</v>
          </cell>
          <cell r="CN401">
            <v>40</v>
          </cell>
          <cell r="CO401">
            <v>168</v>
          </cell>
          <cell r="CP401">
            <v>144</v>
          </cell>
          <cell r="CQ401">
            <v>160</v>
          </cell>
          <cell r="CR401">
            <v>36</v>
          </cell>
          <cell r="CS401">
            <v>16</v>
          </cell>
          <cell r="CT401">
            <v>40</v>
          </cell>
          <cell r="CU401">
            <v>72</v>
          </cell>
          <cell r="CV401">
            <v>20</v>
          </cell>
          <cell r="CW401">
            <v>44</v>
          </cell>
          <cell r="CX401">
            <v>20</v>
          </cell>
          <cell r="CY401">
            <v>24</v>
          </cell>
          <cell r="CZ401">
            <v>12</v>
          </cell>
          <cell r="DA401">
            <v>12</v>
          </cell>
          <cell r="DC401">
            <v>20</v>
          </cell>
          <cell r="DE401">
            <v>36</v>
          </cell>
          <cell r="DF401">
            <v>25</v>
          </cell>
          <cell r="DG401">
            <v>20</v>
          </cell>
          <cell r="DN401">
            <v>72</v>
          </cell>
          <cell r="DO401">
            <v>24</v>
          </cell>
          <cell r="DP401">
            <v>60</v>
          </cell>
          <cell r="DQ401">
            <v>156</v>
          </cell>
          <cell r="DR401">
            <v>24</v>
          </cell>
          <cell r="DS401">
            <v>60</v>
          </cell>
          <cell r="DT401">
            <v>36</v>
          </cell>
          <cell r="DU401">
            <v>48</v>
          </cell>
          <cell r="DV401">
            <v>40</v>
          </cell>
          <cell r="DW401">
            <v>72</v>
          </cell>
          <cell r="EA401">
            <v>32</v>
          </cell>
          <cell r="EH401" t="str">
            <v>SIN USO</v>
          </cell>
          <cell r="EI401" t="str">
            <v>C</v>
          </cell>
          <cell r="EJ401" t="str">
            <v/>
          </cell>
          <cell r="EK401">
            <v>56.727272727272727</v>
          </cell>
          <cell r="EL401">
            <v>9.454545454545455</v>
          </cell>
        </row>
        <row r="402">
          <cell r="F402">
            <v>405529</v>
          </cell>
          <cell r="G402" t="str">
            <v>FLOR MANGUEADA GANACHE AMBROSIA</v>
          </cell>
          <cell r="BY402">
            <v>5000</v>
          </cell>
          <cell r="EH402" t="str">
            <v>SIN USO</v>
          </cell>
          <cell r="EI402" t="str">
            <v>C</v>
          </cell>
          <cell r="EJ402" t="str">
            <v/>
          </cell>
          <cell r="EK402">
            <v>0</v>
          </cell>
          <cell r="EL402">
            <v>0</v>
          </cell>
        </row>
        <row r="403">
          <cell r="F403">
            <v>405541</v>
          </cell>
          <cell r="G403" t="str">
            <v>CÍRCULO BLANCO #80 DDM JUMBO 2025</v>
          </cell>
          <cell r="DD403">
            <v>0</v>
          </cell>
          <cell r="DH403">
            <v>2792</v>
          </cell>
          <cell r="EH403" t="str">
            <v>SIN USO</v>
          </cell>
          <cell r="EI403" t="str">
            <v>B</v>
          </cell>
          <cell r="EJ403" t="str">
            <v/>
          </cell>
          <cell r="EK403">
            <v>0</v>
          </cell>
          <cell r="EL403">
            <v>0</v>
          </cell>
        </row>
        <row r="404">
          <cell r="F404">
            <v>405134</v>
          </cell>
          <cell r="G404" t="str">
            <v>TRIANGULO NEGRO 45mm ZUKKER</v>
          </cell>
          <cell r="H404">
            <v>4000</v>
          </cell>
          <cell r="K404">
            <v>28000</v>
          </cell>
          <cell r="AQ404">
            <v>800</v>
          </cell>
          <cell r="AT404">
            <v>1200</v>
          </cell>
          <cell r="AW404">
            <v>400</v>
          </cell>
          <cell r="AX404">
            <v>10000</v>
          </cell>
          <cell r="AZ404">
            <v>3600</v>
          </cell>
          <cell r="BA404">
            <v>6400</v>
          </cell>
          <cell r="BD404">
            <v>6000</v>
          </cell>
          <cell r="BE404">
            <v>4400</v>
          </cell>
          <cell r="BJ404">
            <v>7200</v>
          </cell>
          <cell r="BL404">
            <v>4000</v>
          </cell>
          <cell r="BM404">
            <v>4000</v>
          </cell>
          <cell r="BN404">
            <v>400</v>
          </cell>
          <cell r="BO404">
            <v>8000</v>
          </cell>
          <cell r="BQ404">
            <v>1200</v>
          </cell>
          <cell r="BR404">
            <v>4000</v>
          </cell>
          <cell r="BU404">
            <v>6400</v>
          </cell>
          <cell r="BV404">
            <v>5200</v>
          </cell>
          <cell r="BW404">
            <v>10000</v>
          </cell>
          <cell r="BX404">
            <v>13200</v>
          </cell>
          <cell r="BY404">
            <v>6400</v>
          </cell>
          <cell r="BZ404">
            <v>2000</v>
          </cell>
          <cell r="CA404">
            <v>4800</v>
          </cell>
          <cell r="CB404">
            <v>10000</v>
          </cell>
          <cell r="CC404">
            <v>2800</v>
          </cell>
          <cell r="CD404">
            <v>13200</v>
          </cell>
          <cell r="CE404">
            <v>3200</v>
          </cell>
          <cell r="CF404">
            <v>14000</v>
          </cell>
          <cell r="CG404">
            <v>4800</v>
          </cell>
          <cell r="CH404">
            <v>5200</v>
          </cell>
          <cell r="CI404">
            <v>18800</v>
          </cell>
          <cell r="CJ404">
            <v>4400</v>
          </cell>
          <cell r="CK404">
            <v>7200</v>
          </cell>
          <cell r="CL404">
            <v>12000</v>
          </cell>
          <cell r="CM404">
            <v>3600</v>
          </cell>
          <cell r="CN404">
            <v>4000</v>
          </cell>
          <cell r="CO404">
            <v>8000</v>
          </cell>
          <cell r="CP404">
            <v>8800</v>
          </cell>
          <cell r="CQ404">
            <v>4800</v>
          </cell>
          <cell r="CR404">
            <v>14000</v>
          </cell>
          <cell r="CS404">
            <v>7200</v>
          </cell>
          <cell r="CT404">
            <v>4800</v>
          </cell>
          <cell r="CU404">
            <v>4800</v>
          </cell>
          <cell r="CV404">
            <v>8800</v>
          </cell>
          <cell r="CW404">
            <v>12800</v>
          </cell>
          <cell r="CY404">
            <v>2400</v>
          </cell>
          <cell r="CZ404">
            <v>12000</v>
          </cell>
          <cell r="DA404">
            <v>2400</v>
          </cell>
          <cell r="DB404">
            <v>7600</v>
          </cell>
          <cell r="DD404">
            <v>6000</v>
          </cell>
          <cell r="DE404">
            <v>4000</v>
          </cell>
          <cell r="DF404">
            <v>12000</v>
          </cell>
          <cell r="DH404">
            <v>8400</v>
          </cell>
          <cell r="DJ404">
            <v>4000</v>
          </cell>
          <cell r="DK404">
            <v>4000</v>
          </cell>
          <cell r="DL404">
            <v>8000</v>
          </cell>
          <cell r="DM404">
            <v>7600</v>
          </cell>
          <cell r="DN404">
            <v>8400</v>
          </cell>
          <cell r="DO404">
            <v>10400</v>
          </cell>
          <cell r="DP404">
            <v>4400</v>
          </cell>
          <cell r="DQ404">
            <v>6000</v>
          </cell>
          <cell r="DR404">
            <v>12400</v>
          </cell>
          <cell r="DS404">
            <v>4000</v>
          </cell>
          <cell r="DT404">
            <v>14000</v>
          </cell>
          <cell r="DU404">
            <v>6400</v>
          </cell>
          <cell r="DW404">
            <v>4400</v>
          </cell>
          <cell r="DX404">
            <v>12000</v>
          </cell>
          <cell r="DY404">
            <v>6000</v>
          </cell>
          <cell r="DZ404">
            <v>4800</v>
          </cell>
          <cell r="EB404">
            <v>6000</v>
          </cell>
          <cell r="EC404">
            <v>4400</v>
          </cell>
          <cell r="ED404">
            <v>10000</v>
          </cell>
          <cell r="EE404">
            <v>9200</v>
          </cell>
          <cell r="EF404">
            <v>6800</v>
          </cell>
          <cell r="EG404">
            <v>5200</v>
          </cell>
          <cell r="EH404" t="str">
            <v>ACTIVO</v>
          </cell>
          <cell r="EI404" t="str">
            <v>C</v>
          </cell>
          <cell r="EJ404">
            <v>0</v>
          </cell>
          <cell r="EK404">
            <v>7200</v>
          </cell>
          <cell r="EL404">
            <v>1200</v>
          </cell>
        </row>
        <row r="405">
          <cell r="F405">
            <v>405409</v>
          </cell>
          <cell r="G405" t="str">
            <v>DECORCREM NEGRO BLOQUE PURATOS</v>
          </cell>
          <cell r="AT405">
            <v>10</v>
          </cell>
          <cell r="AZ405">
            <v>200.7</v>
          </cell>
          <cell r="BA405">
            <v>454.5</v>
          </cell>
          <cell r="BB405">
            <v>134.80000000000001</v>
          </cell>
          <cell r="BC405">
            <v>380</v>
          </cell>
          <cell r="BD405">
            <v>480</v>
          </cell>
          <cell r="BE405">
            <v>420</v>
          </cell>
          <cell r="BF405">
            <v>690</v>
          </cell>
          <cell r="BG405">
            <v>290</v>
          </cell>
          <cell r="EH405" t="str">
            <v>SIN USO</v>
          </cell>
          <cell r="EI405" t="str">
            <v/>
          </cell>
          <cell r="EK405">
            <v>0</v>
          </cell>
          <cell r="EL405">
            <v>0</v>
          </cell>
        </row>
        <row r="406">
          <cell r="F406">
            <v>405371</v>
          </cell>
          <cell r="G406" t="str">
            <v>TRIANGULO BLANCO #45 MARMOLEADO NEGRO</v>
          </cell>
          <cell r="H406">
            <v>400</v>
          </cell>
          <cell r="AU406">
            <v>400</v>
          </cell>
          <cell r="AV406">
            <v>2000</v>
          </cell>
          <cell r="AW406">
            <v>1600</v>
          </cell>
          <cell r="AX406">
            <v>2800</v>
          </cell>
          <cell r="AY406">
            <v>2400</v>
          </cell>
          <cell r="AZ406">
            <v>2004</v>
          </cell>
          <cell r="BA406">
            <v>2912.5</v>
          </cell>
          <cell r="BB406">
            <v>2400</v>
          </cell>
          <cell r="BC406">
            <v>2400</v>
          </cell>
          <cell r="BD406">
            <v>2400</v>
          </cell>
          <cell r="BE406">
            <v>2400</v>
          </cell>
          <cell r="BF406">
            <v>2400</v>
          </cell>
          <cell r="BG406">
            <v>800</v>
          </cell>
          <cell r="BH406">
            <v>1200</v>
          </cell>
          <cell r="BI406">
            <v>2400</v>
          </cell>
          <cell r="BJ406">
            <v>800</v>
          </cell>
          <cell r="BK406">
            <v>2800</v>
          </cell>
          <cell r="BL406">
            <v>2400</v>
          </cell>
          <cell r="BM406">
            <v>2500</v>
          </cell>
          <cell r="BN406">
            <v>2400</v>
          </cell>
          <cell r="BO406">
            <v>2000</v>
          </cell>
          <cell r="BP406">
            <v>1600</v>
          </cell>
          <cell r="BQ406">
            <v>2000</v>
          </cell>
          <cell r="BR406">
            <v>2800</v>
          </cell>
          <cell r="BS406">
            <v>2400</v>
          </cell>
          <cell r="BT406">
            <v>2400</v>
          </cell>
          <cell r="BU406">
            <v>2400</v>
          </cell>
          <cell r="BV406">
            <v>2400</v>
          </cell>
          <cell r="BW406">
            <v>2400</v>
          </cell>
          <cell r="BX406">
            <v>2400</v>
          </cell>
          <cell r="BY406">
            <v>2000</v>
          </cell>
          <cell r="BZ406">
            <v>400</v>
          </cell>
          <cell r="CA406">
            <v>2400</v>
          </cell>
          <cell r="CB406">
            <v>2400</v>
          </cell>
          <cell r="CC406">
            <v>2400</v>
          </cell>
          <cell r="CD406">
            <v>2400</v>
          </cell>
          <cell r="CE406">
            <v>2500</v>
          </cell>
          <cell r="CF406">
            <v>2400</v>
          </cell>
          <cell r="CG406">
            <v>2800</v>
          </cell>
          <cell r="CH406">
            <v>2800</v>
          </cell>
          <cell r="CI406">
            <v>2400</v>
          </cell>
          <cell r="CJ406">
            <v>2800</v>
          </cell>
          <cell r="CK406">
            <v>2800</v>
          </cell>
          <cell r="CL406">
            <v>2400</v>
          </cell>
          <cell r="CM406">
            <v>2400</v>
          </cell>
          <cell r="CN406">
            <v>2400</v>
          </cell>
          <cell r="CO406">
            <v>3200</v>
          </cell>
          <cell r="CP406">
            <v>2400</v>
          </cell>
          <cell r="CQ406">
            <v>2400</v>
          </cell>
          <cell r="CR406">
            <v>2800</v>
          </cell>
          <cell r="CS406">
            <v>800</v>
          </cell>
          <cell r="CT406">
            <v>2400</v>
          </cell>
          <cell r="CU406">
            <v>2800</v>
          </cell>
          <cell r="CV406">
            <v>2400</v>
          </cell>
          <cell r="CW406">
            <v>2400</v>
          </cell>
          <cell r="CX406">
            <v>2400</v>
          </cell>
          <cell r="CY406">
            <v>2400</v>
          </cell>
          <cell r="CZ406">
            <v>2400</v>
          </cell>
          <cell r="DA406">
            <v>2800</v>
          </cell>
          <cell r="DB406">
            <v>2400</v>
          </cell>
          <cell r="DC406">
            <v>2400</v>
          </cell>
          <cell r="DD406">
            <v>2800</v>
          </cell>
          <cell r="DE406">
            <v>2400</v>
          </cell>
          <cell r="DF406">
            <v>2400</v>
          </cell>
          <cell r="DG406">
            <v>2400</v>
          </cell>
          <cell r="DH406">
            <v>1200</v>
          </cell>
          <cell r="DI406">
            <v>800</v>
          </cell>
          <cell r="DJ406">
            <v>2400</v>
          </cell>
          <cell r="DK406">
            <v>2400</v>
          </cell>
          <cell r="DL406">
            <v>2400</v>
          </cell>
          <cell r="DM406">
            <v>2400</v>
          </cell>
          <cell r="DN406">
            <v>2400</v>
          </cell>
          <cell r="DO406">
            <v>2400</v>
          </cell>
          <cell r="DP406">
            <v>2400</v>
          </cell>
          <cell r="DQ406">
            <v>2400</v>
          </cell>
          <cell r="DR406">
            <v>2400</v>
          </cell>
          <cell r="DS406">
            <v>2400</v>
          </cell>
          <cell r="DT406">
            <v>2400</v>
          </cell>
          <cell r="DU406">
            <v>2800</v>
          </cell>
          <cell r="DV406">
            <v>2400</v>
          </cell>
          <cell r="DW406">
            <v>2400</v>
          </cell>
          <cell r="DX406">
            <v>2400</v>
          </cell>
          <cell r="DY406">
            <v>2800</v>
          </cell>
          <cell r="DZ406">
            <v>3200</v>
          </cell>
          <cell r="EA406">
            <v>2000</v>
          </cell>
          <cell r="EB406">
            <v>3200</v>
          </cell>
          <cell r="EC406">
            <v>2800</v>
          </cell>
          <cell r="ED406">
            <v>2800</v>
          </cell>
          <cell r="EE406">
            <v>2800</v>
          </cell>
          <cell r="EF406">
            <v>2800</v>
          </cell>
          <cell r="EG406">
            <v>2800</v>
          </cell>
          <cell r="EH406" t="str">
            <v>ACTIVO</v>
          </cell>
          <cell r="EI406" t="str">
            <v>C</v>
          </cell>
          <cell r="EJ406">
            <v>0</v>
          </cell>
          <cell r="EK406">
            <v>2496</v>
          </cell>
          <cell r="EL406">
            <v>416</v>
          </cell>
        </row>
        <row r="407">
          <cell r="F407">
            <v>405373</v>
          </cell>
          <cell r="G407" t="str">
            <v>CINTA BICOLOR BNEGRO #500</v>
          </cell>
          <cell r="H407">
            <v>0.5</v>
          </cell>
          <cell r="AU407">
            <v>0.5</v>
          </cell>
          <cell r="AV407">
            <v>2.5</v>
          </cell>
          <cell r="AW407">
            <v>1.5</v>
          </cell>
          <cell r="AX407">
            <v>3.5</v>
          </cell>
          <cell r="AY407">
            <v>3</v>
          </cell>
          <cell r="AZ407">
            <v>119</v>
          </cell>
          <cell r="BA407">
            <v>77.39</v>
          </cell>
          <cell r="BB407">
            <v>3</v>
          </cell>
          <cell r="BC407">
            <v>3</v>
          </cell>
          <cell r="BD407">
            <v>3</v>
          </cell>
          <cell r="BE407">
            <v>3</v>
          </cell>
          <cell r="BF407">
            <v>3</v>
          </cell>
          <cell r="BG407">
            <v>1</v>
          </cell>
          <cell r="BH407">
            <v>1.5</v>
          </cell>
          <cell r="BI407">
            <v>3</v>
          </cell>
          <cell r="BJ407">
            <v>1</v>
          </cell>
          <cell r="BK407">
            <v>3.5</v>
          </cell>
          <cell r="BL407">
            <v>3</v>
          </cell>
          <cell r="BM407">
            <v>3</v>
          </cell>
          <cell r="BN407">
            <v>3</v>
          </cell>
          <cell r="BO407">
            <v>3</v>
          </cell>
          <cell r="BP407">
            <v>3</v>
          </cell>
          <cell r="BQ407">
            <v>2.5</v>
          </cell>
          <cell r="BR407">
            <v>3.5</v>
          </cell>
          <cell r="BS407">
            <v>3</v>
          </cell>
          <cell r="BT407">
            <v>3</v>
          </cell>
          <cell r="BU407">
            <v>3</v>
          </cell>
          <cell r="BV407">
            <v>3</v>
          </cell>
          <cell r="BW407">
            <v>3</v>
          </cell>
          <cell r="BX407">
            <v>3</v>
          </cell>
          <cell r="BY407">
            <v>2.5</v>
          </cell>
          <cell r="BZ407">
            <v>0.5</v>
          </cell>
          <cell r="CA407">
            <v>3</v>
          </cell>
          <cell r="CB407">
            <v>3</v>
          </cell>
          <cell r="CC407">
            <v>3</v>
          </cell>
          <cell r="CD407">
            <v>24.5</v>
          </cell>
          <cell r="CE407">
            <v>43.5</v>
          </cell>
          <cell r="CF407">
            <v>66</v>
          </cell>
          <cell r="CG407">
            <v>36.5</v>
          </cell>
          <cell r="CH407">
            <v>3.5</v>
          </cell>
          <cell r="CI407">
            <v>3</v>
          </cell>
          <cell r="CJ407">
            <v>3.5</v>
          </cell>
          <cell r="CK407">
            <v>3.5</v>
          </cell>
          <cell r="CL407">
            <v>3</v>
          </cell>
          <cell r="CM407">
            <v>40.5</v>
          </cell>
          <cell r="CN407">
            <v>3.5</v>
          </cell>
          <cell r="CO407">
            <v>28</v>
          </cell>
          <cell r="CP407">
            <v>26</v>
          </cell>
          <cell r="CQ407">
            <v>35</v>
          </cell>
          <cell r="CR407">
            <v>3.5</v>
          </cell>
          <cell r="CS407">
            <v>1</v>
          </cell>
          <cell r="CT407">
            <v>27</v>
          </cell>
          <cell r="CU407">
            <v>27.5</v>
          </cell>
          <cell r="CV407">
            <v>43</v>
          </cell>
          <cell r="CW407">
            <v>3</v>
          </cell>
          <cell r="CX407">
            <v>39</v>
          </cell>
          <cell r="CY407">
            <v>53</v>
          </cell>
          <cell r="CZ407">
            <v>103</v>
          </cell>
          <cell r="DA407">
            <v>26.5</v>
          </cell>
          <cell r="DB407">
            <v>107.5</v>
          </cell>
          <cell r="DC407">
            <v>43</v>
          </cell>
          <cell r="DD407">
            <v>3</v>
          </cell>
          <cell r="DE407">
            <v>3</v>
          </cell>
          <cell r="DF407">
            <v>3</v>
          </cell>
          <cell r="DG407">
            <v>3</v>
          </cell>
          <cell r="DH407">
            <v>1.5</v>
          </cell>
          <cell r="DI407">
            <v>1</v>
          </cell>
          <cell r="DJ407">
            <v>83</v>
          </cell>
          <cell r="DK407">
            <v>43</v>
          </cell>
          <cell r="DL407">
            <v>43</v>
          </cell>
          <cell r="DM407">
            <v>21</v>
          </cell>
          <cell r="DN407">
            <v>83</v>
          </cell>
          <cell r="DO407">
            <v>43</v>
          </cell>
          <cell r="DP407">
            <v>7.5</v>
          </cell>
          <cell r="DQ407">
            <v>3</v>
          </cell>
          <cell r="DR407">
            <v>43</v>
          </cell>
          <cell r="DS407">
            <v>43.5</v>
          </cell>
          <cell r="DT407">
            <v>136</v>
          </cell>
          <cell r="DU407">
            <v>142</v>
          </cell>
          <cell r="DV407">
            <v>55</v>
          </cell>
          <cell r="DW407">
            <v>75</v>
          </cell>
          <cell r="DX407">
            <v>106.5</v>
          </cell>
          <cell r="DY407">
            <v>3.5</v>
          </cell>
          <cell r="DZ407">
            <v>89</v>
          </cell>
          <cell r="EA407">
            <v>2.5</v>
          </cell>
          <cell r="EB407">
            <v>4</v>
          </cell>
          <cell r="EC407">
            <v>147.5</v>
          </cell>
          <cell r="ED407">
            <v>3.5</v>
          </cell>
          <cell r="EE407">
            <v>75.5</v>
          </cell>
          <cell r="EF407">
            <v>148.5</v>
          </cell>
          <cell r="EG407">
            <v>3.5</v>
          </cell>
          <cell r="EH407" t="str">
            <v>ACTIVO</v>
          </cell>
          <cell r="EI407" t="str">
            <v>C</v>
          </cell>
          <cell r="EK407">
            <v>56.24</v>
          </cell>
          <cell r="EL407">
            <v>9.3733333333333331</v>
          </cell>
        </row>
        <row r="408">
          <cell r="F408">
            <v>405307</v>
          </cell>
          <cell r="G408" t="str">
            <v>TRIANGULO NEGRO COCO RALLADO ZUKKER</v>
          </cell>
          <cell r="AV408">
            <v>600</v>
          </cell>
          <cell r="AW408">
            <v>2200</v>
          </cell>
          <cell r="AX408">
            <v>11600</v>
          </cell>
          <cell r="AY408">
            <v>1700</v>
          </cell>
          <cell r="AZ408">
            <v>1500</v>
          </cell>
          <cell r="BB408">
            <v>9600</v>
          </cell>
          <cell r="BC408">
            <v>400</v>
          </cell>
          <cell r="BF408">
            <v>9000</v>
          </cell>
          <cell r="BH408">
            <v>400</v>
          </cell>
          <cell r="BI408">
            <v>4800</v>
          </cell>
          <cell r="BJ408">
            <v>2400</v>
          </cell>
          <cell r="BK408">
            <v>6000</v>
          </cell>
          <cell r="BL408">
            <v>9100</v>
          </cell>
          <cell r="BN408">
            <v>11520</v>
          </cell>
          <cell r="BP408">
            <v>5700</v>
          </cell>
          <cell r="BQ408">
            <v>1600</v>
          </cell>
          <cell r="BR408">
            <v>10000</v>
          </cell>
          <cell r="BT408">
            <v>11700</v>
          </cell>
          <cell r="BU408">
            <v>9000</v>
          </cell>
          <cell r="BX408">
            <v>10500</v>
          </cell>
          <cell r="CA408">
            <v>300</v>
          </cell>
          <cell r="CB408">
            <v>11100</v>
          </cell>
          <cell r="CG408">
            <v>7200</v>
          </cell>
          <cell r="CI408">
            <v>5200</v>
          </cell>
          <cell r="CK408">
            <v>4400</v>
          </cell>
          <cell r="CL408">
            <v>3000</v>
          </cell>
          <cell r="CM408">
            <v>300</v>
          </cell>
          <cell r="CN408">
            <v>4400</v>
          </cell>
          <cell r="CO408">
            <v>1800</v>
          </cell>
          <cell r="CP408">
            <v>9900</v>
          </cell>
          <cell r="CR408">
            <v>600</v>
          </cell>
          <cell r="EH408" t="str">
            <v>SIN USO</v>
          </cell>
          <cell r="EI408" t="str">
            <v>C</v>
          </cell>
          <cell r="EJ408">
            <v>3400</v>
          </cell>
          <cell r="EK408">
            <v>0</v>
          </cell>
          <cell r="EL408">
            <v>0</v>
          </cell>
        </row>
        <row r="409">
          <cell r="F409">
            <v>405332</v>
          </cell>
          <cell r="G409" t="str">
            <v>GRANILLO DE COLORES MANAR</v>
          </cell>
          <cell r="CS409">
            <v>25</v>
          </cell>
          <cell r="EH409" t="str">
            <v>SIN USO</v>
          </cell>
          <cell r="EI409" t="str">
            <v>C</v>
          </cell>
          <cell r="EJ409" t="str">
            <v/>
          </cell>
          <cell r="EK409">
            <v>0</v>
          </cell>
          <cell r="EL409">
            <v>0</v>
          </cell>
        </row>
        <row r="410">
          <cell r="F410">
            <v>405311</v>
          </cell>
          <cell r="G410" t="str">
            <v>TRIANGULO BLANCO RAYADO ROJO</v>
          </cell>
          <cell r="BW410">
            <v>3648</v>
          </cell>
          <cell r="EH410" t="str">
            <v>SIN USO</v>
          </cell>
          <cell r="EI410" t="str">
            <v>C</v>
          </cell>
          <cell r="EJ410">
            <v>0</v>
          </cell>
          <cell r="EK410">
            <v>0</v>
          </cell>
          <cell r="EL410">
            <v>0</v>
          </cell>
        </row>
        <row r="411">
          <cell r="F411">
            <v>107349</v>
          </cell>
          <cell r="G411" t="str">
            <v>FLOR DE LOTO CHOCOLATE MORADA AMBROSIA</v>
          </cell>
          <cell r="BW411">
            <v>50</v>
          </cell>
          <cell r="EH411" t="str">
            <v>SIN USO</v>
          </cell>
          <cell r="EI411" t="str">
            <v>C</v>
          </cell>
          <cell r="EJ411" t="str">
            <v/>
          </cell>
          <cell r="EK411">
            <v>0</v>
          </cell>
          <cell r="EL411">
            <v>0</v>
          </cell>
        </row>
        <row r="412">
          <cell r="F412">
            <v>107340</v>
          </cell>
          <cell r="G412" t="str">
            <v>CORAZÓN MANGUEADO GANACHE AMBROSIA</v>
          </cell>
          <cell r="BY412">
            <v>4200</v>
          </cell>
          <cell r="EH412" t="str">
            <v>SIN USO</v>
          </cell>
          <cell r="EI412" t="str">
            <v>C</v>
          </cell>
          <cell r="EJ412" t="str">
            <v/>
          </cell>
          <cell r="EK412">
            <v>0</v>
          </cell>
          <cell r="EL412">
            <v>0</v>
          </cell>
        </row>
        <row r="413">
          <cell r="F413">
            <v>101001</v>
          </cell>
          <cell r="G413" t="str">
            <v>CACAO AMARGO</v>
          </cell>
          <cell r="BQ413">
            <v>25</v>
          </cell>
          <cell r="BX413">
            <v>18.510999999999999</v>
          </cell>
          <cell r="EH413" t="str">
            <v>SIN USO</v>
          </cell>
          <cell r="EI413" t="str">
            <v>C</v>
          </cell>
          <cell r="EJ413" t="str">
            <v/>
          </cell>
          <cell r="EK413">
            <v>0</v>
          </cell>
          <cell r="EL413">
            <v>0</v>
          </cell>
        </row>
        <row r="414">
          <cell r="F414">
            <v>405526</v>
          </cell>
          <cell r="G414" t="str">
            <v>PASTA PISTACHO SIN AZUCAR SABORES Y FRAGANCIA</v>
          </cell>
          <cell r="BY414">
            <v>36</v>
          </cell>
          <cell r="EH414" t="str">
            <v>SIN USO</v>
          </cell>
          <cell r="EI414" t="str">
            <v>C</v>
          </cell>
          <cell r="EJ414" t="str">
            <v/>
          </cell>
          <cell r="EK414">
            <v>0</v>
          </cell>
          <cell r="EL414">
            <v>0</v>
          </cell>
        </row>
        <row r="415">
          <cell r="F415">
            <v>405530</v>
          </cell>
          <cell r="G415" t="str">
            <v>PISTACHO TROZO TOSTADO SIN SAL GRUPO CAMPOS</v>
          </cell>
          <cell r="BY415">
            <v>12</v>
          </cell>
          <cell r="EH415" t="str">
            <v>SIN USO</v>
          </cell>
          <cell r="EI415" t="str">
            <v>C</v>
          </cell>
          <cell r="EJ415" t="str">
            <v/>
          </cell>
          <cell r="EK415">
            <v>0</v>
          </cell>
          <cell r="EL415">
            <v>0</v>
          </cell>
        </row>
        <row r="416">
          <cell r="F416">
            <v>405531</v>
          </cell>
          <cell r="G416" t="str">
            <v>RALLADO 3mm BICOLOR BLANCO-ROSADO ZUKKER</v>
          </cell>
          <cell r="DD416">
            <v>0</v>
          </cell>
          <cell r="EH416" t="str">
            <v>SIN USO</v>
          </cell>
          <cell r="EI416" t="str">
            <v>C</v>
          </cell>
          <cell r="EJ416" t="str">
            <v/>
          </cell>
          <cell r="EK416">
            <v>0</v>
          </cell>
          <cell r="EL416">
            <v>0</v>
          </cell>
        </row>
        <row r="417">
          <cell r="F417">
            <v>405508</v>
          </cell>
          <cell r="G417" t="str">
            <v>ZANAHORIA GANACHE CHOCOLATE AMBROSIA</v>
          </cell>
          <cell r="DD417">
            <v>0</v>
          </cell>
          <cell r="EH417" t="str">
            <v>SIN USO</v>
          </cell>
          <cell r="EI417" t="str">
            <v>C</v>
          </cell>
          <cell r="EK417">
            <v>0</v>
          </cell>
          <cell r="EL417">
            <v>0</v>
          </cell>
        </row>
        <row r="418">
          <cell r="F418">
            <v>405695</v>
          </cell>
          <cell r="G418" t="str">
            <v>CÍRCULO DECORACIÓN NAVIDAD ZUKKER</v>
          </cell>
          <cell r="DF418">
            <v>0</v>
          </cell>
          <cell r="EH418" t="str">
            <v>SIN USO</v>
          </cell>
          <cell r="EI418" t="str">
            <v>C</v>
          </cell>
          <cell r="EJ418" t="str">
            <v/>
          </cell>
          <cell r="EK418">
            <v>0</v>
          </cell>
          <cell r="EL418">
            <v>0</v>
          </cell>
        </row>
        <row r="419">
          <cell r="F419">
            <v>405510</v>
          </cell>
          <cell r="G419" t="str">
            <v>CHIP SUCEDANEO DE COLORES CERRILLOS</v>
          </cell>
          <cell r="DF419">
            <v>0</v>
          </cell>
          <cell r="EH419" t="str">
            <v>SIN USO</v>
          </cell>
          <cell r="EI419" t="str">
            <v>C</v>
          </cell>
          <cell r="EJ419" t="str">
            <v/>
          </cell>
          <cell r="EK419">
            <v>0</v>
          </cell>
          <cell r="EL419">
            <v>0</v>
          </cell>
        </row>
        <row r="420">
          <cell r="F420">
            <v>405684</v>
          </cell>
          <cell r="G420" t="str">
            <v>ZANAHORIA BABY MINUTO VERDE</v>
          </cell>
          <cell r="DF420">
            <v>0</v>
          </cell>
          <cell r="EH420" t="str">
            <v>ACTIVO</v>
          </cell>
          <cell r="EI420" t="str">
            <v>C</v>
          </cell>
          <cell r="EJ420" t="str">
            <v/>
          </cell>
          <cell r="EK420">
            <v>0</v>
          </cell>
          <cell r="EL420">
            <v>0</v>
          </cell>
        </row>
        <row r="421">
          <cell r="F421">
            <v>405697</v>
          </cell>
          <cell r="G421" t="str">
            <v>TRIANGULO CHOCOLATE PURATOS</v>
          </cell>
          <cell r="DJ421">
            <v>4.8199999999999994</v>
          </cell>
          <cell r="DK421">
            <v>3.5999999999999996</v>
          </cell>
          <cell r="DL421">
            <v>3.96</v>
          </cell>
          <cell r="DM421">
            <v>4.62</v>
          </cell>
          <cell r="DN421">
            <v>4.6800000000000006</v>
          </cell>
          <cell r="DO421">
            <v>5.18</v>
          </cell>
          <cell r="EH421" t="str">
            <v>SIN USO</v>
          </cell>
          <cell r="EI421" t="str">
            <v/>
          </cell>
          <cell r="EJ421" t="str">
            <v/>
          </cell>
          <cell r="EK421">
            <v>4.4766666666666666</v>
          </cell>
          <cell r="EL421">
            <v>0.74611111111111106</v>
          </cell>
        </row>
        <row r="422">
          <cell r="F422">
            <v>405683</v>
          </cell>
          <cell r="G422" t="str">
            <v>TRIANGULO VERDE #85 MARMOLEADO AMARILLO</v>
          </cell>
          <cell r="DK422">
            <v>456</v>
          </cell>
          <cell r="DL422">
            <v>310</v>
          </cell>
          <cell r="DM422">
            <v>1210</v>
          </cell>
          <cell r="DO422">
            <v>608</v>
          </cell>
          <cell r="DS422">
            <v>2154</v>
          </cell>
          <cell r="DU422">
            <v>477</v>
          </cell>
          <cell r="DW422">
            <v>1113</v>
          </cell>
          <cell r="DX422">
            <v>608</v>
          </cell>
          <cell r="DY422">
            <v>1983</v>
          </cell>
          <cell r="EC422">
            <v>2984</v>
          </cell>
          <cell r="EH422" t="str">
            <v>ACTIVO</v>
          </cell>
          <cell r="EI422" t="str">
            <v/>
          </cell>
          <cell r="EJ422" t="str">
            <v/>
          </cell>
          <cell r="EK422">
            <v>1190.3</v>
          </cell>
          <cell r="EL422">
            <v>198.38333333333333</v>
          </cell>
        </row>
        <row r="423">
          <cell r="F423">
            <v>405729</v>
          </cell>
          <cell r="G423" t="str">
            <v>CORAZÓN GRANDE #4 ROSADO DDM ZUKKER</v>
          </cell>
          <cell r="DY423">
            <v>180</v>
          </cell>
          <cell r="DZ423">
            <v>390</v>
          </cell>
          <cell r="EA423">
            <v>2670</v>
          </cell>
          <cell r="EH423" t="str">
            <v>ACTIVO</v>
          </cell>
          <cell r="EI423" t="str">
            <v/>
          </cell>
          <cell r="EJ423" t="str">
            <v/>
          </cell>
          <cell r="EK423">
            <v>1080</v>
          </cell>
          <cell r="EL423">
            <v>180</v>
          </cell>
        </row>
        <row r="424">
          <cell r="F424">
            <v>101108</v>
          </cell>
          <cell r="G424" t="str">
            <v>FIGURA DE CORAZON MANAR</v>
          </cell>
          <cell r="DZ424">
            <v>10</v>
          </cell>
          <cell r="EH424" t="str">
            <v>SIN USO</v>
          </cell>
          <cell r="EI424" t="str">
            <v/>
          </cell>
          <cell r="EJ424" t="str">
            <v/>
          </cell>
          <cell r="EK424">
            <v>10</v>
          </cell>
          <cell r="EL424">
            <v>1.6666666666666667</v>
          </cell>
        </row>
        <row r="425">
          <cell r="F425">
            <v>405749</v>
          </cell>
          <cell r="G425" t="str">
            <v>CARAVELLA RELL FRÍO-CALIENTE AVELLANA 13 KG MASTER MARTINI</v>
          </cell>
          <cell r="ED425">
            <v>20</v>
          </cell>
          <cell r="EE425">
            <v>169</v>
          </cell>
          <cell r="EF425">
            <v>221</v>
          </cell>
          <cell r="EG425">
            <v>429</v>
          </cell>
          <cell r="EH425" t="str">
            <v>ACTIVO</v>
          </cell>
          <cell r="EI425" t="str">
            <v/>
          </cell>
          <cell r="EJ425" t="str">
            <v/>
          </cell>
          <cell r="EK425">
            <v>209.75</v>
          </cell>
          <cell r="EL425">
            <v>34.958333333333336</v>
          </cell>
        </row>
        <row r="426">
          <cell r="F426">
            <v>405774</v>
          </cell>
          <cell r="G426" t="str">
            <v>BIGOTE CHOCOLATE BLANCO 6 GRAMOS AMBROSIA</v>
          </cell>
          <cell r="EF426">
            <v>1200</v>
          </cell>
          <cell r="EG426">
            <v>1000</v>
          </cell>
          <cell r="EH426" t="str">
            <v>ACTIVO</v>
          </cell>
          <cell r="EI426" t="str">
            <v/>
          </cell>
          <cell r="EK426">
            <v>1100</v>
          </cell>
          <cell r="EL426">
            <v>183.33333333333334</v>
          </cell>
        </row>
        <row r="427">
          <cell r="H427">
            <v>6357.52</v>
          </cell>
          <cell r="I427">
            <v>1380.1599999999999</v>
          </cell>
          <cell r="J427">
            <v>2017.3</v>
          </cell>
          <cell r="K427">
            <v>29347.8</v>
          </cell>
          <cell r="L427">
            <v>1327.44</v>
          </cell>
          <cell r="M427">
            <v>1082.3</v>
          </cell>
          <cell r="N427">
            <v>1380.52</v>
          </cell>
          <cell r="O427">
            <v>1788.6599999999999</v>
          </cell>
          <cell r="P427">
            <v>878.52</v>
          </cell>
          <cell r="Q427">
            <v>1662.52</v>
          </cell>
          <cell r="R427">
            <v>1390.1</v>
          </cell>
          <cell r="S427">
            <v>1082.44</v>
          </cell>
          <cell r="T427">
            <v>626.5</v>
          </cell>
          <cell r="U427">
            <v>1664.6599999999999</v>
          </cell>
          <cell r="V427">
            <v>1863.08</v>
          </cell>
          <cell r="W427">
            <v>2082.38</v>
          </cell>
          <cell r="X427">
            <v>2430.8200000000002</v>
          </cell>
          <cell r="Y427">
            <v>2380.7399999999998</v>
          </cell>
          <cell r="Z427">
            <v>1554.9</v>
          </cell>
          <cell r="AA427">
            <v>1369.94</v>
          </cell>
          <cell r="AB427">
            <v>2894.46</v>
          </cell>
          <cell r="AC427">
            <v>2471.66</v>
          </cell>
          <cell r="AD427">
            <v>2932.24</v>
          </cell>
          <cell r="AE427">
            <v>2519.7399999999998</v>
          </cell>
          <cell r="AF427">
            <v>1749.38</v>
          </cell>
          <cell r="AG427">
            <v>2420.96</v>
          </cell>
          <cell r="AH427">
            <v>2066.8000000000002</v>
          </cell>
          <cell r="AI427">
            <v>3085.46</v>
          </cell>
          <cell r="AJ427">
            <v>3060.74</v>
          </cell>
          <cell r="AK427">
            <v>2475.4</v>
          </cell>
          <cell r="AL427">
            <v>3368.46</v>
          </cell>
          <cell r="AM427">
            <v>2070.9</v>
          </cell>
          <cell r="AN427">
            <v>2605.7399999999998</v>
          </cell>
          <cell r="AO427">
            <v>2233.54</v>
          </cell>
          <cell r="AP427">
            <v>1948.96</v>
          </cell>
          <cell r="AQ427">
            <v>3377.82</v>
          </cell>
          <cell r="AR427">
            <v>2611.3199999999997</v>
          </cell>
          <cell r="AS427">
            <v>876.72</v>
          </cell>
          <cell r="AT427">
            <v>3321.9</v>
          </cell>
          <cell r="AU427">
            <v>2156.04</v>
          </cell>
          <cell r="AV427">
            <v>5004.32</v>
          </cell>
          <cell r="AW427">
            <v>6644.24</v>
          </cell>
          <cell r="AX427">
            <v>26213.68</v>
          </cell>
          <cell r="AY427">
            <v>5744.54</v>
          </cell>
          <cell r="AZ427">
            <v>9579.02</v>
          </cell>
          <cell r="BA427">
            <v>10875.789999999999</v>
          </cell>
          <cell r="BB427">
            <v>14526.82</v>
          </cell>
          <cell r="BC427">
            <v>5054.84</v>
          </cell>
          <cell r="BD427">
            <v>10427.68</v>
          </cell>
          <cell r="BE427">
            <v>8900.5400000000009</v>
          </cell>
          <cell r="BF427">
            <v>13925.17</v>
          </cell>
          <cell r="BG427">
            <v>3159.82</v>
          </cell>
          <cell r="BH427">
            <v>2548.88</v>
          </cell>
          <cell r="BI427">
            <v>9910.26</v>
          </cell>
          <cell r="BJ427">
            <v>12358.46</v>
          </cell>
          <cell r="BK427">
            <v>11323.32</v>
          </cell>
          <cell r="BL427">
            <v>18138.82</v>
          </cell>
          <cell r="BM427">
            <v>9300.18</v>
          </cell>
          <cell r="BN427">
            <v>16665.260000000002</v>
          </cell>
          <cell r="BO427">
            <v>12563.96</v>
          </cell>
          <cell r="BP427">
            <v>9016.18</v>
          </cell>
          <cell r="BQ427">
            <v>7258.96</v>
          </cell>
          <cell r="BR427">
            <v>19104.400000000001</v>
          </cell>
          <cell r="BS427">
            <v>4577.96</v>
          </cell>
          <cell r="BT427">
            <v>16218.46</v>
          </cell>
          <cell r="BU427">
            <v>21065.18</v>
          </cell>
          <cell r="BV427">
            <v>12054.32</v>
          </cell>
          <cell r="BW427">
            <v>19551.32</v>
          </cell>
          <cell r="BX427">
            <v>29721.539999999997</v>
          </cell>
          <cell r="BY427">
            <v>20733.54</v>
          </cell>
          <cell r="BZ427">
            <v>4043.4</v>
          </cell>
          <cell r="CA427">
            <v>10044.540000000001</v>
          </cell>
          <cell r="CB427">
            <v>26012.18</v>
          </cell>
          <cell r="CC427">
            <v>7985.32</v>
          </cell>
          <cell r="CD427">
            <v>19925.82</v>
          </cell>
          <cell r="CE427">
            <v>8410.9</v>
          </cell>
          <cell r="CF427">
            <v>19024.32</v>
          </cell>
          <cell r="CG427">
            <v>19137.32</v>
          </cell>
          <cell r="CH427">
            <v>10629.68</v>
          </cell>
          <cell r="CI427">
            <v>29214.46</v>
          </cell>
          <cell r="CJ427">
            <v>9659.68</v>
          </cell>
          <cell r="CK427">
            <v>17767.96</v>
          </cell>
          <cell r="CL427">
            <v>20169.96</v>
          </cell>
          <cell r="CM427">
            <v>9540.68</v>
          </cell>
          <cell r="CN427">
            <v>12889.68</v>
          </cell>
          <cell r="CO427">
            <v>16456.68</v>
          </cell>
          <cell r="CP427">
            <v>24698.82</v>
          </cell>
          <cell r="CQ427">
            <v>10915.68</v>
          </cell>
          <cell r="CR427">
            <v>20759.96</v>
          </cell>
          <cell r="CS427">
            <v>10132.720000000001</v>
          </cell>
          <cell r="CT427">
            <v>11316.96</v>
          </cell>
          <cell r="CU427">
            <v>9794.1</v>
          </cell>
          <cell r="CV427">
            <v>14715.74</v>
          </cell>
          <cell r="CW427">
            <v>17523.599999999999</v>
          </cell>
          <cell r="CX427">
            <v>5434.6</v>
          </cell>
          <cell r="CY427">
            <v>7139.74</v>
          </cell>
          <cell r="CZ427">
            <v>17673.38</v>
          </cell>
          <cell r="DA427">
            <v>7584.6</v>
          </cell>
          <cell r="DB427">
            <v>13078.24</v>
          </cell>
          <cell r="DC427">
            <v>5300.74</v>
          </cell>
          <cell r="DD427">
            <v>12258.6</v>
          </cell>
          <cell r="DE427">
            <v>8441.880000000001</v>
          </cell>
          <cell r="DF427">
            <v>16944.099999999999</v>
          </cell>
          <cell r="DG427">
            <v>4340.8999999999996</v>
          </cell>
          <cell r="DH427">
            <v>13591.44</v>
          </cell>
          <cell r="DI427">
            <v>990</v>
          </cell>
          <cell r="DJ427">
            <v>8313.82</v>
          </cell>
          <cell r="DK427">
            <v>8305.1</v>
          </cell>
          <cell r="DL427">
            <v>13106.46</v>
          </cell>
          <cell r="DM427">
            <v>13288.340000000002</v>
          </cell>
          <cell r="DN427">
            <v>12884.68</v>
          </cell>
          <cell r="DO427">
            <v>16221.26</v>
          </cell>
          <cell r="DP427">
            <v>9171.880000000001</v>
          </cell>
          <cell r="DQ427">
            <v>10782.24</v>
          </cell>
          <cell r="DR427">
            <v>17756.099999999999</v>
          </cell>
          <cell r="DS427">
            <v>10475.1</v>
          </cell>
          <cell r="DT427">
            <v>18853.82</v>
          </cell>
          <cell r="DU427">
            <v>12840.76</v>
          </cell>
          <cell r="DV427">
            <v>4461.82</v>
          </cell>
          <cell r="DW427">
            <v>10820.24</v>
          </cell>
          <cell r="DX427">
            <v>19021.96</v>
          </cell>
          <cell r="DY427">
            <v>13836.32</v>
          </cell>
          <cell r="DZ427">
            <v>12310.82</v>
          </cell>
          <cell r="EA427">
            <v>6284.54</v>
          </cell>
          <cell r="EB427">
            <v>11800.4</v>
          </cell>
          <cell r="EC427">
            <v>13633.779999999999</v>
          </cell>
          <cell r="ED427">
            <v>16111.74</v>
          </cell>
          <cell r="EE427">
            <v>15396.74</v>
          </cell>
          <cell r="EF427">
            <v>14680.1</v>
          </cell>
          <cell r="EG427">
            <v>11499.76</v>
          </cell>
          <cell r="EH427" t="str">
            <v>ACTIVO</v>
          </cell>
          <cell r="EI427" t="str">
            <v/>
          </cell>
          <cell r="EJ427" t="str">
            <v/>
          </cell>
          <cell r="EK427">
            <v>12113.9112</v>
          </cell>
          <cell r="EL427">
            <v>2018.9852000000001</v>
          </cell>
        </row>
        <row r="428">
          <cell r="F428">
            <v>104006</v>
          </cell>
          <cell r="G428" t="str">
            <v>AZUCAR GRANULADA EGC</v>
          </cell>
          <cell r="H428">
            <v>1175</v>
          </cell>
          <cell r="I428">
            <v>910</v>
          </cell>
          <cell r="J428">
            <v>736</v>
          </cell>
          <cell r="K428">
            <v>845</v>
          </cell>
          <cell r="L428">
            <v>1177</v>
          </cell>
          <cell r="M428">
            <v>1016</v>
          </cell>
          <cell r="N428">
            <v>793</v>
          </cell>
          <cell r="O428">
            <v>891</v>
          </cell>
          <cell r="P428">
            <v>848</v>
          </cell>
          <cell r="Q428">
            <v>1046</v>
          </cell>
          <cell r="R428">
            <v>1292</v>
          </cell>
          <cell r="S428">
            <v>826</v>
          </cell>
          <cell r="T428">
            <v>788</v>
          </cell>
          <cell r="U428">
            <v>1138</v>
          </cell>
          <cell r="V428">
            <v>1502</v>
          </cell>
          <cell r="W428">
            <v>979</v>
          </cell>
          <cell r="X428">
            <v>1257</v>
          </cell>
          <cell r="Y428">
            <v>1143</v>
          </cell>
          <cell r="Z428">
            <v>1760</v>
          </cell>
          <cell r="AA428">
            <v>994</v>
          </cell>
          <cell r="AB428">
            <v>1078</v>
          </cell>
          <cell r="AC428">
            <v>866</v>
          </cell>
          <cell r="AD428">
            <v>1303</v>
          </cell>
          <cell r="AE428">
            <v>1583</v>
          </cell>
          <cell r="AF428">
            <v>888</v>
          </cell>
          <cell r="AG428">
            <v>1097</v>
          </cell>
          <cell r="AH428">
            <v>1014</v>
          </cell>
          <cell r="AI428">
            <v>1083</v>
          </cell>
          <cell r="AJ428">
            <v>1262</v>
          </cell>
          <cell r="AK428">
            <v>1302</v>
          </cell>
          <cell r="AL428">
            <v>1183</v>
          </cell>
          <cell r="AM428">
            <v>1414</v>
          </cell>
          <cell r="AN428">
            <v>1153</v>
          </cell>
          <cell r="AO428">
            <v>1243</v>
          </cell>
          <cell r="AP428">
            <v>1216</v>
          </cell>
          <cell r="AQ428">
            <v>1193</v>
          </cell>
          <cell r="AR428">
            <v>1158</v>
          </cell>
          <cell r="AS428">
            <v>440</v>
          </cell>
          <cell r="AT428">
            <v>1414</v>
          </cell>
          <cell r="AU428">
            <v>1220</v>
          </cell>
          <cell r="AV428">
            <v>1187</v>
          </cell>
          <cell r="AW428">
            <v>997</v>
          </cell>
          <cell r="AX428">
            <v>1268</v>
          </cell>
          <cell r="AY428">
            <v>1153</v>
          </cell>
          <cell r="AZ428">
            <v>1378</v>
          </cell>
          <cell r="BA428">
            <v>1398</v>
          </cell>
          <cell r="BB428">
            <v>1271</v>
          </cell>
          <cell r="BC428">
            <v>1334</v>
          </cell>
          <cell r="BD428">
            <v>1729</v>
          </cell>
          <cell r="BE428">
            <v>1612</v>
          </cell>
          <cell r="BF428">
            <v>1788</v>
          </cell>
          <cell r="BG428">
            <v>1444</v>
          </cell>
          <cell r="BH428">
            <v>640</v>
          </cell>
          <cell r="BI428">
            <v>1317</v>
          </cell>
          <cell r="BJ428">
            <v>1142</v>
          </cell>
          <cell r="BK428">
            <v>1379</v>
          </cell>
          <cell r="BL428">
            <v>1265</v>
          </cell>
          <cell r="BM428">
            <v>1358</v>
          </cell>
          <cell r="BN428">
            <v>1345</v>
          </cell>
          <cell r="BO428">
            <v>1315</v>
          </cell>
          <cell r="BP428">
            <v>1157</v>
          </cell>
          <cell r="BQ428">
            <v>1095</v>
          </cell>
          <cell r="BR428">
            <v>1502</v>
          </cell>
          <cell r="BS428">
            <v>1314</v>
          </cell>
          <cell r="BT428">
            <v>1663</v>
          </cell>
          <cell r="BU428">
            <v>1223</v>
          </cell>
          <cell r="BV428">
            <v>1564</v>
          </cell>
          <cell r="BW428">
            <v>1286</v>
          </cell>
          <cell r="BX428">
            <v>1189</v>
          </cell>
          <cell r="BY428">
            <v>1569</v>
          </cell>
          <cell r="BZ428">
            <v>2032</v>
          </cell>
          <cell r="CA428">
            <v>1512</v>
          </cell>
          <cell r="CB428">
            <v>1326</v>
          </cell>
          <cell r="CC428">
            <v>1013</v>
          </cell>
          <cell r="CD428">
            <v>1320</v>
          </cell>
          <cell r="CE428">
            <v>1849</v>
          </cell>
          <cell r="CF428">
            <v>1146</v>
          </cell>
          <cell r="CG428">
            <v>1396</v>
          </cell>
          <cell r="CH428">
            <v>1137</v>
          </cell>
          <cell r="CI428">
            <v>1126</v>
          </cell>
          <cell r="CJ428">
            <v>1183</v>
          </cell>
          <cell r="CK428">
            <v>1166</v>
          </cell>
          <cell r="CL428">
            <v>1402</v>
          </cell>
          <cell r="CM428">
            <v>1286</v>
          </cell>
          <cell r="CN428">
            <v>1233</v>
          </cell>
          <cell r="CO428">
            <v>1220</v>
          </cell>
          <cell r="CP428">
            <v>1320</v>
          </cell>
          <cell r="CQ428">
            <v>1347</v>
          </cell>
          <cell r="CR428">
            <v>1292</v>
          </cell>
          <cell r="CS428">
            <v>745</v>
          </cell>
          <cell r="CT428">
            <v>1371</v>
          </cell>
          <cell r="CU428">
            <v>1473</v>
          </cell>
          <cell r="CV428">
            <v>1523</v>
          </cell>
          <cell r="CW428">
            <v>1176</v>
          </cell>
          <cell r="CX428">
            <v>1217</v>
          </cell>
          <cell r="CY428">
            <v>1233</v>
          </cell>
          <cell r="CZ428">
            <v>1352</v>
          </cell>
          <cell r="DA428">
            <v>1234</v>
          </cell>
          <cell r="DB428">
            <v>1157</v>
          </cell>
          <cell r="DC428">
            <v>1191</v>
          </cell>
          <cell r="DD428">
            <v>1075</v>
          </cell>
          <cell r="DE428">
            <v>1075</v>
          </cell>
          <cell r="DF428">
            <v>1691</v>
          </cell>
          <cell r="DG428">
            <v>1361</v>
          </cell>
          <cell r="DH428">
            <v>661</v>
          </cell>
          <cell r="DI428">
            <v>316</v>
          </cell>
          <cell r="DJ428">
            <v>1492</v>
          </cell>
          <cell r="DK428">
            <v>1329</v>
          </cell>
          <cell r="DL428">
            <v>1296</v>
          </cell>
          <cell r="DM428">
            <v>1147</v>
          </cell>
          <cell r="DN428">
            <v>1093</v>
          </cell>
          <cell r="DO428">
            <v>1251</v>
          </cell>
          <cell r="DP428">
            <v>992</v>
          </cell>
          <cell r="DQ428">
            <v>917</v>
          </cell>
          <cell r="DR428">
            <v>1015</v>
          </cell>
          <cell r="DS428">
            <v>1126</v>
          </cell>
          <cell r="DT428">
            <v>1388</v>
          </cell>
          <cell r="DU428">
            <v>1308</v>
          </cell>
          <cell r="DV428">
            <v>1139</v>
          </cell>
          <cell r="DW428">
            <v>1207</v>
          </cell>
          <cell r="DX428">
            <v>1319</v>
          </cell>
          <cell r="DY428">
            <v>1577</v>
          </cell>
          <cell r="DZ428">
            <v>1861</v>
          </cell>
          <cell r="EA428">
            <v>1472</v>
          </cell>
          <cell r="EB428">
            <v>1316</v>
          </cell>
          <cell r="EC428">
            <v>970</v>
          </cell>
          <cell r="ED428">
            <v>1260.42</v>
          </cell>
          <cell r="EE428">
            <v>1178</v>
          </cell>
          <cell r="EF428">
            <v>1205</v>
          </cell>
          <cell r="EG428">
            <v>2019</v>
          </cell>
          <cell r="EH428" t="str">
            <v>ACTIVO</v>
          </cell>
          <cell r="EI428" t="str">
            <v>B</v>
          </cell>
          <cell r="EJ428">
            <v>1000</v>
          </cell>
          <cell r="EK428">
            <v>1247.7367999999999</v>
          </cell>
          <cell r="EL428">
            <v>207.95613333333333</v>
          </cell>
        </row>
        <row r="429">
          <cell r="F429">
            <v>104003</v>
          </cell>
          <cell r="G429" t="str">
            <v>AZUCAR FLOR ANTI-HUMEDAD MANAR</v>
          </cell>
          <cell r="AT429">
            <v>45.36</v>
          </cell>
          <cell r="CD429">
            <v>31.68</v>
          </cell>
          <cell r="CQ429">
            <v>22.68</v>
          </cell>
          <cell r="EH429" t="str">
            <v>SIN USO</v>
          </cell>
          <cell r="EI429" t="str">
            <v>C</v>
          </cell>
          <cell r="EJ429" t="str">
            <v/>
          </cell>
          <cell r="EK429">
            <v>0</v>
          </cell>
          <cell r="EL429">
            <v>0</v>
          </cell>
        </row>
        <row r="430">
          <cell r="F430">
            <v>405418</v>
          </cell>
          <cell r="G430" t="str">
            <v>AZUCAR FLOR 5KG MEL ALIMENTOS</v>
          </cell>
          <cell r="DF430">
            <v>0</v>
          </cell>
          <cell r="DR430">
            <v>25</v>
          </cell>
          <cell r="DS430">
            <v>75</v>
          </cell>
          <cell r="DT430">
            <v>30</v>
          </cell>
          <cell r="DU430">
            <v>65</v>
          </cell>
          <cell r="DV430">
            <v>45</v>
          </cell>
          <cell r="DW430">
            <v>45</v>
          </cell>
          <cell r="DX430">
            <v>15</v>
          </cell>
          <cell r="DY430">
            <v>75</v>
          </cell>
          <cell r="DZ430">
            <v>90</v>
          </cell>
          <cell r="EA430">
            <v>95</v>
          </cell>
          <cell r="EB430">
            <v>90</v>
          </cell>
          <cell r="EC430">
            <v>40</v>
          </cell>
          <cell r="ED430">
            <v>95</v>
          </cell>
          <cell r="EE430">
            <v>55</v>
          </cell>
          <cell r="EF430">
            <v>100</v>
          </cell>
          <cell r="EG430">
            <v>100</v>
          </cell>
          <cell r="EH430" t="str">
            <v>ACTIVO</v>
          </cell>
          <cell r="EI430" t="str">
            <v>C</v>
          </cell>
          <cell r="EK430">
            <v>65</v>
          </cell>
          <cell r="EL430">
            <v>10.833333333333334</v>
          </cell>
        </row>
        <row r="431">
          <cell r="H431">
            <v>1175</v>
          </cell>
          <cell r="I431">
            <v>910</v>
          </cell>
          <cell r="J431">
            <v>736</v>
          </cell>
          <cell r="K431">
            <v>845</v>
          </cell>
          <cell r="L431">
            <v>1177</v>
          </cell>
          <cell r="M431">
            <v>1016</v>
          </cell>
          <cell r="N431">
            <v>793</v>
          </cell>
          <cell r="O431">
            <v>891</v>
          </cell>
          <cell r="P431">
            <v>848</v>
          </cell>
          <cell r="Q431">
            <v>1046</v>
          </cell>
          <cell r="R431">
            <v>1292</v>
          </cell>
          <cell r="S431">
            <v>826</v>
          </cell>
          <cell r="T431">
            <v>788</v>
          </cell>
          <cell r="U431">
            <v>1138</v>
          </cell>
          <cell r="V431">
            <v>1502</v>
          </cell>
          <cell r="W431">
            <v>979</v>
          </cell>
          <cell r="X431">
            <v>1257</v>
          </cell>
          <cell r="Y431">
            <v>1143</v>
          </cell>
          <cell r="Z431">
            <v>1760</v>
          </cell>
          <cell r="AA431">
            <v>994</v>
          </cell>
          <cell r="AB431">
            <v>1078</v>
          </cell>
          <cell r="AC431">
            <v>866</v>
          </cell>
          <cell r="AD431">
            <v>1303</v>
          </cell>
          <cell r="AE431">
            <v>1583</v>
          </cell>
          <cell r="AF431">
            <v>888</v>
          </cell>
          <cell r="AG431">
            <v>1097</v>
          </cell>
          <cell r="AH431">
            <v>1014</v>
          </cell>
          <cell r="AI431">
            <v>1083</v>
          </cell>
          <cell r="AJ431">
            <v>1262</v>
          </cell>
          <cell r="AK431">
            <v>1302</v>
          </cell>
          <cell r="AL431">
            <v>1183</v>
          </cell>
          <cell r="AM431">
            <v>1414</v>
          </cell>
          <cell r="AN431">
            <v>1153</v>
          </cell>
          <cell r="AO431">
            <v>1243</v>
          </cell>
          <cell r="AP431">
            <v>1216</v>
          </cell>
          <cell r="AQ431">
            <v>1193</v>
          </cell>
          <cell r="AR431">
            <v>1158</v>
          </cell>
          <cell r="AS431">
            <v>440</v>
          </cell>
          <cell r="AT431">
            <v>1459.36</v>
          </cell>
          <cell r="AU431">
            <v>1220</v>
          </cell>
          <cell r="AV431">
            <v>1187</v>
          </cell>
          <cell r="AW431">
            <v>997</v>
          </cell>
          <cell r="AX431">
            <v>1268</v>
          </cell>
          <cell r="AY431">
            <v>1153</v>
          </cell>
          <cell r="AZ431">
            <v>1378</v>
          </cell>
          <cell r="BA431">
            <v>1398</v>
          </cell>
          <cell r="BB431">
            <v>1271</v>
          </cell>
          <cell r="BC431">
            <v>1334</v>
          </cell>
          <cell r="BD431">
            <v>1729</v>
          </cell>
          <cell r="BE431">
            <v>1612</v>
          </cell>
          <cell r="BF431">
            <v>1788</v>
          </cell>
          <cell r="BG431">
            <v>1444</v>
          </cell>
          <cell r="BH431">
            <v>640</v>
          </cell>
          <cell r="BI431">
            <v>1317</v>
          </cell>
          <cell r="BJ431">
            <v>1142</v>
          </cell>
          <cell r="BK431">
            <v>1379</v>
          </cell>
          <cell r="BL431">
            <v>1265</v>
          </cell>
          <cell r="BM431">
            <v>1358</v>
          </cell>
          <cell r="BN431">
            <v>1345</v>
          </cell>
          <cell r="BO431">
            <v>1315</v>
          </cell>
          <cell r="BP431">
            <v>1157</v>
          </cell>
          <cell r="BQ431">
            <v>1095</v>
          </cell>
          <cell r="BR431">
            <v>1502</v>
          </cell>
          <cell r="BS431">
            <v>1314</v>
          </cell>
          <cell r="BT431">
            <v>1663</v>
          </cell>
          <cell r="BU431">
            <v>1223</v>
          </cell>
          <cell r="BV431">
            <v>1564</v>
          </cell>
          <cell r="BW431">
            <v>1286</v>
          </cell>
          <cell r="BX431">
            <v>1189</v>
          </cell>
          <cell r="BY431">
            <v>1569</v>
          </cell>
          <cell r="BZ431">
            <v>2032</v>
          </cell>
          <cell r="CA431">
            <v>1512</v>
          </cell>
          <cell r="CB431">
            <v>1326</v>
          </cell>
          <cell r="CC431">
            <v>1013</v>
          </cell>
          <cell r="CD431">
            <v>1351.68</v>
          </cell>
          <cell r="CE431">
            <v>1849</v>
          </cell>
          <cell r="CF431">
            <v>1146</v>
          </cell>
          <cell r="CG431">
            <v>1396</v>
          </cell>
          <cell r="CH431">
            <v>1137</v>
          </cell>
          <cell r="CI431">
            <v>1126</v>
          </cell>
          <cell r="CJ431">
            <v>1183</v>
          </cell>
          <cell r="CK431">
            <v>1166</v>
          </cell>
          <cell r="CL431">
            <v>1402</v>
          </cell>
          <cell r="CM431">
            <v>1286</v>
          </cell>
          <cell r="CN431">
            <v>1233</v>
          </cell>
          <cell r="CO431">
            <v>1220</v>
          </cell>
          <cell r="CP431">
            <v>1320</v>
          </cell>
          <cell r="CQ431">
            <v>1369.68</v>
          </cell>
          <cell r="CR431">
            <v>1292</v>
          </cell>
          <cell r="CS431">
            <v>745</v>
          </cell>
          <cell r="CT431">
            <v>1371</v>
          </cell>
          <cell r="CU431">
            <v>1473</v>
          </cell>
          <cell r="CV431">
            <v>1523</v>
          </cell>
          <cell r="CW431">
            <v>1176</v>
          </cell>
          <cell r="CX431">
            <v>1217</v>
          </cell>
          <cell r="CY431">
            <v>1233</v>
          </cell>
          <cell r="CZ431">
            <v>1352</v>
          </cell>
          <cell r="DA431">
            <v>1234</v>
          </cell>
          <cell r="DB431">
            <v>1157</v>
          </cell>
          <cell r="DC431">
            <v>1191</v>
          </cell>
          <cell r="DD431">
            <v>1075</v>
          </cell>
          <cell r="DE431">
            <v>1075</v>
          </cell>
          <cell r="DF431">
            <v>1691</v>
          </cell>
          <cell r="DG431">
            <v>1361</v>
          </cell>
          <cell r="DH431">
            <v>661</v>
          </cell>
          <cell r="DI431">
            <v>316</v>
          </cell>
          <cell r="DJ431">
            <v>1492</v>
          </cell>
          <cell r="DK431">
            <v>1329</v>
          </cell>
          <cell r="DL431">
            <v>1296</v>
          </cell>
          <cell r="DM431">
            <v>1147</v>
          </cell>
          <cell r="DN431">
            <v>1093</v>
          </cell>
          <cell r="DO431">
            <v>1251</v>
          </cell>
          <cell r="DP431">
            <v>992</v>
          </cell>
          <cell r="DQ431">
            <v>917</v>
          </cell>
          <cell r="DR431">
            <v>1040</v>
          </cell>
          <cell r="DS431">
            <v>1201</v>
          </cell>
          <cell r="DT431">
            <v>1418</v>
          </cell>
          <cell r="DU431">
            <v>1373</v>
          </cell>
          <cell r="DV431">
            <v>1184</v>
          </cell>
          <cell r="DW431">
            <v>1252</v>
          </cell>
          <cell r="DX431">
            <v>1334</v>
          </cell>
          <cell r="DY431">
            <v>1652</v>
          </cell>
          <cell r="DZ431">
            <v>1951</v>
          </cell>
          <cell r="EA431">
            <v>1567</v>
          </cell>
          <cell r="EB431">
            <v>1406</v>
          </cell>
          <cell r="EC431">
            <v>1010</v>
          </cell>
          <cell r="ED431">
            <v>1355.42</v>
          </cell>
          <cell r="EE431">
            <v>1233</v>
          </cell>
          <cell r="EF431">
            <v>1305</v>
          </cell>
          <cell r="EG431">
            <v>2119</v>
          </cell>
          <cell r="EH431" t="str">
            <v>ACTIVO</v>
          </cell>
          <cell r="EI431" t="str">
            <v/>
          </cell>
          <cell r="EJ431" t="str">
            <v/>
          </cell>
          <cell r="EK431">
            <v>1289.3368</v>
          </cell>
          <cell r="EL431">
            <v>214.88946666666666</v>
          </cell>
        </row>
        <row r="432">
          <cell r="F432">
            <v>405570</v>
          </cell>
          <cell r="G432" t="str">
            <v>PM CREAM VELVET BAKELS</v>
          </cell>
          <cell r="CO432">
            <v>900</v>
          </cell>
          <cell r="CR432">
            <v>1030</v>
          </cell>
          <cell r="CU432">
            <v>900</v>
          </cell>
          <cell r="CW432">
            <v>780</v>
          </cell>
          <cell r="DC432">
            <v>900</v>
          </cell>
          <cell r="DE432">
            <v>870</v>
          </cell>
          <cell r="DF432">
            <v>890</v>
          </cell>
          <cell r="DJ432">
            <v>900</v>
          </cell>
          <cell r="DM432">
            <v>1340</v>
          </cell>
          <cell r="DO432">
            <v>900</v>
          </cell>
          <cell r="DQ432">
            <v>800</v>
          </cell>
          <cell r="DS432">
            <v>800</v>
          </cell>
          <cell r="DT432">
            <v>2600</v>
          </cell>
          <cell r="DW432">
            <v>1390</v>
          </cell>
          <cell r="DX432">
            <v>1390</v>
          </cell>
          <cell r="EA432">
            <v>900</v>
          </cell>
          <cell r="EB432">
            <v>100</v>
          </cell>
          <cell r="EC432">
            <v>890</v>
          </cell>
          <cell r="EE432">
            <v>900</v>
          </cell>
          <cell r="EF432">
            <v>1450</v>
          </cell>
          <cell r="EH432" t="str">
            <v>ACTIVO</v>
          </cell>
          <cell r="EI432" t="str">
            <v>C</v>
          </cell>
          <cell r="EJ432" t="str">
            <v/>
          </cell>
          <cell r="EK432">
            <v>1104.6153846153845</v>
          </cell>
          <cell r="EL432">
            <v>184.10256410256409</v>
          </cell>
        </row>
        <row r="433">
          <cell r="F433">
            <v>107311</v>
          </cell>
          <cell r="G433" t="str">
            <v>HARINA ORO 2</v>
          </cell>
          <cell r="AI433">
            <v>1350</v>
          </cell>
          <cell r="EH433" t="str">
            <v>SIN USO</v>
          </cell>
          <cell r="EI433" t="str">
            <v/>
          </cell>
          <cell r="EJ433" t="str">
            <v/>
          </cell>
          <cell r="EK433">
            <v>0</v>
          </cell>
          <cell r="EL433">
            <v>0</v>
          </cell>
        </row>
        <row r="434">
          <cell r="F434">
            <v>107330</v>
          </cell>
          <cell r="G434" t="str">
            <v>HARINA NUEZ TRES ERRE</v>
          </cell>
          <cell r="L434">
            <v>30</v>
          </cell>
          <cell r="M434">
            <v>70</v>
          </cell>
          <cell r="V434">
            <v>60</v>
          </cell>
          <cell r="W434">
            <v>40</v>
          </cell>
          <cell r="X434">
            <v>20</v>
          </cell>
          <cell r="Y434">
            <v>15</v>
          </cell>
          <cell r="AC434">
            <v>60</v>
          </cell>
          <cell r="AD434">
            <v>30</v>
          </cell>
          <cell r="AE434">
            <v>45</v>
          </cell>
          <cell r="AF434">
            <v>15</v>
          </cell>
          <cell r="AG434">
            <v>10</v>
          </cell>
          <cell r="AH434">
            <v>30</v>
          </cell>
          <cell r="AI434">
            <v>35</v>
          </cell>
          <cell r="AJ434">
            <v>25</v>
          </cell>
          <cell r="AK434">
            <v>60</v>
          </cell>
          <cell r="AL434">
            <v>30</v>
          </cell>
          <cell r="AN434">
            <v>15</v>
          </cell>
          <cell r="AO434">
            <v>25</v>
          </cell>
          <cell r="BL434">
            <v>30</v>
          </cell>
          <cell r="BM434">
            <v>10</v>
          </cell>
          <cell r="BN434">
            <v>30</v>
          </cell>
          <cell r="BO434">
            <v>40</v>
          </cell>
          <cell r="BP434">
            <v>30</v>
          </cell>
          <cell r="BQ434">
            <v>20</v>
          </cell>
          <cell r="BR434">
            <v>10</v>
          </cell>
          <cell r="BS434">
            <v>50</v>
          </cell>
          <cell r="BT434">
            <v>20</v>
          </cell>
          <cell r="BU434">
            <v>15</v>
          </cell>
          <cell r="BV434">
            <v>60</v>
          </cell>
          <cell r="BW434">
            <v>80</v>
          </cell>
          <cell r="BX434">
            <v>20</v>
          </cell>
          <cell r="BY434">
            <v>10</v>
          </cell>
          <cell r="CA434">
            <v>10</v>
          </cell>
          <cell r="CB434">
            <v>40</v>
          </cell>
          <cell r="CC434">
            <v>45</v>
          </cell>
          <cell r="CD434">
            <v>35</v>
          </cell>
          <cell r="CE434">
            <v>10</v>
          </cell>
          <cell r="CF434">
            <v>30</v>
          </cell>
          <cell r="CG434">
            <v>60</v>
          </cell>
          <cell r="CH434">
            <v>10</v>
          </cell>
          <cell r="CI434">
            <v>10</v>
          </cell>
          <cell r="CJ434">
            <v>10</v>
          </cell>
          <cell r="CL434">
            <v>10</v>
          </cell>
          <cell r="CM434">
            <v>50</v>
          </cell>
          <cell r="CN434">
            <v>40</v>
          </cell>
          <cell r="CO434">
            <v>10</v>
          </cell>
          <cell r="CP434">
            <v>25</v>
          </cell>
          <cell r="CQ434">
            <v>25</v>
          </cell>
          <cell r="CR434">
            <v>35</v>
          </cell>
          <cell r="CS434">
            <v>20</v>
          </cell>
          <cell r="CT434">
            <v>20</v>
          </cell>
          <cell r="CU434">
            <v>35</v>
          </cell>
          <cell r="CV434">
            <v>10</v>
          </cell>
          <cell r="CW434">
            <v>50</v>
          </cell>
          <cell r="CY434">
            <v>40</v>
          </cell>
          <cell r="CZ434">
            <v>55</v>
          </cell>
          <cell r="DA434">
            <v>60</v>
          </cell>
          <cell r="DB434">
            <v>40</v>
          </cell>
          <cell r="DC434">
            <v>45</v>
          </cell>
          <cell r="DD434">
            <v>50</v>
          </cell>
          <cell r="DE434">
            <v>20</v>
          </cell>
          <cell r="DK434">
            <v>20</v>
          </cell>
          <cell r="DM434">
            <v>20</v>
          </cell>
          <cell r="DN434">
            <v>20</v>
          </cell>
          <cell r="DO434">
            <v>10</v>
          </cell>
          <cell r="DP434">
            <v>45</v>
          </cell>
          <cell r="DV434">
            <v>20</v>
          </cell>
          <cell r="DW434">
            <v>35</v>
          </cell>
          <cell r="DX434">
            <v>50</v>
          </cell>
          <cell r="DY434">
            <v>50</v>
          </cell>
          <cell r="DZ434">
            <v>10</v>
          </cell>
          <cell r="EH434" t="str">
            <v>ACTIVO</v>
          </cell>
          <cell r="EI434" t="str">
            <v>C</v>
          </cell>
          <cell r="EJ434">
            <v>200</v>
          </cell>
          <cell r="EK434">
            <v>28</v>
          </cell>
          <cell r="EL434">
            <v>4.666666666666667</v>
          </cell>
        </row>
        <row r="435">
          <cell r="F435">
            <v>403330</v>
          </cell>
          <cell r="G435" t="str">
            <v>MIX BIZCOCHO BLANCO PURATOS</v>
          </cell>
          <cell r="AT435">
            <v>1584</v>
          </cell>
          <cell r="EH435" t="str">
            <v>SIN USO</v>
          </cell>
          <cell r="EI435" t="str">
            <v/>
          </cell>
          <cell r="EK435">
            <v>0</v>
          </cell>
          <cell r="EL435">
            <v>0</v>
          </cell>
        </row>
        <row r="436">
          <cell r="F436">
            <v>403331</v>
          </cell>
          <cell r="G436" t="str">
            <v>MIX BIZCOCHO CHOCOLATE PURATOS</v>
          </cell>
          <cell r="AT436">
            <v>576</v>
          </cell>
          <cell r="EH436" t="str">
            <v>SIN USO</v>
          </cell>
          <cell r="EI436" t="str">
            <v/>
          </cell>
          <cell r="EJ436" t="str">
            <v/>
          </cell>
          <cell r="EK436">
            <v>0</v>
          </cell>
          <cell r="EL436">
            <v>0</v>
          </cell>
        </row>
        <row r="437">
          <cell r="F437">
            <v>405248</v>
          </cell>
          <cell r="G437" t="str">
            <v>MIX PANQUEQUE HUEVO POLVO SAN CRISTOBAL</v>
          </cell>
          <cell r="BE437">
            <v>2000</v>
          </cell>
          <cell r="EH437" t="str">
            <v>SIN USO</v>
          </cell>
          <cell r="EI437" t="str">
            <v/>
          </cell>
          <cell r="EJ437" t="str">
            <v/>
          </cell>
          <cell r="EK437">
            <v>0</v>
          </cell>
          <cell r="EL437">
            <v>0</v>
          </cell>
        </row>
        <row r="438">
          <cell r="F438">
            <v>107285</v>
          </cell>
          <cell r="G438" t="str">
            <v>MIX PANQUEQUE CHOCOLATE SAN CRISTOBAL</v>
          </cell>
          <cell r="BE438">
            <v>900</v>
          </cell>
          <cell r="BP438">
            <v>1600</v>
          </cell>
          <cell r="BT438">
            <v>1600</v>
          </cell>
          <cell r="CS438">
            <v>800</v>
          </cell>
          <cell r="CU438">
            <v>1200</v>
          </cell>
          <cell r="EH438" t="str">
            <v>SIN USO</v>
          </cell>
          <cell r="EI438" t="str">
            <v>C</v>
          </cell>
          <cell r="EJ438" t="str">
            <v/>
          </cell>
          <cell r="EK438">
            <v>0</v>
          </cell>
          <cell r="EL438">
            <v>0</v>
          </cell>
        </row>
        <row r="439">
          <cell r="F439">
            <v>100104</v>
          </cell>
          <cell r="G439" t="str">
            <v>HARINA PLATA SAN CRISTOBAL</v>
          </cell>
          <cell r="BG439">
            <v>100</v>
          </cell>
          <cell r="DV439">
            <v>100</v>
          </cell>
          <cell r="EH439" t="str">
            <v>SIN USO</v>
          </cell>
          <cell r="EI439" t="str">
            <v/>
          </cell>
          <cell r="EK439">
            <v>100</v>
          </cell>
          <cell r="EL439">
            <v>16.666666666666668</v>
          </cell>
        </row>
        <row r="440">
          <cell r="L440">
            <v>30</v>
          </cell>
          <cell r="M440">
            <v>70</v>
          </cell>
          <cell r="V440">
            <v>60</v>
          </cell>
          <cell r="W440">
            <v>40</v>
          </cell>
          <cell r="X440">
            <v>20</v>
          </cell>
          <cell r="Y440">
            <v>15</v>
          </cell>
          <cell r="AC440">
            <v>60</v>
          </cell>
          <cell r="AD440">
            <v>30</v>
          </cell>
          <cell r="AE440">
            <v>45</v>
          </cell>
          <cell r="AF440">
            <v>15</v>
          </cell>
          <cell r="AG440">
            <v>10</v>
          </cell>
          <cell r="AH440">
            <v>30</v>
          </cell>
          <cell r="AI440">
            <v>1385</v>
          </cell>
          <cell r="AJ440">
            <v>25</v>
          </cell>
          <cell r="AK440">
            <v>60</v>
          </cell>
          <cell r="AL440">
            <v>30</v>
          </cell>
          <cell r="AN440">
            <v>15</v>
          </cell>
          <cell r="AO440">
            <v>25</v>
          </cell>
          <cell r="AT440">
            <v>2160</v>
          </cell>
          <cell r="BE440">
            <v>2900</v>
          </cell>
          <cell r="BG440">
            <v>100</v>
          </cell>
          <cell r="BL440">
            <v>30</v>
          </cell>
          <cell r="BM440">
            <v>10</v>
          </cell>
          <cell r="BN440">
            <v>30</v>
          </cell>
          <cell r="BO440">
            <v>40</v>
          </cell>
          <cell r="BP440">
            <v>1630</v>
          </cell>
          <cell r="BQ440">
            <v>20</v>
          </cell>
          <cell r="BR440">
            <v>10</v>
          </cell>
          <cell r="BS440">
            <v>50</v>
          </cell>
          <cell r="BT440">
            <v>1620</v>
          </cell>
          <cell r="BU440">
            <v>15</v>
          </cell>
          <cell r="BV440">
            <v>60</v>
          </cell>
          <cell r="BW440">
            <v>80</v>
          </cell>
          <cell r="BX440">
            <v>20</v>
          </cell>
          <cell r="BY440">
            <v>10</v>
          </cell>
          <cell r="CA440">
            <v>10</v>
          </cell>
          <cell r="CB440">
            <v>40</v>
          </cell>
          <cell r="CC440">
            <v>45</v>
          </cell>
          <cell r="CD440">
            <v>35</v>
          </cell>
          <cell r="CE440">
            <v>10</v>
          </cell>
          <cell r="CF440">
            <v>30</v>
          </cell>
          <cell r="CG440">
            <v>60</v>
          </cell>
          <cell r="CH440">
            <v>10</v>
          </cell>
          <cell r="CI440">
            <v>10</v>
          </cell>
          <cell r="CJ440">
            <v>10</v>
          </cell>
          <cell r="CL440">
            <v>10</v>
          </cell>
          <cell r="CM440">
            <v>50</v>
          </cell>
          <cell r="CN440">
            <v>40</v>
          </cell>
          <cell r="CO440">
            <v>910</v>
          </cell>
          <cell r="CP440">
            <v>25</v>
          </cell>
          <cell r="CQ440">
            <v>25</v>
          </cell>
          <cell r="CR440">
            <v>1065</v>
          </cell>
          <cell r="CS440">
            <v>820</v>
          </cell>
          <cell r="CT440">
            <v>20</v>
          </cell>
          <cell r="CU440">
            <v>2135</v>
          </cell>
          <cell r="CV440">
            <v>10</v>
          </cell>
          <cell r="CW440">
            <v>830</v>
          </cell>
          <cell r="CY440">
            <v>40</v>
          </cell>
          <cell r="CZ440">
            <v>55</v>
          </cell>
          <cell r="DA440">
            <v>60</v>
          </cell>
          <cell r="DB440">
            <v>40</v>
          </cell>
          <cell r="DC440">
            <v>945</v>
          </cell>
          <cell r="DD440">
            <v>50</v>
          </cell>
          <cell r="DE440">
            <v>890</v>
          </cell>
          <cell r="DF440">
            <v>890</v>
          </cell>
          <cell r="DJ440">
            <v>900</v>
          </cell>
          <cell r="DK440">
            <v>20</v>
          </cell>
          <cell r="DM440">
            <v>1360</v>
          </cell>
          <cell r="DN440">
            <v>20</v>
          </cell>
          <cell r="DO440">
            <v>910</v>
          </cell>
          <cell r="DP440">
            <v>45</v>
          </cell>
          <cell r="DQ440">
            <v>800</v>
          </cell>
          <cell r="DS440">
            <v>800</v>
          </cell>
          <cell r="DT440">
            <v>2600</v>
          </cell>
          <cell r="DV440">
            <v>120</v>
          </cell>
          <cell r="DW440">
            <v>1425</v>
          </cell>
          <cell r="DX440">
            <v>1440</v>
          </cell>
          <cell r="DY440">
            <v>50</v>
          </cell>
          <cell r="DZ440">
            <v>10</v>
          </cell>
          <cell r="EA440">
            <v>900</v>
          </cell>
          <cell r="EB440">
            <v>100</v>
          </cell>
          <cell r="EC440">
            <v>890</v>
          </cell>
          <cell r="EE440">
            <v>900</v>
          </cell>
          <cell r="EF440">
            <v>1450</v>
          </cell>
          <cell r="EH440" t="str">
            <v>ACTIVO</v>
          </cell>
          <cell r="EI440" t="str">
            <v/>
          </cell>
          <cell r="EJ440" t="str">
            <v/>
          </cell>
          <cell r="EK440">
            <v>775.78947368421052</v>
          </cell>
          <cell r="EL440">
            <v>129.2982456140351</v>
          </cell>
        </row>
        <row r="441">
          <cell r="F441">
            <v>107247</v>
          </cell>
          <cell r="G441" t="str">
            <v>DULCE DE LECHE MASTER MARTINI</v>
          </cell>
          <cell r="H441">
            <v>880</v>
          </cell>
          <cell r="I441">
            <v>770</v>
          </cell>
          <cell r="J441">
            <v>710</v>
          </cell>
          <cell r="K441">
            <v>840</v>
          </cell>
          <cell r="L441">
            <v>500</v>
          </cell>
          <cell r="N441">
            <v>480</v>
          </cell>
          <cell r="O441">
            <v>780</v>
          </cell>
          <cell r="P441">
            <v>850</v>
          </cell>
          <cell r="Q441">
            <v>830</v>
          </cell>
          <cell r="R441">
            <v>870</v>
          </cell>
          <cell r="S441">
            <v>340</v>
          </cell>
          <cell r="T441">
            <v>230</v>
          </cell>
          <cell r="U441">
            <v>810</v>
          </cell>
          <cell r="V441">
            <v>840</v>
          </cell>
          <cell r="W441">
            <v>700</v>
          </cell>
          <cell r="X441">
            <v>696</v>
          </cell>
          <cell r="Y441">
            <v>880</v>
          </cell>
          <cell r="Z441">
            <v>2030</v>
          </cell>
          <cell r="AA441">
            <v>840</v>
          </cell>
          <cell r="AB441">
            <v>900</v>
          </cell>
          <cell r="AC441">
            <v>761</v>
          </cell>
          <cell r="AD441">
            <v>880</v>
          </cell>
          <cell r="AE441">
            <v>2300</v>
          </cell>
          <cell r="AF441">
            <v>450</v>
          </cell>
          <cell r="AG441">
            <v>99</v>
          </cell>
          <cell r="AI441">
            <v>580</v>
          </cell>
          <cell r="AJ441">
            <v>1170</v>
          </cell>
          <cell r="AK441">
            <v>1170</v>
          </cell>
          <cell r="AL441">
            <v>920</v>
          </cell>
          <cell r="AM441">
            <v>1600</v>
          </cell>
          <cell r="AN441">
            <v>1090</v>
          </cell>
          <cell r="AO441">
            <v>1180</v>
          </cell>
          <cell r="AP441">
            <v>1020</v>
          </cell>
          <cell r="AQ441">
            <v>1230</v>
          </cell>
          <cell r="AR441">
            <v>1220</v>
          </cell>
          <cell r="AS441">
            <v>280</v>
          </cell>
          <cell r="AT441">
            <v>1261.52</v>
          </cell>
          <cell r="AU441">
            <v>990</v>
          </cell>
          <cell r="AV441">
            <v>1074</v>
          </cell>
          <cell r="AW441">
            <v>1040</v>
          </cell>
          <cell r="AX441">
            <v>1180</v>
          </cell>
          <cell r="AY441">
            <v>1220</v>
          </cell>
          <cell r="AZ441">
            <v>1427</v>
          </cell>
          <cell r="BA441">
            <v>1160</v>
          </cell>
          <cell r="BB441">
            <v>1880</v>
          </cell>
          <cell r="BC441">
            <v>900</v>
          </cell>
          <cell r="BD441">
            <v>900</v>
          </cell>
          <cell r="BF441">
            <v>1070</v>
          </cell>
          <cell r="BG441">
            <v>661</v>
          </cell>
          <cell r="BH441">
            <v>430</v>
          </cell>
          <cell r="BI441">
            <v>1370</v>
          </cell>
          <cell r="BJ441">
            <v>690</v>
          </cell>
          <cell r="BK441">
            <v>1450</v>
          </cell>
          <cell r="BL441">
            <v>940</v>
          </cell>
          <cell r="BM441">
            <v>1130</v>
          </cell>
          <cell r="BN441">
            <v>940</v>
          </cell>
          <cell r="BO441">
            <v>1020</v>
          </cell>
          <cell r="BP441">
            <v>850</v>
          </cell>
          <cell r="BQ441">
            <v>1210</v>
          </cell>
          <cell r="BR441">
            <v>1030</v>
          </cell>
          <cell r="BS441">
            <v>420</v>
          </cell>
          <cell r="BV441">
            <v>1000</v>
          </cell>
          <cell r="BW441">
            <v>1150</v>
          </cell>
          <cell r="BX441">
            <v>950</v>
          </cell>
          <cell r="BY441">
            <v>1260</v>
          </cell>
          <cell r="BZ441">
            <v>1930</v>
          </cell>
          <cell r="CA441">
            <v>1160</v>
          </cell>
          <cell r="CB441">
            <v>810</v>
          </cell>
          <cell r="CC441">
            <v>880</v>
          </cell>
          <cell r="CD441">
            <v>1000</v>
          </cell>
          <cell r="CF441">
            <v>130</v>
          </cell>
          <cell r="CG441">
            <v>120</v>
          </cell>
          <cell r="CI441">
            <v>110</v>
          </cell>
          <cell r="CK441">
            <v>110</v>
          </cell>
          <cell r="CL441">
            <v>110</v>
          </cell>
          <cell r="CM441">
            <v>130</v>
          </cell>
          <cell r="CO441">
            <v>70</v>
          </cell>
          <cell r="CP441">
            <v>650</v>
          </cell>
          <cell r="CQ441">
            <v>1160</v>
          </cell>
          <cell r="CR441">
            <v>840</v>
          </cell>
          <cell r="CS441">
            <v>230</v>
          </cell>
          <cell r="CT441">
            <v>740</v>
          </cell>
          <cell r="CU441">
            <v>860</v>
          </cell>
          <cell r="CV441">
            <v>1140</v>
          </cell>
          <cell r="CW441">
            <v>800</v>
          </cell>
          <cell r="CX441">
            <v>700</v>
          </cell>
          <cell r="CY441">
            <v>880</v>
          </cell>
          <cell r="CZ441">
            <v>1220</v>
          </cell>
          <cell r="DA441">
            <v>1080</v>
          </cell>
          <cell r="DB441">
            <v>860</v>
          </cell>
          <cell r="DC441">
            <v>920</v>
          </cell>
          <cell r="DD441">
            <v>1050</v>
          </cell>
          <cell r="DE441">
            <v>770</v>
          </cell>
          <cell r="DF441">
            <v>1246</v>
          </cell>
          <cell r="DG441">
            <v>880</v>
          </cell>
          <cell r="DH441">
            <v>470</v>
          </cell>
          <cell r="DI441">
            <v>290</v>
          </cell>
          <cell r="DJ441">
            <v>1080</v>
          </cell>
          <cell r="DK441">
            <v>1130</v>
          </cell>
          <cell r="DL441">
            <v>890</v>
          </cell>
          <cell r="DM441">
            <v>1040</v>
          </cell>
          <cell r="DN441">
            <v>885</v>
          </cell>
          <cell r="DO441">
            <v>1005</v>
          </cell>
          <cell r="DP441">
            <v>825</v>
          </cell>
          <cell r="DQ441">
            <v>870</v>
          </cell>
          <cell r="DR441">
            <v>950</v>
          </cell>
          <cell r="DS441">
            <v>850</v>
          </cell>
          <cell r="DT441">
            <v>990</v>
          </cell>
          <cell r="DU441">
            <v>960</v>
          </cell>
          <cell r="DV441">
            <v>970</v>
          </cell>
          <cell r="DW441">
            <v>990</v>
          </cell>
          <cell r="DX441">
            <v>1070</v>
          </cell>
          <cell r="DY441">
            <v>670</v>
          </cell>
          <cell r="EA441">
            <v>140</v>
          </cell>
          <cell r="EB441">
            <v>1090</v>
          </cell>
          <cell r="EC441">
            <v>280</v>
          </cell>
          <cell r="ED441">
            <v>920</v>
          </cell>
          <cell r="EE441">
            <v>960</v>
          </cell>
          <cell r="EF441">
            <v>1100</v>
          </cell>
          <cell r="EG441">
            <v>1360</v>
          </cell>
          <cell r="EH441" t="str">
            <v>ACTIVO</v>
          </cell>
          <cell r="EI441" t="str">
            <v>A</v>
          </cell>
          <cell r="EJ441">
            <v>1000</v>
          </cell>
          <cell r="EK441">
            <v>888.125</v>
          </cell>
          <cell r="EL441">
            <v>148.02083333333334</v>
          </cell>
        </row>
        <row r="442">
          <cell r="F442">
            <v>403334</v>
          </cell>
          <cell r="G442" t="str">
            <v>DULCE DE LECHE MANAR</v>
          </cell>
          <cell r="AF442">
            <v>260</v>
          </cell>
          <cell r="AG442">
            <v>1021</v>
          </cell>
          <cell r="AH442">
            <v>470</v>
          </cell>
          <cell r="BD442">
            <v>250</v>
          </cell>
          <cell r="BE442">
            <v>1290</v>
          </cell>
          <cell r="BF442">
            <v>101</v>
          </cell>
          <cell r="BG442">
            <v>299</v>
          </cell>
          <cell r="BS442">
            <v>610</v>
          </cell>
          <cell r="BT442">
            <v>1180</v>
          </cell>
          <cell r="BU442">
            <v>990</v>
          </cell>
          <cell r="BV442">
            <v>410</v>
          </cell>
          <cell r="DO442">
            <v>300</v>
          </cell>
          <cell r="DY442">
            <v>510</v>
          </cell>
          <cell r="DZ442">
            <v>1260</v>
          </cell>
          <cell r="EA442">
            <v>1540</v>
          </cell>
          <cell r="EB442">
            <v>130</v>
          </cell>
          <cell r="EC442">
            <v>650</v>
          </cell>
          <cell r="ED442">
            <v>160</v>
          </cell>
          <cell r="EH442" t="str">
            <v>SIN USO</v>
          </cell>
          <cell r="EI442" t="str">
            <v>C</v>
          </cell>
          <cell r="EJ442">
            <v>1000</v>
          </cell>
          <cell r="EK442">
            <v>650</v>
          </cell>
          <cell r="EL442">
            <v>108.33333333333333</v>
          </cell>
        </row>
        <row r="443">
          <cell r="F443">
            <v>107265</v>
          </cell>
          <cell r="G443" t="str">
            <v>DULCE DE LECHE BAKELS</v>
          </cell>
          <cell r="L443">
            <v>320</v>
          </cell>
          <cell r="M443">
            <v>1050</v>
          </cell>
          <cell r="N443">
            <v>230</v>
          </cell>
          <cell r="AH443">
            <v>550</v>
          </cell>
          <cell r="AI443">
            <v>450</v>
          </cell>
          <cell r="EH443" t="str">
            <v>SIN USO</v>
          </cell>
          <cell r="EI443" t="str">
            <v/>
          </cell>
          <cell r="EJ443" t="str">
            <v/>
          </cell>
          <cell r="EK443">
            <v>0</v>
          </cell>
          <cell r="EL443">
            <v>0</v>
          </cell>
        </row>
        <row r="444">
          <cell r="F444">
            <v>107334</v>
          </cell>
          <cell r="G444" t="str">
            <v>MANJAR RECETA CASERA NESTLE</v>
          </cell>
          <cell r="L444">
            <v>108</v>
          </cell>
          <cell r="M444">
            <v>108</v>
          </cell>
          <cell r="EH444" t="str">
            <v>SIN USO</v>
          </cell>
          <cell r="EI444" t="str">
            <v/>
          </cell>
          <cell r="EJ444" t="str">
            <v/>
          </cell>
          <cell r="EK444">
            <v>0</v>
          </cell>
          <cell r="EL444">
            <v>0</v>
          </cell>
        </row>
        <row r="445">
          <cell r="F445">
            <v>107109</v>
          </cell>
          <cell r="G445" t="str">
            <v>MANJAR ARTESANAL DIWATTS</v>
          </cell>
          <cell r="H445">
            <v>7665</v>
          </cell>
          <cell r="I445">
            <v>4710</v>
          </cell>
          <cell r="J445">
            <v>4375</v>
          </cell>
          <cell r="K445">
            <v>4970</v>
          </cell>
          <cell r="L445">
            <v>5180</v>
          </cell>
          <cell r="M445">
            <v>6620</v>
          </cell>
          <cell r="N445">
            <v>5165</v>
          </cell>
          <cell r="O445">
            <v>5295</v>
          </cell>
          <cell r="P445">
            <v>5485</v>
          </cell>
          <cell r="Q445">
            <v>5445</v>
          </cell>
          <cell r="R445">
            <v>6020</v>
          </cell>
          <cell r="S445">
            <v>3515</v>
          </cell>
          <cell r="T445">
            <v>3595</v>
          </cell>
          <cell r="U445">
            <v>5913</v>
          </cell>
          <cell r="V445">
            <v>6275</v>
          </cell>
          <cell r="W445">
            <v>5920</v>
          </cell>
          <cell r="X445">
            <v>6745</v>
          </cell>
          <cell r="Y445">
            <v>10485</v>
          </cell>
          <cell r="Z445">
            <v>13840</v>
          </cell>
          <cell r="AA445">
            <v>6515</v>
          </cell>
          <cell r="AB445">
            <v>7100</v>
          </cell>
          <cell r="AC445">
            <v>6461</v>
          </cell>
          <cell r="AD445">
            <v>11155</v>
          </cell>
          <cell r="AE445">
            <v>10085</v>
          </cell>
          <cell r="AF445">
            <v>6015</v>
          </cell>
          <cell r="AG445">
            <v>8280</v>
          </cell>
          <cell r="AH445">
            <v>8255</v>
          </cell>
          <cell r="AI445">
            <v>9080</v>
          </cell>
          <cell r="AJ445">
            <v>9595</v>
          </cell>
          <cell r="AK445">
            <v>8995</v>
          </cell>
          <cell r="AL445">
            <v>14330</v>
          </cell>
          <cell r="AM445">
            <v>9475</v>
          </cell>
          <cell r="AN445">
            <v>9405</v>
          </cell>
          <cell r="AO445">
            <v>9330</v>
          </cell>
          <cell r="AP445">
            <v>8955</v>
          </cell>
          <cell r="AQ445">
            <v>9267</v>
          </cell>
          <cell r="AR445">
            <v>9780</v>
          </cell>
          <cell r="AS445">
            <v>3495</v>
          </cell>
          <cell r="AT445">
            <v>11480</v>
          </cell>
          <cell r="AU445">
            <v>10325</v>
          </cell>
          <cell r="AV445">
            <v>9335</v>
          </cell>
          <cell r="AW445">
            <v>7485</v>
          </cell>
          <cell r="AX445">
            <v>9664</v>
          </cell>
          <cell r="AY445">
            <v>9210</v>
          </cell>
          <cell r="AZ445">
            <v>10115</v>
          </cell>
          <cell r="BA445">
            <v>10395</v>
          </cell>
          <cell r="BB445">
            <v>9260</v>
          </cell>
          <cell r="BC445">
            <v>9190</v>
          </cell>
          <cell r="BD445">
            <v>9685</v>
          </cell>
          <cell r="BE445">
            <v>10145</v>
          </cell>
          <cell r="BF445">
            <v>12620</v>
          </cell>
          <cell r="BG445">
            <v>13150</v>
          </cell>
          <cell r="BH445">
            <v>5295</v>
          </cell>
          <cell r="BI445">
            <v>9180</v>
          </cell>
          <cell r="BJ445">
            <v>7070</v>
          </cell>
          <cell r="BK445">
            <v>9005</v>
          </cell>
          <cell r="BL445">
            <v>9690</v>
          </cell>
          <cell r="BM445">
            <v>9575</v>
          </cell>
          <cell r="BN445">
            <v>11160</v>
          </cell>
          <cell r="BO445">
            <v>9030</v>
          </cell>
          <cell r="BP445">
            <v>9365</v>
          </cell>
          <cell r="BQ445">
            <v>9070</v>
          </cell>
          <cell r="BR445">
            <v>11600</v>
          </cell>
          <cell r="BS445">
            <v>8505</v>
          </cell>
          <cell r="BT445">
            <v>9460</v>
          </cell>
          <cell r="BU445">
            <v>10295</v>
          </cell>
          <cell r="BV445">
            <v>10015</v>
          </cell>
          <cell r="BW445">
            <v>9835</v>
          </cell>
          <cell r="BX445">
            <v>9220</v>
          </cell>
          <cell r="BY445">
            <v>12145</v>
          </cell>
          <cell r="BZ445">
            <v>16480</v>
          </cell>
          <cell r="CA445">
            <v>9625</v>
          </cell>
          <cell r="CB445">
            <v>8755</v>
          </cell>
          <cell r="CC445">
            <v>9220</v>
          </cell>
          <cell r="CD445">
            <v>8455</v>
          </cell>
          <cell r="CE445">
            <v>20250</v>
          </cell>
          <cell r="CF445">
            <v>8175</v>
          </cell>
          <cell r="CG445">
            <v>10895</v>
          </cell>
          <cell r="CH445">
            <v>8610</v>
          </cell>
          <cell r="CI445">
            <v>9786</v>
          </cell>
          <cell r="CJ445">
            <v>8800</v>
          </cell>
          <cell r="CK445">
            <v>9065</v>
          </cell>
          <cell r="CL445">
            <v>9432</v>
          </cell>
          <cell r="CM445">
            <v>11340</v>
          </cell>
          <cell r="CN445">
            <v>9524</v>
          </cell>
          <cell r="CO445">
            <v>10900</v>
          </cell>
          <cell r="CP445">
            <v>9315</v>
          </cell>
          <cell r="CQ445">
            <v>8745</v>
          </cell>
          <cell r="CR445">
            <v>9630</v>
          </cell>
          <cell r="CS445">
            <v>6010</v>
          </cell>
          <cell r="CT445">
            <v>9910</v>
          </cell>
          <cell r="CU445">
            <v>8780</v>
          </cell>
          <cell r="CV445">
            <v>9855</v>
          </cell>
          <cell r="CW445">
            <v>6846</v>
          </cell>
          <cell r="CX445">
            <v>7750</v>
          </cell>
          <cell r="CY445">
            <v>8745</v>
          </cell>
          <cell r="CZ445">
            <v>8025</v>
          </cell>
          <cell r="DA445">
            <v>8315</v>
          </cell>
          <cell r="DB445">
            <v>7745</v>
          </cell>
          <cell r="DC445">
            <v>8535</v>
          </cell>
          <cell r="DD445">
            <v>7565</v>
          </cell>
          <cell r="DE445">
            <v>8335</v>
          </cell>
          <cell r="DF445">
            <v>11235</v>
          </cell>
          <cell r="DG445">
            <v>13410</v>
          </cell>
          <cell r="DH445">
            <v>4360</v>
          </cell>
          <cell r="DI445">
            <v>3050</v>
          </cell>
          <cell r="DJ445">
            <v>7605</v>
          </cell>
          <cell r="DK445">
            <v>6760</v>
          </cell>
          <cell r="DL445">
            <v>6425</v>
          </cell>
          <cell r="DM445">
            <v>7205</v>
          </cell>
          <cell r="DN445">
            <v>7540</v>
          </cell>
          <cell r="DO445">
            <v>8545</v>
          </cell>
          <cell r="DP445">
            <v>6535</v>
          </cell>
          <cell r="DQ445">
            <v>8055</v>
          </cell>
          <cell r="DR445">
            <v>7120</v>
          </cell>
          <cell r="DS445">
            <v>7480</v>
          </cell>
          <cell r="DT445">
            <v>8120</v>
          </cell>
          <cell r="DU445">
            <v>9760</v>
          </cell>
          <cell r="DV445">
            <v>8390</v>
          </cell>
          <cell r="DW445">
            <v>8530</v>
          </cell>
          <cell r="DX445">
            <v>8415</v>
          </cell>
          <cell r="DY445">
            <v>8865</v>
          </cell>
          <cell r="DZ445">
            <v>16965</v>
          </cell>
          <cell r="EA445">
            <v>11400</v>
          </cell>
          <cell r="EB445">
            <v>9395</v>
          </cell>
          <cell r="EC445">
            <v>8230</v>
          </cell>
          <cell r="ED445">
            <v>11175</v>
          </cell>
          <cell r="EE445">
            <v>9580</v>
          </cell>
          <cell r="EF445">
            <v>8795</v>
          </cell>
          <cell r="EG445">
            <v>14530</v>
          </cell>
          <cell r="EH445" t="str">
            <v>ACTIVO</v>
          </cell>
          <cell r="EI445" t="str">
            <v>A</v>
          </cell>
          <cell r="EJ445">
            <v>1040</v>
          </cell>
          <cell r="EK445">
            <v>8738.7999999999993</v>
          </cell>
          <cell r="EL445">
            <v>1456.4666666666665</v>
          </cell>
        </row>
        <row r="446">
          <cell r="F446">
            <v>107147</v>
          </cell>
          <cell r="G446" t="str">
            <v>MANJAR GRADO 3 LANGER</v>
          </cell>
          <cell r="H446">
            <v>2880</v>
          </cell>
          <cell r="I446">
            <v>2856</v>
          </cell>
          <cell r="J446">
            <v>4584</v>
          </cell>
          <cell r="K446">
            <v>2856</v>
          </cell>
          <cell r="L446">
            <v>3012</v>
          </cell>
          <cell r="M446">
            <v>2496</v>
          </cell>
          <cell r="N446">
            <v>2556</v>
          </cell>
          <cell r="O446">
            <v>2748</v>
          </cell>
          <cell r="P446">
            <v>3720</v>
          </cell>
          <cell r="Q446">
            <v>4348</v>
          </cell>
          <cell r="R446">
            <v>5148</v>
          </cell>
          <cell r="S446">
            <v>2772</v>
          </cell>
          <cell r="T446">
            <v>2076</v>
          </cell>
          <cell r="U446">
            <v>5296</v>
          </cell>
          <cell r="V446">
            <v>5040</v>
          </cell>
          <cell r="W446">
            <v>5340</v>
          </cell>
          <cell r="X446">
            <v>4404</v>
          </cell>
          <cell r="Y446">
            <v>6060</v>
          </cell>
          <cell r="Z446">
            <v>2400</v>
          </cell>
          <cell r="AA446">
            <v>3648</v>
          </cell>
          <cell r="AB446">
            <v>4728</v>
          </cell>
          <cell r="AC446">
            <v>4717</v>
          </cell>
          <cell r="AD446">
            <v>396</v>
          </cell>
          <cell r="AF446">
            <v>2160</v>
          </cell>
          <cell r="AJ446">
            <v>1476</v>
          </cell>
          <cell r="DO446">
            <v>1</v>
          </cell>
          <cell r="EH446" t="str">
            <v>SIN USO</v>
          </cell>
          <cell r="EI446" t="str">
            <v/>
          </cell>
          <cell r="EJ446" t="str">
            <v/>
          </cell>
          <cell r="EK446">
            <v>1</v>
          </cell>
          <cell r="EL446">
            <v>0.16666666666666666</v>
          </cell>
        </row>
        <row r="447">
          <cell r="H447">
            <v>11425</v>
          </cell>
          <cell r="I447">
            <v>8336</v>
          </cell>
          <cell r="J447">
            <v>9669</v>
          </cell>
          <cell r="K447">
            <v>8666</v>
          </cell>
          <cell r="L447">
            <v>9120</v>
          </cell>
          <cell r="M447">
            <v>10274</v>
          </cell>
          <cell r="N447">
            <v>8431</v>
          </cell>
          <cell r="O447">
            <v>8823</v>
          </cell>
          <cell r="P447">
            <v>10055</v>
          </cell>
          <cell r="Q447">
            <v>10623</v>
          </cell>
          <cell r="R447">
            <v>12038</v>
          </cell>
          <cell r="S447">
            <v>6627</v>
          </cell>
          <cell r="T447">
            <v>5901</v>
          </cell>
          <cell r="U447">
            <v>12019</v>
          </cell>
          <cell r="V447">
            <v>12155</v>
          </cell>
          <cell r="W447">
            <v>11960</v>
          </cell>
          <cell r="X447">
            <v>11845</v>
          </cell>
          <cell r="Y447">
            <v>17425</v>
          </cell>
          <cell r="Z447">
            <v>18270</v>
          </cell>
          <cell r="AA447">
            <v>11003</v>
          </cell>
          <cell r="AB447">
            <v>12728</v>
          </cell>
          <cell r="AC447">
            <v>11939</v>
          </cell>
          <cell r="AD447">
            <v>12431</v>
          </cell>
          <cell r="AE447">
            <v>12385</v>
          </cell>
          <cell r="AF447">
            <v>8885</v>
          </cell>
          <cell r="AG447">
            <v>9400</v>
          </cell>
          <cell r="AH447">
            <v>9275</v>
          </cell>
          <cell r="AI447">
            <v>10110</v>
          </cell>
          <cell r="AJ447">
            <v>12241</v>
          </cell>
          <cell r="AK447">
            <v>10165</v>
          </cell>
          <cell r="AL447">
            <v>15250</v>
          </cell>
          <cell r="AM447">
            <v>11075</v>
          </cell>
          <cell r="AN447">
            <v>10495</v>
          </cell>
          <cell r="AO447">
            <v>10510</v>
          </cell>
          <cell r="AP447">
            <v>9975</v>
          </cell>
          <cell r="AQ447">
            <v>10497</v>
          </cell>
          <cell r="AR447">
            <v>11000</v>
          </cell>
          <cell r="AS447">
            <v>3775</v>
          </cell>
          <cell r="AT447">
            <v>12741.52</v>
          </cell>
          <cell r="AU447">
            <v>11315</v>
          </cell>
          <cell r="AV447">
            <v>10409</v>
          </cell>
          <cell r="AW447">
            <v>8525</v>
          </cell>
          <cell r="AX447">
            <v>10844</v>
          </cell>
          <cell r="AY447">
            <v>10430</v>
          </cell>
          <cell r="AZ447">
            <v>11542</v>
          </cell>
          <cell r="BA447">
            <v>11555</v>
          </cell>
          <cell r="BB447">
            <v>11140</v>
          </cell>
          <cell r="BC447">
            <v>10090</v>
          </cell>
          <cell r="BD447">
            <v>10835</v>
          </cell>
          <cell r="BE447">
            <v>11435</v>
          </cell>
          <cell r="BF447">
            <v>13791</v>
          </cell>
          <cell r="BG447">
            <v>14110</v>
          </cell>
          <cell r="BH447">
            <v>5725</v>
          </cell>
          <cell r="BI447">
            <v>10550</v>
          </cell>
          <cell r="BJ447">
            <v>7760</v>
          </cell>
          <cell r="BK447">
            <v>10455</v>
          </cell>
          <cell r="BL447">
            <v>10630</v>
          </cell>
          <cell r="BM447">
            <v>10705</v>
          </cell>
          <cell r="BN447">
            <v>12100</v>
          </cell>
          <cell r="BO447">
            <v>10050</v>
          </cell>
          <cell r="BP447">
            <v>10215</v>
          </cell>
          <cell r="BQ447">
            <v>10280</v>
          </cell>
          <cell r="BR447">
            <v>12630</v>
          </cell>
          <cell r="BS447">
            <v>9535</v>
          </cell>
          <cell r="BT447">
            <v>10640</v>
          </cell>
          <cell r="BU447">
            <v>11285</v>
          </cell>
          <cell r="BV447">
            <v>11425</v>
          </cell>
          <cell r="BW447">
            <v>10985</v>
          </cell>
          <cell r="BX447">
            <v>10170</v>
          </cell>
          <cell r="BY447">
            <v>13405</v>
          </cell>
          <cell r="BZ447">
            <v>18410</v>
          </cell>
          <cell r="CA447">
            <v>10785</v>
          </cell>
          <cell r="CB447">
            <v>9565</v>
          </cell>
          <cell r="CC447">
            <v>10100</v>
          </cell>
          <cell r="CD447">
            <v>9455</v>
          </cell>
          <cell r="CE447">
            <v>20250</v>
          </cell>
          <cell r="CF447">
            <v>8305</v>
          </cell>
          <cell r="CG447">
            <v>11015</v>
          </cell>
          <cell r="CH447">
            <v>8610</v>
          </cell>
          <cell r="CI447">
            <v>9896</v>
          </cell>
          <cell r="CJ447">
            <v>8800</v>
          </cell>
          <cell r="CK447">
            <v>9175</v>
          </cell>
          <cell r="CL447">
            <v>9542</v>
          </cell>
          <cell r="CM447">
            <v>11470</v>
          </cell>
          <cell r="CN447">
            <v>9524</v>
          </cell>
          <cell r="CO447">
            <v>10970</v>
          </cell>
          <cell r="CP447">
            <v>9965</v>
          </cell>
          <cell r="CQ447">
            <v>9905</v>
          </cell>
          <cell r="CR447">
            <v>10470</v>
          </cell>
          <cell r="CS447">
            <v>6240</v>
          </cell>
          <cell r="CT447">
            <v>10650</v>
          </cell>
          <cell r="CU447">
            <v>9640</v>
          </cell>
          <cell r="CV447">
            <v>10995</v>
          </cell>
          <cell r="CW447">
            <v>7646</v>
          </cell>
          <cell r="CX447">
            <v>8450</v>
          </cell>
          <cell r="CY447">
            <v>9625</v>
          </cell>
          <cell r="CZ447">
            <v>9245</v>
          </cell>
          <cell r="DA447">
            <v>9395</v>
          </cell>
          <cell r="DB447">
            <v>8605</v>
          </cell>
          <cell r="DC447">
            <v>9455</v>
          </cell>
          <cell r="DD447">
            <v>8615</v>
          </cell>
          <cell r="DE447">
            <v>9105</v>
          </cell>
          <cell r="DF447">
            <v>12481</v>
          </cell>
          <cell r="DG447">
            <v>14290</v>
          </cell>
          <cell r="DH447">
            <v>4830</v>
          </cell>
          <cell r="DI447">
            <v>3340</v>
          </cell>
          <cell r="DJ447">
            <v>8685</v>
          </cell>
          <cell r="DK447">
            <v>7890</v>
          </cell>
          <cell r="DL447">
            <v>7315</v>
          </cell>
          <cell r="DM447">
            <v>8245</v>
          </cell>
          <cell r="DN447">
            <v>8425</v>
          </cell>
          <cell r="DO447">
            <v>9851</v>
          </cell>
          <cell r="DP447">
            <v>7360</v>
          </cell>
          <cell r="DQ447">
            <v>8925</v>
          </cell>
          <cell r="DR447">
            <v>8070</v>
          </cell>
          <cell r="DS447">
            <v>8330</v>
          </cell>
          <cell r="DT447">
            <v>9110</v>
          </cell>
          <cell r="DU447">
            <v>10720</v>
          </cell>
          <cell r="DV447">
            <v>9360</v>
          </cell>
          <cell r="DW447">
            <v>9520</v>
          </cell>
          <cell r="DX447">
            <v>9485</v>
          </cell>
          <cell r="DY447">
            <v>10045</v>
          </cell>
          <cell r="DZ447">
            <v>18225</v>
          </cell>
          <cell r="EA447">
            <v>13080</v>
          </cell>
          <cell r="EB447">
            <v>10615</v>
          </cell>
          <cell r="EC447">
            <v>9160</v>
          </cell>
          <cell r="ED447">
            <v>12255</v>
          </cell>
          <cell r="EE447">
            <v>10540</v>
          </cell>
          <cell r="EF447">
            <v>9895</v>
          </cell>
          <cell r="EG447">
            <v>15890</v>
          </cell>
          <cell r="EH447" t="str">
            <v>ACTIVO</v>
          </cell>
          <cell r="EI447" t="str">
            <v/>
          </cell>
          <cell r="EJ447" t="str">
            <v/>
          </cell>
          <cell r="EK447">
            <v>9773.44</v>
          </cell>
          <cell r="EL447">
            <v>1628.9066666666668</v>
          </cell>
        </row>
        <row r="448">
          <cell r="F448">
            <v>107222</v>
          </cell>
          <cell r="G448" t="str">
            <v>MANTEQUILLA SIN SAL SOPROLE</v>
          </cell>
          <cell r="W448">
            <v>75</v>
          </cell>
          <cell r="X448">
            <v>40</v>
          </cell>
          <cell r="Y448">
            <v>25</v>
          </cell>
          <cell r="EH448" t="str">
            <v>SIN USO</v>
          </cell>
          <cell r="EI448" t="str">
            <v/>
          </cell>
          <cell r="EJ448" t="str">
            <v/>
          </cell>
          <cell r="EK448">
            <v>0</v>
          </cell>
          <cell r="EL448">
            <v>0</v>
          </cell>
        </row>
        <row r="449">
          <cell r="F449">
            <v>103006</v>
          </cell>
          <cell r="G449" t="str">
            <v>MARGARINA HORNITO DIWATTS</v>
          </cell>
          <cell r="AI449">
            <v>1600</v>
          </cell>
          <cell r="AJ449">
            <v>360</v>
          </cell>
          <cell r="AP449">
            <v>800</v>
          </cell>
          <cell r="AR449">
            <v>800</v>
          </cell>
          <cell r="BK449">
            <v>70</v>
          </cell>
          <cell r="BO449">
            <v>1200</v>
          </cell>
          <cell r="BR449">
            <v>1500</v>
          </cell>
          <cell r="DK449">
            <v>800</v>
          </cell>
          <cell r="EC449">
            <v>1600</v>
          </cell>
          <cell r="EH449" t="str">
            <v>SIN USO</v>
          </cell>
          <cell r="EI449" t="str">
            <v>C</v>
          </cell>
          <cell r="EJ449" t="str">
            <v/>
          </cell>
          <cell r="EK449">
            <v>1200</v>
          </cell>
          <cell r="EL449">
            <v>200</v>
          </cell>
        </row>
        <row r="450">
          <cell r="F450">
            <v>103007</v>
          </cell>
          <cell r="G450" t="str">
            <v>MARGARINA HORNITO CERRILLOS</v>
          </cell>
          <cell r="AB450">
            <v>950</v>
          </cell>
          <cell r="AW450">
            <v>500</v>
          </cell>
          <cell r="AX450">
            <v>1500</v>
          </cell>
          <cell r="EH450" t="str">
            <v>SIN USO</v>
          </cell>
          <cell r="EI450" t="str">
            <v/>
          </cell>
          <cell r="EJ450" t="str">
            <v/>
          </cell>
          <cell r="EK450">
            <v>0</v>
          </cell>
          <cell r="EL450">
            <v>0</v>
          </cell>
        </row>
        <row r="451">
          <cell r="F451">
            <v>405555</v>
          </cell>
          <cell r="G451" t="str">
            <v>MARGARINA DE HOJA FERRON</v>
          </cell>
          <cell r="CC451">
            <v>40</v>
          </cell>
          <cell r="EH451" t="str">
            <v>SIN USO</v>
          </cell>
          <cell r="EI451" t="str">
            <v>C</v>
          </cell>
          <cell r="EJ451" t="str">
            <v/>
          </cell>
          <cell r="EK451">
            <v>0</v>
          </cell>
          <cell r="EL451">
            <v>0</v>
          </cell>
        </row>
        <row r="452">
          <cell r="F452">
            <v>201007</v>
          </cell>
          <cell r="G452" t="str">
            <v>MARGARINA HOJA MASTER MARTINI</v>
          </cell>
          <cell r="CF452">
            <v>40</v>
          </cell>
          <cell r="EH452" t="str">
            <v>SIN USO</v>
          </cell>
          <cell r="EI452" t="str">
            <v>C</v>
          </cell>
          <cell r="EJ452" t="str">
            <v/>
          </cell>
          <cell r="EK452">
            <v>0</v>
          </cell>
          <cell r="EL452">
            <v>0</v>
          </cell>
        </row>
        <row r="453">
          <cell r="F453">
            <v>405638</v>
          </cell>
          <cell r="G453" t="str">
            <v>MANTEQUILLA SIN SAL WATT</v>
          </cell>
          <cell r="CY453">
            <v>200</v>
          </cell>
          <cell r="EH453" t="str">
            <v>SIN USO</v>
          </cell>
          <cell r="EI453" t="str">
            <v>C</v>
          </cell>
          <cell r="EJ453" t="str">
            <v/>
          </cell>
          <cell r="EK453">
            <v>0</v>
          </cell>
          <cell r="EL453">
            <v>0</v>
          </cell>
        </row>
        <row r="454">
          <cell r="F454">
            <v>107331</v>
          </cell>
          <cell r="G454" t="str">
            <v>MANTEQUILLA WATTS</v>
          </cell>
          <cell r="L454">
            <v>40</v>
          </cell>
          <cell r="M454">
            <v>130</v>
          </cell>
          <cell r="V454">
            <v>80</v>
          </cell>
          <cell r="AB454">
            <v>40</v>
          </cell>
          <cell r="AC454">
            <v>80</v>
          </cell>
          <cell r="AD454">
            <v>40</v>
          </cell>
          <cell r="AE454">
            <v>65</v>
          </cell>
          <cell r="AF454">
            <v>20</v>
          </cell>
          <cell r="AG454">
            <v>20</v>
          </cell>
          <cell r="AH454">
            <v>20</v>
          </cell>
          <cell r="AI454">
            <v>60</v>
          </cell>
          <cell r="AJ454">
            <v>20</v>
          </cell>
          <cell r="AK454">
            <v>80</v>
          </cell>
          <cell r="AL454">
            <v>140</v>
          </cell>
          <cell r="AM454">
            <v>140</v>
          </cell>
          <cell r="AN454">
            <v>20</v>
          </cell>
          <cell r="AO454">
            <v>20</v>
          </cell>
          <cell r="AX454">
            <v>580</v>
          </cell>
          <cell r="BL454">
            <v>40</v>
          </cell>
          <cell r="BM454">
            <v>20</v>
          </cell>
          <cell r="BN454">
            <v>60</v>
          </cell>
          <cell r="BO454">
            <v>60</v>
          </cell>
          <cell r="BP454">
            <v>60</v>
          </cell>
          <cell r="BQ454">
            <v>40</v>
          </cell>
          <cell r="BR454">
            <v>20</v>
          </cell>
          <cell r="BS454">
            <v>80</v>
          </cell>
          <cell r="BT454">
            <v>40</v>
          </cell>
          <cell r="BU454">
            <v>20</v>
          </cell>
          <cell r="BV454">
            <v>120</v>
          </cell>
          <cell r="BW454">
            <v>140</v>
          </cell>
          <cell r="BX454">
            <v>40</v>
          </cell>
          <cell r="CA454">
            <v>20</v>
          </cell>
          <cell r="CB454">
            <v>60</v>
          </cell>
          <cell r="CC454">
            <v>60</v>
          </cell>
          <cell r="CD454">
            <v>60</v>
          </cell>
          <cell r="CE454">
            <v>20</v>
          </cell>
          <cell r="CF454">
            <v>60</v>
          </cell>
          <cell r="CG454">
            <v>160</v>
          </cell>
          <cell r="CH454">
            <v>220</v>
          </cell>
          <cell r="CI454">
            <v>40</v>
          </cell>
          <cell r="CJ454">
            <v>20</v>
          </cell>
          <cell r="CL454">
            <v>20</v>
          </cell>
          <cell r="CM454">
            <v>80</v>
          </cell>
          <cell r="CN454">
            <v>60</v>
          </cell>
          <cell r="CO454">
            <v>20</v>
          </cell>
          <cell r="CP454">
            <v>40</v>
          </cell>
          <cell r="CQ454">
            <v>80</v>
          </cell>
          <cell r="CR454">
            <v>80</v>
          </cell>
          <cell r="CS454">
            <v>40</v>
          </cell>
          <cell r="CT454">
            <v>20</v>
          </cell>
          <cell r="CU454">
            <v>60</v>
          </cell>
          <cell r="CV454">
            <v>40</v>
          </cell>
          <cell r="CW454">
            <v>100</v>
          </cell>
          <cell r="CY454">
            <v>280</v>
          </cell>
          <cell r="CZ454">
            <v>80</v>
          </cell>
          <cell r="DA454">
            <v>100</v>
          </cell>
          <cell r="DB454">
            <v>80</v>
          </cell>
          <cell r="DC454">
            <v>80</v>
          </cell>
          <cell r="DD454">
            <v>100</v>
          </cell>
          <cell r="DE454">
            <v>20</v>
          </cell>
          <cell r="DK454">
            <v>40</v>
          </cell>
          <cell r="DM454">
            <v>40</v>
          </cell>
          <cell r="DN454">
            <v>40</v>
          </cell>
          <cell r="DO454">
            <v>20</v>
          </cell>
          <cell r="DP454">
            <v>60</v>
          </cell>
          <cell r="DR454">
            <v>40</v>
          </cell>
          <cell r="DV454">
            <v>40</v>
          </cell>
          <cell r="DW454">
            <v>300</v>
          </cell>
          <cell r="DX454">
            <v>60</v>
          </cell>
          <cell r="DY454">
            <v>160</v>
          </cell>
          <cell r="DZ454">
            <v>40</v>
          </cell>
          <cell r="EA454">
            <v>40</v>
          </cell>
          <cell r="EB454">
            <v>30</v>
          </cell>
          <cell r="ED454">
            <v>20</v>
          </cell>
          <cell r="EF454">
            <v>20</v>
          </cell>
          <cell r="EG454">
            <v>80</v>
          </cell>
          <cell r="EH454" t="str">
            <v>ACTIVO</v>
          </cell>
          <cell r="EI454" t="str">
            <v>C</v>
          </cell>
          <cell r="EJ454" t="str">
            <v/>
          </cell>
          <cell r="EK454">
            <v>64.375</v>
          </cell>
          <cell r="EL454">
            <v>10.729166666666666</v>
          </cell>
        </row>
        <row r="455">
          <cell r="F455">
            <v>405700</v>
          </cell>
          <cell r="G455" t="str">
            <v>MARGARINA MULTIPROPÓSITO HORNEO</v>
          </cell>
          <cell r="EF455">
            <v>1800</v>
          </cell>
          <cell r="EH455" t="str">
            <v>ACTIVO</v>
          </cell>
          <cell r="EI455" t="str">
            <v/>
          </cell>
          <cell r="EJ455" t="str">
            <v/>
          </cell>
          <cell r="EK455">
            <v>1800</v>
          </cell>
          <cell r="EL455">
            <v>300</v>
          </cell>
        </row>
        <row r="456">
          <cell r="L456">
            <v>40</v>
          </cell>
          <cell r="M456">
            <v>130</v>
          </cell>
          <cell r="V456">
            <v>80</v>
          </cell>
          <cell r="W456">
            <v>75</v>
          </cell>
          <cell r="X456">
            <v>40</v>
          </cell>
          <cell r="Y456">
            <v>25</v>
          </cell>
          <cell r="AB456">
            <v>990</v>
          </cell>
          <cell r="AC456">
            <v>80</v>
          </cell>
          <cell r="AD456">
            <v>40</v>
          </cell>
          <cell r="AE456">
            <v>65</v>
          </cell>
          <cell r="AF456">
            <v>20</v>
          </cell>
          <cell r="AG456">
            <v>20</v>
          </cell>
          <cell r="AH456">
            <v>20</v>
          </cell>
          <cell r="AI456">
            <v>1660</v>
          </cell>
          <cell r="AJ456">
            <v>380</v>
          </cell>
          <cell r="AK456">
            <v>80</v>
          </cell>
          <cell r="AL456">
            <v>140</v>
          </cell>
          <cell r="AM456">
            <v>140</v>
          </cell>
          <cell r="AN456">
            <v>20</v>
          </cell>
          <cell r="AO456">
            <v>20</v>
          </cell>
          <cell r="AP456">
            <v>800</v>
          </cell>
          <cell r="AR456">
            <v>800</v>
          </cell>
          <cell r="AW456">
            <v>500</v>
          </cell>
          <cell r="AX456">
            <v>2080</v>
          </cell>
          <cell r="BK456">
            <v>70</v>
          </cell>
          <cell r="BL456">
            <v>40</v>
          </cell>
          <cell r="BM456">
            <v>20</v>
          </cell>
          <cell r="BN456">
            <v>60</v>
          </cell>
          <cell r="BO456">
            <v>1260</v>
          </cell>
          <cell r="BP456">
            <v>60</v>
          </cell>
          <cell r="BQ456">
            <v>40</v>
          </cell>
          <cell r="BR456">
            <v>1520</v>
          </cell>
          <cell r="BS456">
            <v>80</v>
          </cell>
          <cell r="BT456">
            <v>40</v>
          </cell>
          <cell r="BU456">
            <v>20</v>
          </cell>
          <cell r="BV456">
            <v>120</v>
          </cell>
          <cell r="BW456">
            <v>140</v>
          </cell>
          <cell r="BX456">
            <v>40</v>
          </cell>
          <cell r="CA456">
            <v>20</v>
          </cell>
          <cell r="CB456">
            <v>60</v>
          </cell>
          <cell r="CC456">
            <v>100</v>
          </cell>
          <cell r="CD456">
            <v>60</v>
          </cell>
          <cell r="CE456">
            <v>20</v>
          </cell>
          <cell r="CF456">
            <v>100</v>
          </cell>
          <cell r="CG456">
            <v>160</v>
          </cell>
          <cell r="CH456">
            <v>220</v>
          </cell>
          <cell r="CI456">
            <v>40</v>
          </cell>
          <cell r="CJ456">
            <v>20</v>
          </cell>
          <cell r="CL456">
            <v>20</v>
          </cell>
          <cell r="CM456">
            <v>80</v>
          </cell>
          <cell r="CN456">
            <v>60</v>
          </cell>
          <cell r="CO456">
            <v>20</v>
          </cell>
          <cell r="CP456">
            <v>40</v>
          </cell>
          <cell r="CQ456">
            <v>80</v>
          </cell>
          <cell r="CR456">
            <v>80</v>
          </cell>
          <cell r="CS456">
            <v>40</v>
          </cell>
          <cell r="CT456">
            <v>20</v>
          </cell>
          <cell r="CU456">
            <v>60</v>
          </cell>
          <cell r="CV456">
            <v>40</v>
          </cell>
          <cell r="CW456">
            <v>100</v>
          </cell>
          <cell r="CY456">
            <v>480</v>
          </cell>
          <cell r="CZ456">
            <v>80</v>
          </cell>
          <cell r="DA456">
            <v>100</v>
          </cell>
          <cell r="DB456">
            <v>80</v>
          </cell>
          <cell r="DC456">
            <v>80</v>
          </cell>
          <cell r="DD456">
            <v>100</v>
          </cell>
          <cell r="DE456">
            <v>20</v>
          </cell>
          <cell r="DK456">
            <v>840</v>
          </cell>
          <cell r="DM456">
            <v>40</v>
          </cell>
          <cell r="DN456">
            <v>40</v>
          </cell>
          <cell r="DO456">
            <v>20</v>
          </cell>
          <cell r="DP456">
            <v>60</v>
          </cell>
          <cell r="DR456">
            <v>40</v>
          </cell>
          <cell r="DV456">
            <v>40</v>
          </cell>
          <cell r="DW456">
            <v>300</v>
          </cell>
          <cell r="DX456">
            <v>60</v>
          </cell>
          <cell r="DY456">
            <v>160</v>
          </cell>
          <cell r="DZ456">
            <v>40</v>
          </cell>
          <cell r="EA456">
            <v>40</v>
          </cell>
          <cell r="EB456">
            <v>30</v>
          </cell>
          <cell r="EC456">
            <v>1600</v>
          </cell>
          <cell r="ED456">
            <v>20</v>
          </cell>
          <cell r="EF456">
            <v>1820</v>
          </cell>
          <cell r="EG456">
            <v>80</v>
          </cell>
          <cell r="EH456" t="str">
            <v>ACTIVO</v>
          </cell>
          <cell r="EI456" t="str">
            <v/>
          </cell>
          <cell r="EJ456" t="str">
            <v/>
          </cell>
          <cell r="EK456">
            <v>307.64705882352939</v>
          </cell>
          <cell r="EL456">
            <v>51.274509803921568</v>
          </cell>
        </row>
        <row r="457">
          <cell r="F457">
            <v>405246</v>
          </cell>
          <cell r="G457" t="str">
            <v>HUEVO EN POLVO OVOSUR</v>
          </cell>
          <cell r="J457">
            <v>500</v>
          </cell>
          <cell r="K457">
            <v>500</v>
          </cell>
          <cell r="L457">
            <v>500</v>
          </cell>
          <cell r="M457">
            <v>500</v>
          </cell>
          <cell r="N457">
            <v>500</v>
          </cell>
          <cell r="O457">
            <v>400</v>
          </cell>
          <cell r="P457">
            <v>800</v>
          </cell>
          <cell r="Q457">
            <v>800</v>
          </cell>
          <cell r="R457">
            <v>800</v>
          </cell>
          <cell r="S457">
            <v>800</v>
          </cell>
          <cell r="U457">
            <v>500</v>
          </cell>
          <cell r="W457">
            <v>500</v>
          </cell>
          <cell r="X457">
            <v>500</v>
          </cell>
          <cell r="Y457">
            <v>500</v>
          </cell>
          <cell r="AA457">
            <v>500</v>
          </cell>
          <cell r="AB457">
            <v>600</v>
          </cell>
          <cell r="AC457">
            <v>600</v>
          </cell>
          <cell r="AD457">
            <v>600</v>
          </cell>
          <cell r="AF457">
            <v>600</v>
          </cell>
          <cell r="AH457">
            <v>600</v>
          </cell>
          <cell r="AI457">
            <v>800</v>
          </cell>
          <cell r="AJ457">
            <v>600</v>
          </cell>
          <cell r="AK457">
            <v>600</v>
          </cell>
          <cell r="AL457">
            <v>800</v>
          </cell>
          <cell r="AM457">
            <v>660</v>
          </cell>
          <cell r="AN457">
            <v>660</v>
          </cell>
          <cell r="AO457">
            <v>660</v>
          </cell>
          <cell r="AR457">
            <v>600</v>
          </cell>
          <cell r="AU457">
            <v>600</v>
          </cell>
          <cell r="AV457">
            <v>600</v>
          </cell>
          <cell r="AW457">
            <v>800</v>
          </cell>
          <cell r="AX457">
            <v>700</v>
          </cell>
          <cell r="AZ457">
            <v>600</v>
          </cell>
          <cell r="BA457">
            <v>1200</v>
          </cell>
          <cell r="BC457">
            <v>800</v>
          </cell>
          <cell r="BE457">
            <v>1400</v>
          </cell>
          <cell r="BF457">
            <v>760</v>
          </cell>
          <cell r="BI457">
            <v>1560</v>
          </cell>
          <cell r="BJ457">
            <v>980</v>
          </cell>
          <cell r="BO457">
            <v>1800</v>
          </cell>
          <cell r="BP457">
            <v>1000</v>
          </cell>
          <cell r="BS457">
            <v>800</v>
          </cell>
          <cell r="BT457">
            <v>600</v>
          </cell>
          <cell r="BX457">
            <v>700</v>
          </cell>
          <cell r="BY457">
            <v>700</v>
          </cell>
          <cell r="BZ457">
            <v>700</v>
          </cell>
          <cell r="CC457">
            <v>600</v>
          </cell>
          <cell r="CD457">
            <v>700</v>
          </cell>
          <cell r="CG457">
            <v>600</v>
          </cell>
          <cell r="CH457">
            <v>600</v>
          </cell>
          <cell r="CI457">
            <v>400</v>
          </cell>
          <cell r="CK457">
            <v>1200</v>
          </cell>
          <cell r="CM457">
            <v>1260</v>
          </cell>
          <cell r="CN457">
            <v>600</v>
          </cell>
          <cell r="CQ457">
            <v>600</v>
          </cell>
          <cell r="CR457">
            <v>600</v>
          </cell>
          <cell r="CT457">
            <v>600</v>
          </cell>
          <cell r="CU457">
            <v>600</v>
          </cell>
          <cell r="CW457">
            <v>1200</v>
          </cell>
          <cell r="CX457">
            <v>500</v>
          </cell>
          <cell r="CZ457">
            <v>600</v>
          </cell>
          <cell r="DA457">
            <v>800</v>
          </cell>
          <cell r="DD457">
            <v>600</v>
          </cell>
          <cell r="DE457">
            <v>600</v>
          </cell>
          <cell r="DG457">
            <v>600</v>
          </cell>
          <cell r="DH457">
            <v>600</v>
          </cell>
          <cell r="DK457">
            <v>600</v>
          </cell>
          <cell r="DN457">
            <v>500</v>
          </cell>
          <cell r="DO457">
            <v>600</v>
          </cell>
          <cell r="DP457">
            <v>600</v>
          </cell>
          <cell r="DQ457">
            <v>500</v>
          </cell>
          <cell r="DR457">
            <v>600</v>
          </cell>
          <cell r="DS457">
            <v>600</v>
          </cell>
          <cell r="DU457">
            <v>500</v>
          </cell>
          <cell r="DV457">
            <v>500</v>
          </cell>
          <cell r="DX457">
            <v>1000</v>
          </cell>
          <cell r="DZ457">
            <v>260</v>
          </cell>
          <cell r="EA457">
            <v>600</v>
          </cell>
          <cell r="EB457">
            <v>800</v>
          </cell>
          <cell r="EC457">
            <v>600</v>
          </cell>
          <cell r="ED457">
            <v>600</v>
          </cell>
          <cell r="EE457">
            <v>600</v>
          </cell>
          <cell r="EF457">
            <v>500</v>
          </cell>
          <cell r="EH457" t="str">
            <v>SIN USO</v>
          </cell>
          <cell r="EI457" t="str">
            <v>A</v>
          </cell>
          <cell r="EJ457" t="str">
            <v/>
          </cell>
          <cell r="EK457">
            <v>585.88235294117646</v>
          </cell>
          <cell r="EL457">
            <v>97.647058823529406</v>
          </cell>
        </row>
        <row r="458">
          <cell r="J458">
            <v>500</v>
          </cell>
          <cell r="K458">
            <v>500</v>
          </cell>
          <cell r="L458">
            <v>500</v>
          </cell>
          <cell r="M458">
            <v>500</v>
          </cell>
          <cell r="N458">
            <v>500</v>
          </cell>
          <cell r="O458">
            <v>400</v>
          </cell>
          <cell r="P458">
            <v>800</v>
          </cell>
          <cell r="Q458">
            <v>800</v>
          </cell>
          <cell r="R458">
            <v>800</v>
          </cell>
          <cell r="S458">
            <v>800</v>
          </cell>
          <cell r="U458">
            <v>500</v>
          </cell>
          <cell r="W458">
            <v>500</v>
          </cell>
          <cell r="X458">
            <v>500</v>
          </cell>
          <cell r="Y458">
            <v>500</v>
          </cell>
          <cell r="AA458">
            <v>500</v>
          </cell>
          <cell r="AB458">
            <v>600</v>
          </cell>
          <cell r="AC458">
            <v>600</v>
          </cell>
          <cell r="AD458">
            <v>600</v>
          </cell>
          <cell r="AF458">
            <v>600</v>
          </cell>
          <cell r="AH458">
            <v>600</v>
          </cell>
          <cell r="AI458">
            <v>800</v>
          </cell>
          <cell r="AJ458">
            <v>600</v>
          </cell>
          <cell r="AK458">
            <v>600</v>
          </cell>
          <cell r="AL458">
            <v>800</v>
          </cell>
          <cell r="AM458">
            <v>660</v>
          </cell>
          <cell r="AN458">
            <v>660</v>
          </cell>
          <cell r="AO458">
            <v>660</v>
          </cell>
          <cell r="AR458">
            <v>600</v>
          </cell>
          <cell r="AU458">
            <v>600</v>
          </cell>
          <cell r="AV458">
            <v>600</v>
          </cell>
          <cell r="AW458">
            <v>800</v>
          </cell>
          <cell r="AX458">
            <v>700</v>
          </cell>
          <cell r="AZ458">
            <v>600</v>
          </cell>
          <cell r="BA458">
            <v>1200</v>
          </cell>
          <cell r="BC458">
            <v>800</v>
          </cell>
          <cell r="BE458">
            <v>1400</v>
          </cell>
          <cell r="BF458">
            <v>760</v>
          </cell>
          <cell r="BI458">
            <v>1560</v>
          </cell>
          <cell r="BJ458">
            <v>980</v>
          </cell>
          <cell r="BO458">
            <v>1800</v>
          </cell>
          <cell r="BP458">
            <v>1000</v>
          </cell>
          <cell r="BS458">
            <v>800</v>
          </cell>
          <cell r="BT458">
            <v>600</v>
          </cell>
          <cell r="BX458">
            <v>700</v>
          </cell>
          <cell r="BY458">
            <v>700</v>
          </cell>
          <cell r="BZ458">
            <v>700</v>
          </cell>
          <cell r="CC458">
            <v>600</v>
          </cell>
          <cell r="CD458">
            <v>700</v>
          </cell>
          <cell r="CG458">
            <v>600</v>
          </cell>
          <cell r="CH458">
            <v>600</v>
          </cell>
          <cell r="CI458">
            <v>400</v>
          </cell>
          <cell r="CK458">
            <v>1200</v>
          </cell>
          <cell r="CM458">
            <v>1260</v>
          </cell>
          <cell r="CN458">
            <v>600</v>
          </cell>
          <cell r="CQ458">
            <v>600</v>
          </cell>
          <cell r="CR458">
            <v>600</v>
          </cell>
          <cell r="CT458">
            <v>600</v>
          </cell>
          <cell r="CU458">
            <v>600</v>
          </cell>
          <cell r="CW458">
            <v>1200</v>
          </cell>
          <cell r="CX458">
            <v>500</v>
          </cell>
          <cell r="CZ458">
            <v>600</v>
          </cell>
          <cell r="DA458">
            <v>800</v>
          </cell>
          <cell r="DD458">
            <v>600</v>
          </cell>
          <cell r="DE458">
            <v>600</v>
          </cell>
          <cell r="DG458">
            <v>600</v>
          </cell>
          <cell r="DH458">
            <v>600</v>
          </cell>
          <cell r="DK458">
            <v>600</v>
          </cell>
          <cell r="DN458">
            <v>500</v>
          </cell>
          <cell r="DO458">
            <v>600</v>
          </cell>
          <cell r="DP458">
            <v>600</v>
          </cell>
          <cell r="DQ458">
            <v>500</v>
          </cell>
          <cell r="DR458">
            <v>600</v>
          </cell>
          <cell r="DS458">
            <v>600</v>
          </cell>
          <cell r="DU458">
            <v>500</v>
          </cell>
          <cell r="DV458">
            <v>500</v>
          </cell>
          <cell r="DX458">
            <v>1000</v>
          </cell>
          <cell r="DZ458">
            <v>260</v>
          </cell>
          <cell r="EA458">
            <v>600</v>
          </cell>
          <cell r="EB458">
            <v>800</v>
          </cell>
          <cell r="EC458">
            <v>600</v>
          </cell>
          <cell r="ED458">
            <v>600</v>
          </cell>
          <cell r="EE458">
            <v>600</v>
          </cell>
          <cell r="EF458">
            <v>500</v>
          </cell>
          <cell r="EH458" t="str">
            <v>ACTIVO</v>
          </cell>
          <cell r="EI458" t="str">
            <v/>
          </cell>
          <cell r="EJ458" t="str">
            <v/>
          </cell>
          <cell r="EK458">
            <v>585.88235294117646</v>
          </cell>
          <cell r="EL458">
            <v>97.647058823529406</v>
          </cell>
        </row>
        <row r="459">
          <cell r="F459">
            <v>107174</v>
          </cell>
          <cell r="G459" t="str">
            <v>YOGURT FRUTILLA SOPROLE</v>
          </cell>
          <cell r="O459">
            <v>179</v>
          </cell>
          <cell r="P459">
            <v>238</v>
          </cell>
          <cell r="R459">
            <v>290</v>
          </cell>
          <cell r="AB459">
            <v>611</v>
          </cell>
          <cell r="AC459">
            <v>189</v>
          </cell>
          <cell r="AI459">
            <v>294.7</v>
          </cell>
          <cell r="AJ459">
            <v>512</v>
          </cell>
          <cell r="AM459">
            <v>1259</v>
          </cell>
          <cell r="AN459">
            <v>177</v>
          </cell>
          <cell r="AO459">
            <v>311</v>
          </cell>
          <cell r="AP459">
            <v>388</v>
          </cell>
          <cell r="AR459">
            <v>167</v>
          </cell>
          <cell r="AT459">
            <v>192</v>
          </cell>
          <cell r="CC459">
            <v>170</v>
          </cell>
          <cell r="CD459">
            <v>430</v>
          </cell>
          <cell r="CE459">
            <v>1448</v>
          </cell>
          <cell r="CF459">
            <v>250</v>
          </cell>
          <cell r="CG459">
            <v>531</v>
          </cell>
          <cell r="CM459">
            <v>331</v>
          </cell>
          <cell r="CN459">
            <v>153</v>
          </cell>
          <cell r="EH459" t="str">
            <v>ACTIVO</v>
          </cell>
          <cell r="EI459" t="str">
            <v>C</v>
          </cell>
          <cell r="EJ459" t="str">
            <v/>
          </cell>
          <cell r="EK459">
            <v>0</v>
          </cell>
          <cell r="EL459">
            <v>0</v>
          </cell>
        </row>
        <row r="460">
          <cell r="F460">
            <v>107164</v>
          </cell>
          <cell r="G460" t="str">
            <v>YOGURT FRUTILLA DIWATTS</v>
          </cell>
          <cell r="H460">
            <v>1101</v>
          </cell>
          <cell r="I460">
            <v>1099</v>
          </cell>
          <cell r="J460">
            <v>1059</v>
          </cell>
          <cell r="K460">
            <v>1140</v>
          </cell>
          <cell r="L460">
            <v>1186</v>
          </cell>
          <cell r="M460">
            <v>1373</v>
          </cell>
          <cell r="N460">
            <v>1268</v>
          </cell>
          <cell r="O460">
            <v>1012</v>
          </cell>
          <cell r="P460">
            <v>798</v>
          </cell>
          <cell r="Q460">
            <v>1070</v>
          </cell>
          <cell r="R460">
            <v>857</v>
          </cell>
          <cell r="S460">
            <v>1412</v>
          </cell>
          <cell r="T460">
            <v>1168</v>
          </cell>
          <cell r="U460">
            <v>1314</v>
          </cell>
          <cell r="V460">
            <v>1144</v>
          </cell>
          <cell r="W460">
            <v>968</v>
          </cell>
          <cell r="X460">
            <v>1238</v>
          </cell>
          <cell r="Y460">
            <v>1385</v>
          </cell>
          <cell r="Z460">
            <v>1669</v>
          </cell>
          <cell r="AA460">
            <v>983</v>
          </cell>
          <cell r="AB460">
            <v>614</v>
          </cell>
          <cell r="AC460">
            <v>982</v>
          </cell>
          <cell r="AD460">
            <v>1243</v>
          </cell>
          <cell r="AE460">
            <v>1115</v>
          </cell>
          <cell r="AF460">
            <v>1021</v>
          </cell>
          <cell r="AG460">
            <v>1304</v>
          </cell>
          <cell r="AH460">
            <v>1360</v>
          </cell>
          <cell r="AI460">
            <v>908.29365499999994</v>
          </cell>
          <cell r="AJ460">
            <v>743.70634500000006</v>
          </cell>
          <cell r="AK460">
            <v>1131</v>
          </cell>
          <cell r="AL460">
            <v>1081</v>
          </cell>
          <cell r="AM460">
            <v>416</v>
          </cell>
          <cell r="AN460">
            <v>1252</v>
          </cell>
          <cell r="AO460">
            <v>725</v>
          </cell>
          <cell r="AP460">
            <v>587</v>
          </cell>
          <cell r="AQ460">
            <v>966</v>
          </cell>
          <cell r="AR460">
            <v>738</v>
          </cell>
          <cell r="AS460">
            <v>178</v>
          </cell>
          <cell r="AT460">
            <v>937</v>
          </cell>
          <cell r="AU460">
            <v>875</v>
          </cell>
          <cell r="AV460">
            <v>712</v>
          </cell>
          <cell r="AW460">
            <v>811</v>
          </cell>
          <cell r="AX460">
            <v>815</v>
          </cell>
          <cell r="AY460">
            <v>697</v>
          </cell>
          <cell r="AZ460">
            <v>1205</v>
          </cell>
          <cell r="BA460">
            <v>904</v>
          </cell>
          <cell r="BB460">
            <v>848</v>
          </cell>
          <cell r="BC460">
            <v>1282</v>
          </cell>
          <cell r="BD460">
            <v>914</v>
          </cell>
          <cell r="BE460">
            <v>815</v>
          </cell>
          <cell r="BF460">
            <v>1007</v>
          </cell>
          <cell r="BG460">
            <v>921</v>
          </cell>
          <cell r="BH460">
            <v>773</v>
          </cell>
          <cell r="BI460">
            <v>844</v>
          </cell>
          <cell r="BJ460">
            <v>685</v>
          </cell>
          <cell r="BK460">
            <v>960</v>
          </cell>
          <cell r="BL460">
            <v>813</v>
          </cell>
          <cell r="BM460">
            <v>939</v>
          </cell>
          <cell r="BN460">
            <v>1075</v>
          </cell>
          <cell r="BO460">
            <v>727</v>
          </cell>
          <cell r="BP460">
            <v>761</v>
          </cell>
          <cell r="BQ460">
            <v>684</v>
          </cell>
          <cell r="BR460">
            <v>834</v>
          </cell>
          <cell r="BS460">
            <v>811</v>
          </cell>
          <cell r="BT460">
            <v>641</v>
          </cell>
          <cell r="BU460">
            <v>865</v>
          </cell>
          <cell r="BV460">
            <v>790</v>
          </cell>
          <cell r="BW460">
            <v>850</v>
          </cell>
          <cell r="BX460">
            <v>1010</v>
          </cell>
          <cell r="BY460">
            <v>1189</v>
          </cell>
          <cell r="BZ460">
            <v>1909</v>
          </cell>
          <cell r="CA460">
            <v>880</v>
          </cell>
          <cell r="CB460">
            <v>849</v>
          </cell>
          <cell r="CC460">
            <v>708</v>
          </cell>
          <cell r="CD460">
            <v>430</v>
          </cell>
          <cell r="CE460">
            <v>170</v>
          </cell>
          <cell r="CF460">
            <v>542</v>
          </cell>
          <cell r="CG460">
            <v>395</v>
          </cell>
          <cell r="CH460">
            <v>939</v>
          </cell>
          <cell r="CI460">
            <v>1071</v>
          </cell>
          <cell r="CJ460">
            <v>906</v>
          </cell>
          <cell r="CK460">
            <v>1120</v>
          </cell>
          <cell r="CL460">
            <v>1050</v>
          </cell>
          <cell r="CM460">
            <v>997</v>
          </cell>
          <cell r="CN460">
            <v>935</v>
          </cell>
          <cell r="CO460">
            <v>1062</v>
          </cell>
          <cell r="CP460">
            <v>1161</v>
          </cell>
          <cell r="CQ460">
            <v>670</v>
          </cell>
          <cell r="CR460">
            <v>829</v>
          </cell>
          <cell r="CS460">
            <v>222</v>
          </cell>
          <cell r="CT460">
            <v>1345</v>
          </cell>
          <cell r="CU460">
            <v>1392</v>
          </cell>
          <cell r="CV460">
            <v>1814</v>
          </cell>
          <cell r="CW460">
            <v>1251</v>
          </cell>
          <cell r="CX460">
            <v>1293</v>
          </cell>
          <cell r="CY460">
            <v>1258</v>
          </cell>
          <cell r="CZ460">
            <v>1032</v>
          </cell>
          <cell r="DA460">
            <v>1267</v>
          </cell>
          <cell r="DB460">
            <v>1007</v>
          </cell>
          <cell r="DC460">
            <v>1058</v>
          </cell>
          <cell r="DD460">
            <v>1017</v>
          </cell>
          <cell r="DE460">
            <v>893</v>
          </cell>
          <cell r="DF460">
            <v>1290</v>
          </cell>
          <cell r="DG460">
            <v>894</v>
          </cell>
          <cell r="DH460">
            <v>504</v>
          </cell>
          <cell r="DI460">
            <v>281</v>
          </cell>
          <cell r="DJ460">
            <v>1091</v>
          </cell>
          <cell r="DK460">
            <v>1049</v>
          </cell>
          <cell r="DL460">
            <v>1012</v>
          </cell>
          <cell r="DM460">
            <v>1078</v>
          </cell>
          <cell r="DN460">
            <v>942</v>
          </cell>
          <cell r="DO460">
            <v>1041</v>
          </cell>
          <cell r="DP460">
            <v>952</v>
          </cell>
          <cell r="DQ460">
            <v>1008</v>
          </cell>
          <cell r="DR460">
            <v>1007</v>
          </cell>
          <cell r="DS460">
            <v>1031</v>
          </cell>
          <cell r="DT460">
            <v>1004</v>
          </cell>
          <cell r="DU460">
            <v>1168</v>
          </cell>
          <cell r="DV460">
            <v>1088</v>
          </cell>
          <cell r="DW460">
            <v>987</v>
          </cell>
          <cell r="DX460">
            <v>1161</v>
          </cell>
          <cell r="DY460">
            <v>995</v>
          </cell>
          <cell r="DZ460">
            <v>1178</v>
          </cell>
          <cell r="EA460">
            <v>1159</v>
          </cell>
          <cell r="EB460">
            <v>1062</v>
          </cell>
          <cell r="EC460">
            <v>876</v>
          </cell>
          <cell r="ED460">
            <v>990</v>
          </cell>
          <cell r="EE460">
            <v>953</v>
          </cell>
          <cell r="EF460">
            <v>981.38</v>
          </cell>
          <cell r="EG460">
            <v>1652</v>
          </cell>
          <cell r="EH460" t="str">
            <v>ACTIVO</v>
          </cell>
          <cell r="EI460" t="str">
            <v>B</v>
          </cell>
          <cell r="EJ460">
            <v>600</v>
          </cell>
          <cell r="EK460">
            <v>1029.8552</v>
          </cell>
          <cell r="EL460">
            <v>171.64253333333332</v>
          </cell>
        </row>
        <row r="461">
          <cell r="H461">
            <v>1101</v>
          </cell>
          <cell r="I461">
            <v>1099</v>
          </cell>
          <cell r="J461">
            <v>1059</v>
          </cell>
          <cell r="K461">
            <v>1140</v>
          </cell>
          <cell r="L461">
            <v>1186</v>
          </cell>
          <cell r="M461">
            <v>1373</v>
          </cell>
          <cell r="N461">
            <v>1268</v>
          </cell>
          <cell r="O461">
            <v>1191</v>
          </cell>
          <cell r="P461">
            <v>1036</v>
          </cell>
          <cell r="Q461">
            <v>1070</v>
          </cell>
          <cell r="R461">
            <v>1147</v>
          </cell>
          <cell r="S461">
            <v>1412</v>
          </cell>
          <cell r="T461">
            <v>1168</v>
          </cell>
          <cell r="U461">
            <v>1314</v>
          </cell>
          <cell r="V461">
            <v>1144</v>
          </cell>
          <cell r="W461">
            <v>968</v>
          </cell>
          <cell r="X461">
            <v>1238</v>
          </cell>
          <cell r="Y461">
            <v>1385</v>
          </cell>
          <cell r="Z461">
            <v>1669</v>
          </cell>
          <cell r="AA461">
            <v>983</v>
          </cell>
          <cell r="AB461">
            <v>1225</v>
          </cell>
          <cell r="AC461">
            <v>1171</v>
          </cell>
          <cell r="AD461">
            <v>1243</v>
          </cell>
          <cell r="AE461">
            <v>1115</v>
          </cell>
          <cell r="AF461">
            <v>1021</v>
          </cell>
          <cell r="AG461">
            <v>1304</v>
          </cell>
          <cell r="AH461">
            <v>1360</v>
          </cell>
          <cell r="AI461">
            <v>1202.993655</v>
          </cell>
          <cell r="AJ461">
            <v>1255.7063450000001</v>
          </cell>
          <cell r="AK461">
            <v>1131</v>
          </cell>
          <cell r="AL461">
            <v>1081</v>
          </cell>
          <cell r="AM461">
            <v>1675</v>
          </cell>
          <cell r="AN461">
            <v>1429</v>
          </cell>
          <cell r="AO461">
            <v>1036</v>
          </cell>
          <cell r="AP461">
            <v>975</v>
          </cell>
          <cell r="AQ461">
            <v>966</v>
          </cell>
          <cell r="AR461">
            <v>905</v>
          </cell>
          <cell r="AS461">
            <v>178</v>
          </cell>
          <cell r="AT461">
            <v>1129</v>
          </cell>
          <cell r="AU461">
            <v>875</v>
          </cell>
          <cell r="AV461">
            <v>712</v>
          </cell>
          <cell r="AW461">
            <v>811</v>
          </cell>
          <cell r="AX461">
            <v>815</v>
          </cell>
          <cell r="AY461">
            <v>697</v>
          </cell>
          <cell r="AZ461">
            <v>1205</v>
          </cell>
          <cell r="BA461">
            <v>904</v>
          </cell>
          <cell r="BB461">
            <v>848</v>
          </cell>
          <cell r="BC461">
            <v>1282</v>
          </cell>
          <cell r="BD461">
            <v>914</v>
          </cell>
          <cell r="BE461">
            <v>815</v>
          </cell>
          <cell r="BF461">
            <v>1007</v>
          </cell>
          <cell r="BG461">
            <v>921</v>
          </cell>
          <cell r="BH461">
            <v>773</v>
          </cell>
          <cell r="BI461">
            <v>844</v>
          </cell>
          <cell r="BJ461">
            <v>685</v>
          </cell>
          <cell r="BK461">
            <v>960</v>
          </cell>
          <cell r="BL461">
            <v>813</v>
          </cell>
          <cell r="BM461">
            <v>939</v>
          </cell>
          <cell r="BN461">
            <v>1075</v>
          </cell>
          <cell r="BO461">
            <v>727</v>
          </cell>
          <cell r="BP461">
            <v>761</v>
          </cell>
          <cell r="BQ461">
            <v>684</v>
          </cell>
          <cell r="BR461">
            <v>834</v>
          </cell>
          <cell r="BS461">
            <v>811</v>
          </cell>
          <cell r="BT461">
            <v>641</v>
          </cell>
          <cell r="BU461">
            <v>865</v>
          </cell>
          <cell r="BV461">
            <v>790</v>
          </cell>
          <cell r="BW461">
            <v>850</v>
          </cell>
          <cell r="BX461">
            <v>1010</v>
          </cell>
          <cell r="BY461">
            <v>1189</v>
          </cell>
          <cell r="BZ461">
            <v>1909</v>
          </cell>
          <cell r="CA461">
            <v>880</v>
          </cell>
          <cell r="CB461">
            <v>849</v>
          </cell>
          <cell r="CC461">
            <v>878</v>
          </cell>
          <cell r="CD461">
            <v>860</v>
          </cell>
          <cell r="CE461">
            <v>1618</v>
          </cell>
          <cell r="CF461">
            <v>792</v>
          </cell>
          <cell r="CG461">
            <v>926</v>
          </cell>
          <cell r="CH461">
            <v>939</v>
          </cell>
          <cell r="CI461">
            <v>1071</v>
          </cell>
          <cell r="CJ461">
            <v>906</v>
          </cell>
          <cell r="CK461">
            <v>1120</v>
          </cell>
          <cell r="CL461">
            <v>1050</v>
          </cell>
          <cell r="CM461">
            <v>1328</v>
          </cell>
          <cell r="CN461">
            <v>1088</v>
          </cell>
          <cell r="CO461">
            <v>1062</v>
          </cell>
          <cell r="CP461">
            <v>1161</v>
          </cell>
          <cell r="CQ461">
            <v>670</v>
          </cell>
          <cell r="CR461">
            <v>829</v>
          </cell>
          <cell r="CS461">
            <v>222</v>
          </cell>
          <cell r="CT461">
            <v>1345</v>
          </cell>
          <cell r="CU461">
            <v>1392</v>
          </cell>
          <cell r="CV461">
            <v>1814</v>
          </cell>
          <cell r="CW461">
            <v>1251</v>
          </cell>
          <cell r="CX461">
            <v>1293</v>
          </cell>
          <cell r="CY461">
            <v>1258</v>
          </cell>
          <cell r="CZ461">
            <v>1032</v>
          </cell>
          <cell r="DA461">
            <v>1267</v>
          </cell>
          <cell r="DB461">
            <v>1007</v>
          </cell>
          <cell r="DC461">
            <v>1058</v>
          </cell>
          <cell r="DD461">
            <v>1017</v>
          </cell>
          <cell r="DE461">
            <v>893</v>
          </cell>
          <cell r="DF461">
            <v>1290</v>
          </cell>
          <cell r="DG461">
            <v>894</v>
          </cell>
          <cell r="DH461">
            <v>504</v>
          </cell>
          <cell r="DI461">
            <v>281</v>
          </cell>
          <cell r="DJ461">
            <v>1091</v>
          </cell>
          <cell r="DK461">
            <v>1049</v>
          </cell>
          <cell r="DL461">
            <v>1012</v>
          </cell>
          <cell r="DM461">
            <v>1078</v>
          </cell>
          <cell r="DN461">
            <v>942</v>
          </cell>
          <cell r="DO461">
            <v>1041</v>
          </cell>
          <cell r="DP461">
            <v>952</v>
          </cell>
          <cell r="DQ461">
            <v>1008</v>
          </cell>
          <cell r="DR461">
            <v>1007</v>
          </cell>
          <cell r="DS461">
            <v>1031</v>
          </cell>
          <cell r="DT461">
            <v>1004</v>
          </cell>
          <cell r="DU461">
            <v>1168</v>
          </cell>
          <cell r="DV461">
            <v>1088</v>
          </cell>
          <cell r="DW461">
            <v>987</v>
          </cell>
          <cell r="DX461">
            <v>1161</v>
          </cell>
          <cell r="DY461">
            <v>995</v>
          </cell>
          <cell r="DZ461">
            <v>1178</v>
          </cell>
          <cell r="EA461">
            <v>1159</v>
          </cell>
          <cell r="EB461">
            <v>1062</v>
          </cell>
          <cell r="EC461">
            <v>876</v>
          </cell>
          <cell r="ED461">
            <v>990</v>
          </cell>
          <cell r="EE461">
            <v>953</v>
          </cell>
          <cell r="EF461">
            <v>981.38</v>
          </cell>
          <cell r="EG461">
            <v>1652</v>
          </cell>
          <cell r="EH461" t="str">
            <v>ACTIVO</v>
          </cell>
          <cell r="EI461" t="str">
            <v/>
          </cell>
          <cell r="EJ461" t="str">
            <v/>
          </cell>
          <cell r="EK461">
            <v>1029.8552</v>
          </cell>
          <cell r="EL461">
            <v>171.64253333333332</v>
          </cell>
        </row>
        <row r="462">
          <cell r="F462">
            <v>107355</v>
          </cell>
          <cell r="G462" t="str">
            <v>JUGO DE LIMÓN ALTA FRUTA</v>
          </cell>
          <cell r="H462">
            <v>56</v>
          </cell>
          <cell r="AB462">
            <v>8</v>
          </cell>
          <cell r="AC462">
            <v>28</v>
          </cell>
          <cell r="AD462">
            <v>87</v>
          </cell>
          <cell r="AE462">
            <v>217</v>
          </cell>
          <cell r="BF462">
            <v>48</v>
          </cell>
          <cell r="BG462">
            <v>31</v>
          </cell>
          <cell r="BH462">
            <v>177</v>
          </cell>
          <cell r="BI462">
            <v>238</v>
          </cell>
          <cell r="BJ462">
            <v>142</v>
          </cell>
          <cell r="BK462">
            <v>109</v>
          </cell>
          <cell r="BL462">
            <v>197</v>
          </cell>
          <cell r="CD462">
            <v>5</v>
          </cell>
          <cell r="CE462">
            <v>110</v>
          </cell>
          <cell r="CF462">
            <v>319</v>
          </cell>
          <cell r="CG462">
            <v>459</v>
          </cell>
          <cell r="CH462">
            <v>279</v>
          </cell>
          <cell r="CI462">
            <v>329</v>
          </cell>
          <cell r="CJ462">
            <v>212.8</v>
          </cell>
          <cell r="CL462">
            <v>14</v>
          </cell>
          <cell r="CM462">
            <v>354</v>
          </cell>
          <cell r="CN462">
            <v>200</v>
          </cell>
          <cell r="CO462">
            <v>280</v>
          </cell>
          <cell r="CP462">
            <v>289</v>
          </cell>
          <cell r="CQ462">
            <v>306</v>
          </cell>
          <cell r="CR462">
            <v>320</v>
          </cell>
          <cell r="CS462">
            <v>140</v>
          </cell>
          <cell r="CT462">
            <v>323</v>
          </cell>
          <cell r="CU462">
            <v>277</v>
          </cell>
          <cell r="CV462">
            <v>312</v>
          </cell>
          <cell r="CW462">
            <v>223</v>
          </cell>
          <cell r="CX462">
            <v>59</v>
          </cell>
          <cell r="DL462">
            <v>10</v>
          </cell>
          <cell r="DM462">
            <v>29</v>
          </cell>
          <cell r="DN462">
            <v>168</v>
          </cell>
          <cell r="DO462">
            <v>215</v>
          </cell>
          <cell r="DP462">
            <v>142</v>
          </cell>
          <cell r="DQ462">
            <v>180</v>
          </cell>
          <cell r="DR462">
            <v>201</v>
          </cell>
          <cell r="DS462">
            <v>236</v>
          </cell>
          <cell r="DT462">
            <v>9</v>
          </cell>
          <cell r="DW462">
            <v>18</v>
          </cell>
          <cell r="DY462">
            <v>6</v>
          </cell>
          <cell r="DZ462">
            <v>221</v>
          </cell>
          <cell r="EA462">
            <v>286</v>
          </cell>
          <cell r="EB462">
            <v>211</v>
          </cell>
          <cell r="EC462">
            <v>286</v>
          </cell>
          <cell r="ED462">
            <v>223</v>
          </cell>
          <cell r="EE462">
            <v>213</v>
          </cell>
          <cell r="EF462">
            <v>224</v>
          </cell>
          <cell r="EG462">
            <v>370</v>
          </cell>
          <cell r="EH462" t="str">
            <v>ACTIVO</v>
          </cell>
          <cell r="EI462" t="str">
            <v>B</v>
          </cell>
          <cell r="EJ462" t="str">
            <v/>
          </cell>
          <cell r="EK462">
            <v>170.94736842105263</v>
          </cell>
          <cell r="EL462">
            <v>28.491228070175438</v>
          </cell>
        </row>
        <row r="463">
          <cell r="F463">
            <v>405330</v>
          </cell>
          <cell r="G463" t="str">
            <v>JUGO EN POLVO FRUTILLA</v>
          </cell>
          <cell r="AJ463">
            <v>15</v>
          </cell>
          <cell r="EH463" t="str">
            <v>SIN USO</v>
          </cell>
          <cell r="EI463" t="str">
            <v/>
          </cell>
          <cell r="EJ463" t="str">
            <v/>
          </cell>
          <cell r="EK463">
            <v>0</v>
          </cell>
          <cell r="EL463">
            <v>0</v>
          </cell>
        </row>
        <row r="464">
          <cell r="F464">
            <v>405331</v>
          </cell>
          <cell r="G464" t="str">
            <v>JUGO EN POLVO DURAZNO</v>
          </cell>
          <cell r="AJ464">
            <v>20</v>
          </cell>
          <cell r="BK464">
            <v>7.2</v>
          </cell>
          <cell r="BU464">
            <v>9.6</v>
          </cell>
          <cell r="BZ464">
            <v>16.8</v>
          </cell>
          <cell r="CK464">
            <v>16.8</v>
          </cell>
          <cell r="EH464" t="str">
            <v>SIN USO</v>
          </cell>
          <cell r="EI464" t="str">
            <v>C</v>
          </cell>
          <cell r="EJ464" t="str">
            <v/>
          </cell>
          <cell r="EK464">
            <v>0</v>
          </cell>
          <cell r="EL464">
            <v>0</v>
          </cell>
        </row>
        <row r="465">
          <cell r="F465">
            <v>405446</v>
          </cell>
          <cell r="G465" t="str">
            <v>JUGO POLVO DURAZNO</v>
          </cell>
          <cell r="BB465">
            <v>7.2</v>
          </cell>
          <cell r="BF465">
            <v>7.2</v>
          </cell>
          <cell r="EH465" t="str">
            <v>SIN USO</v>
          </cell>
          <cell r="EI465" t="str">
            <v/>
          </cell>
          <cell r="EJ465" t="str">
            <v/>
          </cell>
          <cell r="EK465">
            <v>0</v>
          </cell>
          <cell r="EL465">
            <v>0</v>
          </cell>
        </row>
        <row r="466">
          <cell r="F466">
            <v>405465</v>
          </cell>
          <cell r="G466" t="str">
            <v>JUGO POLVO FRUTILLA</v>
          </cell>
          <cell r="BB466">
            <v>7.2</v>
          </cell>
          <cell r="CT466">
            <v>2.1</v>
          </cell>
          <cell r="EH466" t="str">
            <v>SIN USO</v>
          </cell>
          <cell r="EI466" t="str">
            <v>C</v>
          </cell>
          <cell r="EJ466" t="str">
            <v/>
          </cell>
          <cell r="EK466">
            <v>0</v>
          </cell>
          <cell r="EL466">
            <v>0</v>
          </cell>
        </row>
        <row r="467">
          <cell r="F467">
            <v>405320</v>
          </cell>
          <cell r="G467" t="str">
            <v>JUGO DE LIMÓN CONGELADO WATT</v>
          </cell>
          <cell r="AE467">
            <v>37</v>
          </cell>
          <cell r="AF467">
            <v>81</v>
          </cell>
          <cell r="AG467">
            <v>139</v>
          </cell>
          <cell r="AH467">
            <v>195</v>
          </cell>
          <cell r="AI467">
            <v>227</v>
          </cell>
          <cell r="AJ467">
            <v>207</v>
          </cell>
          <cell r="AK467">
            <v>214</v>
          </cell>
          <cell r="AL467">
            <v>201</v>
          </cell>
          <cell r="AM467">
            <v>289</v>
          </cell>
          <cell r="AN467">
            <v>240</v>
          </cell>
          <cell r="AO467">
            <v>226</v>
          </cell>
          <cell r="AP467">
            <v>256</v>
          </cell>
          <cell r="AQ467">
            <v>261</v>
          </cell>
          <cell r="AR467">
            <v>263</v>
          </cell>
          <cell r="AS467">
            <v>166</v>
          </cell>
          <cell r="AT467">
            <v>312</v>
          </cell>
          <cell r="AU467">
            <v>266</v>
          </cell>
          <cell r="AV467">
            <v>261</v>
          </cell>
          <cell r="AW467">
            <v>214</v>
          </cell>
          <cell r="AX467">
            <v>285</v>
          </cell>
          <cell r="AY467">
            <v>267</v>
          </cell>
          <cell r="AZ467">
            <v>268</v>
          </cell>
          <cell r="BA467">
            <v>269</v>
          </cell>
          <cell r="BB467">
            <v>213</v>
          </cell>
          <cell r="BC467">
            <v>252</v>
          </cell>
          <cell r="BD467">
            <v>243</v>
          </cell>
          <cell r="BE467">
            <v>249</v>
          </cell>
          <cell r="BF467">
            <v>175</v>
          </cell>
          <cell r="BG467">
            <v>195</v>
          </cell>
          <cell r="BJ467">
            <v>3</v>
          </cell>
          <cell r="BK467">
            <v>73</v>
          </cell>
          <cell r="BL467">
            <v>7</v>
          </cell>
          <cell r="BM467">
            <v>209</v>
          </cell>
          <cell r="BN467">
            <v>222</v>
          </cell>
          <cell r="BO467">
            <v>230</v>
          </cell>
          <cell r="BP467">
            <v>229</v>
          </cell>
          <cell r="BQ467">
            <v>232</v>
          </cell>
          <cell r="BR467">
            <v>286</v>
          </cell>
          <cell r="BS467">
            <v>223</v>
          </cell>
          <cell r="BT467">
            <v>280</v>
          </cell>
          <cell r="BU467">
            <v>263</v>
          </cell>
          <cell r="BV467">
            <v>273</v>
          </cell>
          <cell r="BW467">
            <v>278</v>
          </cell>
          <cell r="BX467">
            <v>286</v>
          </cell>
          <cell r="BY467">
            <v>439</v>
          </cell>
          <cell r="BZ467">
            <v>445</v>
          </cell>
          <cell r="CA467">
            <v>251</v>
          </cell>
          <cell r="CB467">
            <v>283</v>
          </cell>
          <cell r="CC467">
            <v>340</v>
          </cell>
          <cell r="CD467">
            <v>360</v>
          </cell>
          <cell r="CE467">
            <v>425</v>
          </cell>
          <cell r="CJ467">
            <v>136.19999999999999</v>
          </cell>
          <cell r="CK467">
            <v>538</v>
          </cell>
          <cell r="CL467">
            <v>314</v>
          </cell>
          <cell r="CM467">
            <v>11.8</v>
          </cell>
          <cell r="CV467">
            <v>80</v>
          </cell>
          <cell r="CW467">
            <v>19</v>
          </cell>
          <cell r="CX467">
            <v>188</v>
          </cell>
          <cell r="CY467">
            <v>240</v>
          </cell>
          <cell r="CZ467">
            <v>228</v>
          </cell>
          <cell r="DA467">
            <v>215</v>
          </cell>
          <cell r="DB467">
            <v>202</v>
          </cell>
          <cell r="DC467">
            <v>260</v>
          </cell>
          <cell r="DD467">
            <v>211</v>
          </cell>
          <cell r="DE467">
            <v>256</v>
          </cell>
          <cell r="DF467">
            <v>292</v>
          </cell>
          <cell r="DG467">
            <v>213</v>
          </cell>
          <cell r="DH467">
            <v>142</v>
          </cell>
          <cell r="DI467">
            <v>71</v>
          </cell>
          <cell r="DJ467">
            <v>286</v>
          </cell>
          <cell r="DK467">
            <v>224</v>
          </cell>
          <cell r="DL467">
            <v>211</v>
          </cell>
          <cell r="DM467">
            <v>226</v>
          </cell>
          <cell r="DN467">
            <v>4</v>
          </cell>
          <cell r="DS467">
            <v>13</v>
          </cell>
          <cell r="DT467">
            <v>177</v>
          </cell>
          <cell r="DU467">
            <v>231</v>
          </cell>
          <cell r="DV467">
            <v>319</v>
          </cell>
          <cell r="DW467">
            <v>247</v>
          </cell>
          <cell r="DX467">
            <v>238</v>
          </cell>
          <cell r="DY467">
            <v>232</v>
          </cell>
          <cell r="DZ467">
            <v>102</v>
          </cell>
          <cell r="EH467" t="str">
            <v>ACTIVO</v>
          </cell>
          <cell r="EI467" t="str">
            <v>B</v>
          </cell>
          <cell r="EJ467">
            <v>400</v>
          </cell>
          <cell r="EK467">
            <v>184.35714285714286</v>
          </cell>
          <cell r="EL467">
            <v>30.726190476190478</v>
          </cell>
        </row>
        <row r="468">
          <cell r="F468">
            <v>405723</v>
          </cell>
          <cell r="G468" t="str">
            <v>NECTAR SABOR NARANJA WATTS</v>
          </cell>
          <cell r="DS468">
            <v>7.5</v>
          </cell>
          <cell r="DZ468">
            <v>7.5</v>
          </cell>
          <cell r="EA468">
            <v>4.5</v>
          </cell>
          <cell r="EB468">
            <v>25.5</v>
          </cell>
          <cell r="ED468">
            <v>16.5</v>
          </cell>
          <cell r="EF468">
            <v>22.5</v>
          </cell>
          <cell r="EG468">
            <v>21</v>
          </cell>
          <cell r="EH468" t="str">
            <v>ACTIVO</v>
          </cell>
          <cell r="EI468" t="str">
            <v/>
          </cell>
          <cell r="EJ468" t="str">
            <v/>
          </cell>
          <cell r="EK468">
            <v>15</v>
          </cell>
          <cell r="EL468">
            <v>2.5</v>
          </cell>
        </row>
        <row r="469">
          <cell r="H469">
            <v>56</v>
          </cell>
          <cell r="AB469">
            <v>8</v>
          </cell>
          <cell r="AC469">
            <v>28</v>
          </cell>
          <cell r="AD469">
            <v>87</v>
          </cell>
          <cell r="AE469">
            <v>254</v>
          </cell>
          <cell r="AF469">
            <v>81</v>
          </cell>
          <cell r="AG469">
            <v>139</v>
          </cell>
          <cell r="AH469">
            <v>195</v>
          </cell>
          <cell r="AI469">
            <v>227</v>
          </cell>
          <cell r="AJ469">
            <v>242</v>
          </cell>
          <cell r="AK469">
            <v>214</v>
          </cell>
          <cell r="AL469">
            <v>201</v>
          </cell>
          <cell r="AM469">
            <v>289</v>
          </cell>
          <cell r="AN469">
            <v>240</v>
          </cell>
          <cell r="AO469">
            <v>226</v>
          </cell>
          <cell r="AP469">
            <v>256</v>
          </cell>
          <cell r="AQ469">
            <v>261</v>
          </cell>
          <cell r="AR469">
            <v>263</v>
          </cell>
          <cell r="AS469">
            <v>166</v>
          </cell>
          <cell r="AT469">
            <v>312</v>
          </cell>
          <cell r="AU469">
            <v>266</v>
          </cell>
          <cell r="AV469">
            <v>261</v>
          </cell>
          <cell r="AW469">
            <v>214</v>
          </cell>
          <cell r="AX469">
            <v>285</v>
          </cell>
          <cell r="AY469">
            <v>267</v>
          </cell>
          <cell r="AZ469">
            <v>268</v>
          </cell>
          <cell r="BA469">
            <v>269</v>
          </cell>
          <cell r="BB469">
            <v>227.4</v>
          </cell>
          <cell r="BC469">
            <v>252</v>
          </cell>
          <cell r="BD469">
            <v>243</v>
          </cell>
          <cell r="BE469">
            <v>249</v>
          </cell>
          <cell r="BF469">
            <v>230.2</v>
          </cell>
          <cell r="BG469">
            <v>226</v>
          </cell>
          <cell r="BH469">
            <v>177</v>
          </cell>
          <cell r="BI469">
            <v>238</v>
          </cell>
          <cell r="BJ469">
            <v>145</v>
          </cell>
          <cell r="BK469">
            <v>189.2</v>
          </cell>
          <cell r="BL469">
            <v>204</v>
          </cell>
          <cell r="BM469">
            <v>209</v>
          </cell>
          <cell r="BN469">
            <v>222</v>
          </cell>
          <cell r="BO469">
            <v>230</v>
          </cell>
          <cell r="BP469">
            <v>229</v>
          </cell>
          <cell r="BQ469">
            <v>232</v>
          </cell>
          <cell r="BR469">
            <v>286</v>
          </cell>
          <cell r="BS469">
            <v>223</v>
          </cell>
          <cell r="BT469">
            <v>280</v>
          </cell>
          <cell r="BU469">
            <v>272.60000000000002</v>
          </cell>
          <cell r="BV469">
            <v>273</v>
          </cell>
          <cell r="BW469">
            <v>278</v>
          </cell>
          <cell r="BX469">
            <v>286</v>
          </cell>
          <cell r="BY469">
            <v>439</v>
          </cell>
          <cell r="BZ469">
            <v>461.8</v>
          </cell>
          <cell r="CA469">
            <v>251</v>
          </cell>
          <cell r="CB469">
            <v>283</v>
          </cell>
          <cell r="CC469">
            <v>340</v>
          </cell>
          <cell r="CD469">
            <v>365</v>
          </cell>
          <cell r="CE469">
            <v>535</v>
          </cell>
          <cell r="CF469">
            <v>319</v>
          </cell>
          <cell r="CG469">
            <v>459</v>
          </cell>
          <cell r="CH469">
            <v>279</v>
          </cell>
          <cell r="CI469">
            <v>329</v>
          </cell>
          <cell r="CJ469">
            <v>349</v>
          </cell>
          <cell r="CK469">
            <v>554.79999999999995</v>
          </cell>
          <cell r="CL469">
            <v>328</v>
          </cell>
          <cell r="CM469">
            <v>365.8</v>
          </cell>
          <cell r="CN469">
            <v>200</v>
          </cell>
          <cell r="CO469">
            <v>280</v>
          </cell>
          <cell r="CP469">
            <v>289</v>
          </cell>
          <cell r="CQ469">
            <v>306</v>
          </cell>
          <cell r="CR469">
            <v>320</v>
          </cell>
          <cell r="CS469">
            <v>140</v>
          </cell>
          <cell r="CT469">
            <v>325.10000000000002</v>
          </cell>
          <cell r="CU469">
            <v>277</v>
          </cell>
          <cell r="CV469">
            <v>392</v>
          </cell>
          <cell r="CW469">
            <v>242</v>
          </cell>
          <cell r="CX469">
            <v>247</v>
          </cell>
          <cell r="CY469">
            <v>240</v>
          </cell>
          <cell r="CZ469">
            <v>228</v>
          </cell>
          <cell r="DA469">
            <v>215</v>
          </cell>
          <cell r="DB469">
            <v>202</v>
          </cell>
          <cell r="DC469">
            <v>260</v>
          </cell>
          <cell r="DD469">
            <v>211</v>
          </cell>
          <cell r="DE469">
            <v>256</v>
          </cell>
          <cell r="DF469">
            <v>292</v>
          </cell>
          <cell r="DG469">
            <v>213</v>
          </cell>
          <cell r="DH469">
            <v>142</v>
          </cell>
          <cell r="DI469">
            <v>71</v>
          </cell>
          <cell r="DJ469">
            <v>286</v>
          </cell>
          <cell r="DK469">
            <v>224</v>
          </cell>
          <cell r="DL469">
            <v>221</v>
          </cell>
          <cell r="DM469">
            <v>255</v>
          </cell>
          <cell r="DN469">
            <v>172</v>
          </cell>
          <cell r="DO469">
            <v>215</v>
          </cell>
          <cell r="DP469">
            <v>142</v>
          </cell>
          <cell r="DQ469">
            <v>180</v>
          </cell>
          <cell r="DR469">
            <v>201</v>
          </cell>
          <cell r="DS469">
            <v>256.5</v>
          </cell>
          <cell r="DT469">
            <v>186</v>
          </cell>
          <cell r="DU469">
            <v>231</v>
          </cell>
          <cell r="DV469">
            <v>319</v>
          </cell>
          <cell r="DW469">
            <v>265</v>
          </cell>
          <cell r="DX469">
            <v>238</v>
          </cell>
          <cell r="DY469">
            <v>238</v>
          </cell>
          <cell r="DZ469">
            <v>330.5</v>
          </cell>
          <cell r="EA469">
            <v>290.5</v>
          </cell>
          <cell r="EB469">
            <v>236.5</v>
          </cell>
          <cell r="EC469">
            <v>286</v>
          </cell>
          <cell r="ED469">
            <v>239.5</v>
          </cell>
          <cell r="EE469">
            <v>213</v>
          </cell>
          <cell r="EF469">
            <v>246.5</v>
          </cell>
          <cell r="EG469">
            <v>391</v>
          </cell>
          <cell r="EH469" t="str">
            <v>ACTIVO</v>
          </cell>
          <cell r="EI469" t="str">
            <v/>
          </cell>
          <cell r="EJ469" t="str">
            <v/>
          </cell>
          <cell r="EK469">
            <v>237.36</v>
          </cell>
          <cell r="EL469">
            <v>39.56</v>
          </cell>
        </row>
        <row r="470">
          <cell r="F470">
            <v>402255</v>
          </cell>
          <cell r="G470" t="str">
            <v>CINTA DE EMBALAJE 72x100 SOLUTION</v>
          </cell>
          <cell r="H470">
            <v>64</v>
          </cell>
          <cell r="I470">
            <v>48</v>
          </cell>
          <cell r="K470">
            <v>96</v>
          </cell>
          <cell r="N470">
            <v>96</v>
          </cell>
          <cell r="O470">
            <v>96</v>
          </cell>
          <cell r="P470">
            <v>64</v>
          </cell>
          <cell r="S470">
            <v>64</v>
          </cell>
          <cell r="U470">
            <v>64</v>
          </cell>
          <cell r="V470">
            <v>64</v>
          </cell>
          <cell r="W470">
            <v>64</v>
          </cell>
          <cell r="Z470">
            <v>96</v>
          </cell>
          <cell r="AB470">
            <v>320</v>
          </cell>
          <cell r="AD470">
            <v>256</v>
          </cell>
          <cell r="AE470">
            <v>136</v>
          </cell>
          <cell r="AF470">
            <v>24</v>
          </cell>
          <cell r="AG470">
            <v>160</v>
          </cell>
          <cell r="AJ470">
            <v>64</v>
          </cell>
          <cell r="AK470">
            <v>160</v>
          </cell>
          <cell r="AL470">
            <v>155</v>
          </cell>
          <cell r="AO470">
            <v>32</v>
          </cell>
          <cell r="AP470">
            <v>160</v>
          </cell>
          <cell r="AQ470">
            <v>64</v>
          </cell>
          <cell r="AR470">
            <v>384</v>
          </cell>
          <cell r="AS470">
            <v>256</v>
          </cell>
          <cell r="AT470">
            <v>448</v>
          </cell>
          <cell r="AU470">
            <v>352</v>
          </cell>
          <cell r="AV470">
            <v>512</v>
          </cell>
          <cell r="AW470">
            <v>384</v>
          </cell>
          <cell r="AX470">
            <v>544</v>
          </cell>
          <cell r="AY470">
            <v>448</v>
          </cell>
          <cell r="AZ470">
            <v>480</v>
          </cell>
          <cell r="BA470">
            <v>448</v>
          </cell>
          <cell r="BB470">
            <v>384</v>
          </cell>
          <cell r="BC470">
            <v>288</v>
          </cell>
          <cell r="BD470">
            <v>320</v>
          </cell>
          <cell r="BE470">
            <v>480</v>
          </cell>
          <cell r="BF470">
            <v>384</v>
          </cell>
          <cell r="BG470">
            <v>416</v>
          </cell>
          <cell r="BH470">
            <v>160</v>
          </cell>
          <cell r="BI470">
            <v>384</v>
          </cell>
          <cell r="BJ470">
            <v>448</v>
          </cell>
          <cell r="BK470">
            <v>448</v>
          </cell>
          <cell r="BL470">
            <v>384</v>
          </cell>
          <cell r="BM470">
            <v>352</v>
          </cell>
          <cell r="BN470">
            <v>481</v>
          </cell>
          <cell r="BO470">
            <v>290</v>
          </cell>
          <cell r="BP470">
            <v>224</v>
          </cell>
          <cell r="BQ470">
            <v>352</v>
          </cell>
          <cell r="BR470">
            <v>256</v>
          </cell>
          <cell r="BS470">
            <v>288</v>
          </cell>
          <cell r="BT470">
            <v>784</v>
          </cell>
          <cell r="BU470">
            <v>448</v>
          </cell>
          <cell r="BV470">
            <v>256</v>
          </cell>
          <cell r="BW470">
            <v>512</v>
          </cell>
          <cell r="BX470">
            <v>480</v>
          </cell>
          <cell r="BY470">
            <v>192</v>
          </cell>
          <cell r="BZ470">
            <v>544</v>
          </cell>
          <cell r="CA470">
            <v>352</v>
          </cell>
          <cell r="CB470">
            <v>320</v>
          </cell>
          <cell r="CC470">
            <v>288</v>
          </cell>
          <cell r="CD470">
            <v>251.8</v>
          </cell>
          <cell r="CE470">
            <v>352</v>
          </cell>
          <cell r="CF470">
            <v>320</v>
          </cell>
          <cell r="CG470">
            <v>416</v>
          </cell>
          <cell r="CH470">
            <v>332</v>
          </cell>
          <cell r="CI470">
            <v>192</v>
          </cell>
          <cell r="CJ470">
            <v>384</v>
          </cell>
          <cell r="CK470">
            <v>320</v>
          </cell>
          <cell r="CL470">
            <v>224</v>
          </cell>
          <cell r="CM470">
            <v>288</v>
          </cell>
          <cell r="CN470">
            <v>192</v>
          </cell>
          <cell r="CO470">
            <v>384</v>
          </cell>
          <cell r="CP470">
            <v>384</v>
          </cell>
          <cell r="CQ470">
            <v>288</v>
          </cell>
          <cell r="CR470">
            <v>320</v>
          </cell>
          <cell r="CS470">
            <v>96</v>
          </cell>
          <cell r="CT470">
            <v>352</v>
          </cell>
          <cell r="CU470">
            <v>256</v>
          </cell>
          <cell r="CV470">
            <v>256</v>
          </cell>
          <cell r="CW470">
            <v>224</v>
          </cell>
          <cell r="CX470">
            <v>251.8</v>
          </cell>
          <cell r="CY470">
            <v>224</v>
          </cell>
          <cell r="CZ470">
            <v>237.9</v>
          </cell>
          <cell r="DA470">
            <v>256</v>
          </cell>
          <cell r="DB470">
            <v>160</v>
          </cell>
          <cell r="DC470">
            <v>288</v>
          </cell>
          <cell r="DD470">
            <v>256</v>
          </cell>
          <cell r="DE470">
            <v>288</v>
          </cell>
          <cell r="DF470">
            <v>288</v>
          </cell>
          <cell r="DG470">
            <v>256</v>
          </cell>
          <cell r="DH470">
            <v>96</v>
          </cell>
          <cell r="DI470">
            <v>71</v>
          </cell>
          <cell r="DJ470">
            <v>168</v>
          </cell>
          <cell r="DK470">
            <v>180</v>
          </cell>
          <cell r="DL470">
            <v>248</v>
          </cell>
          <cell r="DM470">
            <v>268</v>
          </cell>
          <cell r="DN470">
            <v>344</v>
          </cell>
          <cell r="DO470">
            <v>288</v>
          </cell>
          <cell r="DP470">
            <v>192</v>
          </cell>
          <cell r="DQ470">
            <v>256</v>
          </cell>
          <cell r="DR470">
            <v>224</v>
          </cell>
          <cell r="DS470">
            <v>288</v>
          </cell>
          <cell r="DT470">
            <v>248</v>
          </cell>
          <cell r="DU470">
            <v>352</v>
          </cell>
          <cell r="DV470">
            <v>256</v>
          </cell>
          <cell r="DW470">
            <v>224</v>
          </cell>
          <cell r="DX470">
            <v>224</v>
          </cell>
          <cell r="DY470">
            <v>320</v>
          </cell>
          <cell r="DZ470">
            <v>320</v>
          </cell>
          <cell r="EA470">
            <v>480</v>
          </cell>
          <cell r="EB470">
            <v>256</v>
          </cell>
          <cell r="EC470">
            <v>256</v>
          </cell>
          <cell r="ED470">
            <v>352</v>
          </cell>
          <cell r="EE470">
            <v>224</v>
          </cell>
          <cell r="EF470">
            <v>256</v>
          </cell>
          <cell r="EG470">
            <v>480</v>
          </cell>
          <cell r="EH470" t="str">
            <v>ACTIVO</v>
          </cell>
          <cell r="EI470" t="str">
            <v>B</v>
          </cell>
          <cell r="EJ470">
            <v>600</v>
          </cell>
          <cell r="EK470">
            <v>271</v>
          </cell>
          <cell r="EL470">
            <v>45.166666666666664</v>
          </cell>
        </row>
        <row r="471">
          <cell r="F471">
            <v>405336</v>
          </cell>
          <cell r="G471" t="str">
            <v>CINTA DE EMBALAJE 72x100 REMINISEN</v>
          </cell>
          <cell r="DJ471">
            <v>36</v>
          </cell>
          <cell r="DK471">
            <v>208</v>
          </cell>
          <cell r="DL471">
            <v>108</v>
          </cell>
          <cell r="EH471" t="str">
            <v>ACTIVO</v>
          </cell>
          <cell r="EI471" t="str">
            <v/>
          </cell>
          <cell r="EJ471" t="str">
            <v/>
          </cell>
          <cell r="EK471">
            <v>117.33333333333333</v>
          </cell>
          <cell r="EL471">
            <v>19.555555555555554</v>
          </cell>
        </row>
        <row r="472">
          <cell r="H472">
            <v>64</v>
          </cell>
          <cell r="I472">
            <v>48</v>
          </cell>
          <cell r="K472">
            <v>96</v>
          </cell>
          <cell r="N472">
            <v>96</v>
          </cell>
          <cell r="O472">
            <v>96</v>
          </cell>
          <cell r="P472">
            <v>64</v>
          </cell>
          <cell r="S472">
            <v>64</v>
          </cell>
          <cell r="U472">
            <v>64</v>
          </cell>
          <cell r="V472">
            <v>64</v>
          </cell>
          <cell r="W472">
            <v>64</v>
          </cell>
          <cell r="Z472">
            <v>96</v>
          </cell>
          <cell r="AB472">
            <v>320</v>
          </cell>
          <cell r="AD472">
            <v>256</v>
          </cell>
          <cell r="AE472">
            <v>136</v>
          </cell>
          <cell r="AF472">
            <v>24</v>
          </cell>
          <cell r="AG472">
            <v>160</v>
          </cell>
          <cell r="AJ472">
            <v>64</v>
          </cell>
          <cell r="AK472">
            <v>160</v>
          </cell>
          <cell r="AL472">
            <v>155</v>
          </cell>
          <cell r="AO472">
            <v>32</v>
          </cell>
          <cell r="AP472">
            <v>160</v>
          </cell>
          <cell r="AQ472">
            <v>64</v>
          </cell>
          <cell r="AR472">
            <v>384</v>
          </cell>
          <cell r="AS472">
            <v>256</v>
          </cell>
          <cell r="AT472">
            <v>448</v>
          </cell>
          <cell r="AU472">
            <v>352</v>
          </cell>
          <cell r="AV472">
            <v>512</v>
          </cell>
          <cell r="AW472">
            <v>384</v>
          </cell>
          <cell r="AX472">
            <v>544</v>
          </cell>
          <cell r="AY472">
            <v>448</v>
          </cell>
          <cell r="AZ472">
            <v>480</v>
          </cell>
          <cell r="BA472">
            <v>448</v>
          </cell>
          <cell r="BB472">
            <v>384</v>
          </cell>
          <cell r="BC472">
            <v>288</v>
          </cell>
          <cell r="BD472">
            <v>320</v>
          </cell>
          <cell r="BE472">
            <v>480</v>
          </cell>
          <cell r="BF472">
            <v>384</v>
          </cell>
          <cell r="BG472">
            <v>416</v>
          </cell>
          <cell r="BH472">
            <v>160</v>
          </cell>
          <cell r="BI472">
            <v>384</v>
          </cell>
          <cell r="BJ472">
            <v>448</v>
          </cell>
          <cell r="BK472">
            <v>448</v>
          </cell>
          <cell r="BL472">
            <v>384</v>
          </cell>
          <cell r="BM472">
            <v>352</v>
          </cell>
          <cell r="BN472">
            <v>481</v>
          </cell>
          <cell r="BO472">
            <v>290</v>
          </cell>
          <cell r="BP472">
            <v>224</v>
          </cell>
          <cell r="BQ472">
            <v>352</v>
          </cell>
          <cell r="BR472">
            <v>256</v>
          </cell>
          <cell r="BS472">
            <v>288</v>
          </cell>
          <cell r="BT472">
            <v>784</v>
          </cell>
          <cell r="BU472">
            <v>448</v>
          </cell>
          <cell r="BV472">
            <v>256</v>
          </cell>
          <cell r="BW472">
            <v>512</v>
          </cell>
          <cell r="BX472">
            <v>480</v>
          </cell>
          <cell r="BY472">
            <v>192</v>
          </cell>
          <cell r="BZ472">
            <v>544</v>
          </cell>
          <cell r="CA472">
            <v>352</v>
          </cell>
          <cell r="CB472">
            <v>320</v>
          </cell>
          <cell r="CC472">
            <v>288</v>
          </cell>
          <cell r="CD472">
            <v>251.8</v>
          </cell>
          <cell r="CE472">
            <v>352</v>
          </cell>
          <cell r="CF472">
            <v>320</v>
          </cell>
          <cell r="CG472">
            <v>416</v>
          </cell>
          <cell r="CH472">
            <v>332</v>
          </cell>
          <cell r="CI472">
            <v>192</v>
          </cell>
          <cell r="CJ472">
            <v>384</v>
          </cell>
          <cell r="CK472">
            <v>320</v>
          </cell>
          <cell r="CL472">
            <v>224</v>
          </cell>
          <cell r="CM472">
            <v>288</v>
          </cell>
          <cell r="CN472">
            <v>192</v>
          </cell>
          <cell r="CO472">
            <v>384</v>
          </cell>
          <cell r="CP472">
            <v>384</v>
          </cell>
          <cell r="CQ472">
            <v>288</v>
          </cell>
          <cell r="CR472">
            <v>320</v>
          </cell>
          <cell r="CS472">
            <v>96</v>
          </cell>
          <cell r="CT472">
            <v>352</v>
          </cell>
          <cell r="CU472">
            <v>256</v>
          </cell>
          <cell r="CV472">
            <v>256</v>
          </cell>
          <cell r="CW472">
            <v>224</v>
          </cell>
          <cell r="CX472">
            <v>251.8</v>
          </cell>
          <cell r="CY472">
            <v>224</v>
          </cell>
          <cell r="CZ472">
            <v>237.9</v>
          </cell>
          <cell r="DA472">
            <v>256</v>
          </cell>
          <cell r="DB472">
            <v>160</v>
          </cell>
          <cell r="DC472">
            <v>288</v>
          </cell>
          <cell r="DD472">
            <v>256</v>
          </cell>
          <cell r="DE472">
            <v>288</v>
          </cell>
          <cell r="DF472">
            <v>288</v>
          </cell>
          <cell r="DG472">
            <v>256</v>
          </cell>
          <cell r="DH472">
            <v>96</v>
          </cell>
          <cell r="DI472">
            <v>71</v>
          </cell>
          <cell r="DJ472">
            <v>204</v>
          </cell>
          <cell r="DK472">
            <v>388</v>
          </cell>
          <cell r="DL472">
            <v>356</v>
          </cell>
          <cell r="DM472">
            <v>268</v>
          </cell>
          <cell r="DN472">
            <v>344</v>
          </cell>
          <cell r="DO472">
            <v>288</v>
          </cell>
          <cell r="DP472">
            <v>192</v>
          </cell>
          <cell r="DQ472">
            <v>256</v>
          </cell>
          <cell r="DR472">
            <v>224</v>
          </cell>
          <cell r="DS472">
            <v>288</v>
          </cell>
          <cell r="DT472">
            <v>248</v>
          </cell>
          <cell r="DU472">
            <v>352</v>
          </cell>
          <cell r="DV472">
            <v>256</v>
          </cell>
          <cell r="DW472">
            <v>224</v>
          </cell>
          <cell r="DX472">
            <v>224</v>
          </cell>
          <cell r="DY472">
            <v>320</v>
          </cell>
          <cell r="DZ472">
            <v>320</v>
          </cell>
          <cell r="EA472">
            <v>480</v>
          </cell>
          <cell r="EB472">
            <v>256</v>
          </cell>
          <cell r="EC472">
            <v>256</v>
          </cell>
          <cell r="ED472">
            <v>352</v>
          </cell>
          <cell r="EE472">
            <v>224</v>
          </cell>
          <cell r="EF472">
            <v>256</v>
          </cell>
          <cell r="EG472">
            <v>480</v>
          </cell>
          <cell r="EH472" t="str">
            <v>ACTIVO</v>
          </cell>
          <cell r="EI472" t="str">
            <v/>
          </cell>
          <cell r="EJ472" t="str">
            <v/>
          </cell>
          <cell r="EK472">
            <v>285.08</v>
          </cell>
          <cell r="EL472">
            <v>47.513333333333328</v>
          </cell>
        </row>
        <row r="473">
          <cell r="F473">
            <v>402130</v>
          </cell>
          <cell r="G473" t="str">
            <v>NUEZ PICADILLO LAS TRES ERRES</v>
          </cell>
          <cell r="H473">
            <v>5</v>
          </cell>
          <cell r="O473">
            <v>60</v>
          </cell>
          <cell r="AU473">
            <v>10</v>
          </cell>
          <cell r="AV473">
            <v>20</v>
          </cell>
          <cell r="AW473">
            <v>45</v>
          </cell>
          <cell r="AX473">
            <v>40</v>
          </cell>
          <cell r="AY473">
            <v>45</v>
          </cell>
          <cell r="AZ473">
            <v>90</v>
          </cell>
          <cell r="BA473">
            <v>30</v>
          </cell>
          <cell r="BB473">
            <v>145</v>
          </cell>
          <cell r="BC473">
            <v>45</v>
          </cell>
          <cell r="BD473">
            <v>35</v>
          </cell>
          <cell r="BE473">
            <v>60</v>
          </cell>
          <cell r="BF473">
            <v>30</v>
          </cell>
          <cell r="BG473">
            <v>20</v>
          </cell>
          <cell r="BH473">
            <v>15</v>
          </cell>
          <cell r="BI473">
            <v>110</v>
          </cell>
          <cell r="BJ473">
            <v>10</v>
          </cell>
          <cell r="BK473">
            <v>130</v>
          </cell>
          <cell r="BL473">
            <v>40</v>
          </cell>
          <cell r="BM473">
            <v>65</v>
          </cell>
          <cell r="BN473">
            <v>30</v>
          </cell>
          <cell r="BO473">
            <v>35</v>
          </cell>
          <cell r="BP473">
            <v>140</v>
          </cell>
          <cell r="BQ473">
            <v>40</v>
          </cell>
          <cell r="BR473">
            <v>35</v>
          </cell>
          <cell r="BS473">
            <v>65</v>
          </cell>
          <cell r="BT473">
            <v>45</v>
          </cell>
          <cell r="BU473">
            <v>49</v>
          </cell>
          <cell r="BV473">
            <v>60</v>
          </cell>
          <cell r="BW473">
            <v>30</v>
          </cell>
          <cell r="BX473">
            <v>30</v>
          </cell>
          <cell r="BY473">
            <v>20</v>
          </cell>
          <cell r="BZ473">
            <v>5</v>
          </cell>
          <cell r="CA473">
            <v>85</v>
          </cell>
          <cell r="CB473">
            <v>30</v>
          </cell>
          <cell r="CC473">
            <v>50</v>
          </cell>
          <cell r="CD473">
            <v>65</v>
          </cell>
          <cell r="CE473">
            <v>35</v>
          </cell>
          <cell r="CF473">
            <v>45</v>
          </cell>
          <cell r="CG473">
            <v>45</v>
          </cell>
          <cell r="CH473">
            <v>30</v>
          </cell>
          <cell r="CI473">
            <v>45</v>
          </cell>
          <cell r="CJ473">
            <v>30</v>
          </cell>
          <cell r="CK473">
            <v>45</v>
          </cell>
          <cell r="CL473">
            <v>15</v>
          </cell>
          <cell r="CM473">
            <v>10</v>
          </cell>
          <cell r="CN473">
            <v>25</v>
          </cell>
          <cell r="CO473">
            <v>40</v>
          </cell>
          <cell r="CP473">
            <v>45</v>
          </cell>
          <cell r="CQ473">
            <v>5</v>
          </cell>
          <cell r="DX473">
            <v>25</v>
          </cell>
          <cell r="DY473">
            <v>5</v>
          </cell>
          <cell r="DZ473">
            <v>10</v>
          </cell>
          <cell r="EA473">
            <v>5</v>
          </cell>
          <cell r="EB473">
            <v>10</v>
          </cell>
          <cell r="EF473">
            <v>30</v>
          </cell>
          <cell r="EG473">
            <v>40</v>
          </cell>
          <cell r="EH473" t="str">
            <v>ACTIVO</v>
          </cell>
          <cell r="EI473" t="str">
            <v>C</v>
          </cell>
          <cell r="EJ473">
            <v>0</v>
          </cell>
          <cell r="EK473">
            <v>17.857142857142858</v>
          </cell>
          <cell r="EL473">
            <v>2.9761904761904763</v>
          </cell>
        </row>
        <row r="474">
          <cell r="F474">
            <v>405543</v>
          </cell>
          <cell r="G474" t="str">
            <v>NUEZ PICADILLO CAMPOS</v>
          </cell>
          <cell r="CL474">
            <v>30</v>
          </cell>
          <cell r="CM474">
            <v>50</v>
          </cell>
          <cell r="CN474">
            <v>15</v>
          </cell>
          <cell r="CQ474">
            <v>80</v>
          </cell>
          <cell r="CR474">
            <v>80</v>
          </cell>
          <cell r="CS474">
            <v>10</v>
          </cell>
          <cell r="CT474">
            <v>40</v>
          </cell>
          <cell r="CU474">
            <v>45</v>
          </cell>
          <cell r="CV474">
            <v>60</v>
          </cell>
          <cell r="CW474">
            <v>70</v>
          </cell>
          <cell r="CX474">
            <v>35</v>
          </cell>
          <cell r="CY474">
            <v>55</v>
          </cell>
          <cell r="CZ474">
            <v>90</v>
          </cell>
          <cell r="DA474">
            <v>70</v>
          </cell>
          <cell r="DB474">
            <v>35</v>
          </cell>
          <cell r="DC474">
            <v>40</v>
          </cell>
          <cell r="DD474">
            <v>40</v>
          </cell>
          <cell r="DE474">
            <v>50</v>
          </cell>
          <cell r="DF474">
            <v>55</v>
          </cell>
          <cell r="DG474">
            <v>50</v>
          </cell>
          <cell r="DH474">
            <v>35</v>
          </cell>
          <cell r="DI474">
            <v>10</v>
          </cell>
          <cell r="DJ474">
            <v>45</v>
          </cell>
          <cell r="DK474">
            <v>50</v>
          </cell>
          <cell r="DL474">
            <v>45</v>
          </cell>
          <cell r="DM474">
            <v>50</v>
          </cell>
          <cell r="DN474">
            <v>30</v>
          </cell>
          <cell r="DO474">
            <v>30</v>
          </cell>
          <cell r="DP474">
            <v>30</v>
          </cell>
          <cell r="DQ474">
            <v>30</v>
          </cell>
          <cell r="DR474">
            <v>50</v>
          </cell>
          <cell r="DS474">
            <v>30</v>
          </cell>
          <cell r="DT474">
            <v>50</v>
          </cell>
          <cell r="DU474">
            <v>40</v>
          </cell>
          <cell r="DV474">
            <v>40</v>
          </cell>
          <cell r="DW474">
            <v>45</v>
          </cell>
          <cell r="DX474">
            <v>40</v>
          </cell>
          <cell r="DY474">
            <v>60</v>
          </cell>
          <cell r="DZ474">
            <v>40</v>
          </cell>
          <cell r="EA474">
            <v>25</v>
          </cell>
          <cell r="EB474">
            <v>40</v>
          </cell>
          <cell r="EC474">
            <v>30</v>
          </cell>
          <cell r="ED474">
            <v>40</v>
          </cell>
          <cell r="EE474">
            <v>35</v>
          </cell>
          <cell r="EF474">
            <v>30</v>
          </cell>
          <cell r="EH474" t="str">
            <v>ACTIVO</v>
          </cell>
          <cell r="EI474" t="str">
            <v>C</v>
          </cell>
          <cell r="EJ474" t="str">
            <v/>
          </cell>
          <cell r="EK474">
            <v>38.125</v>
          </cell>
          <cell r="EL474">
            <v>6.354166666666667</v>
          </cell>
        </row>
        <row r="475">
          <cell r="F475">
            <v>405305</v>
          </cell>
          <cell r="G475" t="str">
            <v>ESENCIA CAFE CARAMELO SABORES Y FRAGANCIA</v>
          </cell>
          <cell r="AO475">
            <v>20</v>
          </cell>
          <cell r="BB475">
            <v>20</v>
          </cell>
          <cell r="BD475">
            <v>20</v>
          </cell>
          <cell r="BY475">
            <v>20</v>
          </cell>
          <cell r="CI475">
            <v>20</v>
          </cell>
          <cell r="CY475">
            <v>20</v>
          </cell>
          <cell r="EH475" t="str">
            <v>SIN USO</v>
          </cell>
          <cell r="EI475" t="str">
            <v>C</v>
          </cell>
          <cell r="EJ475">
            <v>20</v>
          </cell>
          <cell r="EK475">
            <v>0</v>
          </cell>
          <cell r="EL475">
            <v>0</v>
          </cell>
        </row>
        <row r="476">
          <cell r="F476">
            <v>106302</v>
          </cell>
          <cell r="G476" t="str">
            <v>CANELA EN POLVO ALTO LA CRUZ</v>
          </cell>
          <cell r="O476">
            <v>10</v>
          </cell>
          <cell r="EH476" t="str">
            <v>SIN USO</v>
          </cell>
          <cell r="EI476" t="str">
            <v/>
          </cell>
          <cell r="EJ476" t="str">
            <v/>
          </cell>
          <cell r="EK476">
            <v>0</v>
          </cell>
          <cell r="EL476">
            <v>0</v>
          </cell>
        </row>
        <row r="477">
          <cell r="F477">
            <v>106401</v>
          </cell>
          <cell r="G477" t="str">
            <v>CAFE POLVO WINKLER</v>
          </cell>
          <cell r="H477">
            <v>1</v>
          </cell>
          <cell r="I477">
            <v>7.5</v>
          </cell>
          <cell r="J477">
            <v>5</v>
          </cell>
          <cell r="K477">
            <v>13</v>
          </cell>
          <cell r="L477">
            <v>5.5</v>
          </cell>
          <cell r="M477">
            <v>5</v>
          </cell>
          <cell r="N477">
            <v>7</v>
          </cell>
          <cell r="O477">
            <v>13</v>
          </cell>
          <cell r="P477">
            <v>6</v>
          </cell>
          <cell r="Q477">
            <v>9</v>
          </cell>
          <cell r="R477">
            <v>4</v>
          </cell>
          <cell r="S477">
            <v>4.5</v>
          </cell>
          <cell r="T477">
            <v>6.5</v>
          </cell>
          <cell r="U477">
            <v>4.5</v>
          </cell>
          <cell r="W477">
            <v>2</v>
          </cell>
          <cell r="X477">
            <v>9.5</v>
          </cell>
          <cell r="Y477">
            <v>3.5</v>
          </cell>
          <cell r="Z477">
            <v>0.5</v>
          </cell>
          <cell r="AA477">
            <v>8</v>
          </cell>
          <cell r="AB477">
            <v>12</v>
          </cell>
          <cell r="AC477">
            <v>7.5</v>
          </cell>
          <cell r="AD477">
            <v>5.5</v>
          </cell>
          <cell r="AE477">
            <v>4</v>
          </cell>
          <cell r="AF477">
            <v>6.5</v>
          </cell>
          <cell r="AG477">
            <v>4.5</v>
          </cell>
          <cell r="AH477">
            <v>6</v>
          </cell>
          <cell r="AI477">
            <v>14.5</v>
          </cell>
          <cell r="AJ477">
            <v>4</v>
          </cell>
          <cell r="AK477">
            <v>9.5</v>
          </cell>
          <cell r="AL477">
            <v>7.5</v>
          </cell>
          <cell r="AM477">
            <v>1</v>
          </cell>
          <cell r="AN477">
            <v>8.5</v>
          </cell>
          <cell r="AO477">
            <v>11</v>
          </cell>
          <cell r="AP477">
            <v>13.5</v>
          </cell>
          <cell r="AQ477">
            <v>14</v>
          </cell>
          <cell r="AR477">
            <v>8</v>
          </cell>
          <cell r="AS477">
            <v>7</v>
          </cell>
          <cell r="AT477">
            <v>5</v>
          </cell>
          <cell r="AU477">
            <v>10</v>
          </cell>
          <cell r="AV477">
            <v>9</v>
          </cell>
          <cell r="AW477">
            <v>26</v>
          </cell>
          <cell r="AX477">
            <v>10</v>
          </cell>
          <cell r="AY477">
            <v>8</v>
          </cell>
          <cell r="AZ477">
            <v>10.5</v>
          </cell>
          <cell r="BA477">
            <v>7.5</v>
          </cell>
          <cell r="BB477">
            <v>98</v>
          </cell>
          <cell r="BC477">
            <v>5.5</v>
          </cell>
          <cell r="BD477">
            <v>19.5</v>
          </cell>
          <cell r="BE477">
            <v>12.5</v>
          </cell>
          <cell r="BF477">
            <v>9.5</v>
          </cell>
          <cell r="BG477">
            <v>20</v>
          </cell>
          <cell r="BH477">
            <v>3.5</v>
          </cell>
          <cell r="BI477">
            <v>5.5</v>
          </cell>
          <cell r="BJ477">
            <v>4</v>
          </cell>
          <cell r="BK477">
            <v>24</v>
          </cell>
          <cell r="BL477">
            <v>7</v>
          </cell>
          <cell r="BM477">
            <v>19</v>
          </cell>
          <cell r="BN477">
            <v>19</v>
          </cell>
          <cell r="BO477">
            <v>5</v>
          </cell>
          <cell r="BP477">
            <v>6</v>
          </cell>
          <cell r="BQ477">
            <v>41</v>
          </cell>
          <cell r="BR477">
            <v>14</v>
          </cell>
          <cell r="BS477">
            <v>19.5</v>
          </cell>
          <cell r="BT477">
            <v>51.5</v>
          </cell>
          <cell r="BU477">
            <v>7</v>
          </cell>
          <cell r="BV477">
            <v>19</v>
          </cell>
          <cell r="BW477">
            <v>8.5</v>
          </cell>
          <cell r="BX477">
            <v>11</v>
          </cell>
          <cell r="BY477">
            <v>16.5</v>
          </cell>
          <cell r="BZ477">
            <v>6</v>
          </cell>
          <cell r="CA477">
            <v>8</v>
          </cell>
          <cell r="CB477">
            <v>0.5</v>
          </cell>
          <cell r="CC477">
            <v>12</v>
          </cell>
          <cell r="CD477">
            <v>4.5</v>
          </cell>
          <cell r="CE477">
            <v>20.5</v>
          </cell>
          <cell r="CF477">
            <v>43.5</v>
          </cell>
          <cell r="CG477">
            <v>3.5</v>
          </cell>
          <cell r="CH477">
            <v>10</v>
          </cell>
          <cell r="CI477">
            <v>16</v>
          </cell>
          <cell r="CJ477">
            <v>2.5</v>
          </cell>
          <cell r="CK477">
            <v>15</v>
          </cell>
          <cell r="CL477">
            <v>9</v>
          </cell>
          <cell r="CM477">
            <v>6</v>
          </cell>
          <cell r="CN477">
            <v>15</v>
          </cell>
          <cell r="CO477">
            <v>10.5</v>
          </cell>
          <cell r="CP477">
            <v>9</v>
          </cell>
          <cell r="CQ477">
            <v>7</v>
          </cell>
          <cell r="CR477">
            <v>4.5</v>
          </cell>
          <cell r="CS477">
            <v>4</v>
          </cell>
          <cell r="CT477">
            <v>9</v>
          </cell>
          <cell r="CU477">
            <v>9.5</v>
          </cell>
          <cell r="CX477">
            <v>10</v>
          </cell>
          <cell r="CZ477">
            <v>8</v>
          </cell>
          <cell r="DD477">
            <v>8.5</v>
          </cell>
          <cell r="DG477">
            <v>10</v>
          </cell>
          <cell r="DJ477">
            <v>3.5</v>
          </cell>
          <cell r="DL477">
            <v>7</v>
          </cell>
          <cell r="DM477">
            <v>4</v>
          </cell>
          <cell r="DN477">
            <v>3.5</v>
          </cell>
          <cell r="DO477">
            <v>8</v>
          </cell>
          <cell r="DP477">
            <v>4.5</v>
          </cell>
          <cell r="DQ477">
            <v>3.5</v>
          </cell>
          <cell r="DR477">
            <v>6</v>
          </cell>
          <cell r="DS477">
            <v>7</v>
          </cell>
          <cell r="DT477">
            <v>14</v>
          </cell>
          <cell r="DU477">
            <v>1</v>
          </cell>
          <cell r="DV477">
            <v>8.5</v>
          </cell>
          <cell r="DX477">
            <v>4.5</v>
          </cell>
          <cell r="DY477">
            <v>1.5</v>
          </cell>
          <cell r="DZ477">
            <v>7.5</v>
          </cell>
          <cell r="EE477">
            <v>13.5</v>
          </cell>
          <cell r="EF477">
            <v>1</v>
          </cell>
          <cell r="EH477" t="str">
            <v>ACTIVO</v>
          </cell>
          <cell r="EI477" t="str">
            <v>C</v>
          </cell>
          <cell r="EJ477">
            <v>300</v>
          </cell>
          <cell r="EK477">
            <v>5.7941176470588234</v>
          </cell>
          <cell r="EL477">
            <v>0.96568627450980393</v>
          </cell>
        </row>
        <row r="478">
          <cell r="F478">
            <v>107134</v>
          </cell>
          <cell r="G478" t="str">
            <v>COCO RALLADO ALTO LA CRUZ</v>
          </cell>
          <cell r="H478">
            <v>130</v>
          </cell>
          <cell r="I478">
            <v>110</v>
          </cell>
          <cell r="J478">
            <v>190</v>
          </cell>
          <cell r="K478">
            <v>290</v>
          </cell>
          <cell r="L478">
            <v>140</v>
          </cell>
          <cell r="M478">
            <v>145</v>
          </cell>
          <cell r="N478">
            <v>70</v>
          </cell>
          <cell r="O478">
            <v>302.52</v>
          </cell>
          <cell r="P478">
            <v>110</v>
          </cell>
          <cell r="Q478">
            <v>135</v>
          </cell>
          <cell r="R478">
            <v>130</v>
          </cell>
          <cell r="S478">
            <v>140</v>
          </cell>
          <cell r="T478">
            <v>90</v>
          </cell>
          <cell r="U478">
            <v>140</v>
          </cell>
          <cell r="V478">
            <v>105</v>
          </cell>
          <cell r="W478">
            <v>135</v>
          </cell>
          <cell r="X478">
            <v>250</v>
          </cell>
          <cell r="Y478">
            <v>110</v>
          </cell>
          <cell r="Z478">
            <v>50</v>
          </cell>
          <cell r="AA478">
            <v>105</v>
          </cell>
          <cell r="AB478">
            <v>125</v>
          </cell>
          <cell r="AC478">
            <v>115</v>
          </cell>
          <cell r="AD478">
            <v>180</v>
          </cell>
          <cell r="AE478">
            <v>140</v>
          </cell>
          <cell r="AF478">
            <v>115</v>
          </cell>
          <cell r="AG478">
            <v>115</v>
          </cell>
          <cell r="AH478">
            <v>130</v>
          </cell>
          <cell r="AI478">
            <v>155</v>
          </cell>
          <cell r="AJ478">
            <v>130.16</v>
          </cell>
          <cell r="AK478">
            <v>115</v>
          </cell>
          <cell r="AL478">
            <v>220</v>
          </cell>
          <cell r="AM478">
            <v>150</v>
          </cell>
          <cell r="AN478">
            <v>90</v>
          </cell>
          <cell r="AO478">
            <v>85</v>
          </cell>
          <cell r="AP478">
            <v>130</v>
          </cell>
          <cell r="AQ478">
            <v>90</v>
          </cell>
          <cell r="AR478">
            <v>100</v>
          </cell>
          <cell r="AS478">
            <v>100</v>
          </cell>
          <cell r="AT478">
            <v>85</v>
          </cell>
          <cell r="AU478">
            <v>95</v>
          </cell>
          <cell r="AV478">
            <v>100</v>
          </cell>
          <cell r="AW478">
            <v>155</v>
          </cell>
          <cell r="AX478">
            <v>200</v>
          </cell>
          <cell r="AY478">
            <v>95</v>
          </cell>
          <cell r="AZ478">
            <v>100</v>
          </cell>
          <cell r="BA478">
            <v>105</v>
          </cell>
          <cell r="BB478">
            <v>185</v>
          </cell>
          <cell r="BC478">
            <v>100</v>
          </cell>
          <cell r="BD478">
            <v>110</v>
          </cell>
          <cell r="BE478">
            <v>100</v>
          </cell>
          <cell r="BF478">
            <v>119</v>
          </cell>
          <cell r="BG478">
            <v>140</v>
          </cell>
          <cell r="BH478">
            <v>60</v>
          </cell>
          <cell r="BI478">
            <v>110</v>
          </cell>
          <cell r="BJ478">
            <v>80</v>
          </cell>
          <cell r="BK478">
            <v>170</v>
          </cell>
          <cell r="BL478">
            <v>165</v>
          </cell>
          <cell r="BM478">
            <v>100</v>
          </cell>
          <cell r="BN478">
            <v>190</v>
          </cell>
          <cell r="BO478">
            <v>155</v>
          </cell>
          <cell r="BP478">
            <v>120</v>
          </cell>
          <cell r="BQ478">
            <v>80</v>
          </cell>
          <cell r="BR478">
            <v>200</v>
          </cell>
          <cell r="BS478">
            <v>170</v>
          </cell>
          <cell r="BT478">
            <v>230</v>
          </cell>
          <cell r="BU478">
            <v>100</v>
          </cell>
          <cell r="BV478">
            <v>105</v>
          </cell>
          <cell r="BW478">
            <v>145</v>
          </cell>
          <cell r="BX478">
            <v>255</v>
          </cell>
          <cell r="BY478">
            <v>115</v>
          </cell>
          <cell r="BZ478">
            <v>25</v>
          </cell>
          <cell r="CA478">
            <v>80</v>
          </cell>
          <cell r="CB478">
            <v>160</v>
          </cell>
          <cell r="CC478">
            <v>125</v>
          </cell>
          <cell r="CD478">
            <v>80</v>
          </cell>
          <cell r="CE478">
            <v>30</v>
          </cell>
          <cell r="CF478">
            <v>180</v>
          </cell>
          <cell r="CG478">
            <v>151</v>
          </cell>
          <cell r="CH478">
            <v>40</v>
          </cell>
          <cell r="CI478">
            <v>150</v>
          </cell>
          <cell r="CK478">
            <v>195</v>
          </cell>
          <cell r="CL478">
            <v>110</v>
          </cell>
          <cell r="CM478">
            <v>115</v>
          </cell>
          <cell r="CN478">
            <v>165</v>
          </cell>
          <cell r="CO478">
            <v>135</v>
          </cell>
          <cell r="CP478">
            <v>175</v>
          </cell>
          <cell r="CQ478">
            <v>180</v>
          </cell>
          <cell r="CR478">
            <v>205</v>
          </cell>
          <cell r="CS478">
            <v>95</v>
          </cell>
          <cell r="CT478">
            <v>110</v>
          </cell>
          <cell r="CU478">
            <v>10</v>
          </cell>
          <cell r="CV478">
            <v>135</v>
          </cell>
          <cell r="CW478">
            <v>75</v>
          </cell>
          <cell r="CX478">
            <v>130</v>
          </cell>
          <cell r="CY478">
            <v>80</v>
          </cell>
          <cell r="CZ478">
            <v>80</v>
          </cell>
          <cell r="DA478">
            <v>185</v>
          </cell>
          <cell r="DB478">
            <v>180</v>
          </cell>
          <cell r="DC478">
            <v>120</v>
          </cell>
          <cell r="DD478">
            <v>70</v>
          </cell>
          <cell r="DE478">
            <v>135</v>
          </cell>
          <cell r="DF478">
            <v>30</v>
          </cell>
          <cell r="DG478">
            <v>10</v>
          </cell>
          <cell r="DH478">
            <v>10</v>
          </cell>
          <cell r="DI478">
            <v>10</v>
          </cell>
          <cell r="DJ478">
            <v>135</v>
          </cell>
          <cell r="DK478">
            <v>120</v>
          </cell>
          <cell r="DL478">
            <v>115</v>
          </cell>
          <cell r="DM478">
            <v>120</v>
          </cell>
          <cell r="DN478">
            <v>160</v>
          </cell>
          <cell r="DO478">
            <v>90</v>
          </cell>
          <cell r="DP478">
            <v>140</v>
          </cell>
          <cell r="DQ478">
            <v>110</v>
          </cell>
          <cell r="DR478">
            <v>100</v>
          </cell>
          <cell r="DS478">
            <v>90</v>
          </cell>
          <cell r="DT478">
            <v>55</v>
          </cell>
          <cell r="DU478">
            <v>115</v>
          </cell>
          <cell r="DV478">
            <v>60</v>
          </cell>
          <cell r="DW478">
            <v>75</v>
          </cell>
          <cell r="DX478">
            <v>160</v>
          </cell>
          <cell r="DY478">
            <v>250</v>
          </cell>
          <cell r="DZ478">
            <v>90</v>
          </cell>
          <cell r="EB478">
            <v>120</v>
          </cell>
          <cell r="EC478">
            <v>95</v>
          </cell>
          <cell r="ED478">
            <v>160</v>
          </cell>
          <cell r="EE478">
            <v>100</v>
          </cell>
          <cell r="EF478">
            <v>110.28</v>
          </cell>
          <cell r="EG478">
            <v>100</v>
          </cell>
          <cell r="EH478" t="str">
            <v>ACTIVO</v>
          </cell>
          <cell r="EI478" t="str">
            <v>B</v>
          </cell>
          <cell r="EJ478">
            <v>300</v>
          </cell>
          <cell r="EK478">
            <v>111.67833333333334</v>
          </cell>
          <cell r="EL478">
            <v>18.613055555555558</v>
          </cell>
        </row>
        <row r="479">
          <cell r="F479">
            <v>107326</v>
          </cell>
          <cell r="G479" t="str">
            <v>QUINOA PERLA DE COLORES ZUKKER</v>
          </cell>
          <cell r="AL479">
            <v>31</v>
          </cell>
          <cell r="AM479">
            <v>55</v>
          </cell>
          <cell r="EH479" t="str">
            <v>SIN USO</v>
          </cell>
          <cell r="EI479" t="str">
            <v>C</v>
          </cell>
          <cell r="EJ479">
            <v>3200</v>
          </cell>
          <cell r="EK479">
            <v>0</v>
          </cell>
          <cell r="EL479">
            <v>0</v>
          </cell>
        </row>
        <row r="480">
          <cell r="F480">
            <v>107148</v>
          </cell>
          <cell r="G480" t="str">
            <v>SABOR AROMA LUCUMA FRANCIAAROMA</v>
          </cell>
          <cell r="AQ480">
            <v>20</v>
          </cell>
          <cell r="BQ480">
            <v>20</v>
          </cell>
          <cell r="CA480">
            <v>20</v>
          </cell>
          <cell r="CF480">
            <v>20</v>
          </cell>
          <cell r="CK480">
            <v>20</v>
          </cell>
          <cell r="CR480">
            <v>20</v>
          </cell>
          <cell r="CZ480">
            <v>20</v>
          </cell>
          <cell r="DF480">
            <v>20</v>
          </cell>
          <cell r="DS480">
            <v>25</v>
          </cell>
          <cell r="DY480">
            <v>20</v>
          </cell>
          <cell r="ED480">
            <v>20</v>
          </cell>
          <cell r="EF480">
            <v>20</v>
          </cell>
          <cell r="EH480" t="str">
            <v>ACTIVO</v>
          </cell>
          <cell r="EI480" t="str">
            <v>C</v>
          </cell>
          <cell r="EJ480">
            <v>20</v>
          </cell>
          <cell r="EK480">
            <v>21.25</v>
          </cell>
          <cell r="EL480">
            <v>3.5416666666666665</v>
          </cell>
        </row>
        <row r="481">
          <cell r="F481">
            <v>405482</v>
          </cell>
          <cell r="G481" t="str">
            <v>ALMENDRAS FILETEADAS EGC</v>
          </cell>
          <cell r="BG481">
            <v>22.678000000000001</v>
          </cell>
          <cell r="BN481">
            <v>11.34</v>
          </cell>
          <cell r="BR481">
            <v>11.34</v>
          </cell>
          <cell r="BU481">
            <v>11.33</v>
          </cell>
          <cell r="BW481">
            <v>11.34</v>
          </cell>
          <cell r="EH481" t="str">
            <v>SIN USO</v>
          </cell>
          <cell r="EI481" t="str">
            <v>C</v>
          </cell>
          <cell r="EJ481" t="str">
            <v/>
          </cell>
          <cell r="EK481">
            <v>0</v>
          </cell>
          <cell r="EL481">
            <v>0</v>
          </cell>
        </row>
        <row r="482">
          <cell r="F482">
            <v>405682</v>
          </cell>
          <cell r="G482" t="str">
            <v>ALMENDRAS FILETEADAS TOSTADAS ALTO LA CRUZ</v>
          </cell>
          <cell r="DF482">
            <v>0</v>
          </cell>
          <cell r="DR482">
            <v>10</v>
          </cell>
          <cell r="DV482">
            <v>10</v>
          </cell>
          <cell r="DY482">
            <v>10</v>
          </cell>
          <cell r="EA482">
            <v>10</v>
          </cell>
          <cell r="EC482">
            <v>10</v>
          </cell>
          <cell r="EF482">
            <v>10</v>
          </cell>
          <cell r="EH482" t="str">
            <v>ACTIVO</v>
          </cell>
          <cell r="EI482" t="str">
            <v>C</v>
          </cell>
          <cell r="EJ482" t="str">
            <v/>
          </cell>
          <cell r="EK482">
            <v>10</v>
          </cell>
          <cell r="EL482">
            <v>1.6666666666666667</v>
          </cell>
        </row>
        <row r="483">
          <cell r="F483">
            <v>405652</v>
          </cell>
          <cell r="G483" t="str">
            <v>ESENCIA DE VAINILLA TRAVERSO EGC</v>
          </cell>
          <cell r="DF483">
            <v>0</v>
          </cell>
          <cell r="DR483">
            <v>1</v>
          </cell>
          <cell r="DS483">
            <v>2</v>
          </cell>
          <cell r="DT483">
            <v>1</v>
          </cell>
          <cell r="DU483">
            <v>2</v>
          </cell>
          <cell r="DX483">
            <v>1</v>
          </cell>
          <cell r="DY483">
            <v>3</v>
          </cell>
          <cell r="DZ483">
            <v>2</v>
          </cell>
          <cell r="EA483">
            <v>2</v>
          </cell>
          <cell r="EB483">
            <v>7</v>
          </cell>
          <cell r="EC483">
            <v>1</v>
          </cell>
          <cell r="ED483">
            <v>2</v>
          </cell>
          <cell r="EF483">
            <v>2</v>
          </cell>
          <cell r="EG483">
            <v>2</v>
          </cell>
          <cell r="EH483" t="str">
            <v>ACTIVO</v>
          </cell>
          <cell r="EI483" t="str">
            <v>C</v>
          </cell>
          <cell r="EJ483" t="str">
            <v/>
          </cell>
          <cell r="EK483">
            <v>2.1538461538461537</v>
          </cell>
          <cell r="EL483">
            <v>0.35897435897435898</v>
          </cell>
        </row>
        <row r="484">
          <cell r="F484">
            <v>405650</v>
          </cell>
          <cell r="G484" t="str">
            <v>NUEZ MARIPOSA CLARA CAMPOS</v>
          </cell>
          <cell r="DF484">
            <v>0</v>
          </cell>
          <cell r="DR484">
            <v>5</v>
          </cell>
          <cell r="DS484">
            <v>10</v>
          </cell>
          <cell r="DT484">
            <v>5</v>
          </cell>
          <cell r="DV484">
            <v>5</v>
          </cell>
          <cell r="DW484">
            <v>5</v>
          </cell>
          <cell r="DY484">
            <v>10</v>
          </cell>
          <cell r="EA484">
            <v>10</v>
          </cell>
          <cell r="EB484">
            <v>5</v>
          </cell>
          <cell r="ED484">
            <v>5</v>
          </cell>
          <cell r="EF484">
            <v>5</v>
          </cell>
          <cell r="EG484">
            <v>5</v>
          </cell>
          <cell r="EH484" t="str">
            <v>ACTIVO</v>
          </cell>
          <cell r="EI484" t="str">
            <v>C</v>
          </cell>
          <cell r="EJ484" t="str">
            <v/>
          </cell>
          <cell r="EK484">
            <v>6.3636363636363633</v>
          </cell>
          <cell r="EL484">
            <v>1.0606060606060606</v>
          </cell>
        </row>
        <row r="485">
          <cell r="F485">
            <v>405651</v>
          </cell>
          <cell r="G485" t="str">
            <v>SEMILLA DE AMAPOLA CAMPOS</v>
          </cell>
          <cell r="DF485">
            <v>0</v>
          </cell>
          <cell r="DR485">
            <v>10</v>
          </cell>
          <cell r="DS485">
            <v>15</v>
          </cell>
          <cell r="DU485">
            <v>10</v>
          </cell>
          <cell r="DV485">
            <v>10</v>
          </cell>
          <cell r="DW485">
            <v>10</v>
          </cell>
          <cell r="DX485">
            <v>25</v>
          </cell>
          <cell r="EC485">
            <v>5</v>
          </cell>
          <cell r="EE485">
            <v>25</v>
          </cell>
          <cell r="EG485">
            <v>30</v>
          </cell>
          <cell r="EH485" t="str">
            <v>ACTIVO</v>
          </cell>
          <cell r="EI485" t="str">
            <v>C</v>
          </cell>
          <cell r="EJ485" t="str">
            <v/>
          </cell>
          <cell r="EK485">
            <v>15.555555555555555</v>
          </cell>
          <cell r="EL485">
            <v>2.5925925925925926</v>
          </cell>
        </row>
        <row r="486">
          <cell r="H486">
            <v>136</v>
          </cell>
          <cell r="I486">
            <v>117.5</v>
          </cell>
          <cell r="J486">
            <v>195</v>
          </cell>
          <cell r="K486">
            <v>303</v>
          </cell>
          <cell r="L486">
            <v>145.5</v>
          </cell>
          <cell r="M486">
            <v>150</v>
          </cell>
          <cell r="N486">
            <v>77</v>
          </cell>
          <cell r="O486">
            <v>385.52</v>
          </cell>
          <cell r="P486">
            <v>116</v>
          </cell>
          <cell r="Q486">
            <v>144</v>
          </cell>
          <cell r="R486">
            <v>134</v>
          </cell>
          <cell r="S486">
            <v>144.5</v>
          </cell>
          <cell r="T486">
            <v>96.5</v>
          </cell>
          <cell r="U486">
            <v>144.5</v>
          </cell>
          <cell r="V486">
            <v>105</v>
          </cell>
          <cell r="W486">
            <v>137</v>
          </cell>
          <cell r="X486">
            <v>259.5</v>
          </cell>
          <cell r="Y486">
            <v>113.5</v>
          </cell>
          <cell r="Z486">
            <v>50.5</v>
          </cell>
          <cell r="AA486">
            <v>113</v>
          </cell>
          <cell r="AB486">
            <v>137</v>
          </cell>
          <cell r="AC486">
            <v>122.5</v>
          </cell>
          <cell r="AD486">
            <v>185.5</v>
          </cell>
          <cell r="AE486">
            <v>144</v>
          </cell>
          <cell r="AF486">
            <v>121.5</v>
          </cell>
          <cell r="AG486">
            <v>119.5</v>
          </cell>
          <cell r="AH486">
            <v>136</v>
          </cell>
          <cell r="AI486">
            <v>169.5</v>
          </cell>
          <cell r="AJ486">
            <v>134.16</v>
          </cell>
          <cell r="AK486">
            <v>124.5</v>
          </cell>
          <cell r="AL486">
            <v>258.5</v>
          </cell>
          <cell r="AM486">
            <v>206</v>
          </cell>
          <cell r="AN486">
            <v>98.5</v>
          </cell>
          <cell r="AO486">
            <v>116</v>
          </cell>
          <cell r="AP486">
            <v>143.5</v>
          </cell>
          <cell r="AQ486">
            <v>124</v>
          </cell>
          <cell r="AR486">
            <v>108</v>
          </cell>
          <cell r="AS486">
            <v>107</v>
          </cell>
          <cell r="AT486">
            <v>90</v>
          </cell>
          <cell r="AU486">
            <v>115</v>
          </cell>
          <cell r="AV486">
            <v>129</v>
          </cell>
          <cell r="AW486">
            <v>226</v>
          </cell>
          <cell r="AX486">
            <v>250</v>
          </cell>
          <cell r="AY486">
            <v>148</v>
          </cell>
          <cell r="AZ486">
            <v>200.5</v>
          </cell>
          <cell r="BA486">
            <v>142.5</v>
          </cell>
          <cell r="BB486">
            <v>448</v>
          </cell>
          <cell r="BC486">
            <v>150.5</v>
          </cell>
          <cell r="BD486">
            <v>184.5</v>
          </cell>
          <cell r="BE486">
            <v>172.5</v>
          </cell>
          <cell r="BF486">
            <v>158.5</v>
          </cell>
          <cell r="BG486">
            <v>202.678</v>
          </cell>
          <cell r="BH486">
            <v>78.5</v>
          </cell>
          <cell r="BI486">
            <v>225.5</v>
          </cell>
          <cell r="BJ486">
            <v>94</v>
          </cell>
          <cell r="BK486">
            <v>324</v>
          </cell>
          <cell r="BL486">
            <v>212</v>
          </cell>
          <cell r="BM486">
            <v>184</v>
          </cell>
          <cell r="BN486">
            <v>250.34</v>
          </cell>
          <cell r="BO486">
            <v>195</v>
          </cell>
          <cell r="BP486">
            <v>266</v>
          </cell>
          <cell r="BQ486">
            <v>181</v>
          </cell>
          <cell r="BR486">
            <v>260.33999999999997</v>
          </cell>
          <cell r="BS486">
            <v>254.5</v>
          </cell>
          <cell r="BT486">
            <v>326.5</v>
          </cell>
          <cell r="BU486">
            <v>167.33</v>
          </cell>
          <cell r="BV486">
            <v>184</v>
          </cell>
          <cell r="BW486">
            <v>194.84</v>
          </cell>
          <cell r="BX486">
            <v>296</v>
          </cell>
          <cell r="BY486">
            <v>171.5</v>
          </cell>
          <cell r="BZ486">
            <v>36</v>
          </cell>
          <cell r="CA486">
            <v>193</v>
          </cell>
          <cell r="CB486">
            <v>190.5</v>
          </cell>
          <cell r="CC486">
            <v>187</v>
          </cell>
          <cell r="CD486">
            <v>149.5</v>
          </cell>
          <cell r="CE486">
            <v>85.5</v>
          </cell>
          <cell r="CF486">
            <v>288.5</v>
          </cell>
          <cell r="CG486">
            <v>199.5</v>
          </cell>
          <cell r="CH486">
            <v>80</v>
          </cell>
          <cell r="CI486">
            <v>231</v>
          </cell>
          <cell r="CJ486">
            <v>32.5</v>
          </cell>
          <cell r="CK486">
            <v>275</v>
          </cell>
          <cell r="CL486">
            <v>164</v>
          </cell>
          <cell r="CM486">
            <v>181</v>
          </cell>
          <cell r="CN486">
            <v>220</v>
          </cell>
          <cell r="CO486">
            <v>185.5</v>
          </cell>
          <cell r="CP486">
            <v>229</v>
          </cell>
          <cell r="CQ486">
            <v>272</v>
          </cell>
          <cell r="CR486">
            <v>309.5</v>
          </cell>
          <cell r="CS486">
            <v>109</v>
          </cell>
          <cell r="CT486">
            <v>159</v>
          </cell>
          <cell r="CU486">
            <v>64.5</v>
          </cell>
          <cell r="CV486">
            <v>195</v>
          </cell>
          <cell r="CW486">
            <v>145</v>
          </cell>
          <cell r="CX486">
            <v>175</v>
          </cell>
          <cell r="CY486">
            <v>155</v>
          </cell>
          <cell r="CZ486">
            <v>198</v>
          </cell>
          <cell r="DA486">
            <v>255</v>
          </cell>
          <cell r="DB486">
            <v>215</v>
          </cell>
          <cell r="DC486">
            <v>160</v>
          </cell>
          <cell r="DD486">
            <v>118.5</v>
          </cell>
          <cell r="DE486">
            <v>185</v>
          </cell>
          <cell r="DF486">
            <v>105</v>
          </cell>
          <cell r="DG486">
            <v>70</v>
          </cell>
          <cell r="DH486">
            <v>45</v>
          </cell>
          <cell r="DI486">
            <v>20</v>
          </cell>
          <cell r="DJ486">
            <v>183.5</v>
          </cell>
          <cell r="DK486">
            <v>170</v>
          </cell>
          <cell r="DL486">
            <v>167</v>
          </cell>
          <cell r="DM486">
            <v>174</v>
          </cell>
          <cell r="DN486">
            <v>193.5</v>
          </cell>
          <cell r="DO486">
            <v>128</v>
          </cell>
          <cell r="DP486">
            <v>174.5</v>
          </cell>
          <cell r="DQ486">
            <v>143.5</v>
          </cell>
          <cell r="DR486">
            <v>182</v>
          </cell>
          <cell r="DS486">
            <v>179</v>
          </cell>
          <cell r="DT486">
            <v>125</v>
          </cell>
          <cell r="DU486">
            <v>168</v>
          </cell>
          <cell r="DV486">
            <v>133.5</v>
          </cell>
          <cell r="DW486">
            <v>135</v>
          </cell>
          <cell r="DX486">
            <v>255.5</v>
          </cell>
          <cell r="DY486">
            <v>359.5</v>
          </cell>
          <cell r="DZ486">
            <v>149.5</v>
          </cell>
          <cell r="EA486">
            <v>52</v>
          </cell>
          <cell r="EB486">
            <v>182</v>
          </cell>
          <cell r="EC486">
            <v>141</v>
          </cell>
          <cell r="ED486">
            <v>227</v>
          </cell>
          <cell r="EE486">
            <v>173.5</v>
          </cell>
          <cell r="EF486">
            <v>208.28</v>
          </cell>
          <cell r="EG486">
            <v>177</v>
          </cell>
          <cell r="EH486" t="str">
            <v>ACTIVO</v>
          </cell>
          <cell r="EI486" t="str">
            <v/>
          </cell>
          <cell r="EJ486" t="str">
            <v/>
          </cell>
          <cell r="EK486">
            <v>168.07120000000003</v>
          </cell>
          <cell r="EL486">
            <v>28.011866666666673</v>
          </cell>
        </row>
        <row r="487">
          <cell r="F487">
            <v>107335</v>
          </cell>
          <cell r="G487" t="str">
            <v>GALLETA VINO NESTLE</v>
          </cell>
          <cell r="CB487">
            <v>199.64</v>
          </cell>
          <cell r="CC487">
            <v>199.64</v>
          </cell>
          <cell r="EH487" t="str">
            <v>SIN USO</v>
          </cell>
          <cell r="EI487" t="str">
            <v>C</v>
          </cell>
          <cell r="EJ487" t="str">
            <v/>
          </cell>
          <cell r="EK487">
            <v>0</v>
          </cell>
          <cell r="EL487">
            <v>0</v>
          </cell>
        </row>
        <row r="488">
          <cell r="F488">
            <v>405634</v>
          </cell>
          <cell r="G488" t="str">
            <v>COSTA CHOCOLATE 24X140 GRS EGC</v>
          </cell>
          <cell r="CY488">
            <v>18.79</v>
          </cell>
          <cell r="CZ488">
            <v>48.690000000000005</v>
          </cell>
          <cell r="EH488" t="str">
            <v>ACTIVO</v>
          </cell>
          <cell r="EI488" t="str">
            <v>C</v>
          </cell>
          <cell r="EJ488" t="str">
            <v/>
          </cell>
          <cell r="EK488">
            <v>0</v>
          </cell>
          <cell r="EL488">
            <v>0</v>
          </cell>
        </row>
        <row r="489">
          <cell r="F489">
            <v>405560</v>
          </cell>
          <cell r="G489" t="str">
            <v>COSTA CHOCOLATE 24X140 GRS CAROZZI</v>
          </cell>
          <cell r="DA489">
            <v>97.299999999999983</v>
          </cell>
          <cell r="DB489">
            <v>97.97999999999999</v>
          </cell>
          <cell r="DC489">
            <v>96.32</v>
          </cell>
          <cell r="DD489">
            <v>99.2</v>
          </cell>
          <cell r="DE489">
            <v>47.94</v>
          </cell>
          <cell r="DH489">
            <v>23.94</v>
          </cell>
          <cell r="DJ489">
            <v>72.239999999999995</v>
          </cell>
          <cell r="DK489">
            <v>48.019999999999996</v>
          </cell>
          <cell r="DL489">
            <v>77.97999999999999</v>
          </cell>
          <cell r="DM489">
            <v>100.52</v>
          </cell>
          <cell r="DN489">
            <v>72.94</v>
          </cell>
          <cell r="DO489">
            <v>49</v>
          </cell>
          <cell r="DP489">
            <v>49</v>
          </cell>
          <cell r="DQ489">
            <v>48.5</v>
          </cell>
          <cell r="EH489" t="str">
            <v>ACTIVO</v>
          </cell>
          <cell r="EI489" t="str">
            <v>C</v>
          </cell>
          <cell r="EJ489" t="str">
            <v/>
          </cell>
          <cell r="EK489">
            <v>64.775000000000006</v>
          </cell>
          <cell r="EL489">
            <v>10.795833333333334</v>
          </cell>
        </row>
        <row r="490">
          <cell r="F490">
            <v>107336</v>
          </cell>
          <cell r="G490" t="str">
            <v>GALLETA VINO CAROZZI</v>
          </cell>
          <cell r="L490">
            <v>337.92</v>
          </cell>
          <cell r="V490">
            <v>281.60000000000002</v>
          </cell>
          <cell r="X490">
            <v>337.92</v>
          </cell>
          <cell r="EH490" t="str">
            <v>SIN USO</v>
          </cell>
          <cell r="EI490" t="str">
            <v/>
          </cell>
          <cell r="EJ490" t="str">
            <v/>
          </cell>
          <cell r="EK490">
            <v>0</v>
          </cell>
          <cell r="EL490">
            <v>0</v>
          </cell>
        </row>
        <row r="491">
          <cell r="F491">
            <v>405333</v>
          </cell>
          <cell r="G491" t="str">
            <v>GALLETA OREO REGULAR BEZANILLA</v>
          </cell>
          <cell r="AF491">
            <v>22.68</v>
          </cell>
          <cell r="AQ491">
            <v>27</v>
          </cell>
          <cell r="AR491">
            <v>27</v>
          </cell>
          <cell r="AS491">
            <v>10.69228</v>
          </cell>
          <cell r="AT491">
            <v>38.664000000000001</v>
          </cell>
          <cell r="AU491">
            <v>197.35599999999997</v>
          </cell>
          <cell r="AW491">
            <v>106.92</v>
          </cell>
          <cell r="AX491">
            <v>35.64</v>
          </cell>
          <cell r="AY491">
            <v>71.28</v>
          </cell>
          <cell r="AZ491">
            <v>116.64000000000001</v>
          </cell>
          <cell r="BC491">
            <v>199.71600000000001</v>
          </cell>
          <cell r="BD491">
            <v>84.240000000000009</v>
          </cell>
          <cell r="BE491">
            <v>42.120000000000005</v>
          </cell>
          <cell r="BH491">
            <v>97.2</v>
          </cell>
          <cell r="BI491">
            <v>42.120000000000005</v>
          </cell>
          <cell r="BJ491">
            <v>42.120000000000005</v>
          </cell>
          <cell r="BK491">
            <v>181.44</v>
          </cell>
          <cell r="BL491">
            <v>46.548000000000002</v>
          </cell>
          <cell r="BM491">
            <v>46.872</v>
          </cell>
          <cell r="BO491">
            <v>181.87200000000001</v>
          </cell>
          <cell r="BR491">
            <v>134.78</v>
          </cell>
          <cell r="BS491">
            <v>35.64</v>
          </cell>
          <cell r="BT491">
            <v>39.527999999999999</v>
          </cell>
          <cell r="BX491">
            <v>7.5600000000000005</v>
          </cell>
          <cell r="CB491">
            <v>17.61</v>
          </cell>
          <cell r="EH491" t="str">
            <v>SIN USO</v>
          </cell>
          <cell r="EI491" t="str">
            <v>C</v>
          </cell>
          <cell r="EJ491">
            <v>0</v>
          </cell>
          <cell r="EK491">
            <v>0</v>
          </cell>
          <cell r="EL491">
            <v>0</v>
          </cell>
        </row>
        <row r="492">
          <cell r="F492">
            <v>405334</v>
          </cell>
          <cell r="G492" t="str">
            <v>OREO MEDIUM CRUMBS (TROZOS) BEZANILLA</v>
          </cell>
          <cell r="AF492">
            <v>8</v>
          </cell>
          <cell r="AQ492">
            <v>36</v>
          </cell>
          <cell r="AR492">
            <v>48</v>
          </cell>
          <cell r="AS492">
            <v>16</v>
          </cell>
          <cell r="AT492">
            <v>56</v>
          </cell>
          <cell r="AU492">
            <v>252</v>
          </cell>
          <cell r="AV492">
            <v>80</v>
          </cell>
          <cell r="AW492">
            <v>220</v>
          </cell>
          <cell r="AX492">
            <v>188</v>
          </cell>
          <cell r="AY492">
            <v>216</v>
          </cell>
          <cell r="AZ492">
            <v>200</v>
          </cell>
          <cell r="BC492">
            <v>416</v>
          </cell>
          <cell r="BD492">
            <v>144</v>
          </cell>
          <cell r="BE492">
            <v>76</v>
          </cell>
          <cell r="BH492">
            <v>244</v>
          </cell>
          <cell r="BI492">
            <v>72</v>
          </cell>
          <cell r="BJ492">
            <v>72</v>
          </cell>
          <cell r="BK492">
            <v>372</v>
          </cell>
          <cell r="BL492">
            <v>192</v>
          </cell>
          <cell r="BM492">
            <v>72</v>
          </cell>
          <cell r="BO492">
            <v>392</v>
          </cell>
          <cell r="BR492">
            <v>100</v>
          </cell>
          <cell r="EH492" t="str">
            <v>SIN USO</v>
          </cell>
          <cell r="EI492" t="str">
            <v>C</v>
          </cell>
          <cell r="EJ492">
            <v>0</v>
          </cell>
          <cell r="EK492">
            <v>0</v>
          </cell>
          <cell r="EL492">
            <v>0</v>
          </cell>
        </row>
        <row r="493">
          <cell r="F493">
            <v>405507</v>
          </cell>
          <cell r="G493" t="str">
            <v>OREO MEDIUM CRUMBS (TROZOS) ALCA</v>
          </cell>
          <cell r="BR493">
            <v>64</v>
          </cell>
          <cell r="BS493">
            <v>60</v>
          </cell>
          <cell r="BT493">
            <v>684</v>
          </cell>
          <cell r="BU493">
            <v>4</v>
          </cell>
          <cell r="BX493">
            <v>188</v>
          </cell>
          <cell r="CB493">
            <v>156</v>
          </cell>
          <cell r="CC493">
            <v>288</v>
          </cell>
          <cell r="CD493">
            <v>52</v>
          </cell>
          <cell r="CE493">
            <v>224</v>
          </cell>
          <cell r="CG493">
            <v>204</v>
          </cell>
          <cell r="CJ493">
            <v>164</v>
          </cell>
          <cell r="CL493">
            <v>132</v>
          </cell>
          <cell r="CM493">
            <v>132</v>
          </cell>
          <cell r="CN493">
            <v>168</v>
          </cell>
          <cell r="CO493">
            <v>324</v>
          </cell>
          <cell r="CP493">
            <v>556</v>
          </cell>
          <cell r="CT493">
            <v>300</v>
          </cell>
          <cell r="CU493">
            <v>96</v>
          </cell>
          <cell r="CW493">
            <v>392</v>
          </cell>
          <cell r="CX493">
            <v>88</v>
          </cell>
          <cell r="CY493">
            <v>88</v>
          </cell>
          <cell r="DA493">
            <v>232</v>
          </cell>
          <cell r="DC493">
            <v>184</v>
          </cell>
          <cell r="DE493">
            <v>100</v>
          </cell>
          <cell r="DF493">
            <v>200</v>
          </cell>
          <cell r="DH493">
            <v>12</v>
          </cell>
          <cell r="DJ493">
            <v>264</v>
          </cell>
          <cell r="DK493">
            <v>12</v>
          </cell>
          <cell r="DL493">
            <v>92</v>
          </cell>
          <cell r="DM493">
            <v>92</v>
          </cell>
          <cell r="DN493">
            <v>204</v>
          </cell>
          <cell r="DO493">
            <v>108</v>
          </cell>
          <cell r="DP493">
            <v>184</v>
          </cell>
          <cell r="DQ493">
            <v>276</v>
          </cell>
          <cell r="DR493">
            <v>144</v>
          </cell>
          <cell r="DS493">
            <v>334</v>
          </cell>
          <cell r="DU493">
            <v>204</v>
          </cell>
          <cell r="DV493">
            <v>120</v>
          </cell>
          <cell r="DW493">
            <v>256</v>
          </cell>
          <cell r="DX493">
            <v>4</v>
          </cell>
          <cell r="DY493">
            <v>24</v>
          </cell>
          <cell r="EB493">
            <v>248</v>
          </cell>
          <cell r="EC493">
            <v>108</v>
          </cell>
          <cell r="ED493">
            <v>228</v>
          </cell>
          <cell r="EE493">
            <v>104</v>
          </cell>
          <cell r="EF493">
            <v>124</v>
          </cell>
          <cell r="EG493">
            <v>264</v>
          </cell>
          <cell r="EH493" t="str">
            <v>ACTIVO</v>
          </cell>
          <cell r="EI493" t="str">
            <v>B</v>
          </cell>
          <cell r="EJ493" t="str">
            <v/>
          </cell>
          <cell r="EK493">
            <v>161.61904761904762</v>
          </cell>
          <cell r="EL493">
            <v>26.936507936507937</v>
          </cell>
        </row>
        <row r="494">
          <cell r="F494">
            <v>405506</v>
          </cell>
          <cell r="G494" t="str">
            <v>GALLETA OREO REGULAR ALCA</v>
          </cell>
          <cell r="BT494">
            <v>162</v>
          </cell>
          <cell r="BU494">
            <v>0.54</v>
          </cell>
          <cell r="BX494">
            <v>100.44</v>
          </cell>
          <cell r="CA494">
            <v>1.84</v>
          </cell>
          <cell r="CB494">
            <v>75.53</v>
          </cell>
          <cell r="CC494">
            <v>167.4</v>
          </cell>
          <cell r="CD494">
            <v>1.3</v>
          </cell>
          <cell r="CE494">
            <v>89.639999999999986</v>
          </cell>
          <cell r="CG494">
            <v>84.895999999999987</v>
          </cell>
          <cell r="CJ494">
            <v>89.86</v>
          </cell>
          <cell r="CK494">
            <v>2.16</v>
          </cell>
          <cell r="CL494">
            <v>45.36</v>
          </cell>
          <cell r="CM494">
            <v>110.87</v>
          </cell>
          <cell r="CN494">
            <v>97.2</v>
          </cell>
          <cell r="CO494">
            <v>138.01</v>
          </cell>
          <cell r="CP494">
            <v>239.32999999999998</v>
          </cell>
          <cell r="CS494">
            <v>0.22</v>
          </cell>
          <cell r="CT494">
            <v>113.4</v>
          </cell>
          <cell r="CU494">
            <v>56.7</v>
          </cell>
          <cell r="CV494">
            <v>0.432</v>
          </cell>
          <cell r="CW494">
            <v>117.07</v>
          </cell>
          <cell r="CX494">
            <v>54</v>
          </cell>
          <cell r="CY494">
            <v>63.72</v>
          </cell>
          <cell r="DA494">
            <v>78.3</v>
          </cell>
          <cell r="DC494">
            <v>108</v>
          </cell>
          <cell r="DF494">
            <v>110</v>
          </cell>
          <cell r="DJ494">
            <v>108</v>
          </cell>
          <cell r="DK494">
            <v>1.4</v>
          </cell>
          <cell r="DL494">
            <v>59.617999999999995</v>
          </cell>
          <cell r="DM494">
            <v>54.54</v>
          </cell>
          <cell r="DN494">
            <v>54.5</v>
          </cell>
          <cell r="DO494">
            <v>55.58</v>
          </cell>
          <cell r="DP494">
            <v>115.5</v>
          </cell>
          <cell r="DQ494">
            <v>109</v>
          </cell>
          <cell r="DR494">
            <v>27</v>
          </cell>
          <cell r="DS494">
            <v>114.51</v>
          </cell>
          <cell r="DU494">
            <v>115.48</v>
          </cell>
          <cell r="DW494">
            <v>109</v>
          </cell>
          <cell r="DZ494">
            <v>0.11</v>
          </cell>
          <cell r="EB494">
            <v>100.98</v>
          </cell>
          <cell r="EC494">
            <v>6.48</v>
          </cell>
          <cell r="ED494">
            <v>113.4</v>
          </cell>
          <cell r="EE494">
            <v>20.204000000000001</v>
          </cell>
          <cell r="EF494">
            <v>74.26400000000001</v>
          </cell>
          <cell r="EG494">
            <v>115.48</v>
          </cell>
          <cell r="EH494" t="str">
            <v>ACTIVO</v>
          </cell>
          <cell r="EI494" t="str">
            <v>C</v>
          </cell>
          <cell r="EJ494" t="str">
            <v/>
          </cell>
          <cell r="EK494">
            <v>71.318210526315781</v>
          </cell>
          <cell r="EL494">
            <v>11.88636842105263</v>
          </cell>
        </row>
        <row r="495">
          <cell r="L495">
            <v>337.92</v>
          </cell>
          <cell r="V495">
            <v>281.60000000000002</v>
          </cell>
          <cell r="X495">
            <v>337.92</v>
          </cell>
          <cell r="AF495">
            <v>30.68</v>
          </cell>
          <cell r="AQ495">
            <v>63</v>
          </cell>
          <cell r="AR495">
            <v>75</v>
          </cell>
          <cell r="AS495">
            <v>26.69228</v>
          </cell>
          <cell r="AT495">
            <v>94.664000000000001</v>
          </cell>
          <cell r="AU495">
            <v>449.35599999999999</v>
          </cell>
          <cell r="AV495">
            <v>80</v>
          </cell>
          <cell r="AW495">
            <v>326.92</v>
          </cell>
          <cell r="AX495">
            <v>223.64</v>
          </cell>
          <cell r="AY495">
            <v>287.27999999999997</v>
          </cell>
          <cell r="AZ495">
            <v>316.64</v>
          </cell>
          <cell r="BC495">
            <v>615.71600000000001</v>
          </cell>
          <cell r="BD495">
            <v>228.24</v>
          </cell>
          <cell r="BE495">
            <v>118.12</v>
          </cell>
          <cell r="BH495">
            <v>341.2</v>
          </cell>
          <cell r="BI495">
            <v>114.12</v>
          </cell>
          <cell r="BJ495">
            <v>114.12</v>
          </cell>
          <cell r="BK495">
            <v>553.44000000000005</v>
          </cell>
          <cell r="BL495">
            <v>238.548</v>
          </cell>
          <cell r="BM495">
            <v>118.872</v>
          </cell>
          <cell r="BO495">
            <v>573.87200000000007</v>
          </cell>
          <cell r="BR495">
            <v>298.77999999999997</v>
          </cell>
          <cell r="BS495">
            <v>95.64</v>
          </cell>
          <cell r="BT495">
            <v>885.52800000000002</v>
          </cell>
          <cell r="BU495">
            <v>4.54</v>
          </cell>
          <cell r="BX495">
            <v>296</v>
          </cell>
          <cell r="CA495">
            <v>1.84</v>
          </cell>
          <cell r="CB495">
            <v>448.78</v>
          </cell>
          <cell r="CC495">
            <v>655.04</v>
          </cell>
          <cell r="CD495">
            <v>53.3</v>
          </cell>
          <cell r="CE495">
            <v>313.64</v>
          </cell>
          <cell r="CG495">
            <v>288.89599999999996</v>
          </cell>
          <cell r="CJ495">
            <v>253.86</v>
          </cell>
          <cell r="CK495">
            <v>2.16</v>
          </cell>
          <cell r="CL495">
            <v>177.36</v>
          </cell>
          <cell r="CM495">
            <v>242.87</v>
          </cell>
          <cell r="CN495">
            <v>265.2</v>
          </cell>
          <cell r="CO495">
            <v>462.01</v>
          </cell>
          <cell r="CP495">
            <v>795.32999999999993</v>
          </cell>
          <cell r="CS495">
            <v>0.22</v>
          </cell>
          <cell r="CT495">
            <v>413.4</v>
          </cell>
          <cell r="CU495">
            <v>152.69999999999999</v>
          </cell>
          <cell r="CV495">
            <v>0.432</v>
          </cell>
          <cell r="CW495">
            <v>509.07</v>
          </cell>
          <cell r="CX495">
            <v>142</v>
          </cell>
          <cell r="CY495">
            <v>170.51</v>
          </cell>
          <cell r="CZ495">
            <v>48.690000000000005</v>
          </cell>
          <cell r="DA495">
            <v>407.59999999999997</v>
          </cell>
          <cell r="DB495">
            <v>97.97999999999999</v>
          </cell>
          <cell r="DC495">
            <v>388.32</v>
          </cell>
          <cell r="DD495">
            <v>99.2</v>
          </cell>
          <cell r="DE495">
            <v>147.94</v>
          </cell>
          <cell r="DF495">
            <v>310</v>
          </cell>
          <cell r="DH495">
            <v>35.94</v>
          </cell>
          <cell r="DJ495">
            <v>444.24</v>
          </cell>
          <cell r="DK495">
            <v>61.419999999999995</v>
          </cell>
          <cell r="DL495">
            <v>229.59799999999998</v>
          </cell>
          <cell r="DM495">
            <v>247.05999999999997</v>
          </cell>
          <cell r="DN495">
            <v>331.44</v>
          </cell>
          <cell r="DO495">
            <v>212.57999999999998</v>
          </cell>
          <cell r="DP495">
            <v>348.5</v>
          </cell>
          <cell r="DQ495">
            <v>433.5</v>
          </cell>
          <cell r="DR495">
            <v>171</v>
          </cell>
          <cell r="DS495">
            <v>448.51</v>
          </cell>
          <cell r="DU495">
            <v>319.48</v>
          </cell>
          <cell r="DV495">
            <v>120</v>
          </cell>
          <cell r="DW495">
            <v>365</v>
          </cell>
          <cell r="DX495">
            <v>4</v>
          </cell>
          <cell r="DY495">
            <v>24</v>
          </cell>
          <cell r="DZ495">
            <v>0.11</v>
          </cell>
          <cell r="EB495">
            <v>348.98</v>
          </cell>
          <cell r="EC495">
            <v>114.48</v>
          </cell>
          <cell r="ED495">
            <v>341.4</v>
          </cell>
          <cell r="EE495">
            <v>124.20400000000001</v>
          </cell>
          <cell r="EF495">
            <v>198.26400000000001</v>
          </cell>
          <cell r="EG495">
            <v>379.48</v>
          </cell>
          <cell r="EH495" t="str">
            <v>ACTIVO</v>
          </cell>
          <cell r="EI495" t="str">
            <v/>
          </cell>
          <cell r="EJ495" t="str">
            <v/>
          </cell>
          <cell r="EK495">
            <v>239.4202727272727</v>
          </cell>
          <cell r="EL495">
            <v>39.903378787878786</v>
          </cell>
        </row>
        <row r="496">
          <cell r="F496">
            <v>102103</v>
          </cell>
          <cell r="G496" t="str">
            <v>PROPIONATO DE SODIO WINKLER</v>
          </cell>
          <cell r="J496">
            <v>56</v>
          </cell>
          <cell r="L496">
            <v>56</v>
          </cell>
          <cell r="R496">
            <v>56</v>
          </cell>
          <cell r="V496">
            <v>56</v>
          </cell>
          <cell r="Y496">
            <v>56</v>
          </cell>
          <cell r="AB496">
            <v>56</v>
          </cell>
          <cell r="AF496">
            <v>70</v>
          </cell>
          <cell r="AH496">
            <v>14</v>
          </cell>
          <cell r="AI496">
            <v>70</v>
          </cell>
          <cell r="AN496">
            <v>56</v>
          </cell>
          <cell r="AQ496">
            <v>70</v>
          </cell>
          <cell r="AU496">
            <v>56</v>
          </cell>
          <cell r="BA496">
            <v>56</v>
          </cell>
          <cell r="BC496">
            <v>70</v>
          </cell>
          <cell r="DR496">
            <v>56</v>
          </cell>
          <cell r="DW496">
            <v>56</v>
          </cell>
          <cell r="DX496">
            <v>14</v>
          </cell>
          <cell r="EH496" t="str">
            <v>SIN USO</v>
          </cell>
          <cell r="EI496" t="str">
            <v/>
          </cell>
          <cell r="EJ496">
            <v>0</v>
          </cell>
          <cell r="EK496">
            <v>42</v>
          </cell>
          <cell r="EL496">
            <v>7</v>
          </cell>
        </row>
        <row r="497">
          <cell r="F497">
            <v>403269</v>
          </cell>
          <cell r="G497" t="str">
            <v>PROPIONATO DE CALCIO 14 KG WINKLER</v>
          </cell>
          <cell r="BJ497">
            <v>56</v>
          </cell>
          <cell r="BW497">
            <v>56</v>
          </cell>
          <cell r="CA497">
            <v>56</v>
          </cell>
          <cell r="CC497">
            <v>0</v>
          </cell>
          <cell r="CD497">
            <v>14</v>
          </cell>
          <cell r="CE497">
            <v>56</v>
          </cell>
          <cell r="CH497">
            <v>42</v>
          </cell>
          <cell r="CL497">
            <v>56</v>
          </cell>
          <cell r="CN497">
            <v>56</v>
          </cell>
          <cell r="CR497">
            <v>56</v>
          </cell>
          <cell r="CW497">
            <v>56</v>
          </cell>
          <cell r="CZ497">
            <v>56</v>
          </cell>
          <cell r="DD497">
            <v>56</v>
          </cell>
          <cell r="DH497">
            <v>56</v>
          </cell>
          <cell r="DM497">
            <v>42</v>
          </cell>
          <cell r="DN497">
            <v>28</v>
          </cell>
          <cell r="DO497">
            <v>56</v>
          </cell>
          <cell r="DY497">
            <v>70</v>
          </cell>
          <cell r="DZ497">
            <v>42</v>
          </cell>
          <cell r="EC497">
            <v>56</v>
          </cell>
          <cell r="EH497" t="str">
            <v>SIN USO</v>
          </cell>
          <cell r="EI497" t="str">
            <v>C</v>
          </cell>
          <cell r="EJ497" t="str">
            <v/>
          </cell>
          <cell r="EK497">
            <v>49</v>
          </cell>
          <cell r="EL497">
            <v>8.1666666666666661</v>
          </cell>
        </row>
        <row r="498">
          <cell r="F498">
            <v>405504</v>
          </cell>
          <cell r="G498" t="str">
            <v>PROPIONATO DE CALCIO ALCHEM</v>
          </cell>
          <cell r="BN498">
            <v>50</v>
          </cell>
          <cell r="BP498">
            <v>50</v>
          </cell>
          <cell r="EH498" t="str">
            <v>SIN USO</v>
          </cell>
          <cell r="EI498" t="str">
            <v>C</v>
          </cell>
          <cell r="EJ498" t="str">
            <v/>
          </cell>
          <cell r="EK498">
            <v>0</v>
          </cell>
          <cell r="EL498">
            <v>0</v>
          </cell>
        </row>
        <row r="499">
          <cell r="J499">
            <v>56</v>
          </cell>
          <cell r="L499">
            <v>56</v>
          </cell>
          <cell r="R499">
            <v>56</v>
          </cell>
          <cell r="V499">
            <v>56</v>
          </cell>
          <cell r="Y499">
            <v>56</v>
          </cell>
          <cell r="AB499">
            <v>56</v>
          </cell>
          <cell r="AF499">
            <v>70</v>
          </cell>
          <cell r="AH499">
            <v>14</v>
          </cell>
          <cell r="AI499">
            <v>70</v>
          </cell>
          <cell r="AN499">
            <v>56</v>
          </cell>
          <cell r="AQ499">
            <v>70</v>
          </cell>
          <cell r="AU499">
            <v>56</v>
          </cell>
          <cell r="BA499">
            <v>56</v>
          </cell>
          <cell r="BC499">
            <v>70</v>
          </cell>
          <cell r="BJ499">
            <v>56</v>
          </cell>
          <cell r="BN499">
            <v>50</v>
          </cell>
          <cell r="BP499">
            <v>50</v>
          </cell>
          <cell r="BW499">
            <v>56</v>
          </cell>
          <cell r="CA499">
            <v>56</v>
          </cell>
          <cell r="CC499">
            <v>0</v>
          </cell>
          <cell r="CD499">
            <v>14</v>
          </cell>
          <cell r="CE499">
            <v>56</v>
          </cell>
          <cell r="CH499">
            <v>42</v>
          </cell>
          <cell r="CL499">
            <v>56</v>
          </cell>
          <cell r="CN499">
            <v>56</v>
          </cell>
          <cell r="CR499">
            <v>56</v>
          </cell>
          <cell r="CW499">
            <v>56</v>
          </cell>
          <cell r="CZ499">
            <v>56</v>
          </cell>
          <cell r="DD499">
            <v>56</v>
          </cell>
          <cell r="DH499">
            <v>56</v>
          </cell>
          <cell r="DM499">
            <v>42</v>
          </cell>
          <cell r="DN499">
            <v>28</v>
          </cell>
          <cell r="DO499">
            <v>56</v>
          </cell>
          <cell r="DR499">
            <v>56</v>
          </cell>
          <cell r="DW499">
            <v>56</v>
          </cell>
          <cell r="DX499">
            <v>14</v>
          </cell>
          <cell r="DY499">
            <v>70</v>
          </cell>
          <cell r="DZ499">
            <v>42</v>
          </cell>
          <cell r="EC499">
            <v>56</v>
          </cell>
          <cell r="EH499" t="str">
            <v>ACTIVO</v>
          </cell>
          <cell r="EI499" t="str">
            <v/>
          </cell>
          <cell r="EJ499" t="str">
            <v/>
          </cell>
          <cell r="EK499">
            <v>46.666666666666664</v>
          </cell>
          <cell r="EL499">
            <v>7.7777777777777777</v>
          </cell>
        </row>
        <row r="500">
          <cell r="F500" t="str">
            <v>403355</v>
          </cell>
          <cell r="G500" t="str">
            <v>COGÑAC TRES PALOS DE 1LT</v>
          </cell>
          <cell r="H500">
            <v>10</v>
          </cell>
          <cell r="I500">
            <v>20</v>
          </cell>
          <cell r="J500">
            <v>13</v>
          </cell>
          <cell r="K500">
            <v>25</v>
          </cell>
          <cell r="L500">
            <v>15</v>
          </cell>
          <cell r="M500">
            <v>19</v>
          </cell>
          <cell r="N500">
            <v>22</v>
          </cell>
          <cell r="O500">
            <v>27</v>
          </cell>
          <cell r="P500">
            <v>14</v>
          </cell>
          <cell r="Q500">
            <v>21</v>
          </cell>
          <cell r="R500">
            <v>29</v>
          </cell>
          <cell r="S500">
            <v>8</v>
          </cell>
          <cell r="T500">
            <v>14</v>
          </cell>
          <cell r="U500">
            <v>15</v>
          </cell>
          <cell r="V500">
            <v>29</v>
          </cell>
          <cell r="W500">
            <v>12</v>
          </cell>
          <cell r="X500">
            <v>21</v>
          </cell>
          <cell r="Y500">
            <v>11</v>
          </cell>
          <cell r="Z500">
            <v>6</v>
          </cell>
          <cell r="AA500">
            <v>19</v>
          </cell>
          <cell r="AB500">
            <v>19</v>
          </cell>
          <cell r="AC500">
            <v>18</v>
          </cell>
          <cell r="AD500">
            <v>25</v>
          </cell>
          <cell r="AE500">
            <v>17</v>
          </cell>
          <cell r="AF500">
            <v>14</v>
          </cell>
          <cell r="AG500">
            <v>20</v>
          </cell>
          <cell r="AH500">
            <v>18</v>
          </cell>
          <cell r="AI500">
            <v>26</v>
          </cell>
          <cell r="AJ500">
            <v>5</v>
          </cell>
          <cell r="AK500">
            <v>31</v>
          </cell>
          <cell r="BO500">
            <v>33</v>
          </cell>
          <cell r="BP500">
            <v>15</v>
          </cell>
          <cell r="BQ500">
            <v>9</v>
          </cell>
          <cell r="BR500">
            <v>2</v>
          </cell>
          <cell r="BU500">
            <v>5</v>
          </cell>
          <cell r="BV500">
            <v>3</v>
          </cell>
          <cell r="BW500">
            <v>18</v>
          </cell>
          <cell r="BX500">
            <v>16</v>
          </cell>
          <cell r="BY500">
            <v>10</v>
          </cell>
          <cell r="BZ500">
            <v>11</v>
          </cell>
          <cell r="CA500">
            <v>21</v>
          </cell>
          <cell r="CC500">
            <v>6</v>
          </cell>
          <cell r="CD500">
            <v>17</v>
          </cell>
          <cell r="CF500">
            <v>24</v>
          </cell>
          <cell r="CH500">
            <v>16</v>
          </cell>
          <cell r="CK500">
            <v>6</v>
          </cell>
          <cell r="CM500">
            <v>17</v>
          </cell>
          <cell r="CN500">
            <v>6</v>
          </cell>
          <cell r="CO500">
            <v>15</v>
          </cell>
          <cell r="CQ500">
            <v>29</v>
          </cell>
          <cell r="CS500">
            <v>12</v>
          </cell>
          <cell r="CT500">
            <v>16</v>
          </cell>
          <cell r="CU500">
            <v>12</v>
          </cell>
          <cell r="CW500">
            <v>10</v>
          </cell>
          <cell r="CX500">
            <v>15</v>
          </cell>
          <cell r="CY500">
            <v>10</v>
          </cell>
          <cell r="DB500">
            <v>22</v>
          </cell>
          <cell r="DF500">
            <v>10</v>
          </cell>
          <cell r="DK500">
            <v>8</v>
          </cell>
          <cell r="DM500">
            <v>15</v>
          </cell>
          <cell r="DN500">
            <v>6</v>
          </cell>
          <cell r="DO500">
            <v>12</v>
          </cell>
          <cell r="DP500">
            <v>4</v>
          </cell>
          <cell r="DR500">
            <v>12</v>
          </cell>
          <cell r="DS500">
            <v>10</v>
          </cell>
          <cell r="DT500">
            <v>16</v>
          </cell>
          <cell r="DU500">
            <v>6</v>
          </cell>
          <cell r="DV500">
            <v>5</v>
          </cell>
          <cell r="DW500">
            <v>6</v>
          </cell>
          <cell r="DX500">
            <v>24</v>
          </cell>
          <cell r="DY500">
            <v>19</v>
          </cell>
          <cell r="DZ500">
            <v>7</v>
          </cell>
          <cell r="EA500">
            <v>8</v>
          </cell>
          <cell r="EB500">
            <v>25</v>
          </cell>
          <cell r="EC500">
            <v>5</v>
          </cell>
          <cell r="ED500">
            <v>12</v>
          </cell>
          <cell r="EE500">
            <v>11</v>
          </cell>
          <cell r="EF500">
            <v>28</v>
          </cell>
          <cell r="EG500">
            <v>40</v>
          </cell>
          <cell r="EH500" t="str">
            <v>ACTIVO</v>
          </cell>
          <cell r="EI500" t="str">
            <v>C</v>
          </cell>
          <cell r="EJ500" t="str">
            <v/>
          </cell>
          <cell r="EK500">
            <v>13.285714285714286</v>
          </cell>
          <cell r="EL500">
            <v>2.2142857142857144</v>
          </cell>
        </row>
        <row r="501">
          <cell r="F501">
            <v>107239</v>
          </cell>
          <cell r="G501" t="str">
            <v>COGÑAC TILICURA</v>
          </cell>
          <cell r="H501">
            <v>2</v>
          </cell>
          <cell r="AJ501">
            <v>12</v>
          </cell>
          <cell r="AL501">
            <v>20</v>
          </cell>
          <cell r="AM501">
            <v>15</v>
          </cell>
          <cell r="AN501">
            <v>16</v>
          </cell>
          <cell r="AO501">
            <v>22</v>
          </cell>
          <cell r="AP501">
            <v>15</v>
          </cell>
          <cell r="AQ501">
            <v>23</v>
          </cell>
          <cell r="AR501">
            <v>19</v>
          </cell>
          <cell r="AS501">
            <v>2</v>
          </cell>
          <cell r="AT501">
            <v>17</v>
          </cell>
          <cell r="AU501">
            <v>16</v>
          </cell>
          <cell r="AV501">
            <v>15</v>
          </cell>
          <cell r="AW501">
            <v>43</v>
          </cell>
          <cell r="AX501">
            <v>11</v>
          </cell>
          <cell r="AY501">
            <v>10</v>
          </cell>
          <cell r="AZ501">
            <v>24</v>
          </cell>
          <cell r="BA501">
            <v>17</v>
          </cell>
          <cell r="BB501">
            <v>26</v>
          </cell>
          <cell r="BC501">
            <v>10</v>
          </cell>
          <cell r="BD501">
            <v>28</v>
          </cell>
          <cell r="BE501">
            <v>22</v>
          </cell>
          <cell r="BF501">
            <v>17.369999999999997</v>
          </cell>
          <cell r="BG501">
            <v>26</v>
          </cell>
          <cell r="BH501">
            <v>5</v>
          </cell>
          <cell r="BI501">
            <v>11</v>
          </cell>
          <cell r="BJ501">
            <v>12</v>
          </cell>
          <cell r="BK501">
            <v>25</v>
          </cell>
          <cell r="BL501">
            <v>16</v>
          </cell>
          <cell r="BM501">
            <v>25</v>
          </cell>
          <cell r="BN501">
            <v>12</v>
          </cell>
          <cell r="BR501">
            <v>12</v>
          </cell>
          <cell r="BS501">
            <v>26</v>
          </cell>
          <cell r="BU501">
            <v>11</v>
          </cell>
          <cell r="BV501">
            <v>15</v>
          </cell>
          <cell r="CD501">
            <v>3</v>
          </cell>
          <cell r="EH501" t="str">
            <v>ACTIVO</v>
          </cell>
          <cell r="EI501" t="str">
            <v>C</v>
          </cell>
          <cell r="EJ501">
            <v>72</v>
          </cell>
          <cell r="EK501">
            <v>0</v>
          </cell>
          <cell r="EL501">
            <v>0</v>
          </cell>
        </row>
        <row r="502">
          <cell r="F502">
            <v>107176</v>
          </cell>
          <cell r="G502" t="str">
            <v>RON TILICURA</v>
          </cell>
          <cell r="BB502">
            <v>36</v>
          </cell>
          <cell r="BF502">
            <v>18</v>
          </cell>
          <cell r="BL502">
            <v>12</v>
          </cell>
          <cell r="BM502">
            <v>12</v>
          </cell>
          <cell r="EH502" t="str">
            <v>SIN USO</v>
          </cell>
          <cell r="EI502" t="str">
            <v>C</v>
          </cell>
          <cell r="EJ502" t="str">
            <v/>
          </cell>
          <cell r="EK502">
            <v>0</v>
          </cell>
          <cell r="EL502">
            <v>0</v>
          </cell>
        </row>
        <row r="503">
          <cell r="F503">
            <v>170174</v>
          </cell>
          <cell r="G503" t="str">
            <v>RON DORADO</v>
          </cell>
          <cell r="BX503">
            <v>24</v>
          </cell>
          <cell r="EH503" t="str">
            <v>SIN USO</v>
          </cell>
          <cell r="EI503" t="str">
            <v>C</v>
          </cell>
          <cell r="EJ503" t="str">
            <v/>
          </cell>
          <cell r="EK503">
            <v>0</v>
          </cell>
          <cell r="EL503">
            <v>0</v>
          </cell>
        </row>
        <row r="504">
          <cell r="H504">
            <v>12</v>
          </cell>
          <cell r="I504">
            <v>20</v>
          </cell>
          <cell r="J504">
            <v>13</v>
          </cell>
          <cell r="K504">
            <v>25</v>
          </cell>
          <cell r="L504">
            <v>15</v>
          </cell>
          <cell r="M504">
            <v>19</v>
          </cell>
          <cell r="N504">
            <v>22</v>
          </cell>
          <cell r="O504">
            <v>27</v>
          </cell>
          <cell r="P504">
            <v>14</v>
          </cell>
          <cell r="Q504">
            <v>21</v>
          </cell>
          <cell r="R504">
            <v>29</v>
          </cell>
          <cell r="S504">
            <v>8</v>
          </cell>
          <cell r="T504">
            <v>14</v>
          </cell>
          <cell r="U504">
            <v>15</v>
          </cell>
          <cell r="V504">
            <v>29</v>
          </cell>
          <cell r="W504">
            <v>12</v>
          </cell>
          <cell r="X504">
            <v>21</v>
          </cell>
          <cell r="Y504">
            <v>11</v>
          </cell>
          <cell r="Z504">
            <v>6</v>
          </cell>
          <cell r="AA504">
            <v>19</v>
          </cell>
          <cell r="AB504">
            <v>19</v>
          </cell>
          <cell r="AC504">
            <v>18</v>
          </cell>
          <cell r="AD504">
            <v>25</v>
          </cell>
          <cell r="AE504">
            <v>17</v>
          </cell>
          <cell r="AF504">
            <v>14</v>
          </cell>
          <cell r="AG504">
            <v>20</v>
          </cell>
          <cell r="AH504">
            <v>18</v>
          </cell>
          <cell r="AI504">
            <v>26</v>
          </cell>
          <cell r="AJ504">
            <v>17</v>
          </cell>
          <cell r="AK504">
            <v>31</v>
          </cell>
          <cell r="AL504">
            <v>20</v>
          </cell>
          <cell r="AM504">
            <v>15</v>
          </cell>
          <cell r="AN504">
            <v>16</v>
          </cell>
          <cell r="AO504">
            <v>22</v>
          </cell>
          <cell r="AP504">
            <v>15</v>
          </cell>
          <cell r="AQ504">
            <v>23</v>
          </cell>
          <cell r="AR504">
            <v>19</v>
          </cell>
          <cell r="AS504">
            <v>2</v>
          </cell>
          <cell r="AT504">
            <v>17</v>
          </cell>
          <cell r="AU504">
            <v>16</v>
          </cell>
          <cell r="AV504">
            <v>15</v>
          </cell>
          <cell r="AW504">
            <v>43</v>
          </cell>
          <cell r="AX504">
            <v>11</v>
          </cell>
          <cell r="AY504">
            <v>10</v>
          </cell>
          <cell r="AZ504">
            <v>24</v>
          </cell>
          <cell r="BA504">
            <v>17</v>
          </cell>
          <cell r="BB504">
            <v>62</v>
          </cell>
          <cell r="BC504">
            <v>10</v>
          </cell>
          <cell r="BD504">
            <v>28</v>
          </cell>
          <cell r="BE504">
            <v>22</v>
          </cell>
          <cell r="BF504">
            <v>35.369999999999997</v>
          </cell>
          <cell r="BG504">
            <v>26</v>
          </cell>
          <cell r="BH504">
            <v>5</v>
          </cell>
          <cell r="BI504">
            <v>11</v>
          </cell>
          <cell r="BJ504">
            <v>12</v>
          </cell>
          <cell r="BK504">
            <v>25</v>
          </cell>
          <cell r="BL504">
            <v>28</v>
          </cell>
          <cell r="BM504">
            <v>37</v>
          </cell>
          <cell r="BN504">
            <v>12</v>
          </cell>
          <cell r="BO504">
            <v>33</v>
          </cell>
          <cell r="BP504">
            <v>15</v>
          </cell>
          <cell r="BQ504">
            <v>9</v>
          </cell>
          <cell r="BR504">
            <v>14</v>
          </cell>
          <cell r="BS504">
            <v>26</v>
          </cell>
          <cell r="BU504">
            <v>16</v>
          </cell>
          <cell r="BV504">
            <v>18</v>
          </cell>
          <cell r="BW504">
            <v>18</v>
          </cell>
          <cell r="BX504">
            <v>40</v>
          </cell>
          <cell r="BY504">
            <v>10</v>
          </cell>
          <cell r="BZ504">
            <v>11</v>
          </cell>
          <cell r="CA504">
            <v>21</v>
          </cell>
          <cell r="CC504">
            <v>6</v>
          </cell>
          <cell r="CD504">
            <v>20</v>
          </cell>
          <cell r="CF504">
            <v>24</v>
          </cell>
          <cell r="CH504">
            <v>16</v>
          </cell>
          <cell r="CK504">
            <v>6</v>
          </cell>
          <cell r="CM504">
            <v>17</v>
          </cell>
          <cell r="CN504">
            <v>6</v>
          </cell>
          <cell r="CO504">
            <v>15</v>
          </cell>
          <cell r="CQ504">
            <v>29</v>
          </cell>
          <cell r="CS504">
            <v>12</v>
          </cell>
          <cell r="CT504">
            <v>16</v>
          </cell>
          <cell r="CU504">
            <v>12</v>
          </cell>
          <cell r="CW504">
            <v>10</v>
          </cell>
          <cell r="CX504">
            <v>15</v>
          </cell>
          <cell r="CY504">
            <v>10</v>
          </cell>
          <cell r="DB504">
            <v>22</v>
          </cell>
          <cell r="DF504">
            <v>10</v>
          </cell>
          <cell r="DK504">
            <v>8</v>
          </cell>
          <cell r="DM504">
            <v>15</v>
          </cell>
          <cell r="DN504">
            <v>6</v>
          </cell>
          <cell r="DO504">
            <v>12</v>
          </cell>
          <cell r="DP504">
            <v>4</v>
          </cell>
          <cell r="DR504">
            <v>12</v>
          </cell>
          <cell r="DS504">
            <v>10</v>
          </cell>
          <cell r="DT504">
            <v>16</v>
          </cell>
          <cell r="DU504">
            <v>6</v>
          </cell>
          <cell r="DV504">
            <v>5</v>
          </cell>
          <cell r="DW504">
            <v>6</v>
          </cell>
          <cell r="DX504">
            <v>24</v>
          </cell>
          <cell r="DY504">
            <v>19</v>
          </cell>
          <cell r="DZ504">
            <v>7</v>
          </cell>
          <cell r="EA504">
            <v>8</v>
          </cell>
          <cell r="EB504">
            <v>25</v>
          </cell>
          <cell r="EC504">
            <v>5</v>
          </cell>
          <cell r="ED504">
            <v>12</v>
          </cell>
          <cell r="EE504">
            <v>11</v>
          </cell>
          <cell r="EF504">
            <v>28</v>
          </cell>
          <cell r="EG504">
            <v>40</v>
          </cell>
          <cell r="EH504" t="str">
            <v>ACTIVO</v>
          </cell>
          <cell r="EI504" t="str">
            <v/>
          </cell>
          <cell r="EJ504" t="str">
            <v/>
          </cell>
          <cell r="EK504">
            <v>13.285714285714286</v>
          </cell>
          <cell r="EL504">
            <v>2.2142857142857144</v>
          </cell>
        </row>
        <row r="505">
          <cell r="F505">
            <v>405407</v>
          </cell>
          <cell r="G505" t="str">
            <v>CARAT NUXEL HAZELNUT</v>
          </cell>
          <cell r="BD505">
            <v>100</v>
          </cell>
          <cell r="BJ505">
            <v>40</v>
          </cell>
          <cell r="BO505">
            <v>15</v>
          </cell>
          <cell r="BQ505">
            <v>25</v>
          </cell>
          <cell r="BT505">
            <v>15</v>
          </cell>
          <cell r="BU505">
            <v>15</v>
          </cell>
          <cell r="BW505">
            <v>35</v>
          </cell>
          <cell r="EH505" t="str">
            <v>SIN USO</v>
          </cell>
          <cell r="EI505" t="str">
            <v>C</v>
          </cell>
          <cell r="EJ505" t="str">
            <v/>
          </cell>
          <cell r="EK505">
            <v>0</v>
          </cell>
          <cell r="EL505">
            <v>0</v>
          </cell>
        </row>
        <row r="506">
          <cell r="F506">
            <v>405406</v>
          </cell>
          <cell r="G506" t="str">
            <v>PRALINE ALM-AVELL 50% PURATOS</v>
          </cell>
          <cell r="H506">
            <v>45</v>
          </cell>
          <cell r="AZ506">
            <v>130</v>
          </cell>
          <cell r="BF506">
            <v>50</v>
          </cell>
          <cell r="BJ506">
            <v>45</v>
          </cell>
          <cell r="BN506">
            <v>130</v>
          </cell>
          <cell r="BO506">
            <v>30</v>
          </cell>
          <cell r="BU506">
            <v>50</v>
          </cell>
          <cell r="BV506">
            <v>40</v>
          </cell>
          <cell r="EH506" t="str">
            <v>SIN USO</v>
          </cell>
          <cell r="EI506" t="str">
            <v>C</v>
          </cell>
          <cell r="EJ506">
            <v>0</v>
          </cell>
          <cell r="EK506">
            <v>0</v>
          </cell>
          <cell r="EL506">
            <v>0</v>
          </cell>
        </row>
        <row r="507">
          <cell r="F507">
            <v>405405</v>
          </cell>
          <cell r="G507" t="str">
            <v>PF PRALICRAC CARAM. PURATOS</v>
          </cell>
          <cell r="BD507">
            <v>99</v>
          </cell>
          <cell r="BJ507">
            <v>36</v>
          </cell>
          <cell r="BO507">
            <v>27</v>
          </cell>
          <cell r="BT507">
            <v>13.5</v>
          </cell>
          <cell r="BW507">
            <v>31.5</v>
          </cell>
          <cell r="EH507" t="str">
            <v>SIN USO</v>
          </cell>
          <cell r="EI507" t="str">
            <v>C</v>
          </cell>
          <cell r="EJ507" t="str">
            <v/>
          </cell>
          <cell r="EK507">
            <v>0</v>
          </cell>
          <cell r="EL507">
            <v>0</v>
          </cell>
        </row>
        <row r="508">
          <cell r="H508">
            <v>45</v>
          </cell>
          <cell r="AZ508">
            <v>130</v>
          </cell>
          <cell r="BD508">
            <v>199</v>
          </cell>
          <cell r="BF508">
            <v>50</v>
          </cell>
          <cell r="BJ508">
            <v>121</v>
          </cell>
          <cell r="BN508">
            <v>130</v>
          </cell>
          <cell r="BO508">
            <v>72</v>
          </cell>
          <cell r="BQ508">
            <v>25</v>
          </cell>
          <cell r="BT508">
            <v>28.5</v>
          </cell>
          <cell r="BU508">
            <v>65</v>
          </cell>
          <cell r="BV508">
            <v>40</v>
          </cell>
          <cell r="BW508">
            <v>66.5</v>
          </cell>
          <cell r="EH508" t="str">
            <v>ACTIVO</v>
          </cell>
          <cell r="EI508" t="str">
            <v/>
          </cell>
          <cell r="EJ508" t="str">
            <v/>
          </cell>
          <cell r="EK508">
            <v>0</v>
          </cell>
          <cell r="EL508">
            <v>0</v>
          </cell>
        </row>
        <row r="509">
          <cell r="F509">
            <v>402122</v>
          </cell>
          <cell r="G509" t="str">
            <v>COLORANTE FRAMBUESA QU-867 FLORAMATIC</v>
          </cell>
          <cell r="O509">
            <v>10</v>
          </cell>
          <cell r="V509">
            <v>20</v>
          </cell>
          <cell r="EH509" t="str">
            <v>SIN USO</v>
          </cell>
          <cell r="EI509" t="str">
            <v>C</v>
          </cell>
          <cell r="EJ509">
            <v>300</v>
          </cell>
          <cell r="EK509">
            <v>0</v>
          </cell>
          <cell r="EL509">
            <v>0</v>
          </cell>
        </row>
        <row r="510">
          <cell r="F510">
            <v>405427</v>
          </cell>
          <cell r="G510" t="str">
            <v>COLORANTE ARTIFICIAL AMARILLO DUAS RODAS</v>
          </cell>
          <cell r="BA510">
            <v>5</v>
          </cell>
          <cell r="CG510">
            <v>5</v>
          </cell>
          <cell r="EH510" t="str">
            <v>SIN USO</v>
          </cell>
          <cell r="EI510" t="str">
            <v>C</v>
          </cell>
          <cell r="EJ510" t="str">
            <v/>
          </cell>
          <cell r="EK510">
            <v>0</v>
          </cell>
          <cell r="EL510">
            <v>0</v>
          </cell>
        </row>
        <row r="511">
          <cell r="O511">
            <v>10</v>
          </cell>
          <cell r="V511">
            <v>20</v>
          </cell>
          <cell r="BA511">
            <v>5</v>
          </cell>
          <cell r="CG511">
            <v>5</v>
          </cell>
        </row>
        <row r="512">
          <cell r="F512">
            <v>501114</v>
          </cell>
          <cell r="G512" t="str">
            <v>BOLSA COLOR AZUL 100 X 120 X 0,035 SIGNO</v>
          </cell>
          <cell r="EG512">
            <v>1000</v>
          </cell>
        </row>
        <row r="513">
          <cell r="EG513">
            <v>1000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POR DIA "/>
      <sheetName val="Consumo SEMANA ENEA"/>
      <sheetName val="PEDIR"/>
      <sheetName val="RECET"/>
      <sheetName val="Stock Bodegas"/>
      <sheetName val="COSUMO DIA ENEA"/>
      <sheetName val="Hoja3"/>
      <sheetName val="Base Transferencia"/>
      <sheetName val="CONSUMO"/>
      <sheetName val="Hoja7"/>
      <sheetName val="Calendario"/>
      <sheetName val="Base Stock"/>
      <sheetName val="Base Categoria"/>
      <sheetName val="no activos "/>
      <sheetName val="dn pedidos"/>
      <sheetName val="DN LLEGO"/>
      <sheetName val="LLEGO"/>
      <sheetName val="PEDIDOS"/>
      <sheetName val="dn consumos"/>
      <sheetName val="Hoja4"/>
      <sheetName val="Hoja5"/>
    </sheetNames>
    <sheetDataSet>
      <sheetData sheetId="0" refreshError="1"/>
      <sheetData sheetId="1" refreshError="1">
        <row r="1">
          <cell r="F1" t="str">
            <v>ENEA</v>
          </cell>
          <cell r="EE1" t="str">
            <v xml:space="preserve">12 a 1 reunion de bodega </v>
          </cell>
        </row>
        <row r="2">
          <cell r="F2" t="str">
            <v>(Todas)</v>
          </cell>
        </row>
        <row r="3">
          <cell r="F3" t="str">
            <v>(Todas)</v>
          </cell>
        </row>
        <row r="4">
          <cell r="F4" t="str">
            <v>(Todas)</v>
          </cell>
        </row>
        <row r="5">
          <cell r="F5" t="str">
            <v>(Varios elementos)</v>
          </cell>
        </row>
        <row r="6">
          <cell r="F6" t="str">
            <v>(Todas)</v>
          </cell>
        </row>
        <row r="7">
          <cell r="F7" t="str">
            <v>(Todas)</v>
          </cell>
        </row>
        <row r="9">
          <cell r="H9" t="str">
            <v>AÑO</v>
          </cell>
          <cell r="I9" t="str">
            <v>Semana</v>
          </cell>
        </row>
        <row r="10">
          <cell r="H10" t="str">
            <v>2024</v>
          </cell>
          <cell r="BH10" t="str">
            <v>2025</v>
          </cell>
          <cell r="DI10" t="str">
            <v>2026</v>
          </cell>
        </row>
        <row r="11">
          <cell r="F11" t="str">
            <v xml:space="preserve">artículo  </v>
          </cell>
          <cell r="G11" t="str">
            <v>Descripción artículo/serv.</v>
          </cell>
          <cell r="H11">
            <v>1</v>
          </cell>
          <cell r="I11">
            <v>2</v>
          </cell>
          <cell r="J11">
            <v>3</v>
          </cell>
          <cell r="K11">
            <v>4</v>
          </cell>
          <cell r="L11">
            <v>5</v>
          </cell>
          <cell r="M11">
            <v>6</v>
          </cell>
          <cell r="N11">
            <v>7</v>
          </cell>
          <cell r="O11">
            <v>8</v>
          </cell>
          <cell r="P11">
            <v>9</v>
          </cell>
          <cell r="Q11">
            <v>10</v>
          </cell>
          <cell r="R11">
            <v>11</v>
          </cell>
          <cell r="S11">
            <v>12</v>
          </cell>
          <cell r="T11">
            <v>13</v>
          </cell>
          <cell r="U11">
            <v>14</v>
          </cell>
          <cell r="V11">
            <v>15</v>
          </cell>
          <cell r="W11">
            <v>16</v>
          </cell>
          <cell r="X11">
            <v>17</v>
          </cell>
          <cell r="Y11">
            <v>18</v>
          </cell>
          <cell r="Z11">
            <v>19</v>
          </cell>
          <cell r="AA11">
            <v>20</v>
          </cell>
          <cell r="AB11">
            <v>21</v>
          </cell>
          <cell r="AC11">
            <v>22</v>
          </cell>
          <cell r="AD11">
            <v>23</v>
          </cell>
          <cell r="AE11">
            <v>24</v>
          </cell>
          <cell r="AF11">
            <v>25</v>
          </cell>
          <cell r="AG11">
            <v>26</v>
          </cell>
          <cell r="AH11">
            <v>27</v>
          </cell>
          <cell r="AI11">
            <v>28</v>
          </cell>
          <cell r="AJ11">
            <v>29</v>
          </cell>
          <cell r="AK11">
            <v>30</v>
          </cell>
          <cell r="AL11">
            <v>31</v>
          </cell>
          <cell r="AM11">
            <v>32</v>
          </cell>
          <cell r="AN11">
            <v>33</v>
          </cell>
          <cell r="AO11">
            <v>34</v>
          </cell>
          <cell r="AP11">
            <v>35</v>
          </cell>
          <cell r="AQ11">
            <v>36</v>
          </cell>
          <cell r="AR11">
            <v>37</v>
          </cell>
          <cell r="AS11">
            <v>38</v>
          </cell>
          <cell r="AT11">
            <v>39</v>
          </cell>
          <cell r="AU11">
            <v>40</v>
          </cell>
          <cell r="AV11">
            <v>41</v>
          </cell>
          <cell r="AW11">
            <v>42</v>
          </cell>
          <cell r="AX11">
            <v>43</v>
          </cell>
          <cell r="AY11">
            <v>44</v>
          </cell>
          <cell r="AZ11">
            <v>45</v>
          </cell>
          <cell r="BA11">
            <v>46</v>
          </cell>
          <cell r="BB11">
            <v>47</v>
          </cell>
          <cell r="BC11">
            <v>48</v>
          </cell>
          <cell r="BD11">
            <v>49</v>
          </cell>
          <cell r="BE11">
            <v>50</v>
          </cell>
          <cell r="BF11">
            <v>51</v>
          </cell>
          <cell r="BG11">
            <v>52</v>
          </cell>
          <cell r="BH11">
            <v>1</v>
          </cell>
          <cell r="BI11">
            <v>2</v>
          </cell>
          <cell r="BJ11">
            <v>3</v>
          </cell>
          <cell r="BK11">
            <v>4</v>
          </cell>
          <cell r="BL11">
            <v>5</v>
          </cell>
          <cell r="BM11">
            <v>6</v>
          </cell>
          <cell r="BN11">
            <v>7</v>
          </cell>
          <cell r="BO11">
            <v>8</v>
          </cell>
          <cell r="BP11">
            <v>9</v>
          </cell>
          <cell r="BQ11">
            <v>10</v>
          </cell>
          <cell r="BR11">
            <v>11</v>
          </cell>
          <cell r="BS11">
            <v>12</v>
          </cell>
          <cell r="BT11">
            <v>13</v>
          </cell>
          <cell r="BU11">
            <v>14</v>
          </cell>
          <cell r="BV11">
            <v>15</v>
          </cell>
          <cell r="BW11">
            <v>16</v>
          </cell>
          <cell r="BX11">
            <v>17</v>
          </cell>
          <cell r="BY11">
            <v>18</v>
          </cell>
          <cell r="BZ11">
            <v>19</v>
          </cell>
          <cell r="CA11">
            <v>20</v>
          </cell>
          <cell r="CB11">
            <v>21</v>
          </cell>
          <cell r="CC11">
            <v>22</v>
          </cell>
          <cell r="CD11">
            <v>23</v>
          </cell>
          <cell r="CE11">
            <v>24</v>
          </cell>
          <cell r="CF11">
            <v>25</v>
          </cell>
          <cell r="CG11">
            <v>26</v>
          </cell>
          <cell r="CH11">
            <v>27</v>
          </cell>
          <cell r="CI11">
            <v>28</v>
          </cell>
          <cell r="CJ11">
            <v>29</v>
          </cell>
          <cell r="CK11">
            <v>30</v>
          </cell>
          <cell r="CL11">
            <v>31</v>
          </cell>
          <cell r="CM11">
            <v>32</v>
          </cell>
          <cell r="CN11">
            <v>33</v>
          </cell>
          <cell r="CO11">
            <v>34</v>
          </cell>
          <cell r="CP11">
            <v>35</v>
          </cell>
          <cell r="CQ11">
            <v>36</v>
          </cell>
          <cell r="CR11">
            <v>37</v>
          </cell>
          <cell r="CS11">
            <v>38</v>
          </cell>
          <cell r="CT11">
            <v>39</v>
          </cell>
          <cell r="CU11">
            <v>40</v>
          </cell>
          <cell r="CV11">
            <v>41</v>
          </cell>
          <cell r="CW11">
            <v>42</v>
          </cell>
          <cell r="CX11">
            <v>43</v>
          </cell>
          <cell r="CY11">
            <v>44</v>
          </cell>
          <cell r="CZ11">
            <v>45</v>
          </cell>
          <cell r="DA11">
            <v>46</v>
          </cell>
          <cell r="DB11">
            <v>47</v>
          </cell>
          <cell r="DC11">
            <v>48</v>
          </cell>
          <cell r="DD11">
            <v>49</v>
          </cell>
          <cell r="DE11">
            <v>50</v>
          </cell>
          <cell r="DF11">
            <v>51</v>
          </cell>
          <cell r="DG11">
            <v>52</v>
          </cell>
          <cell r="DH11">
            <v>53</v>
          </cell>
          <cell r="DI11">
            <v>1</v>
          </cell>
          <cell r="DJ11">
            <v>2</v>
          </cell>
          <cell r="DK11">
            <v>3</v>
          </cell>
          <cell r="DL11">
            <v>4</v>
          </cell>
          <cell r="DM11">
            <v>5</v>
          </cell>
          <cell r="DN11">
            <v>6</v>
          </cell>
          <cell r="DO11">
            <v>7</v>
          </cell>
          <cell r="DP11">
            <v>8</v>
          </cell>
          <cell r="DQ11">
            <v>9</v>
          </cell>
          <cell r="DR11">
            <v>10</v>
          </cell>
          <cell r="DS11">
            <v>11</v>
          </cell>
          <cell r="DT11">
            <v>12</v>
          </cell>
          <cell r="DU11">
            <v>13</v>
          </cell>
          <cell r="DV11">
            <v>14</v>
          </cell>
          <cell r="DW11">
            <v>15</v>
          </cell>
          <cell r="DX11">
            <v>16</v>
          </cell>
          <cell r="DY11">
            <v>17</v>
          </cell>
          <cell r="DZ11">
            <v>18</v>
          </cell>
          <cell r="EA11">
            <v>19</v>
          </cell>
          <cell r="EB11">
            <v>20</v>
          </cell>
          <cell r="EC11">
            <v>21</v>
          </cell>
          <cell r="ED11">
            <v>22</v>
          </cell>
          <cell r="EE11" t="str">
            <v xml:space="preserve">status </v>
          </cell>
          <cell r="EF11" t="str">
            <v>ABC</v>
          </cell>
          <cell r="EG11" t="str">
            <v>EMPAQUE</v>
          </cell>
          <cell r="EH11" t="str">
            <v>PROM. SEM</v>
          </cell>
          <cell r="EI11" t="str">
            <v>STOCK DIA</v>
          </cell>
          <cell r="EJ11" t="str">
            <v>DESV. EST</v>
          </cell>
          <cell r="EK11" t="str">
            <v>STOCK</v>
          </cell>
          <cell r="EL11" t="str">
            <v>STOCK $</v>
          </cell>
          <cell r="EM11" t="str">
            <v>S/STOCK</v>
          </cell>
          <cell r="EN11" t="str">
            <v>P REORDEN</v>
          </cell>
          <cell r="EO11" t="str">
            <v>S/SG</v>
          </cell>
          <cell r="EP11" t="str">
            <v>REFERENCIA</v>
          </cell>
        </row>
        <row r="12">
          <cell r="F12">
            <v>400202</v>
          </cell>
          <cell r="G12" t="str">
            <v>BOLSA PREPICADA 50x75</v>
          </cell>
          <cell r="J12">
            <v>60</v>
          </cell>
          <cell r="K12">
            <v>20</v>
          </cell>
          <cell r="M12">
            <v>140</v>
          </cell>
          <cell r="S12">
            <v>100</v>
          </cell>
          <cell r="X12">
            <v>40</v>
          </cell>
          <cell r="AA12">
            <v>40</v>
          </cell>
          <cell r="AB12">
            <v>80</v>
          </cell>
          <cell r="AF12">
            <v>100</v>
          </cell>
          <cell r="AJ12">
            <v>100</v>
          </cell>
          <cell r="AM12">
            <v>120</v>
          </cell>
          <cell r="AQ12">
            <v>100</v>
          </cell>
          <cell r="AV12">
            <v>100</v>
          </cell>
          <cell r="AZ12">
            <v>90</v>
          </cell>
          <cell r="BC12">
            <v>220</v>
          </cell>
          <cell r="BL12">
            <v>121</v>
          </cell>
          <cell r="BM12">
            <v>119</v>
          </cell>
          <cell r="BO12">
            <v>150</v>
          </cell>
          <cell r="BW12">
            <v>200</v>
          </cell>
          <cell r="CC12">
            <v>120</v>
          </cell>
          <cell r="CE12">
            <v>100</v>
          </cell>
          <cell r="CG12">
            <v>300</v>
          </cell>
          <cell r="CK12">
            <v>100</v>
          </cell>
          <cell r="CN12">
            <v>100</v>
          </cell>
          <cell r="CR12">
            <v>140</v>
          </cell>
          <cell r="CW12">
            <v>150</v>
          </cell>
          <cell r="CY12">
            <v>7.4</v>
          </cell>
          <cell r="DB12">
            <v>200</v>
          </cell>
          <cell r="DL12">
            <v>200</v>
          </cell>
          <cell r="DR12">
            <v>150</v>
          </cell>
          <cell r="DX12">
            <v>150</v>
          </cell>
          <cell r="EB12">
            <v>150</v>
          </cell>
          <cell r="EE12" t="str">
            <v>CURICO</v>
          </cell>
          <cell r="EF12" t="str">
            <v>C</v>
          </cell>
          <cell r="EG12" t="str">
            <v/>
          </cell>
          <cell r="EH12">
            <v>166.66666666666666</v>
          </cell>
          <cell r="EI12">
            <v>27.777777777777775</v>
          </cell>
          <cell r="EJ12">
            <v>68.661335366849471</v>
          </cell>
          <cell r="EK12">
            <v>0</v>
          </cell>
          <cell r="EL12">
            <v>0</v>
          </cell>
          <cell r="EM12">
            <v>0</v>
          </cell>
          <cell r="EN12">
            <v>166.66666666666666</v>
          </cell>
          <cell r="EO12">
            <v>55.55555555555555</v>
          </cell>
          <cell r="EP12">
            <v>222.2222222222222</v>
          </cell>
        </row>
        <row r="13">
          <cell r="F13">
            <v>402254</v>
          </cell>
          <cell r="G13" t="str">
            <v>BOLSA PREPICADA BANDEJA 100X90</v>
          </cell>
          <cell r="H13">
            <v>93.9</v>
          </cell>
          <cell r="I13">
            <v>160</v>
          </cell>
          <cell r="J13">
            <v>526.6</v>
          </cell>
          <cell r="K13">
            <v>89.5</v>
          </cell>
          <cell r="L13">
            <v>83.4</v>
          </cell>
          <cell r="M13">
            <v>355.1</v>
          </cell>
          <cell r="N13">
            <v>69.5</v>
          </cell>
          <cell r="O13">
            <v>1036.2</v>
          </cell>
          <cell r="P13">
            <v>186.4</v>
          </cell>
          <cell r="Q13">
            <v>69.5</v>
          </cell>
          <cell r="R13">
            <v>575.5</v>
          </cell>
          <cell r="S13">
            <v>47.8</v>
          </cell>
          <cell r="T13">
            <v>81.7</v>
          </cell>
          <cell r="U13">
            <v>204.7</v>
          </cell>
          <cell r="V13">
            <v>41.7</v>
          </cell>
          <cell r="W13">
            <v>799.2</v>
          </cell>
          <cell r="X13">
            <v>89.5</v>
          </cell>
          <cell r="Y13">
            <v>69.5</v>
          </cell>
          <cell r="Z13">
            <v>125.10000000000002</v>
          </cell>
          <cell r="AA13">
            <v>603.79999999999995</v>
          </cell>
          <cell r="AB13">
            <v>132.1</v>
          </cell>
          <cell r="AC13">
            <v>416.99999999999989</v>
          </cell>
          <cell r="AD13">
            <v>970.69999999999993</v>
          </cell>
          <cell r="AE13">
            <v>369.49999999999994</v>
          </cell>
          <cell r="AF13">
            <v>57.300000000000004</v>
          </cell>
          <cell r="AG13">
            <v>789.59999999999991</v>
          </cell>
          <cell r="AJ13">
            <v>499.9</v>
          </cell>
          <cell r="AM13">
            <v>139</v>
          </cell>
          <cell r="AN13">
            <v>194.60000000000002</v>
          </cell>
          <cell r="AO13">
            <v>1033.7</v>
          </cell>
          <cell r="AP13">
            <v>209.5</v>
          </cell>
          <cell r="AQ13">
            <v>180.70000000000002</v>
          </cell>
          <cell r="AR13">
            <v>1075.3</v>
          </cell>
          <cell r="AS13">
            <v>27.8</v>
          </cell>
          <cell r="AT13">
            <v>83.4</v>
          </cell>
          <cell r="AU13">
            <v>69.5</v>
          </cell>
          <cell r="AV13">
            <v>55.599999999999987</v>
          </cell>
          <cell r="AW13">
            <v>83.4</v>
          </cell>
          <cell r="AX13">
            <v>97.300000000000011</v>
          </cell>
          <cell r="AY13">
            <v>583.79999999999995</v>
          </cell>
          <cell r="AZ13">
            <v>305.40000000000003</v>
          </cell>
          <cell r="BA13">
            <v>804.99999999999989</v>
          </cell>
          <cell r="BB13">
            <v>613.69999999999982</v>
          </cell>
          <cell r="BC13">
            <v>473.8</v>
          </cell>
          <cell r="BD13">
            <v>503</v>
          </cell>
          <cell r="BE13">
            <v>1302.7000000000003</v>
          </cell>
          <cell r="BF13">
            <v>83.4</v>
          </cell>
          <cell r="BG13">
            <v>111.20000000000002</v>
          </cell>
          <cell r="BH13">
            <v>13.9</v>
          </cell>
          <cell r="BN13">
            <v>13.9</v>
          </cell>
          <cell r="BO13">
            <v>681.1</v>
          </cell>
          <cell r="BP13">
            <v>41.7</v>
          </cell>
          <cell r="BQ13">
            <v>138.1</v>
          </cell>
          <cell r="BR13">
            <v>0.3</v>
          </cell>
          <cell r="BU13">
            <v>528.20000000000005</v>
          </cell>
          <cell r="BV13">
            <v>83.4</v>
          </cell>
          <cell r="BW13">
            <v>97.300000000000011</v>
          </cell>
          <cell r="BX13">
            <v>639.39999999999986</v>
          </cell>
          <cell r="BY13">
            <v>194.60000000000002</v>
          </cell>
          <cell r="BZ13">
            <v>125.10000000000002</v>
          </cell>
          <cell r="CA13">
            <v>77.7</v>
          </cell>
          <cell r="CF13">
            <v>41.7</v>
          </cell>
          <cell r="CG13">
            <v>343.8</v>
          </cell>
          <cell r="CH13">
            <v>624</v>
          </cell>
          <cell r="CI13">
            <v>125.10000000000001</v>
          </cell>
          <cell r="CJ13">
            <v>139</v>
          </cell>
          <cell r="CK13">
            <v>567.99999999999989</v>
          </cell>
          <cell r="CL13">
            <v>55.6</v>
          </cell>
          <cell r="CM13">
            <v>541.69999999999993</v>
          </cell>
          <cell r="CN13">
            <v>41.7</v>
          </cell>
          <cell r="CP13">
            <v>27.8</v>
          </cell>
          <cell r="CQ13">
            <v>55.6</v>
          </cell>
          <cell r="CR13">
            <v>83.4</v>
          </cell>
          <cell r="CS13">
            <v>13.9</v>
          </cell>
          <cell r="CT13">
            <v>69.5</v>
          </cell>
          <cell r="CU13">
            <v>83.4</v>
          </cell>
          <cell r="CV13">
            <v>132.6</v>
          </cell>
          <cell r="CX13">
            <v>162.415865</v>
          </cell>
          <cell r="DA13">
            <v>55.6</v>
          </cell>
          <cell r="DB13">
            <v>83.4</v>
          </cell>
          <cell r="DC13">
            <v>62.800000000000004</v>
          </cell>
          <cell r="DE13">
            <v>534.29999999999995</v>
          </cell>
          <cell r="DF13">
            <v>69.5</v>
          </cell>
          <cell r="DG13">
            <v>129.5</v>
          </cell>
          <cell r="DH13">
            <v>241.7</v>
          </cell>
          <cell r="DI13">
            <v>27.8</v>
          </cell>
          <cell r="DJ13">
            <v>335.7</v>
          </cell>
          <cell r="DK13">
            <v>166.8</v>
          </cell>
          <cell r="DL13">
            <v>83.4</v>
          </cell>
          <cell r="DM13">
            <v>83.4</v>
          </cell>
          <cell r="DN13">
            <v>69.5</v>
          </cell>
          <cell r="DO13">
            <v>83.4</v>
          </cell>
          <cell r="DP13">
            <v>142.5</v>
          </cell>
          <cell r="DQ13">
            <v>55.6</v>
          </cell>
          <cell r="DR13">
            <v>55.6</v>
          </cell>
          <cell r="DS13">
            <v>188.8</v>
          </cell>
          <cell r="DU13">
            <v>41.7</v>
          </cell>
          <cell r="DV13">
            <v>83.4</v>
          </cell>
          <cell r="DW13">
            <v>166.8</v>
          </cell>
          <cell r="DX13">
            <v>97.300000000000011</v>
          </cell>
          <cell r="DY13">
            <v>461.59999999999991</v>
          </cell>
          <cell r="EE13" t="str">
            <v>ACTIVO</v>
          </cell>
          <cell r="EF13" t="str">
            <v>B</v>
          </cell>
          <cell r="EG13">
            <v>300</v>
          </cell>
          <cell r="EH13">
            <v>133.95624999999998</v>
          </cell>
          <cell r="EI13">
            <v>22.326041666666665</v>
          </cell>
          <cell r="EJ13">
            <v>208.55527445585966</v>
          </cell>
          <cell r="EK13">
            <v>0</v>
          </cell>
          <cell r="EL13">
            <v>0</v>
          </cell>
          <cell r="EM13">
            <v>0</v>
          </cell>
          <cell r="EN13">
            <v>245.58645833333333</v>
          </cell>
          <cell r="EO13">
            <v>44.65208333333333</v>
          </cell>
          <cell r="EP13">
            <v>290.23854166666666</v>
          </cell>
        </row>
        <row r="14">
          <cell r="F14">
            <v>400104</v>
          </cell>
          <cell r="G14" t="str">
            <v>BOLSA DISCO HOJA 35X35 CM x35 MICRAS</v>
          </cell>
          <cell r="J14">
            <v>500</v>
          </cell>
          <cell r="K14">
            <v>12500</v>
          </cell>
          <cell r="L14">
            <v>11500</v>
          </cell>
          <cell r="M14">
            <v>24000</v>
          </cell>
          <cell r="Q14">
            <v>53000</v>
          </cell>
          <cell r="R14">
            <v>18000</v>
          </cell>
          <cell r="T14">
            <v>18236</v>
          </cell>
          <cell r="U14">
            <v>42000</v>
          </cell>
          <cell r="W14">
            <v>17500</v>
          </cell>
          <cell r="X14">
            <v>35000</v>
          </cell>
          <cell r="AB14">
            <v>25000</v>
          </cell>
          <cell r="AI14">
            <v>44000</v>
          </cell>
          <cell r="AJ14">
            <v>24500</v>
          </cell>
          <cell r="AN14">
            <v>63000</v>
          </cell>
          <cell r="AO14">
            <v>8500</v>
          </cell>
          <cell r="AP14">
            <v>60000</v>
          </cell>
          <cell r="AQ14">
            <v>32500</v>
          </cell>
          <cell r="AW14">
            <v>24500</v>
          </cell>
          <cell r="BA14">
            <v>33000</v>
          </cell>
          <cell r="BB14">
            <v>67000</v>
          </cell>
          <cell r="BC14">
            <v>76300</v>
          </cell>
          <cell r="BL14">
            <v>50000</v>
          </cell>
          <cell r="BS14">
            <v>60000</v>
          </cell>
          <cell r="BU14">
            <v>120000</v>
          </cell>
          <cell r="CC14">
            <v>60000</v>
          </cell>
          <cell r="CE14">
            <v>49000</v>
          </cell>
          <cell r="CF14">
            <v>11000</v>
          </cell>
          <cell r="CG14">
            <v>60000</v>
          </cell>
          <cell r="CN14">
            <v>30000</v>
          </cell>
          <cell r="CR14">
            <v>100000</v>
          </cell>
          <cell r="DB14">
            <v>120000</v>
          </cell>
          <cell r="DL14">
            <v>47500</v>
          </cell>
          <cell r="DO14">
            <v>60000</v>
          </cell>
          <cell r="DQ14">
            <v>60000</v>
          </cell>
          <cell r="DW14">
            <v>60000</v>
          </cell>
          <cell r="ED14">
            <v>38500</v>
          </cell>
          <cell r="EE14" t="str">
            <v>CURICO</v>
          </cell>
          <cell r="EF14" t="str">
            <v>C</v>
          </cell>
          <cell r="EG14" t="str">
            <v/>
          </cell>
          <cell r="EH14">
            <v>56875</v>
          </cell>
          <cell r="EI14">
            <v>9479.1666666666661</v>
          </cell>
          <cell r="EJ14">
            <v>36456.976165215776</v>
          </cell>
          <cell r="EK14">
            <v>0</v>
          </cell>
          <cell r="EL14">
            <v>0</v>
          </cell>
          <cell r="EM14">
            <v>0</v>
          </cell>
          <cell r="EN14">
            <v>56875</v>
          </cell>
          <cell r="EO14">
            <v>18958.333333333332</v>
          </cell>
          <cell r="EP14">
            <v>75833.333333333328</v>
          </cell>
        </row>
        <row r="15">
          <cell r="F15">
            <v>405569</v>
          </cell>
          <cell r="G15" t="str">
            <v>BOLSA VIRGEN ROJA DE 40 X 42 X 0,035 SIGNO</v>
          </cell>
          <cell r="CM15">
            <v>2000</v>
          </cell>
          <cell r="EE15" t="str">
            <v>SIN USO</v>
          </cell>
          <cell r="EF15" t="str">
            <v>C</v>
          </cell>
          <cell r="EG15" t="str">
            <v/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</row>
        <row r="16">
          <cell r="F16">
            <v>400203</v>
          </cell>
          <cell r="G16" t="str">
            <v>BOLSA PREPICADA BANDEJA (22+60+22)104x90</v>
          </cell>
          <cell r="Q16">
            <v>200</v>
          </cell>
          <cell r="U16">
            <v>13</v>
          </cell>
          <cell r="AF16">
            <v>27.8</v>
          </cell>
          <cell r="AG16">
            <v>41.7</v>
          </cell>
          <cell r="AH16">
            <v>83.4</v>
          </cell>
          <cell r="AI16">
            <v>41.7</v>
          </cell>
          <cell r="AJ16">
            <v>69.5</v>
          </cell>
          <cell r="AK16">
            <v>125.10000000000002</v>
          </cell>
          <cell r="AL16">
            <v>69.5</v>
          </cell>
          <cell r="AM16">
            <v>76.5</v>
          </cell>
          <cell r="AN16">
            <v>34</v>
          </cell>
          <cell r="AO16">
            <v>13.9</v>
          </cell>
          <cell r="AR16">
            <v>13.9</v>
          </cell>
          <cell r="BA16">
            <v>2.2000000000000002</v>
          </cell>
          <cell r="BS16">
            <v>395</v>
          </cell>
          <cell r="BZ16">
            <v>0</v>
          </cell>
          <cell r="CA16">
            <v>500</v>
          </cell>
          <cell r="CB16">
            <v>55.6</v>
          </cell>
          <cell r="CC16">
            <v>472.6</v>
          </cell>
          <cell r="CE16">
            <v>500</v>
          </cell>
          <cell r="CK16">
            <v>500</v>
          </cell>
          <cell r="CO16">
            <v>500</v>
          </cell>
          <cell r="CP16">
            <v>103.9</v>
          </cell>
          <cell r="CV16">
            <v>73.900000000000006</v>
          </cell>
          <cell r="CW16">
            <v>552.19999999999993</v>
          </cell>
          <cell r="CY16">
            <v>137.80000000000001</v>
          </cell>
          <cell r="CZ16">
            <v>569.49999999999989</v>
          </cell>
          <cell r="DA16">
            <v>13.9</v>
          </cell>
          <cell r="DC16">
            <v>27.8</v>
          </cell>
          <cell r="DD16">
            <v>555.59999999999991</v>
          </cell>
          <cell r="DE16">
            <v>55.6</v>
          </cell>
          <cell r="DF16">
            <v>513.9</v>
          </cell>
          <cell r="DG16">
            <v>13.9</v>
          </cell>
          <cell r="DK16">
            <v>500</v>
          </cell>
          <cell r="DM16">
            <v>500</v>
          </cell>
          <cell r="DR16">
            <v>500</v>
          </cell>
          <cell r="DT16">
            <v>41.7</v>
          </cell>
          <cell r="DU16">
            <v>333.6</v>
          </cell>
          <cell r="DW16">
            <v>500</v>
          </cell>
          <cell r="DY16">
            <v>13.9</v>
          </cell>
          <cell r="DZ16">
            <v>83.4</v>
          </cell>
          <cell r="EA16">
            <v>111.20000000000002</v>
          </cell>
          <cell r="EB16">
            <v>319.7</v>
          </cell>
          <cell r="EC16">
            <v>461.39999999999992</v>
          </cell>
          <cell r="ED16">
            <v>375.3</v>
          </cell>
          <cell r="EE16" t="str">
            <v>ACTIVO</v>
          </cell>
          <cell r="EF16" t="str">
            <v>C</v>
          </cell>
          <cell r="EG16">
            <v>300</v>
          </cell>
          <cell r="EH16">
            <v>309.07500000000005</v>
          </cell>
          <cell r="EI16">
            <v>51.51250000000001</v>
          </cell>
          <cell r="EJ16">
            <v>236.63795909407801</v>
          </cell>
          <cell r="EK16">
            <v>444.8</v>
          </cell>
          <cell r="EL16">
            <v>1222804.128</v>
          </cell>
          <cell r="EM16">
            <v>1.4391328965461456</v>
          </cell>
          <cell r="EN16">
            <v>309.07500000000005</v>
          </cell>
          <cell r="EO16">
            <v>103.02500000000002</v>
          </cell>
          <cell r="EP16">
            <v>412.10000000000008</v>
          </cell>
        </row>
        <row r="17">
          <cell r="F17">
            <v>400205</v>
          </cell>
          <cell r="G17" t="str">
            <v>BOLSA PEBD 40x42 CM x35 MICRAS</v>
          </cell>
          <cell r="N17">
            <v>2500</v>
          </cell>
          <cell r="V17">
            <v>2000</v>
          </cell>
          <cell r="X17">
            <v>2000</v>
          </cell>
          <cell r="Y17">
            <v>4000</v>
          </cell>
          <cell r="AA17">
            <v>4000</v>
          </cell>
          <cell r="AE17">
            <v>2000</v>
          </cell>
          <cell r="AH17">
            <v>3000</v>
          </cell>
          <cell r="AQ17">
            <v>5500</v>
          </cell>
          <cell r="AU17">
            <v>4000</v>
          </cell>
          <cell r="BG17">
            <v>1500</v>
          </cell>
          <cell r="BT17">
            <v>1000</v>
          </cell>
          <cell r="BZ17">
            <v>2000</v>
          </cell>
          <cell r="CC17">
            <v>2000</v>
          </cell>
          <cell r="CG17">
            <v>28000</v>
          </cell>
          <cell r="CN17">
            <v>4000</v>
          </cell>
          <cell r="CP17">
            <v>4000</v>
          </cell>
          <cell r="CS17">
            <v>4000</v>
          </cell>
          <cell r="CW17">
            <v>2000</v>
          </cell>
          <cell r="CX17">
            <v>2500</v>
          </cell>
          <cell r="DA17">
            <v>2000</v>
          </cell>
          <cell r="DL17">
            <v>2000</v>
          </cell>
          <cell r="DN17">
            <v>2000</v>
          </cell>
          <cell r="DT17">
            <v>2000</v>
          </cell>
          <cell r="DV17">
            <v>2000</v>
          </cell>
          <cell r="DY17">
            <v>2000</v>
          </cell>
          <cell r="EA17">
            <v>4000</v>
          </cell>
          <cell r="EE17" t="str">
            <v>ACTIVO</v>
          </cell>
          <cell r="EF17" t="str">
            <v>C</v>
          </cell>
          <cell r="EG17" t="str">
            <v/>
          </cell>
          <cell r="EH17">
            <v>2000</v>
          </cell>
          <cell r="EI17">
            <v>333.33333333333331</v>
          </cell>
          <cell r="EJ17">
            <v>8096.8100714622997</v>
          </cell>
          <cell r="EK17">
            <v>0</v>
          </cell>
          <cell r="EL17">
            <v>0</v>
          </cell>
          <cell r="EM17">
            <v>0</v>
          </cell>
          <cell r="EN17">
            <v>2000</v>
          </cell>
          <cell r="EO17">
            <v>666.66666666666663</v>
          </cell>
          <cell r="EP17">
            <v>2666.6666666666665</v>
          </cell>
        </row>
        <row r="18">
          <cell r="F18">
            <v>400101</v>
          </cell>
          <cell r="G18" t="str">
            <v>BOLSA 30X32 CM 35 MICRAS</v>
          </cell>
          <cell r="BL18">
            <v>30000</v>
          </cell>
          <cell r="EE18" t="str">
            <v>VESPUCIO</v>
          </cell>
          <cell r="EF18" t="str">
            <v>C</v>
          </cell>
          <cell r="EG18" t="str">
            <v/>
          </cell>
          <cell r="EH18">
            <v>0</v>
          </cell>
          <cell r="EI18">
            <v>0</v>
          </cell>
          <cell r="EJ18">
            <v>0</v>
          </cell>
          <cell r="EK18">
            <v>0</v>
          </cell>
          <cell r="EL18">
            <v>0</v>
          </cell>
          <cell r="EM18">
            <v>0</v>
          </cell>
          <cell r="EN18">
            <v>0</v>
          </cell>
          <cell r="EO18">
            <v>0</v>
          </cell>
          <cell r="EP18">
            <v>0</v>
          </cell>
        </row>
        <row r="19">
          <cell r="F19">
            <v>402263</v>
          </cell>
          <cell r="G19" t="str">
            <v>BOLSA PREPICADA BANDEJA  100*90 COLOR AZUL ASTRA</v>
          </cell>
          <cell r="BN19">
            <v>208.5</v>
          </cell>
          <cell r="BU19">
            <v>27.8</v>
          </cell>
          <cell r="BZ19">
            <v>13.9</v>
          </cell>
          <cell r="CB19">
            <v>27.8</v>
          </cell>
          <cell r="CE19">
            <v>13.9</v>
          </cell>
          <cell r="CG19">
            <v>111.2</v>
          </cell>
          <cell r="CJ19">
            <v>13.9</v>
          </cell>
          <cell r="CL19">
            <v>13.9</v>
          </cell>
          <cell r="CN19">
            <v>41.7</v>
          </cell>
          <cell r="CR19">
            <v>13.9</v>
          </cell>
          <cell r="CU19">
            <v>13.9</v>
          </cell>
          <cell r="CW19">
            <v>10</v>
          </cell>
          <cell r="CY19">
            <v>13.9</v>
          </cell>
          <cell r="CZ19">
            <v>13.9</v>
          </cell>
          <cell r="DC19">
            <v>13.9</v>
          </cell>
          <cell r="DD19">
            <v>13.9</v>
          </cell>
          <cell r="DF19">
            <v>13.9</v>
          </cell>
          <cell r="DK19">
            <v>13.9</v>
          </cell>
          <cell r="DL19">
            <v>13.9</v>
          </cell>
          <cell r="DM19">
            <v>13.9</v>
          </cell>
          <cell r="DO19">
            <v>13.9</v>
          </cell>
          <cell r="DP19">
            <v>27.8</v>
          </cell>
          <cell r="DS19">
            <v>13.9</v>
          </cell>
          <cell r="DT19">
            <v>13.9</v>
          </cell>
          <cell r="DU19">
            <v>13.9</v>
          </cell>
          <cell r="DW19">
            <v>13.9</v>
          </cell>
          <cell r="EA19">
            <v>97.300000000000011</v>
          </cell>
          <cell r="EB19">
            <v>13.9</v>
          </cell>
          <cell r="EC19">
            <v>143.9</v>
          </cell>
          <cell r="EE19" t="str">
            <v>ACTIVO</v>
          </cell>
          <cell r="EF19" t="str">
            <v>C</v>
          </cell>
          <cell r="EG19" t="str">
            <v/>
          </cell>
          <cell r="EH19">
            <v>15.444444444444448</v>
          </cell>
          <cell r="EI19">
            <v>2.5740740740740748</v>
          </cell>
          <cell r="EJ19">
            <v>50.96945019265145</v>
          </cell>
          <cell r="EK19">
            <v>361.4</v>
          </cell>
          <cell r="EL19">
            <v>895816.63600000006</v>
          </cell>
          <cell r="EM19">
            <v>23.399999999999991</v>
          </cell>
          <cell r="EN19">
            <v>28.314814814814824</v>
          </cell>
          <cell r="EO19">
            <v>5.1481481481481497</v>
          </cell>
          <cell r="EP19">
            <v>33.462962962962976</v>
          </cell>
        </row>
        <row r="20">
          <cell r="H20">
            <v>93.9</v>
          </cell>
          <cell r="I20">
            <v>160</v>
          </cell>
          <cell r="J20">
            <v>1086.5999999999999</v>
          </cell>
          <cell r="K20">
            <v>12609.5</v>
          </cell>
          <cell r="L20">
            <v>11583.4</v>
          </cell>
          <cell r="M20">
            <v>24495.1</v>
          </cell>
          <cell r="N20">
            <v>2569.5</v>
          </cell>
          <cell r="O20">
            <v>1036.2</v>
          </cell>
          <cell r="P20">
            <v>186.4</v>
          </cell>
          <cell r="Q20">
            <v>53269.5</v>
          </cell>
          <cell r="R20">
            <v>18575.5</v>
          </cell>
          <cell r="S20">
            <v>147.80000000000001</v>
          </cell>
          <cell r="T20">
            <v>18317.7</v>
          </cell>
          <cell r="U20">
            <v>42217.7</v>
          </cell>
          <cell r="V20">
            <v>2041.7</v>
          </cell>
          <cell r="W20">
            <v>18299.2</v>
          </cell>
          <cell r="X20">
            <v>37129.5</v>
          </cell>
          <cell r="Y20">
            <v>4069.5</v>
          </cell>
          <cell r="Z20">
            <v>125.10000000000002</v>
          </cell>
          <cell r="AA20">
            <v>4643.8</v>
          </cell>
          <cell r="AB20">
            <v>25212.1</v>
          </cell>
          <cell r="AC20">
            <v>416.99999999999989</v>
          </cell>
          <cell r="AD20">
            <v>970.69999999999993</v>
          </cell>
          <cell r="AE20">
            <v>2369.5</v>
          </cell>
          <cell r="AF20">
            <v>185.10000000000002</v>
          </cell>
          <cell r="AG20">
            <v>831.3</v>
          </cell>
          <cell r="AH20">
            <v>3083.4</v>
          </cell>
          <cell r="AI20">
            <v>44041.7</v>
          </cell>
          <cell r="AJ20">
            <v>25169.4</v>
          </cell>
          <cell r="AK20">
            <v>125.10000000000002</v>
          </cell>
          <cell r="AL20">
            <v>69.5</v>
          </cell>
          <cell r="AM20">
            <v>335.5</v>
          </cell>
          <cell r="AN20">
            <v>63228.6</v>
          </cell>
          <cell r="AO20">
            <v>9547.6</v>
          </cell>
          <cell r="AP20">
            <v>60209.5</v>
          </cell>
          <cell r="AQ20">
            <v>38280.699999999997</v>
          </cell>
          <cell r="AR20">
            <v>1089.2</v>
          </cell>
          <cell r="AS20">
            <v>27.8</v>
          </cell>
          <cell r="AT20">
            <v>83.4</v>
          </cell>
          <cell r="AU20">
            <v>4069.5</v>
          </cell>
          <cell r="AV20">
            <v>155.6</v>
          </cell>
          <cell r="AW20">
            <v>24583.4</v>
          </cell>
          <cell r="AX20">
            <v>97.300000000000011</v>
          </cell>
          <cell r="AY20">
            <v>583.79999999999995</v>
          </cell>
          <cell r="AZ20">
            <v>395.40000000000003</v>
          </cell>
          <cell r="BA20">
            <v>33807.199999999997</v>
          </cell>
          <cell r="BB20">
            <v>67613.7</v>
          </cell>
          <cell r="BC20">
            <v>76993.8</v>
          </cell>
          <cell r="BD20">
            <v>503</v>
          </cell>
          <cell r="BE20">
            <v>1302.7000000000003</v>
          </cell>
          <cell r="BF20">
            <v>83.4</v>
          </cell>
          <cell r="BG20">
            <v>1611.2</v>
          </cell>
          <cell r="BH20">
            <v>13.9</v>
          </cell>
          <cell r="BL20">
            <v>80121</v>
          </cell>
          <cell r="BM20">
            <v>119</v>
          </cell>
          <cell r="BN20">
            <v>222.4</v>
          </cell>
          <cell r="BO20">
            <v>831.1</v>
          </cell>
          <cell r="BP20">
            <v>41.7</v>
          </cell>
          <cell r="BQ20">
            <v>138.1</v>
          </cell>
          <cell r="BR20">
            <v>0.3</v>
          </cell>
          <cell r="BS20">
            <v>60395</v>
          </cell>
          <cell r="BT20">
            <v>1000</v>
          </cell>
          <cell r="BU20">
            <v>120556</v>
          </cell>
          <cell r="BV20">
            <v>83.4</v>
          </cell>
          <cell r="BW20">
            <v>297.3</v>
          </cell>
          <cell r="BX20">
            <v>639.39999999999986</v>
          </cell>
          <cell r="BY20">
            <v>194.60000000000002</v>
          </cell>
          <cell r="BZ20">
            <v>2139</v>
          </cell>
          <cell r="CA20">
            <v>577.70000000000005</v>
          </cell>
          <cell r="CB20">
            <v>83.4</v>
          </cell>
          <cell r="CC20">
            <v>62592.6</v>
          </cell>
          <cell r="CE20">
            <v>49613.9</v>
          </cell>
          <cell r="CF20">
            <v>11041.7</v>
          </cell>
          <cell r="CG20">
            <v>88755</v>
          </cell>
          <cell r="CH20">
            <v>624</v>
          </cell>
          <cell r="CI20">
            <v>125.10000000000001</v>
          </cell>
          <cell r="CJ20">
            <v>152.9</v>
          </cell>
          <cell r="CK20">
            <v>1168</v>
          </cell>
          <cell r="CL20">
            <v>69.5</v>
          </cell>
          <cell r="CM20">
            <v>2541.6999999999998</v>
          </cell>
          <cell r="CN20">
            <v>34183.399999999994</v>
          </cell>
          <cell r="CO20">
            <v>500</v>
          </cell>
          <cell r="CP20">
            <v>4131.7</v>
          </cell>
          <cell r="CQ20">
            <v>55.6</v>
          </cell>
          <cell r="CR20">
            <v>100237.29999999999</v>
          </cell>
          <cell r="CS20">
            <v>4013.9</v>
          </cell>
          <cell r="CT20">
            <v>69.5</v>
          </cell>
          <cell r="CU20">
            <v>97.300000000000011</v>
          </cell>
          <cell r="CV20">
            <v>206.5</v>
          </cell>
          <cell r="CW20">
            <v>2712.2</v>
          </cell>
          <cell r="CX20">
            <v>2662.4158649999999</v>
          </cell>
          <cell r="CY20">
            <v>159.10000000000002</v>
          </cell>
          <cell r="CZ20">
            <v>583.39999999999986</v>
          </cell>
          <cell r="DA20">
            <v>2069.5</v>
          </cell>
          <cell r="DB20">
            <v>120283.4</v>
          </cell>
          <cell r="DC20">
            <v>104.50000000000001</v>
          </cell>
          <cell r="DD20">
            <v>569.49999999999989</v>
          </cell>
          <cell r="DE20">
            <v>589.9</v>
          </cell>
          <cell r="DF20">
            <v>597.29999999999995</v>
          </cell>
          <cell r="DG20">
            <v>143.4</v>
          </cell>
          <cell r="DH20">
            <v>241.7</v>
          </cell>
          <cell r="DI20">
            <v>27.8</v>
          </cell>
          <cell r="DJ20">
            <v>335.7</v>
          </cell>
          <cell r="DK20">
            <v>680.69999999999993</v>
          </cell>
          <cell r="DL20">
            <v>49797.3</v>
          </cell>
          <cell r="DM20">
            <v>597.29999999999995</v>
          </cell>
          <cell r="DN20">
            <v>2069.5</v>
          </cell>
          <cell r="DO20">
            <v>60097.3</v>
          </cell>
          <cell r="DP20">
            <v>170.3</v>
          </cell>
          <cell r="DQ20">
            <v>60055.6</v>
          </cell>
          <cell r="DR20">
            <v>705.6</v>
          </cell>
          <cell r="DS20">
            <v>202.70000000000002</v>
          </cell>
          <cell r="DT20">
            <v>2055.6</v>
          </cell>
          <cell r="DU20">
            <v>389.2</v>
          </cell>
          <cell r="DV20">
            <v>2083.4</v>
          </cell>
          <cell r="DW20">
            <v>60680.700000000004</v>
          </cell>
          <cell r="DX20">
            <v>247.3</v>
          </cell>
          <cell r="DY20">
            <v>2475.5</v>
          </cell>
          <cell r="DZ20">
            <v>83.4</v>
          </cell>
          <cell r="EA20">
            <v>4208.5</v>
          </cell>
          <cell r="EB20">
            <v>483.59999999999997</v>
          </cell>
          <cell r="EC20">
            <v>605.29999999999995</v>
          </cell>
          <cell r="ED20">
            <v>38875.300000000003</v>
          </cell>
          <cell r="EE20" t="str">
            <v>ACTIVO</v>
          </cell>
          <cell r="EF20" t="str">
            <v/>
          </cell>
          <cell r="EH20">
            <v>13486.383333333335</v>
          </cell>
          <cell r="EI20">
            <v>2247.7305555555558</v>
          </cell>
          <cell r="EJ20">
            <v>33227.790767101236</v>
          </cell>
          <cell r="EK20">
            <v>0</v>
          </cell>
          <cell r="EL20">
            <v>0</v>
          </cell>
          <cell r="EM20">
            <v>0</v>
          </cell>
          <cell r="EN20">
            <v>0</v>
          </cell>
          <cell r="EO20">
            <v>4495.4611111111117</v>
          </cell>
          <cell r="EP20">
            <v>4495.4611111111117</v>
          </cell>
        </row>
        <row r="21">
          <cell r="F21">
            <v>402251</v>
          </cell>
          <cell r="G21" t="str">
            <v>CAJA PTG 15PP JUMBO VTM SUR</v>
          </cell>
          <cell r="R21">
            <v>500</v>
          </cell>
          <cell r="W21">
            <v>500</v>
          </cell>
          <cell r="X21">
            <v>749.79</v>
          </cell>
          <cell r="AD21">
            <v>1800</v>
          </cell>
          <cell r="AG21">
            <v>450</v>
          </cell>
          <cell r="AK21">
            <v>0</v>
          </cell>
          <cell r="BD21">
            <v>450</v>
          </cell>
          <cell r="BF21">
            <v>450</v>
          </cell>
          <cell r="CF21">
            <v>500</v>
          </cell>
          <cell r="CG21">
            <v>1000</v>
          </cell>
          <cell r="CJ21">
            <v>500</v>
          </cell>
          <cell r="CK21">
            <v>500</v>
          </cell>
          <cell r="DM21">
            <v>500</v>
          </cell>
          <cell r="EE21" t="str">
            <v>ACTIVO</v>
          </cell>
          <cell r="EF21" t="str">
            <v>A</v>
          </cell>
          <cell r="EG21" t="str">
            <v/>
          </cell>
          <cell r="EH21">
            <v>500</v>
          </cell>
          <cell r="EI21">
            <v>83.333333333333329</v>
          </cell>
          <cell r="EJ21">
            <v>250</v>
          </cell>
          <cell r="EK21">
            <v>0</v>
          </cell>
          <cell r="EL21">
            <v>0</v>
          </cell>
          <cell r="EM21">
            <v>0</v>
          </cell>
          <cell r="EN21">
            <v>1250</v>
          </cell>
          <cell r="EO21">
            <v>166.66666666666666</v>
          </cell>
          <cell r="EP21">
            <v>1416.6666666666667</v>
          </cell>
        </row>
        <row r="22">
          <cell r="F22">
            <v>403394</v>
          </cell>
          <cell r="G22" t="str">
            <v>CAJA PTG 15PP JUMBO PROSERVAR</v>
          </cell>
          <cell r="T22">
            <v>3500</v>
          </cell>
          <cell r="AE22">
            <v>500</v>
          </cell>
          <cell r="AZ22">
            <v>1000</v>
          </cell>
          <cell r="BA22">
            <v>1000</v>
          </cell>
          <cell r="CD22">
            <v>500</v>
          </cell>
          <cell r="CF22">
            <v>1000</v>
          </cell>
          <cell r="CH22">
            <v>500</v>
          </cell>
          <cell r="CI22">
            <v>500</v>
          </cell>
          <cell r="CK22">
            <v>1000</v>
          </cell>
          <cell r="CL22">
            <v>500</v>
          </cell>
          <cell r="CR22">
            <v>500</v>
          </cell>
          <cell r="DA22">
            <v>500</v>
          </cell>
          <cell r="DY22">
            <v>500</v>
          </cell>
          <cell r="EE22" t="str">
            <v>ACTIVO</v>
          </cell>
          <cell r="EF22" t="str">
            <v>A</v>
          </cell>
          <cell r="EG22" t="str">
            <v/>
          </cell>
          <cell r="EH22">
            <v>500</v>
          </cell>
          <cell r="EI22">
            <v>83.333333333333329</v>
          </cell>
          <cell r="EJ22">
            <v>231.45502494313786</v>
          </cell>
          <cell r="EK22">
            <v>0</v>
          </cell>
          <cell r="EL22">
            <v>0</v>
          </cell>
          <cell r="EM22">
            <v>0</v>
          </cell>
          <cell r="EN22">
            <v>1250</v>
          </cell>
          <cell r="EO22">
            <v>166.66666666666666</v>
          </cell>
          <cell r="EP22">
            <v>1416.6666666666667</v>
          </cell>
        </row>
        <row r="23">
          <cell r="F23">
            <v>107362</v>
          </cell>
          <cell r="G23" t="str">
            <v>CAJA PTG 15PP JUMBO SYCOR</v>
          </cell>
          <cell r="AX23">
            <v>500</v>
          </cell>
          <cell r="BI23">
            <v>500</v>
          </cell>
          <cell r="BP23">
            <v>500</v>
          </cell>
          <cell r="CD23">
            <v>1000</v>
          </cell>
          <cell r="CT23">
            <v>500</v>
          </cell>
          <cell r="CU23">
            <v>941</v>
          </cell>
          <cell r="DN23">
            <v>500</v>
          </cell>
          <cell r="EA23">
            <v>500</v>
          </cell>
          <cell r="EE23" t="str">
            <v>ACTIVO</v>
          </cell>
          <cell r="EF23" t="str">
            <v>A</v>
          </cell>
          <cell r="EG23" t="str">
            <v/>
          </cell>
          <cell r="EH23">
            <v>500</v>
          </cell>
          <cell r="EI23">
            <v>83.333333333333329</v>
          </cell>
          <cell r="EJ23">
            <v>258.54632080151509</v>
          </cell>
          <cell r="EK23">
            <v>0</v>
          </cell>
          <cell r="EL23">
            <v>0</v>
          </cell>
          <cell r="EM23">
            <v>0</v>
          </cell>
          <cell r="EN23">
            <v>1250</v>
          </cell>
          <cell r="EO23">
            <v>166.66666666666666</v>
          </cell>
          <cell r="EP23">
            <v>1416.6666666666667</v>
          </cell>
        </row>
        <row r="24">
          <cell r="F24">
            <v>402252</v>
          </cell>
          <cell r="G24" t="str">
            <v>CAJA PTG 15PP SISA VTM SUR</v>
          </cell>
          <cell r="X24">
            <v>450</v>
          </cell>
          <cell r="Z24">
            <v>1000</v>
          </cell>
          <cell r="AH24">
            <v>445</v>
          </cell>
          <cell r="AK24">
            <v>0</v>
          </cell>
          <cell r="BD24">
            <v>900</v>
          </cell>
          <cell r="BF24">
            <v>0</v>
          </cell>
          <cell r="EE24" t="str">
            <v>ACTIVO</v>
          </cell>
          <cell r="EF24" t="str">
            <v>B</v>
          </cell>
          <cell r="EG24" t="str">
            <v/>
          </cell>
          <cell r="EH24">
            <v>0</v>
          </cell>
          <cell r="EI24">
            <v>0</v>
          </cell>
          <cell r="EJ24">
            <v>0</v>
          </cell>
          <cell r="EK24">
            <v>0</v>
          </cell>
          <cell r="EL24">
            <v>0</v>
          </cell>
          <cell r="EM24">
            <v>0</v>
          </cell>
          <cell r="EN24">
            <v>0</v>
          </cell>
          <cell r="EO24">
            <v>0</v>
          </cell>
          <cell r="EP24">
            <v>0</v>
          </cell>
        </row>
        <row r="25">
          <cell r="F25">
            <v>403393</v>
          </cell>
          <cell r="G25" t="str">
            <v>CAJA PTG 15PP SISA PROSERVAR</v>
          </cell>
          <cell r="P25">
            <v>500</v>
          </cell>
          <cell r="T25">
            <v>3000</v>
          </cell>
          <cell r="Z25">
            <v>1500</v>
          </cell>
          <cell r="AE25">
            <v>1000</v>
          </cell>
          <cell r="EE25" t="str">
            <v>ACTIVO</v>
          </cell>
          <cell r="EF25" t="str">
            <v>B</v>
          </cell>
          <cell r="EG25" t="str">
            <v/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</row>
        <row r="26">
          <cell r="F26">
            <v>107363</v>
          </cell>
          <cell r="G26" t="str">
            <v>CAJA PTG 15PP SISA SYCOR</v>
          </cell>
          <cell r="AH26">
            <v>400</v>
          </cell>
          <cell r="AI26">
            <v>800</v>
          </cell>
          <cell r="AJ26">
            <v>2450</v>
          </cell>
          <cell r="AX26">
            <v>1000</v>
          </cell>
          <cell r="CO26">
            <v>100</v>
          </cell>
          <cell r="CU26">
            <v>1975</v>
          </cell>
          <cell r="EE26" t="str">
            <v>ACTIVO</v>
          </cell>
          <cell r="EF26" t="str">
            <v>B</v>
          </cell>
          <cell r="EG26" t="str">
            <v/>
          </cell>
          <cell r="EH26">
            <v>0</v>
          </cell>
          <cell r="EI26">
            <v>0</v>
          </cell>
          <cell r="EJ26">
            <v>1325.8252147247765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</row>
        <row r="27">
          <cell r="F27">
            <v>402253</v>
          </cell>
          <cell r="G27" t="str">
            <v>CAJA TORTA MEDIANA VTM SUR</v>
          </cell>
          <cell r="L27">
            <v>1350</v>
          </cell>
          <cell r="O27">
            <v>3000</v>
          </cell>
          <cell r="Q27">
            <v>600</v>
          </cell>
          <cell r="R27">
            <v>2400</v>
          </cell>
          <cell r="S27">
            <v>600</v>
          </cell>
          <cell r="T27">
            <v>5100</v>
          </cell>
          <cell r="U27">
            <v>1950</v>
          </cell>
          <cell r="W27">
            <v>2600</v>
          </cell>
          <cell r="X27">
            <v>1775</v>
          </cell>
          <cell r="AC27">
            <v>600</v>
          </cell>
          <cell r="AG27">
            <v>1200</v>
          </cell>
          <cell r="AZ27">
            <v>1000</v>
          </cell>
          <cell r="BB27">
            <v>1100</v>
          </cell>
          <cell r="BC27">
            <v>950</v>
          </cell>
          <cell r="BD27">
            <v>1500</v>
          </cell>
          <cell r="BE27">
            <v>1200</v>
          </cell>
          <cell r="BF27">
            <v>600</v>
          </cell>
          <cell r="BK27">
            <v>650</v>
          </cell>
          <cell r="BM27">
            <v>650</v>
          </cell>
          <cell r="CJ27">
            <v>1400</v>
          </cell>
          <cell r="CK27">
            <v>500</v>
          </cell>
          <cell r="EA27">
            <v>1400</v>
          </cell>
          <cell r="EE27" t="str">
            <v>ACTIVO</v>
          </cell>
          <cell r="EF27" t="str">
            <v>B</v>
          </cell>
          <cell r="EG27" t="str">
            <v/>
          </cell>
          <cell r="EH27">
            <v>0</v>
          </cell>
          <cell r="EI27">
            <v>0</v>
          </cell>
          <cell r="EJ27">
            <v>406.201920231798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</row>
        <row r="28">
          <cell r="F28">
            <v>107276</v>
          </cell>
          <cell r="G28" t="str">
            <v>CAJA TORTA MEDIANA PROSERVAR</v>
          </cell>
          <cell r="K28">
            <v>2018.88</v>
          </cell>
          <cell r="N28">
            <v>1000</v>
          </cell>
          <cell r="P28">
            <v>1000</v>
          </cell>
          <cell r="X28">
            <v>800</v>
          </cell>
          <cell r="Y28">
            <v>1600</v>
          </cell>
          <cell r="AL28">
            <v>300</v>
          </cell>
          <cell r="CF28">
            <v>1500</v>
          </cell>
          <cell r="DV28">
            <v>200</v>
          </cell>
          <cell r="EE28" t="str">
            <v>ACTIVO</v>
          </cell>
          <cell r="EF28" t="str">
            <v>C</v>
          </cell>
          <cell r="EG28" t="str">
            <v/>
          </cell>
          <cell r="EH28">
            <v>200</v>
          </cell>
          <cell r="EI28">
            <v>33.333333333333336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500.00000000000006</v>
          </cell>
          <cell r="EO28">
            <v>66.666666666666671</v>
          </cell>
          <cell r="EP28">
            <v>566.66666666666674</v>
          </cell>
        </row>
        <row r="29">
          <cell r="F29">
            <v>107364</v>
          </cell>
          <cell r="G29" t="str">
            <v>CAJA TORTA MEDIANA SYCOR</v>
          </cell>
          <cell r="AJ29">
            <v>600</v>
          </cell>
          <cell r="BI29">
            <v>500</v>
          </cell>
          <cell r="BJ29">
            <v>1000</v>
          </cell>
          <cell r="BN29">
            <v>601</v>
          </cell>
          <cell r="BP29">
            <v>650</v>
          </cell>
          <cell r="CC29">
            <v>500</v>
          </cell>
          <cell r="CU29">
            <v>3000</v>
          </cell>
          <cell r="DN29">
            <v>500</v>
          </cell>
          <cell r="DP29">
            <v>700</v>
          </cell>
          <cell r="DX29">
            <v>1000</v>
          </cell>
          <cell r="EE29" t="str">
            <v>ACTIVO</v>
          </cell>
          <cell r="EF29" t="str">
            <v>B</v>
          </cell>
          <cell r="EG29" t="str">
            <v/>
          </cell>
          <cell r="EH29">
            <v>733.33333333333337</v>
          </cell>
          <cell r="EI29">
            <v>122.22222222222223</v>
          </cell>
          <cell r="EJ29">
            <v>976.8521723713709</v>
          </cell>
          <cell r="EK29">
            <v>0</v>
          </cell>
          <cell r="EL29">
            <v>0</v>
          </cell>
          <cell r="EM29">
            <v>0</v>
          </cell>
          <cell r="EN29">
            <v>1833.3333333333335</v>
          </cell>
          <cell r="EO29">
            <v>244.44444444444446</v>
          </cell>
          <cell r="EP29">
            <v>2077.7777777777778</v>
          </cell>
        </row>
        <row r="30">
          <cell r="F30">
            <v>107366</v>
          </cell>
          <cell r="G30" t="str">
            <v>CAJA MADRE DE PLANCHAS (PL) SYCOR</v>
          </cell>
          <cell r="AP30">
            <v>400</v>
          </cell>
          <cell r="AQ30">
            <v>500</v>
          </cell>
          <cell r="AR30">
            <v>500</v>
          </cell>
          <cell r="AT30">
            <v>500</v>
          </cell>
          <cell r="AX30">
            <v>400</v>
          </cell>
          <cell r="BC30">
            <v>900</v>
          </cell>
          <cell r="BJ30">
            <v>325</v>
          </cell>
          <cell r="BR30">
            <v>500</v>
          </cell>
          <cell r="CB30">
            <v>500</v>
          </cell>
          <cell r="CF30">
            <v>500</v>
          </cell>
          <cell r="CI30">
            <v>600</v>
          </cell>
          <cell r="CJ30">
            <v>300</v>
          </cell>
          <cell r="CL30">
            <v>250</v>
          </cell>
          <cell r="CQ30">
            <v>300</v>
          </cell>
          <cell r="CS30">
            <v>500</v>
          </cell>
          <cell r="CU30">
            <v>600</v>
          </cell>
          <cell r="CY30">
            <v>400</v>
          </cell>
          <cell r="CZ30">
            <v>500</v>
          </cell>
          <cell r="DH30">
            <v>500</v>
          </cell>
          <cell r="DJ30">
            <v>400</v>
          </cell>
          <cell r="DM30">
            <v>250</v>
          </cell>
          <cell r="DR30">
            <v>400</v>
          </cell>
          <cell r="DW30">
            <v>500</v>
          </cell>
          <cell r="DY30">
            <v>500</v>
          </cell>
          <cell r="EC30">
            <v>300</v>
          </cell>
          <cell r="EE30" t="str">
            <v>ACTIVO</v>
          </cell>
          <cell r="EF30" t="str">
            <v>C</v>
          </cell>
          <cell r="EG30">
            <v>400</v>
          </cell>
          <cell r="EH30">
            <v>410</v>
          </cell>
          <cell r="EI30">
            <v>68.333333333333329</v>
          </cell>
          <cell r="EJ30">
            <v>116.43750387092766</v>
          </cell>
          <cell r="EK30">
            <v>925</v>
          </cell>
          <cell r="EL30">
            <v>667822.25</v>
          </cell>
          <cell r="EM30">
            <v>2.2560975609756095</v>
          </cell>
          <cell r="EN30">
            <v>1025</v>
          </cell>
          <cell r="EO30">
            <v>136.66666666666666</v>
          </cell>
          <cell r="EP30">
            <v>1161.6666666666667</v>
          </cell>
        </row>
        <row r="31">
          <cell r="F31">
            <v>403308</v>
          </cell>
          <cell r="G31" t="str">
            <v>CAJA MADRE DE PLANCHAS (PL) PAIMASA</v>
          </cell>
          <cell r="I31">
            <v>400</v>
          </cell>
          <cell r="L31">
            <v>800</v>
          </cell>
          <cell r="P31">
            <v>400</v>
          </cell>
          <cell r="R31">
            <v>400</v>
          </cell>
          <cell r="V31">
            <v>800</v>
          </cell>
          <cell r="X31">
            <v>400</v>
          </cell>
          <cell r="AC31">
            <v>400</v>
          </cell>
          <cell r="AF31">
            <v>400</v>
          </cell>
          <cell r="AG31">
            <v>400</v>
          </cell>
          <cell r="AK31">
            <v>400</v>
          </cell>
          <cell r="BB31">
            <v>500</v>
          </cell>
          <cell r="BD31">
            <v>500</v>
          </cell>
          <cell r="BN31">
            <v>400</v>
          </cell>
          <cell r="BW31">
            <v>500</v>
          </cell>
          <cell r="EE31" t="str">
            <v>ACTIVO</v>
          </cell>
          <cell r="EF31" t="str">
            <v>C</v>
          </cell>
          <cell r="EG31">
            <v>400</v>
          </cell>
          <cell r="EH31">
            <v>0</v>
          </cell>
          <cell r="EI31">
            <v>0</v>
          </cell>
          <cell r="EJ31">
            <v>70.710678118654755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</row>
        <row r="32">
          <cell r="F32">
            <v>107367</v>
          </cell>
          <cell r="G32" t="str">
            <v>CAJA DE ENCOMIENDA (EN) SYCOR</v>
          </cell>
          <cell r="H32">
            <v>400</v>
          </cell>
          <cell r="AC32">
            <v>400</v>
          </cell>
          <cell r="AD32">
            <v>400</v>
          </cell>
          <cell r="AF32">
            <v>400</v>
          </cell>
          <cell r="AH32">
            <v>400</v>
          </cell>
          <cell r="AJ32">
            <v>400</v>
          </cell>
          <cell r="AK32">
            <v>400</v>
          </cell>
          <cell r="AL32">
            <v>400</v>
          </cell>
          <cell r="AM32">
            <v>500</v>
          </cell>
          <cell r="AN32">
            <v>400</v>
          </cell>
          <cell r="AO32">
            <v>500</v>
          </cell>
          <cell r="AP32">
            <v>400</v>
          </cell>
          <cell r="AR32">
            <v>900</v>
          </cell>
          <cell r="AU32">
            <v>400</v>
          </cell>
          <cell r="AW32">
            <v>800</v>
          </cell>
          <cell r="AX32">
            <v>400</v>
          </cell>
          <cell r="AY32">
            <v>400</v>
          </cell>
          <cell r="BA32">
            <v>400</v>
          </cell>
          <cell r="BB32">
            <v>400</v>
          </cell>
          <cell r="BD32">
            <v>800</v>
          </cell>
          <cell r="BE32">
            <v>220</v>
          </cell>
          <cell r="BF32">
            <v>400</v>
          </cell>
          <cell r="BI32">
            <v>400</v>
          </cell>
          <cell r="BK32">
            <v>800</v>
          </cell>
          <cell r="BR32">
            <v>400</v>
          </cell>
          <cell r="BS32">
            <v>550</v>
          </cell>
          <cell r="BT32">
            <v>950</v>
          </cell>
          <cell r="BW32">
            <v>500</v>
          </cell>
          <cell r="BX32">
            <v>1000</v>
          </cell>
          <cell r="BZ32">
            <v>500</v>
          </cell>
          <cell r="CA32">
            <v>500</v>
          </cell>
          <cell r="CC32">
            <v>550</v>
          </cell>
          <cell r="CE32">
            <v>500</v>
          </cell>
          <cell r="CF32">
            <v>400</v>
          </cell>
          <cell r="CG32">
            <v>400</v>
          </cell>
          <cell r="CH32">
            <v>500</v>
          </cell>
          <cell r="CJ32">
            <v>400</v>
          </cell>
          <cell r="CL32">
            <v>225</v>
          </cell>
          <cell r="CO32">
            <v>700</v>
          </cell>
          <cell r="CP32">
            <v>300</v>
          </cell>
          <cell r="CQ32">
            <v>400</v>
          </cell>
          <cell r="CS32">
            <v>500</v>
          </cell>
          <cell r="CV32">
            <v>1000</v>
          </cell>
          <cell r="DD32">
            <v>1000</v>
          </cell>
          <cell r="DF32">
            <v>500</v>
          </cell>
          <cell r="DI32">
            <v>500</v>
          </cell>
          <cell r="DK32">
            <v>500</v>
          </cell>
          <cell r="DN32">
            <v>400</v>
          </cell>
          <cell r="DO32">
            <v>400</v>
          </cell>
          <cell r="DT32">
            <v>400</v>
          </cell>
          <cell r="DV32">
            <v>800</v>
          </cell>
          <cell r="EA32">
            <v>400</v>
          </cell>
          <cell r="EC32">
            <v>500</v>
          </cell>
          <cell r="EE32" t="str">
            <v>ACTIVO</v>
          </cell>
          <cell r="EF32" t="str">
            <v>C</v>
          </cell>
          <cell r="EG32">
            <v>400</v>
          </cell>
          <cell r="EH32">
            <v>500</v>
          </cell>
          <cell r="EI32">
            <v>83.333333333333329</v>
          </cell>
          <cell r="EJ32">
            <v>230.46717461945661</v>
          </cell>
          <cell r="EK32">
            <v>1600</v>
          </cell>
          <cell r="EL32">
            <v>1425232</v>
          </cell>
          <cell r="EM32">
            <v>3.2</v>
          </cell>
          <cell r="EN32">
            <v>1250</v>
          </cell>
          <cell r="EO32">
            <v>166.66666666666666</v>
          </cell>
          <cell r="EP32">
            <v>1416.6666666666667</v>
          </cell>
        </row>
        <row r="33">
          <cell r="F33">
            <v>403301</v>
          </cell>
          <cell r="G33" t="str">
            <v>CAJA DE ENCOMIENDA (EN) PAIMASA</v>
          </cell>
          <cell r="H33">
            <v>400</v>
          </cell>
          <cell r="J33">
            <v>400</v>
          </cell>
          <cell r="K33">
            <v>400</v>
          </cell>
          <cell r="L33">
            <v>400</v>
          </cell>
          <cell r="N33">
            <v>400</v>
          </cell>
          <cell r="O33">
            <v>400</v>
          </cell>
          <cell r="Q33">
            <v>800</v>
          </cell>
          <cell r="S33">
            <v>400</v>
          </cell>
          <cell r="U33">
            <v>400</v>
          </cell>
          <cell r="V33">
            <v>400</v>
          </cell>
          <cell r="W33">
            <v>400</v>
          </cell>
          <cell r="Y33">
            <v>400</v>
          </cell>
          <cell r="Z33">
            <v>400</v>
          </cell>
          <cell r="AB33">
            <v>400</v>
          </cell>
          <cell r="EE33" t="str">
            <v>SIN USO</v>
          </cell>
          <cell r="EF33" t="str">
            <v/>
          </cell>
          <cell r="EG33" t="str">
            <v/>
          </cell>
          <cell r="EH33">
            <v>0</v>
          </cell>
          <cell r="EI33">
            <v>0</v>
          </cell>
          <cell r="EJ33">
            <v>0</v>
          </cell>
          <cell r="EK33">
            <v>0</v>
          </cell>
          <cell r="EL33">
            <v>0</v>
          </cell>
          <cell r="EM33">
            <v>0</v>
          </cell>
          <cell r="EN33">
            <v>0</v>
          </cell>
          <cell r="EO33">
            <v>0</v>
          </cell>
          <cell r="EP33">
            <v>0</v>
          </cell>
        </row>
        <row r="34">
          <cell r="F34">
            <v>501146</v>
          </cell>
          <cell r="G34" t="str">
            <v>CAJA PLASTICA AZUL QUINTA</v>
          </cell>
          <cell r="X34">
            <v>245</v>
          </cell>
          <cell r="Y34">
            <v>1263</v>
          </cell>
          <cell r="Z34">
            <v>912</v>
          </cell>
          <cell r="AA34">
            <v>230</v>
          </cell>
          <cell r="AB34">
            <v>602</v>
          </cell>
          <cell r="AC34">
            <v>734</v>
          </cell>
          <cell r="AD34">
            <v>468</v>
          </cell>
          <cell r="AE34">
            <v>202</v>
          </cell>
          <cell r="AF34">
            <v>10</v>
          </cell>
          <cell r="AH34">
            <v>770</v>
          </cell>
          <cell r="AK34">
            <v>262</v>
          </cell>
          <cell r="AL34">
            <v>437</v>
          </cell>
          <cell r="AM34">
            <v>1152</v>
          </cell>
          <cell r="AN34">
            <v>285</v>
          </cell>
          <cell r="AQ34">
            <v>649</v>
          </cell>
          <cell r="AR34">
            <v>101</v>
          </cell>
          <cell r="AS34">
            <v>155</v>
          </cell>
          <cell r="AT34">
            <v>991</v>
          </cell>
          <cell r="AU34">
            <v>276</v>
          </cell>
          <cell r="AW34">
            <v>315</v>
          </cell>
          <cell r="AX34">
            <v>150</v>
          </cell>
          <cell r="AY34">
            <v>384</v>
          </cell>
          <cell r="AZ34">
            <v>180</v>
          </cell>
          <cell r="BA34">
            <v>150</v>
          </cell>
          <cell r="BC34">
            <v>150</v>
          </cell>
          <cell r="BD34">
            <v>1200</v>
          </cell>
          <cell r="BE34">
            <v>543</v>
          </cell>
          <cell r="BF34">
            <v>785</v>
          </cell>
          <cell r="BG34">
            <v>850</v>
          </cell>
          <cell r="BI34">
            <v>157</v>
          </cell>
          <cell r="BK34">
            <v>200</v>
          </cell>
          <cell r="BL34">
            <v>936</v>
          </cell>
          <cell r="BM34">
            <v>520</v>
          </cell>
          <cell r="BN34">
            <v>450</v>
          </cell>
          <cell r="BP34">
            <v>240</v>
          </cell>
          <cell r="BT34">
            <v>1016</v>
          </cell>
          <cell r="BU34">
            <v>180</v>
          </cell>
          <cell r="BV34">
            <v>172</v>
          </cell>
          <cell r="BY34">
            <v>225</v>
          </cell>
          <cell r="BZ34">
            <v>267</v>
          </cell>
          <cell r="EE34" t="str">
            <v>SIN USO</v>
          </cell>
          <cell r="EF34" t="str">
            <v>B</v>
          </cell>
          <cell r="EG34" t="str">
            <v/>
          </cell>
          <cell r="EH34">
            <v>0</v>
          </cell>
          <cell r="EI34">
            <v>0</v>
          </cell>
          <cell r="EJ34">
            <v>309.33388845300243</v>
          </cell>
          <cell r="EK34">
            <v>0</v>
          </cell>
          <cell r="EL34">
            <v>0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</row>
        <row r="35">
          <cell r="F35">
            <v>403310</v>
          </cell>
          <cell r="G35" t="str">
            <v>CAJA  PTG AZUL 15PP ALTA</v>
          </cell>
          <cell r="H35">
            <v>400</v>
          </cell>
          <cell r="K35">
            <v>500</v>
          </cell>
          <cell r="L35">
            <v>500</v>
          </cell>
          <cell r="P35">
            <v>500</v>
          </cell>
          <cell r="S35">
            <v>400</v>
          </cell>
          <cell r="T35">
            <v>400</v>
          </cell>
          <cell r="V35">
            <v>400</v>
          </cell>
          <cell r="X35">
            <v>400</v>
          </cell>
          <cell r="AA35">
            <v>400</v>
          </cell>
          <cell r="AD35">
            <v>400</v>
          </cell>
          <cell r="AG35">
            <v>400</v>
          </cell>
          <cell r="AH35">
            <v>0</v>
          </cell>
          <cell r="AS35">
            <v>500</v>
          </cell>
          <cell r="AX35">
            <v>400</v>
          </cell>
          <cell r="BC35">
            <v>1000</v>
          </cell>
          <cell r="BD35">
            <v>1200</v>
          </cell>
          <cell r="BE35">
            <v>350</v>
          </cell>
          <cell r="BK35">
            <v>500</v>
          </cell>
          <cell r="EE35" t="str">
            <v>SIN USO</v>
          </cell>
          <cell r="EF35" t="str">
            <v>C</v>
          </cell>
          <cell r="EG35">
            <v>400</v>
          </cell>
          <cell r="EH35">
            <v>0</v>
          </cell>
          <cell r="EI35">
            <v>0</v>
          </cell>
          <cell r="EJ35">
            <v>0</v>
          </cell>
          <cell r="EK35">
            <v>0</v>
          </cell>
          <cell r="EL35">
            <v>0</v>
          </cell>
          <cell r="EM35">
            <v>0</v>
          </cell>
          <cell r="EN35">
            <v>0</v>
          </cell>
          <cell r="EO35">
            <v>0</v>
          </cell>
          <cell r="EP35">
            <v>0</v>
          </cell>
        </row>
        <row r="36">
          <cell r="F36">
            <v>107307</v>
          </cell>
          <cell r="G36" t="str">
            <v>CAJA PTG AZUL 15PP ASTRA</v>
          </cell>
          <cell r="I36">
            <v>400</v>
          </cell>
          <cell r="EE36" t="str">
            <v>ACTIVO</v>
          </cell>
          <cell r="EF36" t="str">
            <v/>
          </cell>
          <cell r="EG36" t="str">
            <v/>
          </cell>
          <cell r="EH36">
            <v>0</v>
          </cell>
          <cell r="EI36">
            <v>0</v>
          </cell>
          <cell r="EJ36">
            <v>0</v>
          </cell>
          <cell r="EK36">
            <v>0</v>
          </cell>
          <cell r="EL36">
            <v>0</v>
          </cell>
          <cell r="EM36">
            <v>0</v>
          </cell>
          <cell r="EN36">
            <v>0</v>
          </cell>
          <cell r="EO36">
            <v>0</v>
          </cell>
          <cell r="EP36">
            <v>0</v>
          </cell>
        </row>
        <row r="37">
          <cell r="F37">
            <v>107361</v>
          </cell>
          <cell r="G37" t="str">
            <v>CAJA  PTG AZUL 15PP ALTA SYCOR</v>
          </cell>
          <cell r="AH37">
            <v>1</v>
          </cell>
          <cell r="AI37">
            <v>399</v>
          </cell>
          <cell r="AL37">
            <v>500</v>
          </cell>
          <cell r="AM37">
            <v>500</v>
          </cell>
          <cell r="AO37">
            <v>500</v>
          </cell>
          <cell r="AP37">
            <v>500</v>
          </cell>
          <cell r="BS37">
            <v>0</v>
          </cell>
          <cell r="BT37">
            <v>500</v>
          </cell>
          <cell r="BZ37">
            <v>1000</v>
          </cell>
          <cell r="CA37">
            <v>500</v>
          </cell>
          <cell r="CC37">
            <v>1000</v>
          </cell>
          <cell r="CH37">
            <v>500</v>
          </cell>
          <cell r="CN37">
            <v>1000</v>
          </cell>
          <cell r="CW37">
            <v>500</v>
          </cell>
          <cell r="DB37">
            <v>900</v>
          </cell>
          <cell r="DC37">
            <v>500</v>
          </cell>
          <cell r="DF37">
            <v>500</v>
          </cell>
          <cell r="DG37">
            <v>500</v>
          </cell>
          <cell r="DP37">
            <v>1000</v>
          </cell>
          <cell r="EE37" t="str">
            <v>ACTIVO</v>
          </cell>
          <cell r="EF37" t="str">
            <v>C</v>
          </cell>
          <cell r="EG37" t="str">
            <v/>
          </cell>
          <cell r="EH37">
            <v>1000</v>
          </cell>
          <cell r="EI37">
            <v>166.66666666666666</v>
          </cell>
          <cell r="EJ37">
            <v>301.00840620497735</v>
          </cell>
          <cell r="EK37">
            <v>1598</v>
          </cell>
          <cell r="EL37">
            <v>934830</v>
          </cell>
          <cell r="EM37">
            <v>1.5980000000000001</v>
          </cell>
          <cell r="EN37">
            <v>2500</v>
          </cell>
          <cell r="EO37">
            <v>333.33333333333331</v>
          </cell>
          <cell r="EP37">
            <v>2833.3333333333335</v>
          </cell>
        </row>
        <row r="38">
          <cell r="F38">
            <v>107365</v>
          </cell>
          <cell r="G38" t="str">
            <v>CAJA PRODUCTO SECO (PS) SYCOR</v>
          </cell>
          <cell r="H38">
            <v>500</v>
          </cell>
          <cell r="AC38">
            <v>600</v>
          </cell>
          <cell r="AD38">
            <v>600</v>
          </cell>
          <cell r="AF38">
            <v>1050</v>
          </cell>
          <cell r="AG38">
            <v>400</v>
          </cell>
          <cell r="AH38">
            <v>450</v>
          </cell>
          <cell r="AI38">
            <v>1300</v>
          </cell>
          <cell r="AJ38">
            <v>1250</v>
          </cell>
          <cell r="AK38">
            <v>800</v>
          </cell>
          <cell r="AL38">
            <v>1647</v>
          </cell>
          <cell r="AM38">
            <v>1000</v>
          </cell>
          <cell r="AN38">
            <v>500</v>
          </cell>
          <cell r="AO38">
            <v>1000</v>
          </cell>
          <cell r="AP38">
            <v>1500</v>
          </cell>
          <cell r="AQ38">
            <v>1000</v>
          </cell>
          <cell r="AR38">
            <v>2500</v>
          </cell>
          <cell r="AS38">
            <v>500</v>
          </cell>
          <cell r="AT38">
            <v>1000</v>
          </cell>
          <cell r="AU38">
            <v>1000</v>
          </cell>
          <cell r="AV38">
            <v>2000</v>
          </cell>
          <cell r="AW38">
            <v>500</v>
          </cell>
          <cell r="AX38">
            <v>1500</v>
          </cell>
          <cell r="AY38">
            <v>500</v>
          </cell>
          <cell r="AZ38">
            <v>1000</v>
          </cell>
          <cell r="BB38">
            <v>2000</v>
          </cell>
          <cell r="BC38">
            <v>500</v>
          </cell>
          <cell r="BD38">
            <v>2000</v>
          </cell>
          <cell r="BE38">
            <v>250</v>
          </cell>
          <cell r="BF38">
            <v>1500</v>
          </cell>
          <cell r="BH38">
            <v>500</v>
          </cell>
          <cell r="BI38">
            <v>50</v>
          </cell>
          <cell r="BJ38">
            <v>2000</v>
          </cell>
          <cell r="BK38">
            <v>1500</v>
          </cell>
          <cell r="BL38">
            <v>500</v>
          </cell>
          <cell r="BM38">
            <v>1500</v>
          </cell>
          <cell r="BN38">
            <v>2000</v>
          </cell>
          <cell r="BP38">
            <v>2500</v>
          </cell>
          <cell r="BR38">
            <v>500</v>
          </cell>
          <cell r="BS38">
            <v>366</v>
          </cell>
          <cell r="BT38">
            <v>1970</v>
          </cell>
          <cell r="BU38">
            <v>500</v>
          </cell>
          <cell r="BV38">
            <v>500</v>
          </cell>
          <cell r="BW38">
            <v>1000</v>
          </cell>
          <cell r="BX38">
            <v>1525</v>
          </cell>
          <cell r="BY38">
            <v>1500</v>
          </cell>
          <cell r="BZ38">
            <v>576</v>
          </cell>
          <cell r="CA38">
            <v>2000</v>
          </cell>
          <cell r="CB38">
            <v>1000</v>
          </cell>
          <cell r="CC38">
            <v>1500</v>
          </cell>
          <cell r="CD38">
            <v>3500</v>
          </cell>
          <cell r="CF38">
            <v>1000</v>
          </cell>
          <cell r="CG38">
            <v>500</v>
          </cell>
          <cell r="CH38">
            <v>1500</v>
          </cell>
          <cell r="CI38">
            <v>75</v>
          </cell>
          <cell r="CK38">
            <v>1925</v>
          </cell>
          <cell r="CL38">
            <v>2000</v>
          </cell>
          <cell r="CM38">
            <v>1000</v>
          </cell>
          <cell r="CN38">
            <v>1000</v>
          </cell>
          <cell r="CO38">
            <v>2038</v>
          </cell>
          <cell r="CP38">
            <v>1000</v>
          </cell>
          <cell r="CQ38">
            <v>1500</v>
          </cell>
          <cell r="CR38">
            <v>1000</v>
          </cell>
          <cell r="CT38">
            <v>1500</v>
          </cell>
          <cell r="CU38">
            <v>2200</v>
          </cell>
          <cell r="CW38">
            <v>500</v>
          </cell>
          <cell r="CX38">
            <v>500</v>
          </cell>
          <cell r="CY38">
            <v>1509</v>
          </cell>
          <cell r="CZ38">
            <v>500</v>
          </cell>
          <cell r="DB38">
            <v>1000</v>
          </cell>
          <cell r="DC38">
            <v>1000</v>
          </cell>
          <cell r="DD38">
            <v>1000</v>
          </cell>
          <cell r="DE38">
            <v>500</v>
          </cell>
          <cell r="DG38">
            <v>643</v>
          </cell>
          <cell r="DH38">
            <v>1000</v>
          </cell>
          <cell r="DI38">
            <v>500</v>
          </cell>
          <cell r="DJ38">
            <v>586</v>
          </cell>
          <cell r="DL38">
            <v>1000</v>
          </cell>
          <cell r="DM38">
            <v>1500</v>
          </cell>
          <cell r="DN38">
            <v>1000</v>
          </cell>
          <cell r="DO38">
            <v>1000</v>
          </cell>
          <cell r="DQ38">
            <v>1000</v>
          </cell>
          <cell r="DR38">
            <v>2235</v>
          </cell>
          <cell r="DS38">
            <v>500</v>
          </cell>
          <cell r="DU38">
            <v>1500</v>
          </cell>
          <cell r="DV38">
            <v>500</v>
          </cell>
          <cell r="DW38">
            <v>500</v>
          </cell>
          <cell r="DX38">
            <v>1500</v>
          </cell>
          <cell r="DY38">
            <v>500</v>
          </cell>
          <cell r="DZ38">
            <v>1089</v>
          </cell>
          <cell r="EA38">
            <v>1500</v>
          </cell>
          <cell r="EB38">
            <v>1500</v>
          </cell>
          <cell r="ED38">
            <v>589</v>
          </cell>
          <cell r="EE38" t="str">
            <v>ACTIVO</v>
          </cell>
          <cell r="EF38" t="str">
            <v>B</v>
          </cell>
          <cell r="EG38">
            <v>400</v>
          </cell>
          <cell r="EH38">
            <v>994</v>
          </cell>
          <cell r="EI38">
            <v>165.66666666666666</v>
          </cell>
          <cell r="EJ38">
            <v>715.20111461282988</v>
          </cell>
          <cell r="EK38">
            <v>0</v>
          </cell>
          <cell r="EL38">
            <v>0</v>
          </cell>
          <cell r="EM38">
            <v>0</v>
          </cell>
          <cell r="EN38">
            <v>2485</v>
          </cell>
          <cell r="EO38">
            <v>331.33333333333331</v>
          </cell>
          <cell r="EP38">
            <v>2816.3333333333335</v>
          </cell>
        </row>
        <row r="39">
          <cell r="F39">
            <v>403306</v>
          </cell>
          <cell r="G39" t="str">
            <v>CAJA PRODUCTO SECO (PS) PAIMASA</v>
          </cell>
          <cell r="H39">
            <v>600</v>
          </cell>
          <cell r="J39">
            <v>575</v>
          </cell>
          <cell r="K39">
            <v>600</v>
          </cell>
          <cell r="L39">
            <v>1200</v>
          </cell>
          <cell r="N39">
            <v>600</v>
          </cell>
          <cell r="P39">
            <v>1200</v>
          </cell>
          <cell r="Q39">
            <v>425</v>
          </cell>
          <cell r="R39">
            <v>600</v>
          </cell>
          <cell r="T39">
            <v>600</v>
          </cell>
          <cell r="U39">
            <v>1200</v>
          </cell>
          <cell r="V39">
            <v>600</v>
          </cell>
          <cell r="W39">
            <v>600</v>
          </cell>
          <cell r="X39">
            <v>600</v>
          </cell>
          <cell r="Y39">
            <v>1200</v>
          </cell>
          <cell r="Z39">
            <v>600</v>
          </cell>
          <cell r="AA39">
            <v>600</v>
          </cell>
          <cell r="EE39" t="str">
            <v>ACTIVO</v>
          </cell>
          <cell r="EF39" t="str">
            <v/>
          </cell>
          <cell r="EG39" t="str">
            <v/>
          </cell>
          <cell r="EH39">
            <v>0</v>
          </cell>
          <cell r="EI39">
            <v>0</v>
          </cell>
          <cell r="EJ39">
            <v>0</v>
          </cell>
          <cell r="EK39">
            <v>0</v>
          </cell>
          <cell r="EL39">
            <v>0</v>
          </cell>
          <cell r="EM39">
            <v>0</v>
          </cell>
          <cell r="EN39">
            <v>0</v>
          </cell>
          <cell r="EO39">
            <v>0</v>
          </cell>
          <cell r="EP39">
            <v>0</v>
          </cell>
        </row>
        <row r="40">
          <cell r="F40">
            <v>405419</v>
          </cell>
          <cell r="G40" t="str">
            <v>CAJA DOS TORTAS PROSERVAR</v>
          </cell>
          <cell r="BM40">
            <v>1050</v>
          </cell>
          <cell r="EE40" t="str">
            <v>SIN USO</v>
          </cell>
          <cell r="EF40" t="str">
            <v>C</v>
          </cell>
          <cell r="EG40">
            <v>0</v>
          </cell>
          <cell r="EH40">
            <v>0</v>
          </cell>
          <cell r="EI40">
            <v>0</v>
          </cell>
          <cell r="EJ40">
            <v>0</v>
          </cell>
          <cell r="EK40">
            <v>0</v>
          </cell>
          <cell r="EL40">
            <v>0</v>
          </cell>
          <cell r="EM40">
            <v>0</v>
          </cell>
          <cell r="EN40">
            <v>0</v>
          </cell>
          <cell r="EO40">
            <v>0</v>
          </cell>
          <cell r="EP40">
            <v>0</v>
          </cell>
        </row>
        <row r="41">
          <cell r="F41">
            <v>405503</v>
          </cell>
          <cell r="G41" t="str">
            <v>CAJA PASTELES ASTRA</v>
          </cell>
          <cell r="BO41">
            <v>1970</v>
          </cell>
          <cell r="BV41">
            <v>1125</v>
          </cell>
          <cell r="CD41">
            <v>1200</v>
          </cell>
          <cell r="CF41">
            <v>625</v>
          </cell>
          <cell r="CG41">
            <v>600</v>
          </cell>
          <cell r="CO41">
            <v>858</v>
          </cell>
          <cell r="CU41">
            <v>750</v>
          </cell>
          <cell r="CW41">
            <v>1375</v>
          </cell>
          <cell r="DA41">
            <v>893</v>
          </cell>
          <cell r="DR41">
            <v>550</v>
          </cell>
          <cell r="DU41">
            <v>950</v>
          </cell>
          <cell r="EB41">
            <v>362</v>
          </cell>
          <cell r="EC41">
            <v>362</v>
          </cell>
          <cell r="EE41" t="str">
            <v>ACTIVO</v>
          </cell>
          <cell r="EF41" t="str">
            <v>C</v>
          </cell>
          <cell r="EG41" t="str">
            <v/>
          </cell>
          <cell r="EH41">
            <v>750</v>
          </cell>
          <cell r="EI41">
            <v>125</v>
          </cell>
          <cell r="EJ41">
            <v>435.09539183953672</v>
          </cell>
          <cell r="EK41">
            <v>862</v>
          </cell>
          <cell r="EL41">
            <v>350834</v>
          </cell>
          <cell r="EM41">
            <v>1.1493333333333333</v>
          </cell>
          <cell r="EN41">
            <v>1875</v>
          </cell>
          <cell r="EO41">
            <v>250</v>
          </cell>
          <cell r="EP41">
            <v>2125</v>
          </cell>
        </row>
        <row r="42">
          <cell r="F42">
            <v>403315</v>
          </cell>
          <cell r="G42" t="str">
            <v>CAJA DE PASTELES PAIMASA</v>
          </cell>
          <cell r="O42">
            <v>2150</v>
          </cell>
          <cell r="AC42">
            <v>450</v>
          </cell>
          <cell r="AI42">
            <v>800</v>
          </cell>
          <cell r="AT42">
            <v>1250</v>
          </cell>
          <cell r="BC42">
            <v>1250</v>
          </cell>
          <cell r="BI42">
            <v>1250</v>
          </cell>
          <cell r="BK42">
            <v>1250</v>
          </cell>
          <cell r="EE42" t="str">
            <v>ACTIVO</v>
          </cell>
          <cell r="EF42" t="str">
            <v>C</v>
          </cell>
          <cell r="EG42">
            <v>1250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</row>
        <row r="43">
          <cell r="F43">
            <v>405696</v>
          </cell>
          <cell r="G43" t="str">
            <v>CAJA PASTELES 600X325X120 ASTRA</v>
          </cell>
          <cell r="DJ43">
            <v>500</v>
          </cell>
          <cell r="DY43">
            <v>600</v>
          </cell>
          <cell r="EB43">
            <v>500</v>
          </cell>
          <cell r="EE43" t="str">
            <v>ACTIVO</v>
          </cell>
          <cell r="EF43" t="str">
            <v/>
          </cell>
          <cell r="EH43">
            <v>550</v>
          </cell>
          <cell r="EI43">
            <v>91.666666666666671</v>
          </cell>
          <cell r="EJ43">
            <v>0</v>
          </cell>
          <cell r="EK43">
            <v>659</v>
          </cell>
          <cell r="EL43">
            <v>395400</v>
          </cell>
          <cell r="EM43">
            <v>1.1981818181818182</v>
          </cell>
          <cell r="EN43">
            <v>1375</v>
          </cell>
          <cell r="EO43">
            <v>183.33333333333334</v>
          </cell>
          <cell r="EP43">
            <v>1558.3333333333333</v>
          </cell>
        </row>
        <row r="44">
          <cell r="H44">
            <v>2300</v>
          </cell>
          <cell r="I44">
            <v>800</v>
          </cell>
          <cell r="J44">
            <v>975</v>
          </cell>
          <cell r="K44">
            <v>3518.88</v>
          </cell>
          <cell r="L44">
            <v>4250</v>
          </cell>
          <cell r="N44">
            <v>2000</v>
          </cell>
          <cell r="O44">
            <v>5550</v>
          </cell>
          <cell r="P44">
            <v>3600</v>
          </cell>
          <cell r="Q44">
            <v>1825</v>
          </cell>
          <cell r="R44">
            <v>3900</v>
          </cell>
          <cell r="S44">
            <v>1400</v>
          </cell>
          <cell r="T44">
            <v>12600</v>
          </cell>
          <cell r="U44">
            <v>3550</v>
          </cell>
          <cell r="V44">
            <v>2200</v>
          </cell>
          <cell r="W44">
            <v>4100</v>
          </cell>
          <cell r="X44">
            <v>5419.79</v>
          </cell>
          <cell r="Y44">
            <v>4463</v>
          </cell>
          <cell r="Z44">
            <v>4412</v>
          </cell>
          <cell r="AA44">
            <v>1230</v>
          </cell>
          <cell r="AB44">
            <v>1002</v>
          </cell>
          <cell r="AC44">
            <v>3184</v>
          </cell>
          <cell r="AD44">
            <v>3668</v>
          </cell>
          <cell r="AE44">
            <v>1702</v>
          </cell>
          <cell r="AF44">
            <v>1860</v>
          </cell>
          <cell r="AG44">
            <v>2850</v>
          </cell>
          <cell r="AH44">
            <v>2466</v>
          </cell>
          <cell r="AI44">
            <v>3299</v>
          </cell>
          <cell r="AJ44">
            <v>4700</v>
          </cell>
          <cell r="AK44">
            <v>1862</v>
          </cell>
          <cell r="AL44">
            <v>3284</v>
          </cell>
          <cell r="AM44">
            <v>3152</v>
          </cell>
          <cell r="AN44">
            <v>1185</v>
          </cell>
          <cell r="AO44">
            <v>2000</v>
          </cell>
          <cell r="AP44">
            <v>2800</v>
          </cell>
          <cell r="AQ44">
            <v>2149</v>
          </cell>
          <cell r="AR44">
            <v>4001</v>
          </cell>
          <cell r="AS44">
            <v>1155</v>
          </cell>
          <cell r="AT44">
            <v>3741</v>
          </cell>
          <cell r="AU44">
            <v>1676</v>
          </cell>
          <cell r="AV44">
            <v>2000</v>
          </cell>
          <cell r="AW44">
            <v>1615</v>
          </cell>
          <cell r="AX44">
            <v>4350</v>
          </cell>
          <cell r="AY44">
            <v>1284</v>
          </cell>
          <cell r="AZ44">
            <v>3180</v>
          </cell>
          <cell r="BA44">
            <v>1550</v>
          </cell>
          <cell r="BB44">
            <v>4000</v>
          </cell>
          <cell r="BC44">
            <v>4750</v>
          </cell>
          <cell r="BD44">
            <v>8550</v>
          </cell>
          <cell r="BE44">
            <v>2563</v>
          </cell>
          <cell r="BF44">
            <v>3735</v>
          </cell>
          <cell r="BG44">
            <v>850</v>
          </cell>
          <cell r="BH44">
            <v>500</v>
          </cell>
          <cell r="BI44">
            <v>2857</v>
          </cell>
          <cell r="BJ44">
            <v>3325</v>
          </cell>
          <cell r="BK44">
            <v>4900</v>
          </cell>
          <cell r="BL44">
            <v>1436</v>
          </cell>
          <cell r="BM44">
            <v>3720</v>
          </cell>
          <cell r="BN44">
            <v>3451</v>
          </cell>
          <cell r="BO44">
            <v>1970</v>
          </cell>
          <cell r="BP44">
            <v>3890</v>
          </cell>
          <cell r="BR44">
            <v>1400</v>
          </cell>
          <cell r="BS44">
            <v>916</v>
          </cell>
          <cell r="BT44">
            <v>4436</v>
          </cell>
          <cell r="BU44">
            <v>680</v>
          </cell>
          <cell r="BV44">
            <v>1797</v>
          </cell>
          <cell r="BW44">
            <v>2000</v>
          </cell>
          <cell r="BX44">
            <v>2525</v>
          </cell>
          <cell r="BY44">
            <v>1725</v>
          </cell>
          <cell r="BZ44">
            <v>2343</v>
          </cell>
          <cell r="CA44">
            <v>3000</v>
          </cell>
          <cell r="CB44">
            <v>1500</v>
          </cell>
          <cell r="CC44">
            <v>3550</v>
          </cell>
          <cell r="CD44">
            <v>6200</v>
          </cell>
          <cell r="CE44">
            <v>500</v>
          </cell>
          <cell r="CF44">
            <v>5525</v>
          </cell>
          <cell r="CG44">
            <v>2500</v>
          </cell>
          <cell r="CH44">
            <v>3000</v>
          </cell>
          <cell r="CI44">
            <v>1175</v>
          </cell>
          <cell r="CJ44">
            <v>2600</v>
          </cell>
          <cell r="CK44">
            <v>3925</v>
          </cell>
          <cell r="CL44">
            <v>2975</v>
          </cell>
          <cell r="CM44">
            <v>1000</v>
          </cell>
          <cell r="CN44">
            <v>2000</v>
          </cell>
          <cell r="CO44">
            <v>3696</v>
          </cell>
          <cell r="CP44">
            <v>1300</v>
          </cell>
          <cell r="CQ44">
            <v>2200</v>
          </cell>
          <cell r="CR44">
            <v>1500</v>
          </cell>
          <cell r="CS44">
            <v>1000</v>
          </cell>
          <cell r="CT44">
            <v>2000</v>
          </cell>
          <cell r="CU44">
            <v>9466</v>
          </cell>
          <cell r="CV44">
            <v>1000</v>
          </cell>
          <cell r="CW44">
            <v>2375</v>
          </cell>
          <cell r="CX44">
            <v>500</v>
          </cell>
          <cell r="CY44">
            <v>1909</v>
          </cell>
          <cell r="CZ44">
            <v>1000</v>
          </cell>
          <cell r="DA44">
            <v>1393</v>
          </cell>
          <cell r="DB44">
            <v>1900</v>
          </cell>
          <cell r="DC44">
            <v>1500</v>
          </cell>
          <cell r="DD44">
            <v>2000</v>
          </cell>
          <cell r="DE44">
            <v>500</v>
          </cell>
          <cell r="DF44">
            <v>1000</v>
          </cell>
          <cell r="DG44">
            <v>1143</v>
          </cell>
          <cell r="DH44">
            <v>1500</v>
          </cell>
          <cell r="DI44">
            <v>1000</v>
          </cell>
          <cell r="DJ44">
            <v>1486</v>
          </cell>
          <cell r="DK44">
            <v>500</v>
          </cell>
          <cell r="DL44">
            <v>1000</v>
          </cell>
          <cell r="DM44">
            <v>2250</v>
          </cell>
          <cell r="DN44">
            <v>2400</v>
          </cell>
          <cell r="DO44">
            <v>1400</v>
          </cell>
          <cell r="DP44">
            <v>1700</v>
          </cell>
          <cell r="DQ44">
            <v>1000</v>
          </cell>
          <cell r="DR44">
            <v>3185</v>
          </cell>
          <cell r="DS44">
            <v>500</v>
          </cell>
          <cell r="DT44">
            <v>400</v>
          </cell>
          <cell r="DU44">
            <v>2450</v>
          </cell>
          <cell r="DV44">
            <v>1500</v>
          </cell>
          <cell r="DW44">
            <v>1000</v>
          </cell>
          <cell r="DX44">
            <v>2500</v>
          </cell>
          <cell r="DY44">
            <v>2100</v>
          </cell>
          <cell r="DZ44">
            <v>1089</v>
          </cell>
          <cell r="EA44">
            <v>3800</v>
          </cell>
          <cell r="EB44">
            <v>2362</v>
          </cell>
          <cell r="EC44">
            <v>1162</v>
          </cell>
          <cell r="ED44">
            <v>589</v>
          </cell>
          <cell r="EE44" t="str">
            <v>ACTIVO</v>
          </cell>
          <cell r="EF44" t="str">
            <v/>
          </cell>
          <cell r="EG44" t="str">
            <v/>
          </cell>
          <cell r="EH44">
            <v>1525.5555555555557</v>
          </cell>
          <cell r="EI44">
            <v>254.25925925925927</v>
          </cell>
          <cell r="EJ44">
            <v>1651.0775259224913</v>
          </cell>
          <cell r="EK44">
            <v>0</v>
          </cell>
          <cell r="EL44">
            <v>0</v>
          </cell>
          <cell r="EM44">
            <v>0</v>
          </cell>
          <cell r="EN44">
            <v>0</v>
          </cell>
          <cell r="EO44">
            <v>508.51851851851853</v>
          </cell>
          <cell r="EP44">
            <v>508.51851851851853</v>
          </cell>
        </row>
        <row r="45">
          <cell r="F45">
            <v>107316</v>
          </cell>
          <cell r="G45" t="str">
            <v>PLANCHA DE CARTON 1X1,20 ASTRA</v>
          </cell>
          <cell r="I45">
            <v>415</v>
          </cell>
          <cell r="J45">
            <v>932</v>
          </cell>
          <cell r="K45">
            <v>500</v>
          </cell>
          <cell r="L45">
            <v>500</v>
          </cell>
          <cell r="M45">
            <v>652</v>
          </cell>
          <cell r="N45">
            <v>961</v>
          </cell>
          <cell r="O45">
            <v>400</v>
          </cell>
          <cell r="Y45">
            <v>500</v>
          </cell>
          <cell r="Z45">
            <v>500</v>
          </cell>
          <cell r="AA45">
            <v>500</v>
          </cell>
          <cell r="AI45">
            <v>500</v>
          </cell>
          <cell r="AJ45">
            <v>500</v>
          </cell>
          <cell r="AK45">
            <v>500</v>
          </cell>
          <cell r="AL45">
            <v>800</v>
          </cell>
          <cell r="AM45">
            <v>400</v>
          </cell>
          <cell r="AN45">
            <v>500</v>
          </cell>
          <cell r="AO45">
            <v>800</v>
          </cell>
          <cell r="AP45">
            <v>400</v>
          </cell>
          <cell r="AQ45">
            <v>800</v>
          </cell>
          <cell r="AT45">
            <v>500</v>
          </cell>
          <cell r="AU45">
            <v>1205</v>
          </cell>
          <cell r="AV45">
            <v>800</v>
          </cell>
          <cell r="AX45">
            <v>2200</v>
          </cell>
          <cell r="AY45">
            <v>900</v>
          </cell>
          <cell r="AZ45">
            <v>1400</v>
          </cell>
          <cell r="BB45">
            <v>1600</v>
          </cell>
          <cell r="BC45">
            <v>1201</v>
          </cell>
          <cell r="BD45">
            <v>800</v>
          </cell>
          <cell r="BE45">
            <v>1035</v>
          </cell>
          <cell r="BF45">
            <v>400</v>
          </cell>
          <cell r="BG45">
            <v>500</v>
          </cell>
          <cell r="BH45">
            <v>1200</v>
          </cell>
          <cell r="BI45">
            <v>600</v>
          </cell>
          <cell r="BJ45">
            <v>1800</v>
          </cell>
          <cell r="BK45">
            <v>500</v>
          </cell>
          <cell r="BL45">
            <v>1600</v>
          </cell>
          <cell r="BN45">
            <v>1000</v>
          </cell>
          <cell r="BO45">
            <v>1000</v>
          </cell>
          <cell r="BP45">
            <v>2000</v>
          </cell>
          <cell r="BQ45">
            <v>450</v>
          </cell>
          <cell r="BR45">
            <v>1350</v>
          </cell>
          <cell r="BS45">
            <v>1409</v>
          </cell>
          <cell r="BT45">
            <v>450</v>
          </cell>
          <cell r="BU45">
            <v>400</v>
          </cell>
          <cell r="BV45">
            <v>1300</v>
          </cell>
          <cell r="BW45">
            <v>500</v>
          </cell>
          <cell r="BX45">
            <v>1650</v>
          </cell>
          <cell r="BY45">
            <v>900</v>
          </cell>
          <cell r="BZ45">
            <v>740</v>
          </cell>
          <cell r="CA45">
            <v>1000</v>
          </cell>
          <cell r="CB45">
            <v>1000</v>
          </cell>
          <cell r="CC45">
            <v>1000</v>
          </cell>
          <cell r="CE45">
            <v>1500</v>
          </cell>
          <cell r="CF45">
            <v>500</v>
          </cell>
          <cell r="CG45">
            <v>2000</v>
          </cell>
          <cell r="CH45">
            <v>1000</v>
          </cell>
          <cell r="CI45">
            <v>1000</v>
          </cell>
          <cell r="CJ45">
            <v>1500</v>
          </cell>
          <cell r="CK45">
            <v>1000</v>
          </cell>
          <cell r="CL45">
            <v>1197</v>
          </cell>
          <cell r="CM45">
            <v>1000</v>
          </cell>
          <cell r="CN45">
            <v>1500</v>
          </cell>
          <cell r="CO45">
            <v>1500</v>
          </cell>
          <cell r="CP45">
            <v>980</v>
          </cell>
          <cell r="CQ45">
            <v>930</v>
          </cell>
          <cell r="CR45">
            <v>1480</v>
          </cell>
          <cell r="CT45">
            <v>900</v>
          </cell>
          <cell r="CU45">
            <v>1000</v>
          </cell>
          <cell r="CV45">
            <v>500</v>
          </cell>
          <cell r="CW45">
            <v>580</v>
          </cell>
          <cell r="CX45">
            <v>500</v>
          </cell>
          <cell r="CY45">
            <v>1000</v>
          </cell>
          <cell r="CZ45">
            <v>1000</v>
          </cell>
          <cell r="DA45">
            <v>500</v>
          </cell>
          <cell r="DB45">
            <v>500</v>
          </cell>
          <cell r="DC45">
            <v>1500</v>
          </cell>
          <cell r="DD45">
            <v>520</v>
          </cell>
          <cell r="DE45">
            <v>1000</v>
          </cell>
          <cell r="DF45">
            <v>541</v>
          </cell>
          <cell r="DG45">
            <v>500</v>
          </cell>
          <cell r="DH45">
            <v>900</v>
          </cell>
          <cell r="DJ45">
            <v>500</v>
          </cell>
          <cell r="DK45">
            <v>1000</v>
          </cell>
          <cell r="DL45">
            <v>500</v>
          </cell>
          <cell r="DM45">
            <v>2000</v>
          </cell>
          <cell r="DO45">
            <v>1000</v>
          </cell>
          <cell r="DP45">
            <v>500</v>
          </cell>
          <cell r="DQ45">
            <v>500</v>
          </cell>
          <cell r="DR45">
            <v>500</v>
          </cell>
          <cell r="DS45">
            <v>1400</v>
          </cell>
          <cell r="DU45">
            <v>1000</v>
          </cell>
          <cell r="DV45">
            <v>1000</v>
          </cell>
          <cell r="DW45">
            <v>1000</v>
          </cell>
          <cell r="DX45">
            <v>1000</v>
          </cell>
          <cell r="DY45">
            <v>1000</v>
          </cell>
          <cell r="DZ45">
            <v>500</v>
          </cell>
          <cell r="EA45">
            <v>1000</v>
          </cell>
          <cell r="EB45">
            <v>500</v>
          </cell>
          <cell r="EC45">
            <v>500</v>
          </cell>
          <cell r="ED45">
            <v>1078.5390480000001</v>
          </cell>
          <cell r="EE45" t="str">
            <v>ACTIVO</v>
          </cell>
          <cell r="EF45" t="str">
            <v>B</v>
          </cell>
          <cell r="EG45">
            <v>400</v>
          </cell>
          <cell r="EH45">
            <v>893.33333333333337</v>
          </cell>
          <cell r="EI45">
            <v>148.88888888888889</v>
          </cell>
          <cell r="EJ45">
            <v>433.40202433061802</v>
          </cell>
          <cell r="EK45">
            <v>620</v>
          </cell>
          <cell r="EL45">
            <v>378820</v>
          </cell>
          <cell r="EM45">
            <v>0.69402985074626866</v>
          </cell>
          <cell r="EN45">
            <v>2233.3333333333335</v>
          </cell>
          <cell r="EO45">
            <v>297.77777777777777</v>
          </cell>
          <cell r="EP45">
            <v>2531.1111111111113</v>
          </cell>
        </row>
        <row r="46">
          <cell r="F46">
            <v>403395</v>
          </cell>
          <cell r="G46" t="str">
            <v>PLANCHA DE CARTON 1X1,20 PROSERVAR</v>
          </cell>
          <cell r="AE46">
            <v>500</v>
          </cell>
          <cell r="AF46">
            <v>500</v>
          </cell>
          <cell r="AG46">
            <v>1000</v>
          </cell>
          <cell r="AI46">
            <v>500</v>
          </cell>
          <cell r="AL46">
            <v>1000</v>
          </cell>
          <cell r="EE46" t="str">
            <v>ACTIVO</v>
          </cell>
          <cell r="EF46" t="str">
            <v/>
          </cell>
          <cell r="EG46" t="str">
            <v/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</row>
        <row r="47">
          <cell r="F47">
            <v>403266</v>
          </cell>
          <cell r="G47" t="str">
            <v>PLANCHA DE CARTON 1X1,20 EHLAN</v>
          </cell>
          <cell r="O47">
            <v>400</v>
          </cell>
          <cell r="P47">
            <v>1000</v>
          </cell>
          <cell r="Q47">
            <v>520</v>
          </cell>
          <cell r="R47">
            <v>400</v>
          </cell>
          <cell r="S47">
            <v>500</v>
          </cell>
          <cell r="T47">
            <v>1000</v>
          </cell>
          <cell r="V47">
            <v>500</v>
          </cell>
          <cell r="W47">
            <v>1000</v>
          </cell>
          <cell r="X47">
            <v>1000</v>
          </cell>
          <cell r="Y47">
            <v>500</v>
          </cell>
          <cell r="AB47">
            <v>1000</v>
          </cell>
          <cell r="AC47">
            <v>1000</v>
          </cell>
          <cell r="AD47">
            <v>500</v>
          </cell>
          <cell r="AR47">
            <v>800</v>
          </cell>
          <cell r="EE47" t="str">
            <v>ACTIVO</v>
          </cell>
          <cell r="EF47" t="str">
            <v/>
          </cell>
          <cell r="EG47" t="str">
            <v/>
          </cell>
          <cell r="EH47">
            <v>0</v>
          </cell>
          <cell r="EI47">
            <v>0</v>
          </cell>
          <cell r="EJ47">
            <v>0</v>
          </cell>
          <cell r="EK47">
            <v>0</v>
          </cell>
          <cell r="EL47">
            <v>0</v>
          </cell>
          <cell r="EM47">
            <v>0</v>
          </cell>
          <cell r="EN47">
            <v>0</v>
          </cell>
          <cell r="EO47">
            <v>0</v>
          </cell>
          <cell r="EP47">
            <v>0</v>
          </cell>
        </row>
        <row r="48">
          <cell r="F48">
            <v>403373</v>
          </cell>
          <cell r="G48" t="str">
            <v>HOJA SEPARADORA PLANCHAS PROSERVAR</v>
          </cell>
          <cell r="I48">
            <v>1290</v>
          </cell>
          <cell r="M48">
            <v>3000</v>
          </cell>
          <cell r="Q48">
            <v>2000</v>
          </cell>
          <cell r="U48">
            <v>3000</v>
          </cell>
          <cell r="X48">
            <v>3000</v>
          </cell>
          <cell r="AG48">
            <v>3000</v>
          </cell>
          <cell r="AK48">
            <v>2000</v>
          </cell>
          <cell r="AR48">
            <v>3000</v>
          </cell>
          <cell r="AV48">
            <v>3000</v>
          </cell>
          <cell r="AZ48">
            <v>3300</v>
          </cell>
          <cell r="BC48">
            <v>3000</v>
          </cell>
          <cell r="BE48">
            <v>1700</v>
          </cell>
          <cell r="BL48">
            <v>3000</v>
          </cell>
          <cell r="BO48">
            <v>3600</v>
          </cell>
          <cell r="BX48">
            <v>3000</v>
          </cell>
          <cell r="CA48">
            <v>3000</v>
          </cell>
          <cell r="CM48">
            <v>3000</v>
          </cell>
          <cell r="CX48">
            <v>3000</v>
          </cell>
          <cell r="DM48">
            <v>6000</v>
          </cell>
          <cell r="DO48">
            <v>3000</v>
          </cell>
          <cell r="DY48">
            <v>3000</v>
          </cell>
          <cell r="EE48" t="str">
            <v>ACTIVO</v>
          </cell>
          <cell r="EF48" t="str">
            <v>C</v>
          </cell>
          <cell r="EG48">
            <v>1800</v>
          </cell>
          <cell r="EH48">
            <v>4000</v>
          </cell>
          <cell r="EI48">
            <v>666.66666666666663</v>
          </cell>
          <cell r="EJ48">
            <v>244.94897427831782</v>
          </cell>
          <cell r="EK48">
            <v>22000</v>
          </cell>
          <cell r="EL48">
            <v>4510000</v>
          </cell>
          <cell r="EM48">
            <v>5.5</v>
          </cell>
          <cell r="EN48">
            <v>10000</v>
          </cell>
          <cell r="EO48">
            <v>1333.3333333333333</v>
          </cell>
          <cell r="EP48">
            <v>11333.333333333334</v>
          </cell>
        </row>
        <row r="49">
          <cell r="F49">
            <v>403103</v>
          </cell>
          <cell r="G49" t="str">
            <v>DISCO CARTON MH 15 PP ARRIAZA</v>
          </cell>
          <cell r="H49">
            <v>6000</v>
          </cell>
          <cell r="J49">
            <v>5000</v>
          </cell>
          <cell r="M49">
            <v>11000</v>
          </cell>
          <cell r="U49">
            <v>5000</v>
          </cell>
          <cell r="V49">
            <v>5000</v>
          </cell>
          <cell r="Z49">
            <v>5000</v>
          </cell>
          <cell r="AD49">
            <v>4000</v>
          </cell>
          <cell r="AE49">
            <v>5000</v>
          </cell>
          <cell r="AF49">
            <v>5000</v>
          </cell>
          <cell r="AK49">
            <v>18000</v>
          </cell>
          <cell r="AM49">
            <v>25000</v>
          </cell>
          <cell r="AP49">
            <v>5000</v>
          </cell>
          <cell r="BF49">
            <v>7000</v>
          </cell>
          <cell r="BN49">
            <v>12000</v>
          </cell>
          <cell r="BU49">
            <v>12000</v>
          </cell>
          <cell r="CB49">
            <v>7000</v>
          </cell>
          <cell r="CD49">
            <v>5000</v>
          </cell>
          <cell r="CE49">
            <v>7000</v>
          </cell>
          <cell r="CH49">
            <v>12000</v>
          </cell>
          <cell r="CR49">
            <v>15000</v>
          </cell>
          <cell r="DD49">
            <v>12000</v>
          </cell>
          <cell r="DM49">
            <v>12000</v>
          </cell>
          <cell r="DR49">
            <v>12000</v>
          </cell>
          <cell r="DX49">
            <v>12000</v>
          </cell>
          <cell r="EE49" t="str">
            <v>ACTIVO</v>
          </cell>
          <cell r="EF49" t="str">
            <v>C</v>
          </cell>
          <cell r="EG49" t="str">
            <v/>
          </cell>
          <cell r="EH49">
            <v>12000</v>
          </cell>
          <cell r="EI49">
            <v>2000</v>
          </cell>
          <cell r="EJ49">
            <v>3453.7764010675951</v>
          </cell>
          <cell r="EK49">
            <v>0</v>
          </cell>
          <cell r="EL49">
            <v>0</v>
          </cell>
          <cell r="EM49">
            <v>0</v>
          </cell>
          <cell r="EN49">
            <v>12000</v>
          </cell>
          <cell r="EO49">
            <v>4000</v>
          </cell>
          <cell r="EP49">
            <v>16000</v>
          </cell>
        </row>
        <row r="50">
          <cell r="F50">
            <v>403314</v>
          </cell>
          <cell r="G50" t="str">
            <v>DISCO DE PAPEL PQQ CURICO</v>
          </cell>
          <cell r="H50">
            <v>100000</v>
          </cell>
          <cell r="K50">
            <v>75000</v>
          </cell>
          <cell r="L50">
            <v>80000</v>
          </cell>
          <cell r="M50">
            <v>80000</v>
          </cell>
          <cell r="P50">
            <v>240000</v>
          </cell>
          <cell r="R50">
            <v>350000</v>
          </cell>
          <cell r="S50">
            <v>200000</v>
          </cell>
          <cell r="U50">
            <v>150000</v>
          </cell>
          <cell r="AB50">
            <v>120000</v>
          </cell>
          <cell r="AD50">
            <v>80000</v>
          </cell>
          <cell r="AE50">
            <v>180000</v>
          </cell>
          <cell r="AF50">
            <v>90000</v>
          </cell>
          <cell r="AH50">
            <v>90000</v>
          </cell>
          <cell r="AI50">
            <v>100000</v>
          </cell>
          <cell r="AK50">
            <v>200000</v>
          </cell>
          <cell r="AM50">
            <v>220000</v>
          </cell>
          <cell r="AN50">
            <v>100000</v>
          </cell>
          <cell r="AP50">
            <v>100000</v>
          </cell>
          <cell r="AQ50">
            <v>200000</v>
          </cell>
          <cell r="AV50">
            <v>250000</v>
          </cell>
          <cell r="AX50">
            <v>100000</v>
          </cell>
          <cell r="AY50">
            <v>100000</v>
          </cell>
          <cell r="BA50">
            <v>100000</v>
          </cell>
          <cell r="BC50">
            <v>421500</v>
          </cell>
          <cell r="BE50">
            <v>100000</v>
          </cell>
          <cell r="BF50">
            <v>100000</v>
          </cell>
          <cell r="BI50">
            <v>150000</v>
          </cell>
          <cell r="BO50">
            <v>150000</v>
          </cell>
          <cell r="BP50">
            <v>120000</v>
          </cell>
          <cell r="BS50">
            <v>100000</v>
          </cell>
          <cell r="BU50">
            <v>70000</v>
          </cell>
          <cell r="BZ50">
            <v>240000</v>
          </cell>
          <cell r="CB50">
            <v>120000</v>
          </cell>
          <cell r="CC50">
            <v>100000</v>
          </cell>
          <cell r="CD50">
            <v>80000</v>
          </cell>
          <cell r="CE50">
            <v>100000</v>
          </cell>
          <cell r="CF50">
            <v>40000</v>
          </cell>
          <cell r="CG50">
            <v>80000</v>
          </cell>
          <cell r="CH50">
            <v>180000</v>
          </cell>
          <cell r="CI50">
            <v>90000</v>
          </cell>
          <cell r="CM50">
            <v>90000</v>
          </cell>
          <cell r="CN50">
            <v>90000</v>
          </cell>
          <cell r="CO50">
            <v>80000</v>
          </cell>
          <cell r="CP50">
            <v>80000</v>
          </cell>
          <cell r="CR50">
            <v>87000</v>
          </cell>
          <cell r="CS50">
            <v>90000</v>
          </cell>
          <cell r="DB50">
            <v>78000</v>
          </cell>
          <cell r="DG50">
            <v>99000</v>
          </cell>
          <cell r="EE50" t="str">
            <v>ACTIVO</v>
          </cell>
          <cell r="EF50" t="str">
            <v>B</v>
          </cell>
          <cell r="EG50" t="str">
            <v/>
          </cell>
          <cell r="EH50">
            <v>0</v>
          </cell>
          <cell r="EI50">
            <v>0</v>
          </cell>
          <cell r="EJ50">
            <v>42741.344279544028</v>
          </cell>
          <cell r="EK50">
            <v>0</v>
          </cell>
          <cell r="EL50">
            <v>0</v>
          </cell>
          <cell r="EM50">
            <v>0</v>
          </cell>
          <cell r="EN50">
            <v>0</v>
          </cell>
          <cell r="EO50">
            <v>0</v>
          </cell>
          <cell r="EP50">
            <v>0</v>
          </cell>
        </row>
        <row r="51">
          <cell r="F51">
            <v>403104</v>
          </cell>
          <cell r="G51" t="str">
            <v>HUINCHA CARTON MH 8.5x75 ARRIAZA</v>
          </cell>
          <cell r="H51">
            <v>200</v>
          </cell>
          <cell r="I51">
            <v>250</v>
          </cell>
          <cell r="R51">
            <v>200</v>
          </cell>
          <cell r="S51">
            <v>150</v>
          </cell>
          <cell r="AB51">
            <v>200</v>
          </cell>
          <cell r="AK51">
            <v>300</v>
          </cell>
          <cell r="AN51">
            <v>150</v>
          </cell>
          <cell r="AQ51">
            <v>140</v>
          </cell>
          <cell r="AV51">
            <v>200</v>
          </cell>
          <cell r="BL51">
            <v>300</v>
          </cell>
          <cell r="BR51">
            <v>300</v>
          </cell>
          <cell r="BW51">
            <v>140</v>
          </cell>
          <cell r="BZ51">
            <v>300</v>
          </cell>
          <cell r="CB51">
            <v>200</v>
          </cell>
          <cell r="CH51">
            <v>300</v>
          </cell>
          <cell r="CN51">
            <v>300</v>
          </cell>
          <cell r="CR51">
            <v>200</v>
          </cell>
          <cell r="CW51">
            <v>300</v>
          </cell>
          <cell r="DD51">
            <v>300</v>
          </cell>
          <cell r="DL51">
            <v>300</v>
          </cell>
          <cell r="DR51">
            <v>300</v>
          </cell>
          <cell r="DW51">
            <v>300</v>
          </cell>
          <cell r="ED51">
            <v>300</v>
          </cell>
          <cell r="EE51" t="str">
            <v>ACTIVO</v>
          </cell>
          <cell r="EF51" t="str">
            <v>C</v>
          </cell>
          <cell r="EG51" t="str">
            <v/>
          </cell>
          <cell r="EH51">
            <v>300</v>
          </cell>
          <cell r="EI51">
            <v>50</v>
          </cell>
          <cell r="EJ51">
            <v>60.221812216726477</v>
          </cell>
          <cell r="EK51">
            <v>0</v>
          </cell>
          <cell r="EL51">
            <v>0</v>
          </cell>
          <cell r="EM51">
            <v>0</v>
          </cell>
          <cell r="EN51">
            <v>300</v>
          </cell>
          <cell r="EO51">
            <v>100</v>
          </cell>
          <cell r="EP51">
            <v>400</v>
          </cell>
        </row>
        <row r="52">
          <cell r="F52">
            <v>107187</v>
          </cell>
          <cell r="G52" t="str">
            <v>DISCO DE PAPEL 19CM PQQ CURICO</v>
          </cell>
          <cell r="J52">
            <v>10000</v>
          </cell>
          <cell r="K52">
            <v>24000</v>
          </cell>
          <cell r="L52">
            <v>15000</v>
          </cell>
          <cell r="M52">
            <v>15000</v>
          </cell>
          <cell r="P52">
            <v>15000</v>
          </cell>
          <cell r="W52">
            <v>20000</v>
          </cell>
          <cell r="DK52">
            <v>20000</v>
          </cell>
          <cell r="DM52">
            <v>30000</v>
          </cell>
          <cell r="DO52">
            <v>30000</v>
          </cell>
          <cell r="DQ52">
            <v>40000</v>
          </cell>
          <cell r="DR52">
            <v>24000</v>
          </cell>
          <cell r="DV52">
            <v>50000</v>
          </cell>
          <cell r="ED52">
            <v>30000</v>
          </cell>
          <cell r="EE52" t="str">
            <v>SIN USO</v>
          </cell>
          <cell r="EF52" t="str">
            <v/>
          </cell>
          <cell r="EG52" t="str">
            <v/>
          </cell>
          <cell r="EH52">
            <v>32333.333333333332</v>
          </cell>
          <cell r="EI52">
            <v>5388.8888888888887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32333.333333333332</v>
          </cell>
          <cell r="EO52">
            <v>10777.777777777777</v>
          </cell>
          <cell r="EP52">
            <v>43111.111111111109</v>
          </cell>
        </row>
        <row r="53">
          <cell r="F53">
            <v>107338</v>
          </cell>
          <cell r="G53" t="str">
            <v>LAMINA ACETATO TRANSPARENTE 7x60 CM ECOPLASTIC</v>
          </cell>
          <cell r="L53">
            <v>500</v>
          </cell>
          <cell r="M53">
            <v>1500</v>
          </cell>
          <cell r="V53">
            <v>1000</v>
          </cell>
          <cell r="W53">
            <v>500</v>
          </cell>
          <cell r="AC53">
            <v>700</v>
          </cell>
          <cell r="EE53" t="str">
            <v>SIN USO</v>
          </cell>
          <cell r="EF53" t="str">
            <v/>
          </cell>
          <cell r="EG53" t="str">
            <v/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</row>
        <row r="54">
          <cell r="F54">
            <v>405319</v>
          </cell>
          <cell r="G54" t="str">
            <v>LAMINA ACETATO TRANSPARENTE 7x60 CM FPS</v>
          </cell>
          <cell r="AF54">
            <v>300</v>
          </cell>
          <cell r="AH54">
            <v>300</v>
          </cell>
          <cell r="AI54">
            <v>250</v>
          </cell>
          <cell r="AK54">
            <v>550</v>
          </cell>
          <cell r="AL54">
            <v>150</v>
          </cell>
          <cell r="AN54">
            <v>300</v>
          </cell>
          <cell r="AO54">
            <v>300</v>
          </cell>
          <cell r="BL54">
            <v>1000</v>
          </cell>
          <cell r="BN54">
            <v>500</v>
          </cell>
          <cell r="BO54">
            <v>500</v>
          </cell>
          <cell r="BR54">
            <v>500</v>
          </cell>
          <cell r="BV54">
            <v>600</v>
          </cell>
          <cell r="BW54">
            <v>300</v>
          </cell>
          <cell r="CB54">
            <v>300</v>
          </cell>
          <cell r="CC54">
            <v>500</v>
          </cell>
          <cell r="CF54">
            <v>500</v>
          </cell>
          <cell r="CG54">
            <v>600</v>
          </cell>
          <cell r="CL54">
            <v>500</v>
          </cell>
          <cell r="CM54">
            <v>500</v>
          </cell>
          <cell r="CN54">
            <v>400</v>
          </cell>
          <cell r="CP54">
            <v>300</v>
          </cell>
          <cell r="CQ54">
            <v>100</v>
          </cell>
          <cell r="CR54">
            <v>200</v>
          </cell>
          <cell r="CS54">
            <v>200</v>
          </cell>
          <cell r="CT54">
            <v>200</v>
          </cell>
          <cell r="CU54">
            <v>300</v>
          </cell>
          <cell r="CV54">
            <v>200</v>
          </cell>
          <cell r="CW54">
            <v>500</v>
          </cell>
          <cell r="CY54">
            <v>300</v>
          </cell>
          <cell r="CZ54">
            <v>500</v>
          </cell>
          <cell r="DA54">
            <v>600</v>
          </cell>
          <cell r="DB54">
            <v>400</v>
          </cell>
          <cell r="DC54">
            <v>300</v>
          </cell>
          <cell r="DD54">
            <v>500</v>
          </cell>
          <cell r="DJ54">
            <v>100</v>
          </cell>
          <cell r="DK54">
            <v>100</v>
          </cell>
          <cell r="DL54">
            <v>400</v>
          </cell>
          <cell r="DM54">
            <v>200</v>
          </cell>
          <cell r="DN54">
            <v>200</v>
          </cell>
          <cell r="DO54">
            <v>200</v>
          </cell>
          <cell r="DP54">
            <v>400</v>
          </cell>
          <cell r="DV54">
            <v>200</v>
          </cell>
          <cell r="DW54">
            <v>100</v>
          </cell>
          <cell r="DX54">
            <v>400</v>
          </cell>
          <cell r="DY54">
            <v>500</v>
          </cell>
          <cell r="DZ54">
            <v>100</v>
          </cell>
          <cell r="EE54" t="str">
            <v>ACTIVO</v>
          </cell>
          <cell r="EF54" t="str">
            <v>C</v>
          </cell>
          <cell r="EG54">
            <v>4800</v>
          </cell>
          <cell r="EH54">
            <v>241.66666666666666</v>
          </cell>
          <cell r="EI54">
            <v>40.277777777777779</v>
          </cell>
          <cell r="EJ54">
            <v>184.05065573000243</v>
          </cell>
          <cell r="EK54">
            <v>3800</v>
          </cell>
          <cell r="EL54">
            <v>972800</v>
          </cell>
          <cell r="EM54">
            <v>15.724137931034484</v>
          </cell>
          <cell r="EN54">
            <v>241.66666666666669</v>
          </cell>
          <cell r="EO54">
            <v>80.555555555555557</v>
          </cell>
          <cell r="EP54">
            <v>322.22222222222223</v>
          </cell>
        </row>
        <row r="55">
          <cell r="F55">
            <v>404313</v>
          </cell>
          <cell r="G55" t="str">
            <v>LAMINA ACETATO TRANSPARENTE ECOPLASTIC</v>
          </cell>
          <cell r="AC55">
            <v>330</v>
          </cell>
          <cell r="EE55" t="str">
            <v>SIN USO</v>
          </cell>
          <cell r="EF55" t="str">
            <v/>
          </cell>
          <cell r="EG55" t="str">
            <v/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</row>
        <row r="56">
          <cell r="F56">
            <v>403014</v>
          </cell>
          <cell r="G56" t="str">
            <v>PAPEL MANTEQUILLA ARRIAZA</v>
          </cell>
          <cell r="AE56">
            <v>500</v>
          </cell>
          <cell r="BW56">
            <v>500</v>
          </cell>
          <cell r="EC56">
            <v>500</v>
          </cell>
          <cell r="EE56" t="str">
            <v>ACTIVO</v>
          </cell>
          <cell r="EF56" t="str">
            <v>C</v>
          </cell>
          <cell r="EG56" t="str">
            <v/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</row>
        <row r="57">
          <cell r="F57">
            <v>403101</v>
          </cell>
          <cell r="G57" t="str">
            <v>DISCO CARTON BLANCO 19,5 JUMBO ARRIAZA</v>
          </cell>
          <cell r="H57">
            <v>43500</v>
          </cell>
          <cell r="I57">
            <v>35000</v>
          </cell>
          <cell r="J57">
            <v>42000</v>
          </cell>
          <cell r="K57">
            <v>50000</v>
          </cell>
          <cell r="L57">
            <v>47003</v>
          </cell>
          <cell r="M57">
            <v>52000</v>
          </cell>
          <cell r="N57">
            <v>42000</v>
          </cell>
          <cell r="O57">
            <v>58500</v>
          </cell>
          <cell r="P57">
            <v>32000</v>
          </cell>
          <cell r="Q57">
            <v>41000</v>
          </cell>
          <cell r="R57">
            <v>37500</v>
          </cell>
          <cell r="S57">
            <v>22000</v>
          </cell>
          <cell r="T57">
            <v>26000</v>
          </cell>
          <cell r="U57">
            <v>60500</v>
          </cell>
          <cell r="V57">
            <v>37500</v>
          </cell>
          <cell r="W57">
            <v>48000</v>
          </cell>
          <cell r="X57">
            <v>63500</v>
          </cell>
          <cell r="Y57">
            <v>34500</v>
          </cell>
          <cell r="Z57">
            <v>66500</v>
          </cell>
          <cell r="AA57">
            <v>22500</v>
          </cell>
          <cell r="AB57">
            <v>50500</v>
          </cell>
          <cell r="AC57">
            <v>36000</v>
          </cell>
          <cell r="AD57">
            <v>47500</v>
          </cell>
          <cell r="AE57">
            <v>105000</v>
          </cell>
          <cell r="AF57">
            <v>11500</v>
          </cell>
          <cell r="AH57">
            <v>55501</v>
          </cell>
          <cell r="AI57">
            <v>65000</v>
          </cell>
          <cell r="AJ57">
            <v>45000</v>
          </cell>
          <cell r="AK57">
            <v>66000</v>
          </cell>
          <cell r="AL57">
            <v>42000</v>
          </cell>
          <cell r="AM57">
            <v>64000</v>
          </cell>
          <cell r="AN57">
            <v>59500</v>
          </cell>
          <cell r="AO57">
            <v>63500</v>
          </cell>
          <cell r="AP57">
            <v>46950</v>
          </cell>
          <cell r="AQ57">
            <v>43000</v>
          </cell>
          <cell r="AR57">
            <v>51000</v>
          </cell>
          <cell r="AS57">
            <v>26500</v>
          </cell>
          <cell r="AT57">
            <v>51720</v>
          </cell>
          <cell r="AU57">
            <v>48100</v>
          </cell>
          <cell r="AV57">
            <v>43000</v>
          </cell>
          <cell r="AW57">
            <v>47000</v>
          </cell>
          <cell r="AX57">
            <v>52500</v>
          </cell>
          <cell r="AY57">
            <v>48000</v>
          </cell>
          <cell r="AZ57">
            <v>42500</v>
          </cell>
          <cell r="BA57">
            <v>53500</v>
          </cell>
          <cell r="BB57">
            <v>47300</v>
          </cell>
          <cell r="BC57">
            <v>40501</v>
          </cell>
          <cell r="BD57">
            <v>48000</v>
          </cell>
          <cell r="BE57">
            <v>43500</v>
          </cell>
          <cell r="BF57">
            <v>60000</v>
          </cell>
          <cell r="BG57">
            <v>40000</v>
          </cell>
          <cell r="BH57">
            <v>24000</v>
          </cell>
          <cell r="BI57">
            <v>41500</v>
          </cell>
          <cell r="BJ57">
            <v>41000</v>
          </cell>
          <cell r="BK57">
            <v>59500</v>
          </cell>
          <cell r="BL57">
            <v>42500</v>
          </cell>
          <cell r="BM57">
            <v>45500</v>
          </cell>
          <cell r="BN57">
            <v>47500</v>
          </cell>
          <cell r="BO57">
            <v>48500</v>
          </cell>
          <cell r="BP57">
            <v>28500</v>
          </cell>
          <cell r="BQ57">
            <v>46000</v>
          </cell>
          <cell r="BR57">
            <v>51000</v>
          </cell>
          <cell r="BS57">
            <v>43500</v>
          </cell>
          <cell r="BT57">
            <v>55500</v>
          </cell>
          <cell r="BU57">
            <v>59500</v>
          </cell>
          <cell r="BV57">
            <v>55000</v>
          </cell>
          <cell r="BW57">
            <v>56500</v>
          </cell>
          <cell r="BX57">
            <v>83500</v>
          </cell>
          <cell r="BY57">
            <v>56000</v>
          </cell>
          <cell r="BZ57">
            <v>56000</v>
          </cell>
          <cell r="CA57">
            <v>64000</v>
          </cell>
          <cell r="CB57">
            <v>42000</v>
          </cell>
          <cell r="CC57">
            <v>51500</v>
          </cell>
          <cell r="CD57">
            <v>52000</v>
          </cell>
          <cell r="CE57">
            <v>55000</v>
          </cell>
          <cell r="CF57">
            <v>60700</v>
          </cell>
          <cell r="CG57">
            <v>48500</v>
          </cell>
          <cell r="CH57">
            <v>30500</v>
          </cell>
          <cell r="CI57">
            <v>39000</v>
          </cell>
          <cell r="CJ57">
            <v>38000</v>
          </cell>
          <cell r="CK57">
            <v>42000</v>
          </cell>
          <cell r="CL57">
            <v>43000</v>
          </cell>
          <cell r="CM57">
            <v>43000</v>
          </cell>
          <cell r="CN57">
            <v>52500</v>
          </cell>
          <cell r="CO57">
            <v>39000</v>
          </cell>
          <cell r="CP57">
            <v>46500</v>
          </cell>
          <cell r="CQ57">
            <v>54500</v>
          </cell>
          <cell r="CR57">
            <v>49500</v>
          </cell>
          <cell r="CS57">
            <v>28000</v>
          </cell>
          <cell r="CT57">
            <v>65500</v>
          </cell>
          <cell r="CU57">
            <v>41500</v>
          </cell>
          <cell r="CV57">
            <v>40000</v>
          </cell>
          <cell r="CW57">
            <v>32000</v>
          </cell>
          <cell r="CX57">
            <v>47000</v>
          </cell>
          <cell r="CY57">
            <v>33500</v>
          </cell>
          <cell r="CZ57">
            <v>44500</v>
          </cell>
          <cell r="DA57">
            <v>41000</v>
          </cell>
          <cell r="DB57">
            <v>100500</v>
          </cell>
          <cell r="DC57">
            <v>57500</v>
          </cell>
          <cell r="DD57">
            <v>32500</v>
          </cell>
          <cell r="DE57">
            <v>38000</v>
          </cell>
          <cell r="DF57">
            <v>43500</v>
          </cell>
          <cell r="DG57">
            <v>48000</v>
          </cell>
          <cell r="DH57">
            <v>18500</v>
          </cell>
          <cell r="DI57">
            <v>7500</v>
          </cell>
          <cell r="DJ57">
            <v>51500</v>
          </cell>
          <cell r="DK57">
            <v>41500</v>
          </cell>
          <cell r="DL57">
            <v>43500</v>
          </cell>
          <cell r="DM57">
            <v>41000</v>
          </cell>
          <cell r="DN57">
            <v>42000</v>
          </cell>
          <cell r="DO57">
            <v>45000</v>
          </cell>
          <cell r="DP57">
            <v>47500</v>
          </cell>
          <cell r="DQ57">
            <v>24500</v>
          </cell>
          <cell r="DR57">
            <v>33000</v>
          </cell>
          <cell r="DS57">
            <v>40000</v>
          </cell>
          <cell r="DT57">
            <v>52500</v>
          </cell>
          <cell r="DU57">
            <v>37600</v>
          </cell>
          <cell r="DV57">
            <v>36500</v>
          </cell>
          <cell r="DW57">
            <v>22500</v>
          </cell>
          <cell r="DX57">
            <v>50500</v>
          </cell>
          <cell r="DY57">
            <v>62000</v>
          </cell>
          <cell r="DZ57">
            <v>54000</v>
          </cell>
          <cell r="EA57">
            <v>28500</v>
          </cell>
          <cell r="EB57">
            <v>35500</v>
          </cell>
          <cell r="EC57">
            <v>4500</v>
          </cell>
          <cell r="ED57">
            <v>40177</v>
          </cell>
          <cell r="EE57" t="str">
            <v>ACTIVO</v>
          </cell>
          <cell r="EF57" t="str">
            <v>B</v>
          </cell>
          <cell r="EG57">
            <v>60000</v>
          </cell>
          <cell r="EH57">
            <v>40700</v>
          </cell>
          <cell r="EI57">
            <v>6783.333333333333</v>
          </cell>
          <cell r="EJ57">
            <v>13578.579562376372</v>
          </cell>
          <cell r="EK57">
            <v>13000</v>
          </cell>
          <cell r="EL57">
            <v>247000</v>
          </cell>
          <cell r="EM57">
            <v>0.31941031941031939</v>
          </cell>
          <cell r="EN57">
            <v>40700</v>
          </cell>
          <cell r="EO57">
            <v>13566.666666666666</v>
          </cell>
          <cell r="EP57">
            <v>54266.666666666664</v>
          </cell>
        </row>
        <row r="58">
          <cell r="F58">
            <v>405438</v>
          </cell>
          <cell r="G58" t="str">
            <v>CARTULINA BLANCA EMPLACADA DIAMTERO 19CM ALIMPACK</v>
          </cell>
          <cell r="CM58">
            <v>24000</v>
          </cell>
          <cell r="EE58" t="str">
            <v>SIN USO</v>
          </cell>
          <cell r="EF58" t="str">
            <v>C</v>
          </cell>
          <cell r="EG58" t="str">
            <v/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</row>
        <row r="59">
          <cell r="F59">
            <v>405587</v>
          </cell>
          <cell r="G59" t="str">
            <v>DISCO DE PAPEL KRAFT 100GR 21CM PAPELERA</v>
          </cell>
          <cell r="CT59">
            <v>100000</v>
          </cell>
          <cell r="CU59">
            <v>100000</v>
          </cell>
          <cell r="CV59">
            <v>100000</v>
          </cell>
          <cell r="CW59">
            <v>100000</v>
          </cell>
          <cell r="CX59">
            <v>100000</v>
          </cell>
          <cell r="CY59">
            <v>100000</v>
          </cell>
          <cell r="DD59">
            <v>150000</v>
          </cell>
          <cell r="DF59">
            <v>119000</v>
          </cell>
          <cell r="DG59">
            <v>31000</v>
          </cell>
          <cell r="DK59">
            <v>100000</v>
          </cell>
          <cell r="DL59">
            <v>100000</v>
          </cell>
          <cell r="DM59">
            <v>100000</v>
          </cell>
          <cell r="DN59">
            <v>100000</v>
          </cell>
          <cell r="DO59">
            <v>100000</v>
          </cell>
          <cell r="DS59">
            <v>100000</v>
          </cell>
          <cell r="DV59">
            <v>100000</v>
          </cell>
          <cell r="DX59">
            <v>200000</v>
          </cell>
          <cell r="DZ59">
            <v>100000</v>
          </cell>
          <cell r="EA59">
            <v>29000</v>
          </cell>
          <cell r="EB59">
            <v>71000</v>
          </cell>
          <cell r="EC59">
            <v>100000</v>
          </cell>
          <cell r="ED59">
            <v>100000</v>
          </cell>
          <cell r="EE59" t="str">
            <v>ACTIVO</v>
          </cell>
          <cell r="EF59" t="str">
            <v>C</v>
          </cell>
          <cell r="EG59" t="str">
            <v/>
          </cell>
          <cell r="EH59">
            <v>111111.11111111111</v>
          </cell>
          <cell r="EI59">
            <v>18518.518518518518</v>
          </cell>
          <cell r="EJ59">
            <v>30866.648668101305</v>
          </cell>
          <cell r="EK59">
            <v>100000</v>
          </cell>
          <cell r="EL59">
            <v>1000000</v>
          </cell>
          <cell r="EM59">
            <v>0.9</v>
          </cell>
          <cell r="EN59">
            <v>129629.62962962964</v>
          </cell>
          <cell r="EO59">
            <v>37037.037037037036</v>
          </cell>
          <cell r="EP59">
            <v>166666.66666666669</v>
          </cell>
        </row>
        <row r="60">
          <cell r="F60">
            <v>405583</v>
          </cell>
          <cell r="G60" t="str">
            <v>DISCO MICROCORRUGADO EMPLACADO 19 CM DIÁMETRO ASTRA</v>
          </cell>
          <cell r="CR60">
            <v>32300</v>
          </cell>
          <cell r="CU60">
            <v>9000</v>
          </cell>
          <cell r="CV60">
            <v>15960</v>
          </cell>
          <cell r="CW60">
            <v>15000</v>
          </cell>
          <cell r="CX60">
            <v>19400</v>
          </cell>
          <cell r="CY60">
            <v>9000</v>
          </cell>
          <cell r="CZ60">
            <v>20300</v>
          </cell>
          <cell r="DA60">
            <v>3000</v>
          </cell>
          <cell r="DB60">
            <v>21600</v>
          </cell>
          <cell r="DC60">
            <v>8900</v>
          </cell>
          <cell r="DD60">
            <v>9500</v>
          </cell>
          <cell r="DE60">
            <v>24000</v>
          </cell>
          <cell r="DF60">
            <v>12879</v>
          </cell>
          <cell r="DH60">
            <v>4000</v>
          </cell>
          <cell r="DI60">
            <v>4500</v>
          </cell>
          <cell r="DJ60">
            <v>8320</v>
          </cell>
          <cell r="DK60">
            <v>15000</v>
          </cell>
          <cell r="DL60">
            <v>5750</v>
          </cell>
          <cell r="DM60">
            <v>16500</v>
          </cell>
          <cell r="DN60">
            <v>18180</v>
          </cell>
          <cell r="DO60">
            <v>11800</v>
          </cell>
          <cell r="DP60">
            <v>12450</v>
          </cell>
          <cell r="DQ60">
            <v>13050</v>
          </cell>
          <cell r="DR60">
            <v>6950</v>
          </cell>
          <cell r="DS60">
            <v>5200</v>
          </cell>
          <cell r="DT60">
            <v>4550</v>
          </cell>
          <cell r="DW60">
            <v>8500</v>
          </cell>
          <cell r="DX60">
            <v>4400</v>
          </cell>
          <cell r="DY60">
            <v>4000</v>
          </cell>
          <cell r="DZ60">
            <v>7000</v>
          </cell>
          <cell r="EA60">
            <v>800</v>
          </cell>
          <cell r="EC60">
            <v>12100</v>
          </cell>
          <cell r="ED60">
            <v>6000</v>
          </cell>
          <cell r="EE60" t="str">
            <v>ACTIVO</v>
          </cell>
          <cell r="EF60" t="str">
            <v>C</v>
          </cell>
          <cell r="EG60" t="str">
            <v/>
          </cell>
          <cell r="EH60">
            <v>9134.375</v>
          </cell>
          <cell r="EI60">
            <v>1522.3958333333333</v>
          </cell>
          <cell r="EJ60">
            <v>8224.1561419547943</v>
          </cell>
          <cell r="EK60">
            <v>224500</v>
          </cell>
          <cell r="EL60">
            <v>11000500</v>
          </cell>
          <cell r="EM60">
            <v>24.577488881286349</v>
          </cell>
          <cell r="EN60">
            <v>22835.9375</v>
          </cell>
          <cell r="EO60">
            <v>3044.7916666666665</v>
          </cell>
          <cell r="EP60">
            <v>25880.729166666668</v>
          </cell>
        </row>
        <row r="61">
          <cell r="F61">
            <v>107292</v>
          </cell>
          <cell r="G61" t="str">
            <v>DISCO CARTÓN CORRUGADO 19 CM EHLAN</v>
          </cell>
          <cell r="H61">
            <v>950</v>
          </cell>
          <cell r="J61">
            <v>21000</v>
          </cell>
          <cell r="K61">
            <v>22000</v>
          </cell>
          <cell r="L61">
            <v>29250</v>
          </cell>
          <cell r="M61">
            <v>64500</v>
          </cell>
          <cell r="N61">
            <v>43500</v>
          </cell>
          <cell r="O61">
            <v>21000</v>
          </cell>
          <cell r="P61">
            <v>2650</v>
          </cell>
          <cell r="Q61">
            <v>14750</v>
          </cell>
          <cell r="R61">
            <v>21000</v>
          </cell>
          <cell r="S61">
            <v>22500</v>
          </cell>
          <cell r="T61">
            <v>1800</v>
          </cell>
          <cell r="U61">
            <v>17700</v>
          </cell>
          <cell r="V61">
            <v>1450</v>
          </cell>
          <cell r="W61">
            <v>4700</v>
          </cell>
          <cell r="X61">
            <v>24750</v>
          </cell>
          <cell r="Y61">
            <v>22350</v>
          </cell>
          <cell r="Z61">
            <v>9600</v>
          </cell>
          <cell r="AA61">
            <v>1500</v>
          </cell>
          <cell r="AB61">
            <v>1750</v>
          </cell>
          <cell r="AC61">
            <v>1500</v>
          </cell>
          <cell r="AD61">
            <v>9600</v>
          </cell>
          <cell r="AE61">
            <v>3800</v>
          </cell>
          <cell r="AM61">
            <v>24000</v>
          </cell>
          <cell r="AO61">
            <v>11250</v>
          </cell>
          <cell r="AU61">
            <v>1470</v>
          </cell>
          <cell r="AV61">
            <v>5970</v>
          </cell>
          <cell r="AY61">
            <v>10490</v>
          </cell>
          <cell r="BC61">
            <v>3700</v>
          </cell>
          <cell r="BD61">
            <v>24649</v>
          </cell>
          <cell r="BE61">
            <v>22410</v>
          </cell>
          <cell r="BF61">
            <v>39400</v>
          </cell>
          <cell r="BG61">
            <v>6700</v>
          </cell>
          <cell r="BH61">
            <v>1500</v>
          </cell>
          <cell r="BI61">
            <v>25240</v>
          </cell>
          <cell r="BJ61">
            <v>0</v>
          </cell>
          <cell r="BK61">
            <v>7200</v>
          </cell>
          <cell r="BL61">
            <v>11100</v>
          </cell>
          <cell r="BM61">
            <v>45160</v>
          </cell>
          <cell r="BN61">
            <v>11660</v>
          </cell>
          <cell r="BO61">
            <v>28820</v>
          </cell>
          <cell r="BP61">
            <v>3900</v>
          </cell>
          <cell r="BQ61">
            <v>8260</v>
          </cell>
          <cell r="BR61">
            <v>7720</v>
          </cell>
          <cell r="BT61">
            <v>4640</v>
          </cell>
          <cell r="BU61">
            <v>24200</v>
          </cell>
          <cell r="BV61">
            <v>1400</v>
          </cell>
          <cell r="BW61">
            <v>31000</v>
          </cell>
          <cell r="BX61">
            <v>41200</v>
          </cell>
          <cell r="BY61">
            <v>15600</v>
          </cell>
          <cell r="BZ61">
            <v>14000</v>
          </cell>
          <cell r="CA61">
            <v>14550</v>
          </cell>
          <cell r="CB61">
            <v>45250</v>
          </cell>
          <cell r="CC61">
            <v>22700</v>
          </cell>
          <cell r="CD61">
            <v>13800</v>
          </cell>
          <cell r="CE61">
            <v>900</v>
          </cell>
          <cell r="CF61">
            <v>10800</v>
          </cell>
          <cell r="CG61">
            <v>22700</v>
          </cell>
          <cell r="CH61">
            <v>10100</v>
          </cell>
          <cell r="CI61">
            <v>11950</v>
          </cell>
          <cell r="CJ61">
            <v>11000</v>
          </cell>
          <cell r="CK61">
            <v>14500</v>
          </cell>
          <cell r="CL61">
            <v>32000</v>
          </cell>
          <cell r="CM61">
            <v>44200</v>
          </cell>
          <cell r="CN61">
            <v>25650</v>
          </cell>
          <cell r="CO61">
            <v>15400</v>
          </cell>
          <cell r="CP61">
            <v>18000</v>
          </cell>
          <cell r="CQ61">
            <v>41750</v>
          </cell>
          <cell r="CR61">
            <v>5450</v>
          </cell>
          <cell r="CS61">
            <v>6900</v>
          </cell>
          <cell r="CT61">
            <v>9000</v>
          </cell>
          <cell r="CU61">
            <v>25500</v>
          </cell>
          <cell r="DJ61">
            <v>400</v>
          </cell>
          <cell r="DL61">
            <v>10000</v>
          </cell>
          <cell r="DM61">
            <v>1000</v>
          </cell>
          <cell r="DO61">
            <v>2000</v>
          </cell>
          <cell r="DP61">
            <v>15000</v>
          </cell>
          <cell r="DQ61">
            <v>950</v>
          </cell>
          <cell r="DR61">
            <v>10650</v>
          </cell>
          <cell r="DS61">
            <v>4500</v>
          </cell>
          <cell r="DT61">
            <v>20450</v>
          </cell>
          <cell r="DU61">
            <v>24000</v>
          </cell>
          <cell r="DV61">
            <v>39150</v>
          </cell>
          <cell r="DW61">
            <v>4000</v>
          </cell>
          <cell r="DX61">
            <v>65600</v>
          </cell>
          <cell r="DY61">
            <v>18750</v>
          </cell>
          <cell r="DZ61">
            <v>62000</v>
          </cell>
          <cell r="EA61">
            <v>1000</v>
          </cell>
          <cell r="EB61">
            <v>13150</v>
          </cell>
          <cell r="EC61">
            <v>7800</v>
          </cell>
          <cell r="ED61">
            <v>9350</v>
          </cell>
          <cell r="EE61" t="str">
            <v>ACTIVO</v>
          </cell>
          <cell r="EF61" t="str">
            <v>B</v>
          </cell>
          <cell r="EG61">
            <v>12000</v>
          </cell>
          <cell r="EH61">
            <v>18563.333333333332</v>
          </cell>
          <cell r="EI61">
            <v>3093.8888888888887</v>
          </cell>
          <cell r="EJ61">
            <v>13150.512995232801</v>
          </cell>
          <cell r="EK61">
            <v>14800</v>
          </cell>
          <cell r="EL61">
            <v>577200</v>
          </cell>
          <cell r="EM61">
            <v>0.79727060513557202</v>
          </cell>
          <cell r="EN61">
            <v>46408.333333333328</v>
          </cell>
          <cell r="EO61">
            <v>6187.7777777777774</v>
          </cell>
          <cell r="EP61">
            <v>52596.111111111109</v>
          </cell>
        </row>
        <row r="62">
          <cell r="F62">
            <v>107318</v>
          </cell>
          <cell r="G62" t="str">
            <v>DISCO CARTÓN CAFE CORRUGADO 19 CM ASTRA</v>
          </cell>
          <cell r="H62">
            <v>3700</v>
          </cell>
          <cell r="J62">
            <v>8100</v>
          </cell>
          <cell r="Q62">
            <v>1500</v>
          </cell>
          <cell r="R62">
            <v>1700</v>
          </cell>
          <cell r="U62">
            <v>6050</v>
          </cell>
          <cell r="V62">
            <v>22700</v>
          </cell>
          <cell r="W62">
            <v>21000</v>
          </cell>
          <cell r="X62">
            <v>17550</v>
          </cell>
          <cell r="AA62">
            <v>12000</v>
          </cell>
          <cell r="AB62">
            <v>3000</v>
          </cell>
          <cell r="AC62">
            <v>38250</v>
          </cell>
          <cell r="AD62">
            <v>19200</v>
          </cell>
          <cell r="AE62">
            <v>13150</v>
          </cell>
          <cell r="AF62">
            <v>18450</v>
          </cell>
          <cell r="AG62">
            <v>28150</v>
          </cell>
          <cell r="AH62">
            <v>27900</v>
          </cell>
          <cell r="AI62">
            <v>17250</v>
          </cell>
          <cell r="AJ62">
            <v>24716</v>
          </cell>
          <cell r="AK62">
            <v>23600</v>
          </cell>
          <cell r="AL62">
            <v>10700</v>
          </cell>
          <cell r="AM62">
            <v>24000</v>
          </cell>
          <cell r="AN62">
            <v>12000</v>
          </cell>
          <cell r="AO62">
            <v>12750</v>
          </cell>
          <cell r="AP62">
            <v>24200</v>
          </cell>
          <cell r="AQ62">
            <v>28900</v>
          </cell>
          <cell r="AR62">
            <v>37600</v>
          </cell>
          <cell r="AS62">
            <v>13500</v>
          </cell>
          <cell r="AT62">
            <v>29670</v>
          </cell>
          <cell r="AU62">
            <v>19440</v>
          </cell>
          <cell r="AV62">
            <v>44080</v>
          </cell>
          <cell r="AW62">
            <v>12000</v>
          </cell>
          <cell r="AX62">
            <v>23920</v>
          </cell>
          <cell r="AY62">
            <v>36000</v>
          </cell>
          <cell r="AZ62">
            <v>22290</v>
          </cell>
          <cell r="BA62">
            <v>23890</v>
          </cell>
          <cell r="BB62">
            <v>61970</v>
          </cell>
          <cell r="BC62">
            <v>32540</v>
          </cell>
          <cell r="BD62">
            <v>11301</v>
          </cell>
          <cell r="BE62">
            <v>800</v>
          </cell>
          <cell r="BF62">
            <v>24000</v>
          </cell>
          <cell r="BG62">
            <v>17290</v>
          </cell>
          <cell r="BH62">
            <v>1800</v>
          </cell>
          <cell r="BI62">
            <v>25860</v>
          </cell>
          <cell r="BJ62">
            <v>20250</v>
          </cell>
          <cell r="BK62">
            <v>25900</v>
          </cell>
          <cell r="BL62">
            <v>3050</v>
          </cell>
          <cell r="BN62">
            <v>17315</v>
          </cell>
          <cell r="BP62">
            <v>25700</v>
          </cell>
          <cell r="BQ62">
            <v>11500</v>
          </cell>
          <cell r="BR62">
            <v>500</v>
          </cell>
          <cell r="BS62">
            <v>18000</v>
          </cell>
          <cell r="BT62">
            <v>12024</v>
          </cell>
          <cell r="BU62">
            <v>19800</v>
          </cell>
          <cell r="BV62">
            <v>25200</v>
          </cell>
          <cell r="BX62">
            <v>14100</v>
          </cell>
          <cell r="BY62">
            <v>9450</v>
          </cell>
          <cell r="CC62">
            <v>13300</v>
          </cell>
          <cell r="CD62">
            <v>17000</v>
          </cell>
          <cell r="CE62">
            <v>8480</v>
          </cell>
          <cell r="CG62">
            <v>45000</v>
          </cell>
          <cell r="CH62">
            <v>1800</v>
          </cell>
          <cell r="CI62">
            <v>15000</v>
          </cell>
          <cell r="CJ62">
            <v>1800</v>
          </cell>
          <cell r="CK62">
            <v>18900</v>
          </cell>
          <cell r="EE62" t="str">
            <v>SIN USO</v>
          </cell>
          <cell r="EF62" t="str">
            <v>C</v>
          </cell>
          <cell r="EG62">
            <v>12000</v>
          </cell>
          <cell r="EH62">
            <v>0</v>
          </cell>
          <cell r="EI62">
            <v>0</v>
          </cell>
          <cell r="EJ62">
            <v>10469.380961234645</v>
          </cell>
          <cell r="EK62">
            <v>0</v>
          </cell>
          <cell r="EL62">
            <v>0</v>
          </cell>
          <cell r="EM62">
            <v>0</v>
          </cell>
          <cell r="EN62">
            <v>0</v>
          </cell>
          <cell r="EO62">
            <v>0</v>
          </cell>
          <cell r="EP62">
            <v>0</v>
          </cell>
        </row>
        <row r="63">
          <cell r="F63">
            <v>405502</v>
          </cell>
          <cell r="G63" t="str">
            <v>DISCO MICROCORRUGADO 19CM ASTRA</v>
          </cell>
          <cell r="BT63">
            <v>500</v>
          </cell>
          <cell r="EE63" t="str">
            <v>SIN USO</v>
          </cell>
          <cell r="EF63" t="str">
            <v>C</v>
          </cell>
          <cell r="EG63" t="str">
            <v/>
          </cell>
          <cell r="EH63">
            <v>0</v>
          </cell>
          <cell r="EI63">
            <v>0</v>
          </cell>
          <cell r="EJ63">
            <v>0</v>
          </cell>
          <cell r="EK63">
            <v>0</v>
          </cell>
          <cell r="EL63">
            <v>0</v>
          </cell>
          <cell r="EM63">
            <v>0</v>
          </cell>
          <cell r="EN63">
            <v>0</v>
          </cell>
          <cell r="EO63">
            <v>0</v>
          </cell>
          <cell r="EP63">
            <v>0</v>
          </cell>
        </row>
        <row r="64">
          <cell r="F64">
            <v>107357</v>
          </cell>
          <cell r="G64" t="str">
            <v>DISCO CARTÓN BLANCO 19 FPS</v>
          </cell>
          <cell r="AF64">
            <v>25000</v>
          </cell>
          <cell r="AG64">
            <v>70500</v>
          </cell>
          <cell r="AP64">
            <v>10000</v>
          </cell>
          <cell r="AV64">
            <v>10000</v>
          </cell>
          <cell r="BC64">
            <v>10000</v>
          </cell>
          <cell r="BI64">
            <v>10000</v>
          </cell>
          <cell r="BO64">
            <v>10000</v>
          </cell>
          <cell r="BT64">
            <v>10000</v>
          </cell>
          <cell r="CB64">
            <v>10000</v>
          </cell>
          <cell r="CG64">
            <v>6500</v>
          </cell>
          <cell r="CM64">
            <v>5000</v>
          </cell>
          <cell r="EE64" t="str">
            <v>SIN USO</v>
          </cell>
          <cell r="EF64" t="str">
            <v>C</v>
          </cell>
          <cell r="EG64" t="str">
            <v/>
          </cell>
          <cell r="EH64">
            <v>0</v>
          </cell>
          <cell r="EI64">
            <v>0</v>
          </cell>
          <cell r="EJ64">
            <v>2245.3655975512456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</row>
        <row r="65">
          <cell r="F65">
            <v>403271</v>
          </cell>
          <cell r="G65" t="str">
            <v>DISCO CARTÓN CORRUGADO 15,5 CM EHLAN</v>
          </cell>
          <cell r="K65">
            <v>21716</v>
          </cell>
          <cell r="P65">
            <v>12100</v>
          </cell>
          <cell r="W65">
            <v>21000</v>
          </cell>
          <cell r="Z65">
            <v>21500</v>
          </cell>
          <cell r="AD65">
            <v>750</v>
          </cell>
          <cell r="AH65">
            <v>47850</v>
          </cell>
          <cell r="AT65">
            <v>13200</v>
          </cell>
          <cell r="AU65">
            <v>5060</v>
          </cell>
          <cell r="AV65">
            <v>200</v>
          </cell>
          <cell r="AW65">
            <v>6840</v>
          </cell>
          <cell r="AY65">
            <v>2640</v>
          </cell>
          <cell r="AZ65">
            <v>6210</v>
          </cell>
          <cell r="BA65">
            <v>8250</v>
          </cell>
          <cell r="BB65">
            <v>6560</v>
          </cell>
          <cell r="BC65">
            <v>60150</v>
          </cell>
          <cell r="BD65">
            <v>9250</v>
          </cell>
          <cell r="BE65">
            <v>8800</v>
          </cell>
          <cell r="BF65">
            <v>1900</v>
          </cell>
          <cell r="BG65">
            <v>7400</v>
          </cell>
          <cell r="BH65">
            <v>3620</v>
          </cell>
          <cell r="BI65">
            <v>1600</v>
          </cell>
          <cell r="BJ65">
            <v>7500</v>
          </cell>
          <cell r="BK65">
            <v>14870</v>
          </cell>
          <cell r="BL65">
            <v>5200</v>
          </cell>
          <cell r="BM65">
            <v>7000</v>
          </cell>
          <cell r="BN65">
            <v>4700</v>
          </cell>
          <cell r="BO65">
            <v>6720</v>
          </cell>
          <cell r="BP65">
            <v>600</v>
          </cell>
          <cell r="BQ65">
            <v>1750</v>
          </cell>
          <cell r="BR65">
            <v>11100</v>
          </cell>
          <cell r="BS65">
            <v>15150</v>
          </cell>
          <cell r="BT65">
            <v>15200</v>
          </cell>
          <cell r="BU65">
            <v>4650</v>
          </cell>
          <cell r="BV65">
            <v>6600</v>
          </cell>
          <cell r="BW65">
            <v>3450</v>
          </cell>
          <cell r="BX65">
            <v>23250</v>
          </cell>
          <cell r="BY65">
            <v>4100</v>
          </cell>
          <cell r="BZ65">
            <v>1600</v>
          </cell>
          <cell r="CA65">
            <v>7200</v>
          </cell>
          <cell r="CB65">
            <v>7200</v>
          </cell>
          <cell r="CC65">
            <v>36800</v>
          </cell>
          <cell r="CD65">
            <v>8100</v>
          </cell>
          <cell r="CE65">
            <v>10050</v>
          </cell>
          <cell r="CF65">
            <v>18250</v>
          </cell>
          <cell r="CG65">
            <v>5750</v>
          </cell>
          <cell r="CH65">
            <v>4200</v>
          </cell>
          <cell r="CI65">
            <v>6800</v>
          </cell>
          <cell r="CJ65">
            <v>5510</v>
          </cell>
          <cell r="CK65">
            <v>4400</v>
          </cell>
          <cell r="CL65">
            <v>1700</v>
          </cell>
          <cell r="CM65">
            <v>12600</v>
          </cell>
          <cell r="CN65">
            <v>16000</v>
          </cell>
          <cell r="CO65">
            <v>6650</v>
          </cell>
          <cell r="CP65">
            <v>20500</v>
          </cell>
          <cell r="CQ65">
            <v>5200</v>
          </cell>
          <cell r="CR65">
            <v>7750</v>
          </cell>
          <cell r="CS65">
            <v>4600</v>
          </cell>
          <cell r="CT65">
            <v>10000</v>
          </cell>
          <cell r="CU65">
            <v>7900</v>
          </cell>
          <cell r="CV65">
            <v>2000</v>
          </cell>
          <cell r="CW65">
            <v>4300</v>
          </cell>
          <cell r="CX65">
            <v>11200</v>
          </cell>
          <cell r="CY65">
            <v>5100</v>
          </cell>
          <cell r="CZ65">
            <v>4300</v>
          </cell>
          <cell r="DA65">
            <v>4100</v>
          </cell>
          <cell r="DC65">
            <v>2000</v>
          </cell>
          <cell r="DD65">
            <v>4000</v>
          </cell>
          <cell r="DF65">
            <v>4000</v>
          </cell>
          <cell r="DG65">
            <v>8000</v>
          </cell>
          <cell r="DJ65">
            <v>4000</v>
          </cell>
          <cell r="DL65">
            <v>2300</v>
          </cell>
          <cell r="DM65">
            <v>1800</v>
          </cell>
          <cell r="DN65">
            <v>2000</v>
          </cell>
          <cell r="DP65">
            <v>24750</v>
          </cell>
          <cell r="DR65">
            <v>25780</v>
          </cell>
          <cell r="DS65">
            <v>4300</v>
          </cell>
          <cell r="DT65">
            <v>9803</v>
          </cell>
          <cell r="DW65">
            <v>27600</v>
          </cell>
          <cell r="DX65">
            <v>2550</v>
          </cell>
          <cell r="DZ65">
            <v>8000</v>
          </cell>
          <cell r="EB65">
            <v>200</v>
          </cell>
          <cell r="ED65">
            <v>91</v>
          </cell>
          <cell r="EE65" t="str">
            <v>ACTIVO</v>
          </cell>
          <cell r="EF65" t="str">
            <v>C</v>
          </cell>
          <cell r="EG65">
            <v>16800</v>
          </cell>
          <cell r="EH65">
            <v>10262.09090909091</v>
          </cell>
          <cell r="EI65">
            <v>1710.348484848485</v>
          </cell>
          <cell r="EJ65">
            <v>6560.8115351684964</v>
          </cell>
          <cell r="EK65">
            <v>4509</v>
          </cell>
          <cell r="EL65">
            <v>166833</v>
          </cell>
          <cell r="EM65">
            <v>0.43938414110184876</v>
          </cell>
          <cell r="EN65">
            <v>25655.227272727276</v>
          </cell>
          <cell r="EO65">
            <v>3420.69696969697</v>
          </cell>
          <cell r="EP65">
            <v>29075.924242424247</v>
          </cell>
        </row>
        <row r="66">
          <cell r="F66">
            <v>403278</v>
          </cell>
          <cell r="G66" t="str">
            <v>DISCO CARTON CAFE CORRUGADO 15,5CM CM ASTRA</v>
          </cell>
          <cell r="AM66">
            <v>28336</v>
          </cell>
          <cell r="AR66">
            <v>6530</v>
          </cell>
          <cell r="AS66">
            <v>450</v>
          </cell>
          <cell r="AT66">
            <v>6540</v>
          </cell>
          <cell r="AU66">
            <v>17014</v>
          </cell>
          <cell r="AV66">
            <v>16800</v>
          </cell>
          <cell r="AW66">
            <v>6830</v>
          </cell>
          <cell r="AX66">
            <v>13150</v>
          </cell>
          <cell r="AY66">
            <v>10600</v>
          </cell>
          <cell r="AZ66">
            <v>25700</v>
          </cell>
          <cell r="BA66">
            <v>6000</v>
          </cell>
          <cell r="BB66">
            <v>6760</v>
          </cell>
          <cell r="BC66">
            <v>19400</v>
          </cell>
          <cell r="BD66">
            <v>18900</v>
          </cell>
          <cell r="BE66">
            <v>15650</v>
          </cell>
          <cell r="BF66">
            <v>18900</v>
          </cell>
          <cell r="BK66">
            <v>18900</v>
          </cell>
          <cell r="BL66">
            <v>3600</v>
          </cell>
          <cell r="BO66">
            <v>800</v>
          </cell>
          <cell r="BP66">
            <v>2000</v>
          </cell>
          <cell r="BY66">
            <v>1600</v>
          </cell>
          <cell r="BZ66">
            <v>1600</v>
          </cell>
          <cell r="CA66">
            <v>4000</v>
          </cell>
          <cell r="CC66">
            <v>4000</v>
          </cell>
          <cell r="CD66">
            <v>1200</v>
          </cell>
          <cell r="CE66">
            <v>1800</v>
          </cell>
          <cell r="CF66">
            <v>2100</v>
          </cell>
          <cell r="CG66">
            <v>1700</v>
          </cell>
          <cell r="CH66">
            <v>1800</v>
          </cell>
          <cell r="CI66">
            <v>24500</v>
          </cell>
          <cell r="CK66">
            <v>1600</v>
          </cell>
          <cell r="CL66">
            <v>19000</v>
          </cell>
          <cell r="CM66">
            <v>30500</v>
          </cell>
          <cell r="CN66">
            <v>22000</v>
          </cell>
          <cell r="CO66">
            <v>13150</v>
          </cell>
          <cell r="CS66">
            <v>18900</v>
          </cell>
          <cell r="CV66">
            <v>9837</v>
          </cell>
          <cell r="CW66">
            <v>22050</v>
          </cell>
          <cell r="CX66">
            <v>23550</v>
          </cell>
          <cell r="DA66">
            <v>100</v>
          </cell>
          <cell r="DC66">
            <v>350</v>
          </cell>
          <cell r="DD66">
            <v>24000</v>
          </cell>
          <cell r="DG66">
            <v>7200</v>
          </cell>
          <cell r="DJ66">
            <v>2000</v>
          </cell>
          <cell r="DL66">
            <v>150</v>
          </cell>
          <cell r="DO66">
            <v>400</v>
          </cell>
          <cell r="DR66">
            <v>24000</v>
          </cell>
          <cell r="DV66">
            <v>4400</v>
          </cell>
          <cell r="DW66">
            <v>300</v>
          </cell>
          <cell r="EE66" t="str">
            <v>ACTIVO</v>
          </cell>
          <cell r="EF66" t="str">
            <v>C</v>
          </cell>
          <cell r="EG66">
            <v>16800</v>
          </cell>
          <cell r="EH66">
            <v>5208.333333333333</v>
          </cell>
          <cell r="EI66">
            <v>868.05555555555554</v>
          </cell>
          <cell r="EJ66">
            <v>9926.0314751744481</v>
          </cell>
          <cell r="EK66">
            <v>33600</v>
          </cell>
          <cell r="EL66">
            <v>907200</v>
          </cell>
          <cell r="EM66">
            <v>6.4512</v>
          </cell>
          <cell r="EN66">
            <v>13020.833333333334</v>
          </cell>
          <cell r="EO66">
            <v>1736.1111111111111</v>
          </cell>
          <cell r="EP66">
            <v>14756.944444444445</v>
          </cell>
        </row>
        <row r="67">
          <cell r="F67">
            <v>405582</v>
          </cell>
          <cell r="G67" t="str">
            <v>DISCO MICROCORRUGADO EMPLACADO 15,5 CM DIÁMETRO ASTRA</v>
          </cell>
          <cell r="DF67">
            <v>22400</v>
          </cell>
          <cell r="DH67">
            <v>22400</v>
          </cell>
          <cell r="DJ67">
            <v>600</v>
          </cell>
          <cell r="DL67">
            <v>4000</v>
          </cell>
          <cell r="DM67">
            <v>2900</v>
          </cell>
          <cell r="DN67">
            <v>2000</v>
          </cell>
          <cell r="DO67">
            <v>8000</v>
          </cell>
          <cell r="DP67">
            <v>8400</v>
          </cell>
          <cell r="DQ67">
            <v>6000</v>
          </cell>
          <cell r="DR67">
            <v>1000</v>
          </cell>
          <cell r="DS67">
            <v>6000</v>
          </cell>
          <cell r="DT67">
            <v>4200</v>
          </cell>
          <cell r="DU67">
            <v>6400</v>
          </cell>
          <cell r="DW67">
            <v>4000</v>
          </cell>
          <cell r="EB67">
            <v>3600</v>
          </cell>
          <cell r="ED67">
            <v>4000</v>
          </cell>
          <cell r="EE67" t="str">
            <v>ACTIVO</v>
          </cell>
          <cell r="EF67" t="str">
            <v>C</v>
          </cell>
          <cell r="EG67" t="str">
            <v/>
          </cell>
          <cell r="EH67">
            <v>4458.333333333333</v>
          </cell>
          <cell r="EI67">
            <v>743.05555555555554</v>
          </cell>
          <cell r="EJ67">
            <v>0</v>
          </cell>
          <cell r="EK67">
            <v>48500</v>
          </cell>
          <cell r="EL67">
            <v>2376500</v>
          </cell>
          <cell r="EM67">
            <v>10.878504672897197</v>
          </cell>
          <cell r="EN67">
            <v>11145.833333333334</v>
          </cell>
          <cell r="EO67">
            <v>1486.1111111111111</v>
          </cell>
          <cell r="EP67">
            <v>12631.944444444445</v>
          </cell>
        </row>
        <row r="68">
          <cell r="F68">
            <v>393320</v>
          </cell>
          <cell r="G68" t="str">
            <v>HOJA SEPARADORA TORTA DIAMETRO 230 MMS.</v>
          </cell>
          <cell r="H68">
            <v>6000</v>
          </cell>
          <cell r="I68">
            <v>9000</v>
          </cell>
          <cell r="J68">
            <v>15000</v>
          </cell>
          <cell r="K68">
            <v>9000</v>
          </cell>
          <cell r="L68">
            <v>15000</v>
          </cell>
          <cell r="M68">
            <v>18000</v>
          </cell>
          <cell r="N68">
            <v>9000</v>
          </cell>
          <cell r="O68">
            <v>6000</v>
          </cell>
          <cell r="P68">
            <v>13500</v>
          </cell>
          <cell r="Q68">
            <v>4200</v>
          </cell>
          <cell r="R68">
            <v>22000</v>
          </cell>
          <cell r="S68">
            <v>3000</v>
          </cell>
          <cell r="T68">
            <v>12000</v>
          </cell>
          <cell r="U68">
            <v>10100</v>
          </cell>
          <cell r="W68">
            <v>12000</v>
          </cell>
          <cell r="X68">
            <v>12000</v>
          </cell>
          <cell r="Y68">
            <v>18000</v>
          </cell>
          <cell r="Z68">
            <v>15200</v>
          </cell>
          <cell r="AA68">
            <v>9900</v>
          </cell>
          <cell r="AB68">
            <v>17750</v>
          </cell>
          <cell r="AF68">
            <v>3000</v>
          </cell>
          <cell r="AG68">
            <v>12000</v>
          </cell>
          <cell r="AI68">
            <v>3000</v>
          </cell>
          <cell r="AJ68">
            <v>9000</v>
          </cell>
          <cell r="AL68">
            <v>18000</v>
          </cell>
          <cell r="AM68">
            <v>15000</v>
          </cell>
          <cell r="AN68">
            <v>15000</v>
          </cell>
          <cell r="AO68">
            <v>6000</v>
          </cell>
          <cell r="AP68">
            <v>6600</v>
          </cell>
          <cell r="AQ68">
            <v>18000</v>
          </cell>
          <cell r="AR68">
            <v>18000</v>
          </cell>
          <cell r="AS68">
            <v>12000</v>
          </cell>
          <cell r="AT68">
            <v>7200</v>
          </cell>
          <cell r="AU68">
            <v>9000</v>
          </cell>
          <cell r="AV68">
            <v>24000</v>
          </cell>
          <cell r="AW68">
            <v>18900</v>
          </cell>
          <cell r="AX68">
            <v>15600</v>
          </cell>
          <cell r="AY68">
            <v>3850</v>
          </cell>
          <cell r="BC68">
            <v>9000</v>
          </cell>
          <cell r="BD68">
            <v>12000</v>
          </cell>
          <cell r="BE68">
            <v>15000</v>
          </cell>
          <cell r="BF68">
            <v>12600</v>
          </cell>
          <cell r="BG68">
            <v>17400</v>
          </cell>
          <cell r="BJ68">
            <v>7200</v>
          </cell>
          <cell r="BK68">
            <v>1800</v>
          </cell>
          <cell r="BL68">
            <v>9000</v>
          </cell>
          <cell r="BM68">
            <v>21000</v>
          </cell>
          <cell r="BN68">
            <v>18000</v>
          </cell>
          <cell r="BO68">
            <v>15000</v>
          </cell>
          <cell r="BP68">
            <v>9000</v>
          </cell>
          <cell r="BQ68">
            <v>21000</v>
          </cell>
          <cell r="BR68">
            <v>6000</v>
          </cell>
          <cell r="BT68">
            <v>15000</v>
          </cell>
          <cell r="BU68">
            <v>21000</v>
          </cell>
          <cell r="BV68">
            <v>30750</v>
          </cell>
          <cell r="BW68">
            <v>21000</v>
          </cell>
          <cell r="BX68">
            <v>10750</v>
          </cell>
          <cell r="BY68">
            <v>12000</v>
          </cell>
          <cell r="CA68">
            <v>15300</v>
          </cell>
          <cell r="CB68">
            <v>9900</v>
          </cell>
          <cell r="CC68">
            <v>22000</v>
          </cell>
          <cell r="CD68">
            <v>23000</v>
          </cell>
          <cell r="CE68">
            <v>3800</v>
          </cell>
          <cell r="CF68">
            <v>3400</v>
          </cell>
          <cell r="CH68">
            <v>15000</v>
          </cell>
          <cell r="CI68">
            <v>6000</v>
          </cell>
          <cell r="CJ68">
            <v>12000</v>
          </cell>
          <cell r="CK68">
            <v>24000</v>
          </cell>
          <cell r="CL68">
            <v>12000</v>
          </cell>
          <cell r="CM68">
            <v>6000</v>
          </cell>
          <cell r="CN68">
            <v>22920</v>
          </cell>
          <cell r="CO68">
            <v>18000</v>
          </cell>
          <cell r="CP68">
            <v>12000</v>
          </cell>
          <cell r="CQ68">
            <v>21000</v>
          </cell>
          <cell r="CR68">
            <v>21300</v>
          </cell>
          <cell r="CS68">
            <v>2700</v>
          </cell>
          <cell r="CU68">
            <v>8100</v>
          </cell>
          <cell r="CV68">
            <v>15900</v>
          </cell>
          <cell r="CW68">
            <v>4800</v>
          </cell>
          <cell r="CX68">
            <v>11400</v>
          </cell>
          <cell r="CY68">
            <v>8400</v>
          </cell>
          <cell r="CZ68">
            <v>18000</v>
          </cell>
          <cell r="DA68">
            <v>6000</v>
          </cell>
          <cell r="DC68">
            <v>21450</v>
          </cell>
          <cell r="DD68">
            <v>12600</v>
          </cell>
          <cell r="DE68">
            <v>7950</v>
          </cell>
          <cell r="DF68">
            <v>16800</v>
          </cell>
          <cell r="DG68">
            <v>21000</v>
          </cell>
          <cell r="DH68">
            <v>7800</v>
          </cell>
          <cell r="DJ68">
            <v>10800</v>
          </cell>
          <cell r="DK68">
            <v>17400</v>
          </cell>
          <cell r="DL68">
            <v>22800</v>
          </cell>
          <cell r="DM68">
            <v>13394</v>
          </cell>
          <cell r="DN68">
            <v>5400</v>
          </cell>
          <cell r="DO68">
            <v>11400</v>
          </cell>
          <cell r="DP68">
            <v>19200</v>
          </cell>
          <cell r="DQ68">
            <v>12000</v>
          </cell>
          <cell r="DR68">
            <v>8400</v>
          </cell>
          <cell r="DS68">
            <v>7800</v>
          </cell>
          <cell r="DT68">
            <v>12600</v>
          </cell>
          <cell r="DU68">
            <v>24000</v>
          </cell>
          <cell r="DV68">
            <v>22200</v>
          </cell>
          <cell r="DW68">
            <v>8400</v>
          </cell>
          <cell r="DX68">
            <v>10200</v>
          </cell>
          <cell r="DY68">
            <v>17200</v>
          </cell>
          <cell r="DZ68">
            <v>29000</v>
          </cell>
          <cell r="EB68">
            <v>29400</v>
          </cell>
          <cell r="EC68">
            <v>4000</v>
          </cell>
          <cell r="ED68">
            <v>12516</v>
          </cell>
          <cell r="EE68" t="str">
            <v>ACTIVO</v>
          </cell>
          <cell r="EF68" t="str">
            <v>A</v>
          </cell>
          <cell r="EG68" t="str">
            <v/>
          </cell>
          <cell r="EH68">
            <v>14834.941176470587</v>
          </cell>
          <cell r="EI68">
            <v>2472.4901960784314</v>
          </cell>
          <cell r="EJ68">
            <v>6976.6246700994025</v>
          </cell>
          <cell r="EK68">
            <v>11484</v>
          </cell>
          <cell r="EL68">
            <v>1734084</v>
          </cell>
          <cell r="EM68">
            <v>0.77411833747036018</v>
          </cell>
          <cell r="EN68">
            <v>37087.352941176468</v>
          </cell>
          <cell r="EO68">
            <v>4944.9803921568628</v>
          </cell>
          <cell r="EP68">
            <v>42032.333333333328</v>
          </cell>
        </row>
        <row r="69">
          <cell r="F69">
            <v>402257</v>
          </cell>
          <cell r="G69" t="str">
            <v>HOJA SEPARADORA TORTA DIAMETRO 230 MMS ASTRA</v>
          </cell>
          <cell r="H69">
            <v>7800</v>
          </cell>
          <cell r="J69">
            <v>3000</v>
          </cell>
          <cell r="K69">
            <v>500</v>
          </cell>
          <cell r="L69">
            <v>850</v>
          </cell>
          <cell r="N69">
            <v>8900</v>
          </cell>
          <cell r="Q69">
            <v>5400</v>
          </cell>
          <cell r="V69">
            <v>15600</v>
          </cell>
          <cell r="W69">
            <v>5700</v>
          </cell>
          <cell r="X69">
            <v>3000</v>
          </cell>
          <cell r="Y69">
            <v>5097</v>
          </cell>
          <cell r="AA69">
            <v>3300</v>
          </cell>
          <cell r="AB69">
            <v>1750</v>
          </cell>
          <cell r="AC69">
            <v>16500</v>
          </cell>
          <cell r="AD69">
            <v>28200</v>
          </cell>
          <cell r="AE69">
            <v>6300</v>
          </cell>
          <cell r="AF69">
            <v>6000</v>
          </cell>
          <cell r="AG69">
            <v>3600</v>
          </cell>
          <cell r="AH69">
            <v>18000</v>
          </cell>
          <cell r="AI69">
            <v>3600</v>
          </cell>
          <cell r="AJ69">
            <v>3600</v>
          </cell>
          <cell r="AK69">
            <v>7200</v>
          </cell>
          <cell r="AL69">
            <v>7200</v>
          </cell>
          <cell r="AO69">
            <v>7200</v>
          </cell>
          <cell r="AP69">
            <v>3600</v>
          </cell>
          <cell r="AR69">
            <v>6000</v>
          </cell>
          <cell r="AT69">
            <v>3000</v>
          </cell>
          <cell r="AV69">
            <v>0</v>
          </cell>
          <cell r="AX69">
            <v>9000</v>
          </cell>
          <cell r="AY69">
            <v>29400</v>
          </cell>
          <cell r="AZ69">
            <v>7400</v>
          </cell>
          <cell r="BB69">
            <v>18700</v>
          </cell>
          <cell r="BC69">
            <v>10201</v>
          </cell>
          <cell r="BG69">
            <v>7200</v>
          </cell>
          <cell r="BI69">
            <v>22950</v>
          </cell>
          <cell r="BJ69">
            <v>19200</v>
          </cell>
          <cell r="BK69">
            <v>13981</v>
          </cell>
          <cell r="BL69">
            <v>7200</v>
          </cell>
          <cell r="BR69">
            <v>6600</v>
          </cell>
          <cell r="BS69">
            <v>15700</v>
          </cell>
          <cell r="BT69">
            <v>7100</v>
          </cell>
          <cell r="BW69">
            <v>11000</v>
          </cell>
          <cell r="BX69">
            <v>14000</v>
          </cell>
          <cell r="BY69">
            <v>21900</v>
          </cell>
          <cell r="BZ69">
            <v>16500</v>
          </cell>
          <cell r="CA69">
            <v>10500</v>
          </cell>
          <cell r="CB69">
            <v>11750</v>
          </cell>
          <cell r="CD69">
            <v>21900</v>
          </cell>
          <cell r="CE69">
            <v>17100</v>
          </cell>
          <cell r="CF69">
            <v>16500</v>
          </cell>
          <cell r="CG69">
            <v>21000</v>
          </cell>
          <cell r="CH69">
            <v>3000</v>
          </cell>
          <cell r="CI69">
            <v>11542</v>
          </cell>
          <cell r="CJ69">
            <v>9600</v>
          </cell>
          <cell r="CL69">
            <v>15900</v>
          </cell>
          <cell r="CM69">
            <v>19800</v>
          </cell>
          <cell r="CN69">
            <v>3300</v>
          </cell>
          <cell r="CP69">
            <v>3300</v>
          </cell>
          <cell r="CQ69">
            <v>3900</v>
          </cell>
          <cell r="CR69">
            <v>6600</v>
          </cell>
          <cell r="CS69">
            <v>5700</v>
          </cell>
          <cell r="CT69">
            <v>25500</v>
          </cell>
          <cell r="CU69">
            <v>14300</v>
          </cell>
          <cell r="CV69">
            <v>15475</v>
          </cell>
          <cell r="CW69">
            <v>23100</v>
          </cell>
          <cell r="CX69">
            <v>7900</v>
          </cell>
          <cell r="CY69">
            <v>4800</v>
          </cell>
          <cell r="CZ69">
            <v>9600</v>
          </cell>
          <cell r="DA69">
            <v>15600</v>
          </cell>
          <cell r="DB69">
            <v>21000</v>
          </cell>
          <cell r="DC69">
            <v>9150</v>
          </cell>
          <cell r="DD69">
            <v>8400</v>
          </cell>
          <cell r="DE69">
            <v>6000</v>
          </cell>
          <cell r="DF69">
            <v>4800</v>
          </cell>
          <cell r="DH69">
            <v>4800</v>
          </cell>
          <cell r="DJ69">
            <v>12000</v>
          </cell>
          <cell r="DK69">
            <v>6794</v>
          </cell>
          <cell r="DL69">
            <v>2400</v>
          </cell>
          <cell r="DM69">
            <v>16606</v>
          </cell>
          <cell r="DN69">
            <v>3000</v>
          </cell>
          <cell r="DR69">
            <v>9000</v>
          </cell>
          <cell r="DS69">
            <v>14400</v>
          </cell>
          <cell r="DT69">
            <v>3000</v>
          </cell>
          <cell r="DU69">
            <v>10800</v>
          </cell>
          <cell r="DX69">
            <v>31800</v>
          </cell>
          <cell r="DY69">
            <v>22600</v>
          </cell>
          <cell r="EA69">
            <v>10800</v>
          </cell>
          <cell r="EC69">
            <v>44650</v>
          </cell>
          <cell r="ED69">
            <v>9524</v>
          </cell>
          <cell r="EE69" t="str">
            <v>ACTIVO</v>
          </cell>
          <cell r="EF69" t="str">
            <v>B</v>
          </cell>
          <cell r="EG69">
            <v>3000</v>
          </cell>
          <cell r="EH69">
            <v>12036.363636363636</v>
          </cell>
          <cell r="EI69">
            <v>2006.060606060606</v>
          </cell>
          <cell r="EJ69">
            <v>6540.3055490084134</v>
          </cell>
          <cell r="EK69">
            <v>0</v>
          </cell>
          <cell r="EL69">
            <v>0</v>
          </cell>
          <cell r="EM69">
            <v>0</v>
          </cell>
          <cell r="EN69">
            <v>30090.909090909088</v>
          </cell>
          <cell r="EO69">
            <v>4012.121212121212</v>
          </cell>
          <cell r="EP69">
            <v>34103.030303030304</v>
          </cell>
        </row>
        <row r="70">
          <cell r="F70">
            <v>393321</v>
          </cell>
          <cell r="G70" t="str">
            <v>HOJA SEPARADORA TORTA MEDIANA DIAMETRO 210 MMS.</v>
          </cell>
          <cell r="K70">
            <v>3000</v>
          </cell>
          <cell r="L70">
            <v>9000</v>
          </cell>
          <cell r="P70">
            <v>3000</v>
          </cell>
          <cell r="U70">
            <v>3000</v>
          </cell>
          <cell r="W70">
            <v>3000</v>
          </cell>
          <cell r="Y70">
            <v>3000</v>
          </cell>
          <cell r="AA70">
            <v>3000</v>
          </cell>
          <cell r="AC70">
            <v>3000</v>
          </cell>
          <cell r="AF70">
            <v>3000</v>
          </cell>
          <cell r="AG70">
            <v>3000</v>
          </cell>
          <cell r="AJ70">
            <v>3000</v>
          </cell>
          <cell r="AL70">
            <v>3000</v>
          </cell>
          <cell r="AM70">
            <v>6000</v>
          </cell>
          <cell r="AO70">
            <v>3000</v>
          </cell>
          <cell r="AP70">
            <v>6000</v>
          </cell>
          <cell r="AQ70">
            <v>72</v>
          </cell>
          <cell r="AR70">
            <v>3000</v>
          </cell>
          <cell r="AS70">
            <v>3000</v>
          </cell>
          <cell r="AU70">
            <v>3000</v>
          </cell>
          <cell r="AV70">
            <v>328</v>
          </cell>
          <cell r="AZ70">
            <v>3000</v>
          </cell>
          <cell r="BA70">
            <v>3000</v>
          </cell>
          <cell r="BB70">
            <v>9000</v>
          </cell>
          <cell r="BC70">
            <v>3000</v>
          </cell>
          <cell r="BD70">
            <v>6000</v>
          </cell>
          <cell r="BE70">
            <v>6000</v>
          </cell>
          <cell r="BF70">
            <v>6000</v>
          </cell>
          <cell r="BG70">
            <v>3000</v>
          </cell>
          <cell r="BK70">
            <v>3000</v>
          </cell>
          <cell r="BL70">
            <v>6000</v>
          </cell>
          <cell r="BN70">
            <v>6000</v>
          </cell>
          <cell r="BO70">
            <v>6000</v>
          </cell>
          <cell r="BP70">
            <v>12000</v>
          </cell>
          <cell r="BR70">
            <v>6000</v>
          </cell>
          <cell r="BS70">
            <v>3000</v>
          </cell>
          <cell r="BT70">
            <v>3000</v>
          </cell>
          <cell r="BU70">
            <v>6000</v>
          </cell>
          <cell r="BV70">
            <v>7550</v>
          </cell>
          <cell r="BW70">
            <v>6000</v>
          </cell>
          <cell r="BX70">
            <v>650</v>
          </cell>
          <cell r="BY70">
            <v>6000</v>
          </cell>
          <cell r="BZ70">
            <v>6000</v>
          </cell>
          <cell r="CA70">
            <v>2000</v>
          </cell>
          <cell r="CB70">
            <v>8000</v>
          </cell>
          <cell r="CC70">
            <v>3000</v>
          </cell>
          <cell r="CD70">
            <v>6000</v>
          </cell>
          <cell r="CE70">
            <v>6000</v>
          </cell>
          <cell r="CF70">
            <v>6000</v>
          </cell>
          <cell r="CG70">
            <v>9000</v>
          </cell>
          <cell r="CH70">
            <v>3000</v>
          </cell>
          <cell r="CI70">
            <v>2500</v>
          </cell>
          <cell r="CJ70">
            <v>7800</v>
          </cell>
          <cell r="CK70">
            <v>3000</v>
          </cell>
          <cell r="CL70">
            <v>12000</v>
          </cell>
          <cell r="CM70">
            <v>9000</v>
          </cell>
          <cell r="CN70">
            <v>7220</v>
          </cell>
          <cell r="CO70">
            <v>6000</v>
          </cell>
          <cell r="CP70">
            <v>12000</v>
          </cell>
          <cell r="CQ70">
            <v>2700</v>
          </cell>
          <cell r="CR70">
            <v>5700</v>
          </cell>
          <cell r="CS70">
            <v>5400</v>
          </cell>
          <cell r="CT70">
            <v>6600</v>
          </cell>
          <cell r="CU70">
            <v>6000</v>
          </cell>
          <cell r="CV70">
            <v>2400</v>
          </cell>
          <cell r="CW70">
            <v>10200</v>
          </cell>
          <cell r="CY70">
            <v>16800</v>
          </cell>
          <cell r="DA70">
            <v>2400</v>
          </cell>
          <cell r="DB70">
            <v>4800</v>
          </cell>
          <cell r="DC70">
            <v>8400</v>
          </cell>
          <cell r="DD70">
            <v>2400</v>
          </cell>
          <cell r="DE70">
            <v>6000</v>
          </cell>
          <cell r="DF70">
            <v>2400</v>
          </cell>
          <cell r="DG70">
            <v>3000</v>
          </cell>
          <cell r="DH70">
            <v>6000</v>
          </cell>
          <cell r="DI70">
            <v>3000</v>
          </cell>
          <cell r="DJ70">
            <v>3000</v>
          </cell>
          <cell r="DK70">
            <v>7200</v>
          </cell>
          <cell r="DL70">
            <v>7200</v>
          </cell>
          <cell r="DM70">
            <v>4800</v>
          </cell>
          <cell r="DO70">
            <v>2400</v>
          </cell>
          <cell r="DP70">
            <v>4800</v>
          </cell>
          <cell r="DQ70">
            <v>2400</v>
          </cell>
          <cell r="DR70">
            <v>4800</v>
          </cell>
          <cell r="DS70">
            <v>9600</v>
          </cell>
          <cell r="DT70">
            <v>4800</v>
          </cell>
          <cell r="DU70">
            <v>4800</v>
          </cell>
          <cell r="DV70">
            <v>2400</v>
          </cell>
          <cell r="DW70">
            <v>7200</v>
          </cell>
          <cell r="DX70">
            <v>4800</v>
          </cell>
          <cell r="DY70">
            <v>2400</v>
          </cell>
          <cell r="DZ70">
            <v>7200</v>
          </cell>
          <cell r="EB70">
            <v>2400</v>
          </cell>
          <cell r="ED70">
            <v>7200</v>
          </cell>
          <cell r="EE70" t="str">
            <v>ACTIVO</v>
          </cell>
          <cell r="EF70" t="str">
            <v>B</v>
          </cell>
          <cell r="EG70" t="str">
            <v/>
          </cell>
          <cell r="EH70">
            <v>4870.588235294118</v>
          </cell>
          <cell r="EI70">
            <v>811.76470588235304</v>
          </cell>
          <cell r="EJ70">
            <v>3202.2991438594995</v>
          </cell>
          <cell r="EK70">
            <v>14400</v>
          </cell>
          <cell r="EL70">
            <v>2174400</v>
          </cell>
          <cell r="EM70">
            <v>2.9565217391304346</v>
          </cell>
          <cell r="EN70">
            <v>12176.470588235296</v>
          </cell>
          <cell r="EO70">
            <v>1623.5294117647061</v>
          </cell>
          <cell r="EP70">
            <v>13800.000000000002</v>
          </cell>
        </row>
        <row r="71">
          <cell r="F71">
            <v>393322</v>
          </cell>
          <cell r="G71" t="str">
            <v>HOJA SEPARADORA TARTALETA DIAMETRO 255 MMS.</v>
          </cell>
          <cell r="I71">
            <v>3000</v>
          </cell>
          <cell r="K71">
            <v>3000</v>
          </cell>
          <cell r="O71">
            <v>3000</v>
          </cell>
          <cell r="P71">
            <v>6000</v>
          </cell>
          <cell r="W71">
            <v>6000</v>
          </cell>
          <cell r="X71">
            <v>3000</v>
          </cell>
          <cell r="AJ71">
            <v>3000</v>
          </cell>
          <cell r="AK71">
            <v>3000</v>
          </cell>
          <cell r="AQ71">
            <v>3000</v>
          </cell>
          <cell r="AR71">
            <v>3000</v>
          </cell>
          <cell r="AS71">
            <v>3000</v>
          </cell>
          <cell r="AV71">
            <v>3000</v>
          </cell>
          <cell r="AW71">
            <v>3000</v>
          </cell>
          <cell r="AX71">
            <v>6000</v>
          </cell>
          <cell r="BB71">
            <v>12000</v>
          </cell>
          <cell r="BD71">
            <v>3000</v>
          </cell>
          <cell r="BE71">
            <v>6000</v>
          </cell>
          <cell r="BF71">
            <v>3000</v>
          </cell>
          <cell r="BR71">
            <v>3000</v>
          </cell>
          <cell r="BU71">
            <v>3000</v>
          </cell>
          <cell r="CB71">
            <v>18000</v>
          </cell>
          <cell r="CE71">
            <v>2900</v>
          </cell>
          <cell r="CF71">
            <v>3000</v>
          </cell>
          <cell r="CG71">
            <v>3000</v>
          </cell>
          <cell r="CI71">
            <v>9000</v>
          </cell>
          <cell r="CJ71">
            <v>3000</v>
          </cell>
          <cell r="CK71">
            <v>6000</v>
          </cell>
          <cell r="CL71">
            <v>12000</v>
          </cell>
          <cell r="CV71">
            <v>1000</v>
          </cell>
          <cell r="CW71">
            <v>3000</v>
          </cell>
          <cell r="CY71">
            <v>10200</v>
          </cell>
          <cell r="DF71">
            <v>3000</v>
          </cell>
          <cell r="DH71">
            <v>15000</v>
          </cell>
          <cell r="DJ71">
            <v>3000</v>
          </cell>
          <cell r="EE71" t="str">
            <v>ACTIVO</v>
          </cell>
          <cell r="EF71" t="str">
            <v>C</v>
          </cell>
          <cell r="EG71">
            <v>3000</v>
          </cell>
          <cell r="EH71">
            <v>3000</v>
          </cell>
          <cell r="EI71">
            <v>500</v>
          </cell>
          <cell r="EJ71">
            <v>5233.9277794023865</v>
          </cell>
          <cell r="EK71">
            <v>16000</v>
          </cell>
          <cell r="EL71">
            <v>2412960</v>
          </cell>
          <cell r="EM71">
            <v>5.333333333333333</v>
          </cell>
          <cell r="EN71">
            <v>7500</v>
          </cell>
          <cell r="EO71">
            <v>1000</v>
          </cell>
          <cell r="EP71">
            <v>8500</v>
          </cell>
        </row>
        <row r="72">
          <cell r="F72">
            <v>403368</v>
          </cell>
          <cell r="G72" t="str">
            <v>HOJA SENCILLA PROSERVAR</v>
          </cell>
          <cell r="J72">
            <v>2090</v>
          </cell>
          <cell r="V72">
            <v>2000</v>
          </cell>
          <cell r="AE72">
            <v>3000</v>
          </cell>
          <cell r="AI72">
            <v>3000</v>
          </cell>
          <cell r="AK72">
            <v>1000</v>
          </cell>
          <cell r="AQ72">
            <v>1800</v>
          </cell>
          <cell r="AT72">
            <v>1800</v>
          </cell>
          <cell r="BI72">
            <v>1200</v>
          </cell>
          <cell r="BP72">
            <v>2000</v>
          </cell>
          <cell r="BS72">
            <v>2000</v>
          </cell>
          <cell r="BX72">
            <v>3600</v>
          </cell>
          <cell r="CI72">
            <v>3000</v>
          </cell>
          <cell r="CR72">
            <v>2000</v>
          </cell>
          <cell r="CV72">
            <v>500</v>
          </cell>
          <cell r="CW72">
            <v>2000</v>
          </cell>
          <cell r="DC72">
            <v>2280</v>
          </cell>
          <cell r="DG72">
            <v>3000</v>
          </cell>
          <cell r="DL72">
            <v>1200</v>
          </cell>
          <cell r="DO72">
            <v>3300</v>
          </cell>
          <cell r="DZ72">
            <v>1296</v>
          </cell>
          <cell r="EE72" t="str">
            <v>ACTIVO</v>
          </cell>
          <cell r="EF72" t="str">
            <v>C</v>
          </cell>
          <cell r="EG72">
            <v>3000</v>
          </cell>
          <cell r="EH72">
            <v>1932</v>
          </cell>
          <cell r="EI72">
            <v>322</v>
          </cell>
          <cell r="EJ72">
            <v>899.30590519083728</v>
          </cell>
          <cell r="EK72">
            <v>0</v>
          </cell>
          <cell r="EL72">
            <v>0</v>
          </cell>
          <cell r="EM72">
            <v>0</v>
          </cell>
          <cell r="EN72">
            <v>4830</v>
          </cell>
          <cell r="EO72">
            <v>644</v>
          </cell>
          <cell r="EP72">
            <v>5474</v>
          </cell>
        </row>
        <row r="73">
          <cell r="F73">
            <v>405132</v>
          </cell>
          <cell r="G73" t="str">
            <v>BORDE G 18,5 MEDIANO LAS VERTIENTES</v>
          </cell>
          <cell r="AQ73">
            <v>1800</v>
          </cell>
          <cell r="EE73" t="str">
            <v>SIN USO</v>
          </cell>
          <cell r="EF73" t="str">
            <v/>
          </cell>
          <cell r="EG73" t="str">
            <v/>
          </cell>
          <cell r="EH73">
            <v>0</v>
          </cell>
          <cell r="EI73">
            <v>0</v>
          </cell>
          <cell r="EJ73">
            <v>0</v>
          </cell>
          <cell r="EK73">
            <v>0</v>
          </cell>
          <cell r="EL73">
            <v>0</v>
          </cell>
          <cell r="EM73">
            <v>0</v>
          </cell>
          <cell r="EN73">
            <v>0</v>
          </cell>
          <cell r="EO73">
            <v>0</v>
          </cell>
          <cell r="EP73">
            <v>0</v>
          </cell>
        </row>
        <row r="74">
          <cell r="F74">
            <v>405420</v>
          </cell>
          <cell r="G74" t="str">
            <v>MEDIO DISCO CARTON BLANCO 19,5 JUMBO ARRIAZA</v>
          </cell>
          <cell r="AU74">
            <v>1000</v>
          </cell>
          <cell r="AW74">
            <v>7</v>
          </cell>
          <cell r="CF74">
            <v>1000</v>
          </cell>
          <cell r="DD74">
            <v>2000</v>
          </cell>
          <cell r="EB74">
            <v>2000</v>
          </cell>
          <cell r="EE74" t="str">
            <v>ACTIVO</v>
          </cell>
          <cell r="EF74" t="str">
            <v>C</v>
          </cell>
          <cell r="EH74">
            <v>0</v>
          </cell>
          <cell r="EI74">
            <v>0</v>
          </cell>
          <cell r="EJ74">
            <v>707.10678118654755</v>
          </cell>
          <cell r="EK74">
            <v>4000</v>
          </cell>
          <cell r="EL74">
            <v>52000</v>
          </cell>
          <cell r="EM74">
            <v>0</v>
          </cell>
          <cell r="EN74">
            <v>0</v>
          </cell>
          <cell r="EO74">
            <v>0</v>
          </cell>
          <cell r="EP74">
            <v>0</v>
          </cell>
        </row>
        <row r="75">
          <cell r="F75">
            <v>403245</v>
          </cell>
          <cell r="G75" t="str">
            <v>Borde G 220x25 VERTIENTES</v>
          </cell>
          <cell r="BV75">
            <v>26</v>
          </cell>
          <cell r="EE75" t="str">
            <v>SIN USO</v>
          </cell>
          <cell r="EF75" t="str">
            <v>C</v>
          </cell>
          <cell r="EG75">
            <v>300</v>
          </cell>
          <cell r="EH75">
            <v>0</v>
          </cell>
          <cell r="EI75">
            <v>0</v>
          </cell>
          <cell r="EJ75">
            <v>0</v>
          </cell>
          <cell r="EK75">
            <v>0</v>
          </cell>
          <cell r="EL75">
            <v>0</v>
          </cell>
          <cell r="EM75">
            <v>0</v>
          </cell>
          <cell r="EN75">
            <v>0</v>
          </cell>
          <cell r="EO75">
            <v>0</v>
          </cell>
          <cell r="EP75">
            <v>0</v>
          </cell>
        </row>
        <row r="76">
          <cell r="F76">
            <v>403108</v>
          </cell>
          <cell r="G76" t="str">
            <v>DISCO CARTON BLANCO 17CM ARRIAZA</v>
          </cell>
          <cell r="DU76">
            <v>15000</v>
          </cell>
          <cell r="DW76">
            <v>40000</v>
          </cell>
          <cell r="EE76" t="str">
            <v>SIN USO</v>
          </cell>
          <cell r="EF76" t="str">
            <v/>
          </cell>
          <cell r="EG76" t="str">
            <v/>
          </cell>
          <cell r="EH76">
            <v>27500</v>
          </cell>
          <cell r="EI76">
            <v>4583.333333333333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27500</v>
          </cell>
          <cell r="EO76">
            <v>9166.6666666666661</v>
          </cell>
          <cell r="EP76">
            <v>36666.666666666664</v>
          </cell>
        </row>
        <row r="77">
          <cell r="F77">
            <v>403100</v>
          </cell>
          <cell r="G77" t="str">
            <v>DISCO CARTON BLANCO 24 JUMBO ARRIAZA</v>
          </cell>
          <cell r="DU77">
            <v>15000</v>
          </cell>
          <cell r="EE77" t="str">
            <v>SIN USO</v>
          </cell>
          <cell r="EF77" t="str">
            <v/>
          </cell>
          <cell r="EG77" t="str">
            <v/>
          </cell>
          <cell r="EH77">
            <v>15000</v>
          </cell>
          <cell r="EI77">
            <v>2500</v>
          </cell>
          <cell r="EJ77">
            <v>0</v>
          </cell>
          <cell r="EK77">
            <v>0</v>
          </cell>
          <cell r="EL77">
            <v>0</v>
          </cell>
          <cell r="EM77">
            <v>0</v>
          </cell>
          <cell r="EN77">
            <v>15000</v>
          </cell>
          <cell r="EO77">
            <v>5000</v>
          </cell>
          <cell r="EP77">
            <v>20000</v>
          </cell>
        </row>
        <row r="78">
          <cell r="F78">
            <v>107420</v>
          </cell>
          <cell r="G78" t="str">
            <v>DISCO DE PAPEL PQQ KRAFT FPS</v>
          </cell>
          <cell r="BJ78">
            <v>1000</v>
          </cell>
          <cell r="BK78">
            <v>72000</v>
          </cell>
          <cell r="BL78">
            <v>148000</v>
          </cell>
          <cell r="BM78">
            <v>150000</v>
          </cell>
          <cell r="BP78">
            <v>120000</v>
          </cell>
          <cell r="BR78">
            <v>120000</v>
          </cell>
          <cell r="BX78">
            <v>120000</v>
          </cell>
          <cell r="CA78">
            <v>39400</v>
          </cell>
          <cell r="CD78">
            <v>39400</v>
          </cell>
          <cell r="EE78" t="str">
            <v>SIN USO</v>
          </cell>
          <cell r="EF78" t="str">
            <v>C</v>
          </cell>
          <cell r="EG78" t="str">
            <v/>
          </cell>
          <cell r="EH78">
            <v>0</v>
          </cell>
          <cell r="EI78">
            <v>0</v>
          </cell>
          <cell r="EJ78">
            <v>53653.652666379057</v>
          </cell>
          <cell r="EK78">
            <v>0</v>
          </cell>
          <cell r="EL78">
            <v>0</v>
          </cell>
          <cell r="EM78">
            <v>0</v>
          </cell>
          <cell r="EN78">
            <v>0</v>
          </cell>
          <cell r="EO78">
            <v>0</v>
          </cell>
          <cell r="EP78">
            <v>0</v>
          </cell>
        </row>
        <row r="79">
          <cell r="F79">
            <v>405633</v>
          </cell>
          <cell r="G79" t="str">
            <v>LAMINAS PET TRANSPARENTE 300 MICRO 61X5 CMTS</v>
          </cell>
          <cell r="CZ79">
            <v>100</v>
          </cell>
          <cell r="DA79">
            <v>200</v>
          </cell>
          <cell r="DB79">
            <v>400</v>
          </cell>
          <cell r="DC79">
            <v>500</v>
          </cell>
          <cell r="DD79">
            <v>300</v>
          </cell>
          <cell r="DE79">
            <v>100</v>
          </cell>
          <cell r="DF79">
            <v>100</v>
          </cell>
          <cell r="DI79">
            <v>100</v>
          </cell>
          <cell r="DJ79">
            <v>100</v>
          </cell>
          <cell r="DK79">
            <v>200</v>
          </cell>
          <cell r="DM79">
            <v>400</v>
          </cell>
          <cell r="DN79">
            <v>700</v>
          </cell>
          <cell r="DO79">
            <v>100</v>
          </cell>
          <cell r="DP79">
            <v>200</v>
          </cell>
          <cell r="DQ79">
            <v>200</v>
          </cell>
          <cell r="EE79" t="str">
            <v>SIN USO</v>
          </cell>
          <cell r="EF79" t="str">
            <v>C</v>
          </cell>
          <cell r="EG79" t="str">
            <v/>
          </cell>
          <cell r="EH79">
            <v>250</v>
          </cell>
          <cell r="EI79">
            <v>41.666666666666664</v>
          </cell>
          <cell r="EJ79">
            <v>161.83471874253743</v>
          </cell>
          <cell r="EK79">
            <v>0</v>
          </cell>
          <cell r="EL79">
            <v>0</v>
          </cell>
          <cell r="EM79">
            <v>0</v>
          </cell>
          <cell r="EN79">
            <v>0</v>
          </cell>
          <cell r="EO79">
            <v>83.333333333333329</v>
          </cell>
          <cell r="EP79">
            <v>83.333333333333329</v>
          </cell>
        </row>
        <row r="80">
          <cell r="F80">
            <v>405590</v>
          </cell>
          <cell r="G80" t="str">
            <v>VASOS CONO PAPEL FOOD PACK</v>
          </cell>
          <cell r="DF80">
            <v>0</v>
          </cell>
          <cell r="EE80" t="str">
            <v>SIN USO</v>
          </cell>
          <cell r="EF80" t="str">
            <v>C</v>
          </cell>
          <cell r="EG80" t="str">
            <v/>
          </cell>
          <cell r="EH80">
            <v>0</v>
          </cell>
          <cell r="EI80">
            <v>0</v>
          </cell>
          <cell r="EJ80">
            <v>0</v>
          </cell>
          <cell r="EK80">
            <v>20000</v>
          </cell>
          <cell r="EL80">
            <v>244000</v>
          </cell>
          <cell r="EM80">
            <v>0</v>
          </cell>
          <cell r="EN80">
            <v>0</v>
          </cell>
          <cell r="EO80">
            <v>0</v>
          </cell>
          <cell r="EP80">
            <v>0</v>
          </cell>
        </row>
        <row r="81">
          <cell r="F81">
            <v>405741</v>
          </cell>
          <cell r="G81" t="str">
            <v>DISCO CARTON BLANCO 24 CM PRAGGA</v>
          </cell>
          <cell r="DW81">
            <v>19200</v>
          </cell>
          <cell r="DX81">
            <v>30800</v>
          </cell>
          <cell r="EE81" t="str">
            <v>SIN USO</v>
          </cell>
          <cell r="EF81" t="str">
            <v/>
          </cell>
          <cell r="EG81" t="str">
            <v/>
          </cell>
          <cell r="EH81">
            <v>25000</v>
          </cell>
          <cell r="EI81">
            <v>4166.666666666667</v>
          </cell>
          <cell r="EJ81">
            <v>0</v>
          </cell>
          <cell r="EK81">
            <v>0</v>
          </cell>
          <cell r="EL81">
            <v>0</v>
          </cell>
          <cell r="EM81">
            <v>0</v>
          </cell>
          <cell r="EN81">
            <v>25000</v>
          </cell>
          <cell r="EO81">
            <v>8333.3333333333339</v>
          </cell>
          <cell r="EP81">
            <v>33333.333333333336</v>
          </cell>
        </row>
        <row r="82">
          <cell r="F82">
            <v>405740</v>
          </cell>
          <cell r="G82" t="str">
            <v>DISCO CARTON BLANCO 19 CM PRAGGA</v>
          </cell>
          <cell r="DW82">
            <v>36000</v>
          </cell>
          <cell r="DX82">
            <v>32000</v>
          </cell>
          <cell r="DY82">
            <v>42000</v>
          </cell>
          <cell r="EA82">
            <v>15800</v>
          </cell>
          <cell r="EB82">
            <v>20800</v>
          </cell>
          <cell r="EC82">
            <v>34400</v>
          </cell>
          <cell r="EE82" t="str">
            <v>ACTIVO</v>
          </cell>
          <cell r="EF82" t="str">
            <v/>
          </cell>
          <cell r="EG82" t="str">
            <v/>
          </cell>
          <cell r="EH82">
            <v>36666.666666666664</v>
          </cell>
          <cell r="EI82">
            <v>6111.1111111111104</v>
          </cell>
          <cell r="EJ82">
            <v>0</v>
          </cell>
          <cell r="EK82">
            <v>132600</v>
          </cell>
          <cell r="EL82">
            <v>3301740</v>
          </cell>
          <cell r="EM82">
            <v>3.6163636363636367</v>
          </cell>
          <cell r="EN82">
            <v>36666.666666666664</v>
          </cell>
          <cell r="EO82">
            <v>12222.222222222221</v>
          </cell>
          <cell r="EP82">
            <v>48888.888888888883</v>
          </cell>
        </row>
        <row r="83">
          <cell r="H83">
            <v>168150</v>
          </cell>
          <cell r="I83">
            <v>48955</v>
          </cell>
          <cell r="J83">
            <v>107122</v>
          </cell>
          <cell r="K83">
            <v>208716</v>
          </cell>
          <cell r="L83">
            <v>197103</v>
          </cell>
          <cell r="M83">
            <v>245652</v>
          </cell>
          <cell r="N83">
            <v>104361</v>
          </cell>
          <cell r="O83">
            <v>89300</v>
          </cell>
          <cell r="P83">
            <v>325250</v>
          </cell>
          <cell r="Q83">
            <v>69370</v>
          </cell>
          <cell r="R83">
            <v>432800</v>
          </cell>
          <cell r="S83">
            <v>248150</v>
          </cell>
          <cell r="T83">
            <v>40800</v>
          </cell>
          <cell r="U83">
            <v>255350</v>
          </cell>
          <cell r="V83">
            <v>85750</v>
          </cell>
          <cell r="W83">
            <v>142900</v>
          </cell>
          <cell r="X83">
            <v>127800</v>
          </cell>
          <cell r="Y83">
            <v>83947</v>
          </cell>
          <cell r="Z83">
            <v>118300</v>
          </cell>
          <cell r="AA83">
            <v>52700</v>
          </cell>
          <cell r="AB83">
            <v>195950</v>
          </cell>
          <cell r="AC83">
            <v>97280</v>
          </cell>
          <cell r="AD83">
            <v>189750</v>
          </cell>
          <cell r="AE83">
            <v>317250</v>
          </cell>
          <cell r="AF83">
            <v>162750</v>
          </cell>
          <cell r="AG83">
            <v>121250</v>
          </cell>
          <cell r="AH83">
            <v>239551</v>
          </cell>
          <cell r="AI83">
            <v>193100</v>
          </cell>
          <cell r="AJ83">
            <v>88816</v>
          </cell>
          <cell r="AK83">
            <v>322150</v>
          </cell>
          <cell r="AL83">
            <v>82850</v>
          </cell>
          <cell r="AM83">
            <v>406736</v>
          </cell>
          <cell r="AN83">
            <v>187450</v>
          </cell>
          <cell r="AO83">
            <v>104800</v>
          </cell>
          <cell r="AP83">
            <v>202750</v>
          </cell>
          <cell r="AQ83">
            <v>297512</v>
          </cell>
          <cell r="AR83">
            <v>128930</v>
          </cell>
          <cell r="AS83">
            <v>58450</v>
          </cell>
          <cell r="AT83">
            <v>113630</v>
          </cell>
          <cell r="AU83">
            <v>105289</v>
          </cell>
          <cell r="AV83">
            <v>401378</v>
          </cell>
          <cell r="AW83">
            <v>94577</v>
          </cell>
          <cell r="AX83">
            <v>222370</v>
          </cell>
          <cell r="AY83">
            <v>241880</v>
          </cell>
          <cell r="AZ83">
            <v>111800</v>
          </cell>
          <cell r="BA83">
            <v>194640</v>
          </cell>
          <cell r="BB83">
            <v>163890</v>
          </cell>
          <cell r="BC83">
            <v>614193</v>
          </cell>
          <cell r="BD83">
            <v>133900</v>
          </cell>
          <cell r="BE83">
            <v>220895</v>
          </cell>
          <cell r="BF83">
            <v>273200</v>
          </cell>
          <cell r="BG83">
            <v>99490</v>
          </cell>
          <cell r="BH83">
            <v>32120</v>
          </cell>
          <cell r="BI83">
            <v>278950</v>
          </cell>
          <cell r="BJ83">
            <v>97950</v>
          </cell>
          <cell r="BK83">
            <v>217651</v>
          </cell>
          <cell r="BL83">
            <v>241550</v>
          </cell>
          <cell r="BM83">
            <v>268660</v>
          </cell>
          <cell r="BN83">
            <v>118675</v>
          </cell>
          <cell r="BO83">
            <v>270940</v>
          </cell>
          <cell r="BP83">
            <v>325700</v>
          </cell>
          <cell r="BQ83">
            <v>88960</v>
          </cell>
          <cell r="BR83">
            <v>214070</v>
          </cell>
          <cell r="BS83">
            <v>198759</v>
          </cell>
          <cell r="BT83">
            <v>123414</v>
          </cell>
          <cell r="BU83">
            <v>220550</v>
          </cell>
          <cell r="BV83">
            <v>128426</v>
          </cell>
          <cell r="BW83">
            <v>130390</v>
          </cell>
          <cell r="BX83">
            <v>315700</v>
          </cell>
          <cell r="BY83">
            <v>127550</v>
          </cell>
          <cell r="BZ83">
            <v>336740</v>
          </cell>
          <cell r="CA83">
            <v>160950</v>
          </cell>
          <cell r="CB83">
            <v>280600</v>
          </cell>
          <cell r="CC83">
            <v>254800</v>
          </cell>
          <cell r="CD83">
            <v>267400</v>
          </cell>
          <cell r="CE83">
            <v>214530</v>
          </cell>
          <cell r="CF83">
            <v>162750</v>
          </cell>
          <cell r="CG83">
            <v>245750</v>
          </cell>
          <cell r="CH83">
            <v>262700</v>
          </cell>
          <cell r="CI83">
            <v>220292</v>
          </cell>
          <cell r="CJ83">
            <v>90210</v>
          </cell>
          <cell r="CK83">
            <v>115400</v>
          </cell>
          <cell r="CL83">
            <v>149297</v>
          </cell>
          <cell r="CM83">
            <v>288600</v>
          </cell>
          <cell r="CN83">
            <v>241790</v>
          </cell>
          <cell r="CO83">
            <v>179700</v>
          </cell>
          <cell r="CP83">
            <v>193580</v>
          </cell>
          <cell r="CQ83">
            <v>130080</v>
          </cell>
          <cell r="CR83">
            <v>234480</v>
          </cell>
          <cell r="CS83">
            <v>162400</v>
          </cell>
          <cell r="CT83">
            <v>217700</v>
          </cell>
          <cell r="CU83">
            <v>213600</v>
          </cell>
          <cell r="CV83">
            <v>203772</v>
          </cell>
          <cell r="CW83">
            <v>217830</v>
          </cell>
          <cell r="CX83">
            <v>223950</v>
          </cell>
          <cell r="CY83">
            <v>189100</v>
          </cell>
          <cell r="CZ83">
            <v>98300</v>
          </cell>
          <cell r="DA83">
            <v>73500</v>
          </cell>
          <cell r="DB83">
            <v>227200</v>
          </cell>
          <cell r="DC83">
            <v>112330</v>
          </cell>
          <cell r="DD83">
            <v>259020</v>
          </cell>
          <cell r="DE83">
            <v>83050</v>
          </cell>
          <cell r="DF83">
            <v>229420</v>
          </cell>
          <cell r="DG83">
            <v>220700</v>
          </cell>
          <cell r="DH83">
            <v>79400</v>
          </cell>
          <cell r="DI83">
            <v>15100</v>
          </cell>
          <cell r="DJ83">
            <v>96320</v>
          </cell>
          <cell r="DK83">
            <v>209194</v>
          </cell>
          <cell r="DL83">
            <v>200500</v>
          </cell>
          <cell r="DM83">
            <v>248600</v>
          </cell>
          <cell r="DN83">
            <v>173480</v>
          </cell>
          <cell r="DO83">
            <v>218600</v>
          </cell>
          <cell r="DP83">
            <v>133200</v>
          </cell>
          <cell r="DQ83">
            <v>99600</v>
          </cell>
          <cell r="DR83">
            <v>160380</v>
          </cell>
          <cell r="DS83">
            <v>193200</v>
          </cell>
          <cell r="DT83">
            <v>111903</v>
          </cell>
          <cell r="DU83">
            <v>138600</v>
          </cell>
          <cell r="DV83">
            <v>255850</v>
          </cell>
          <cell r="DW83">
            <v>179100</v>
          </cell>
          <cell r="DX83">
            <v>446050</v>
          </cell>
          <cell r="DY83">
            <v>173450</v>
          </cell>
          <cell r="DZ83">
            <v>269096</v>
          </cell>
          <cell r="EA83">
            <v>86900</v>
          </cell>
          <cell r="EB83">
            <v>178550</v>
          </cell>
          <cell r="EC83">
            <v>208450</v>
          </cell>
          <cell r="ED83">
            <v>220236.53904800001</v>
          </cell>
          <cell r="EE83" t="str">
            <v>ACTIVO</v>
          </cell>
          <cell r="EF83" t="str">
            <v/>
          </cell>
          <cell r="EG83" t="str">
            <v/>
          </cell>
          <cell r="EH83">
            <v>184567.94444444444</v>
          </cell>
          <cell r="EI83">
            <v>30761.324074074073</v>
          </cell>
          <cell r="EJ83">
            <v>72713.04790575456</v>
          </cell>
          <cell r="EK83">
            <v>0</v>
          </cell>
          <cell r="EL83">
            <v>0</v>
          </cell>
          <cell r="EM83">
            <v>0</v>
          </cell>
          <cell r="EN83">
            <v>0</v>
          </cell>
          <cell r="EO83">
            <v>61522.648148148146</v>
          </cell>
          <cell r="EP83">
            <v>61522.648148148146</v>
          </cell>
        </row>
        <row r="84">
          <cell r="F84">
            <v>405115</v>
          </cell>
          <cell r="G84" t="str">
            <v>CREMA PASSIONATA</v>
          </cell>
          <cell r="H84">
            <v>36</v>
          </cell>
          <cell r="V84">
            <v>82</v>
          </cell>
          <cell r="W84">
            <v>504</v>
          </cell>
          <cell r="X84">
            <v>95</v>
          </cell>
          <cell r="Y84">
            <v>147</v>
          </cell>
          <cell r="Z84">
            <v>157</v>
          </cell>
          <cell r="AA84">
            <v>205</v>
          </cell>
          <cell r="AB84">
            <v>379</v>
          </cell>
          <cell r="AC84">
            <v>244</v>
          </cell>
          <cell r="AD84">
            <v>628</v>
          </cell>
          <cell r="AE84">
            <v>84</v>
          </cell>
          <cell r="AF84">
            <v>241</v>
          </cell>
          <cell r="AG84">
            <v>254</v>
          </cell>
          <cell r="AH84">
            <v>430</v>
          </cell>
          <cell r="AI84">
            <v>251</v>
          </cell>
          <cell r="AJ84">
            <v>228</v>
          </cell>
          <cell r="AK84">
            <v>210</v>
          </cell>
          <cell r="AL84">
            <v>178</v>
          </cell>
          <cell r="AM84">
            <v>218</v>
          </cell>
          <cell r="AN84">
            <v>230</v>
          </cell>
          <cell r="AO84">
            <v>225</v>
          </cell>
          <cell r="AP84">
            <v>199</v>
          </cell>
          <cell r="AQ84">
            <v>248</v>
          </cell>
          <cell r="AR84">
            <v>360</v>
          </cell>
          <cell r="AS84">
            <v>119</v>
          </cell>
          <cell r="AT84">
            <v>141</v>
          </cell>
          <cell r="AU84">
            <v>191</v>
          </cell>
          <cell r="AV84">
            <v>240</v>
          </cell>
          <cell r="AW84">
            <v>366</v>
          </cell>
          <cell r="AX84">
            <v>199</v>
          </cell>
          <cell r="AZ84">
            <v>125</v>
          </cell>
          <cell r="BA84">
            <v>68</v>
          </cell>
          <cell r="BB84">
            <v>363</v>
          </cell>
          <cell r="BC84">
            <v>230</v>
          </cell>
          <cell r="BD84">
            <v>189</v>
          </cell>
          <cell r="BE84">
            <v>166</v>
          </cell>
          <cell r="BF84">
            <v>8</v>
          </cell>
          <cell r="BG84">
            <v>187</v>
          </cell>
          <cell r="BH84">
            <v>99</v>
          </cell>
          <cell r="BI84">
            <v>144</v>
          </cell>
          <cell r="BJ84">
            <v>73</v>
          </cell>
          <cell r="BK84">
            <v>271</v>
          </cell>
          <cell r="BL84">
            <v>225</v>
          </cell>
          <cell r="BM84">
            <v>223</v>
          </cell>
          <cell r="BN84">
            <v>58</v>
          </cell>
          <cell r="BO84">
            <v>216</v>
          </cell>
          <cell r="BP84">
            <v>146</v>
          </cell>
          <cell r="BQ84">
            <v>146</v>
          </cell>
          <cell r="BR84">
            <v>174</v>
          </cell>
          <cell r="BS84">
            <v>278</v>
          </cell>
          <cell r="BT84">
            <v>174</v>
          </cell>
          <cell r="BU84">
            <v>112</v>
          </cell>
          <cell r="BV84">
            <v>52</v>
          </cell>
          <cell r="BW84">
            <v>188</v>
          </cell>
          <cell r="BX84">
            <v>500</v>
          </cell>
          <cell r="BY84">
            <v>374</v>
          </cell>
          <cell r="BZ84">
            <v>45</v>
          </cell>
          <cell r="CA84">
            <v>477</v>
          </cell>
          <cell r="CB84">
            <v>167</v>
          </cell>
          <cell r="CC84">
            <v>347</v>
          </cell>
          <cell r="CD84">
            <v>120</v>
          </cell>
          <cell r="CE84">
            <v>120</v>
          </cell>
          <cell r="CF84">
            <v>97</v>
          </cell>
          <cell r="CG84">
            <v>335</v>
          </cell>
          <cell r="CH84">
            <v>140</v>
          </cell>
          <cell r="CI84">
            <v>120</v>
          </cell>
          <cell r="CJ84">
            <v>4</v>
          </cell>
          <cell r="CK84">
            <v>151</v>
          </cell>
          <cell r="CL84">
            <v>307</v>
          </cell>
          <cell r="CM84">
            <v>55</v>
          </cell>
          <cell r="CN84">
            <v>85</v>
          </cell>
          <cell r="CO84">
            <v>275</v>
          </cell>
          <cell r="CP84">
            <v>308</v>
          </cell>
          <cell r="CQ84">
            <v>199</v>
          </cell>
          <cell r="CR84">
            <v>215</v>
          </cell>
          <cell r="CS84">
            <v>120</v>
          </cell>
          <cell r="CT84">
            <v>322</v>
          </cell>
          <cell r="CU84">
            <v>60</v>
          </cell>
          <cell r="CV84">
            <v>268</v>
          </cell>
          <cell r="CW84">
            <v>181</v>
          </cell>
          <cell r="CX84">
            <v>162</v>
          </cell>
          <cell r="CY84">
            <v>143</v>
          </cell>
          <cell r="CZ84">
            <v>126</v>
          </cell>
          <cell r="DA84">
            <v>242</v>
          </cell>
          <cell r="DB84">
            <v>83</v>
          </cell>
          <cell r="DC84">
            <v>250</v>
          </cell>
          <cell r="DD84">
            <v>138</v>
          </cell>
          <cell r="DE84">
            <v>237</v>
          </cell>
          <cell r="DF84">
            <v>164</v>
          </cell>
          <cell r="DG84">
            <v>40</v>
          </cell>
          <cell r="DH84">
            <v>40</v>
          </cell>
          <cell r="DJ84">
            <v>277</v>
          </cell>
          <cell r="DK84">
            <v>198</v>
          </cell>
          <cell r="DL84">
            <v>232</v>
          </cell>
          <cell r="DM84">
            <v>130</v>
          </cell>
          <cell r="DN84">
            <v>184</v>
          </cell>
          <cell r="DO84">
            <v>192</v>
          </cell>
          <cell r="DP84">
            <v>186</v>
          </cell>
          <cell r="DQ84">
            <v>224</v>
          </cell>
          <cell r="DR84">
            <v>204</v>
          </cell>
          <cell r="DS84">
            <v>204</v>
          </cell>
          <cell r="DT84">
            <v>232</v>
          </cell>
          <cell r="DU84">
            <v>160</v>
          </cell>
          <cell r="DV84">
            <v>80</v>
          </cell>
          <cell r="DW84">
            <v>200</v>
          </cell>
          <cell r="DX84">
            <v>236</v>
          </cell>
          <cell r="DY84">
            <v>320</v>
          </cell>
          <cell r="DZ84">
            <v>360</v>
          </cell>
          <cell r="EB84">
            <v>252</v>
          </cell>
          <cell r="EC84">
            <v>163</v>
          </cell>
          <cell r="ED84">
            <v>11.8</v>
          </cell>
          <cell r="EE84" t="str">
            <v>ACTIVO</v>
          </cell>
          <cell r="EF84" t="str">
            <v>B</v>
          </cell>
          <cell r="EG84">
            <v>900</v>
          </cell>
          <cell r="EH84">
            <v>212.88235294117646</v>
          </cell>
          <cell r="EI84">
            <v>35.480392156862742</v>
          </cell>
          <cell r="EJ84">
            <v>108.41647176412953</v>
          </cell>
          <cell r="EK84">
            <v>0</v>
          </cell>
          <cell r="EL84">
            <v>0</v>
          </cell>
          <cell r="EM84">
            <v>0</v>
          </cell>
          <cell r="EN84">
            <v>106.44117647058823</v>
          </cell>
          <cell r="EO84">
            <v>70.960784313725483</v>
          </cell>
          <cell r="EP84">
            <v>177.4019607843137</v>
          </cell>
        </row>
        <row r="85">
          <cell r="F85">
            <v>103612</v>
          </cell>
          <cell r="G85" t="str">
            <v>CREMA VEGETAL MASTER MARTINI</v>
          </cell>
          <cell r="H85">
            <v>1370</v>
          </cell>
          <cell r="I85">
            <v>837</v>
          </cell>
          <cell r="AA85">
            <v>407</v>
          </cell>
          <cell r="AB85">
            <v>1535</v>
          </cell>
          <cell r="AC85">
            <v>2534</v>
          </cell>
          <cell r="AD85">
            <v>3297</v>
          </cell>
          <cell r="AE85">
            <v>4286</v>
          </cell>
          <cell r="AF85">
            <v>2274</v>
          </cell>
          <cell r="AG85">
            <v>2890</v>
          </cell>
          <cell r="AH85">
            <v>2393</v>
          </cell>
          <cell r="AI85">
            <v>2877</v>
          </cell>
          <cell r="AJ85">
            <v>3120</v>
          </cell>
          <cell r="AK85">
            <v>3855</v>
          </cell>
          <cell r="AL85">
            <v>2948</v>
          </cell>
          <cell r="AM85">
            <v>3767</v>
          </cell>
          <cell r="AN85">
            <v>3541</v>
          </cell>
          <cell r="AO85">
            <v>3699</v>
          </cell>
          <cell r="AP85">
            <v>3199</v>
          </cell>
          <cell r="AQ85">
            <v>3247</v>
          </cell>
          <cell r="AR85">
            <v>2963</v>
          </cell>
          <cell r="AS85">
            <v>1273</v>
          </cell>
          <cell r="AT85">
            <v>3736</v>
          </cell>
          <cell r="AU85">
            <v>3086</v>
          </cell>
          <cell r="AV85">
            <v>3238</v>
          </cell>
          <cell r="AW85">
            <v>2749</v>
          </cell>
          <cell r="AX85">
            <v>3462</v>
          </cell>
          <cell r="AY85">
            <v>3187</v>
          </cell>
          <cell r="AZ85">
            <v>3775</v>
          </cell>
          <cell r="BA85">
            <v>3789</v>
          </cell>
          <cell r="BB85">
            <v>3574</v>
          </cell>
          <cell r="BC85">
            <v>3518</v>
          </cell>
          <cell r="BD85">
            <v>4594</v>
          </cell>
          <cell r="BE85">
            <v>4580</v>
          </cell>
          <cell r="BF85">
            <v>4506.0499999999993</v>
          </cell>
          <cell r="BG85">
            <v>3556</v>
          </cell>
          <cell r="BH85">
            <v>1715</v>
          </cell>
          <cell r="BI85">
            <v>3506</v>
          </cell>
          <cell r="BJ85">
            <v>3468</v>
          </cell>
          <cell r="BK85">
            <v>3896</v>
          </cell>
          <cell r="BL85">
            <v>3381</v>
          </cell>
          <cell r="BM85">
            <v>3810</v>
          </cell>
          <cell r="BN85">
            <v>3431</v>
          </cell>
          <cell r="BO85">
            <v>3977</v>
          </cell>
          <cell r="BP85">
            <v>2991</v>
          </cell>
          <cell r="BQ85">
            <v>2877</v>
          </cell>
          <cell r="BR85">
            <v>4093</v>
          </cell>
          <cell r="BS85">
            <v>1571</v>
          </cell>
          <cell r="BT85">
            <v>3716</v>
          </cell>
          <cell r="BU85">
            <v>3415</v>
          </cell>
          <cell r="BV85">
            <v>4319</v>
          </cell>
          <cell r="BW85">
            <v>3336</v>
          </cell>
          <cell r="BX85">
            <v>3334</v>
          </cell>
          <cell r="BY85">
            <v>4228</v>
          </cell>
          <cell r="BZ85">
            <v>5558</v>
          </cell>
          <cell r="CA85">
            <v>4210</v>
          </cell>
          <cell r="CB85">
            <v>3933</v>
          </cell>
          <cell r="CC85">
            <v>2653</v>
          </cell>
          <cell r="CD85">
            <v>3690</v>
          </cell>
          <cell r="CE85">
            <v>4709</v>
          </cell>
          <cell r="CF85">
            <v>3387</v>
          </cell>
          <cell r="CG85">
            <v>3695</v>
          </cell>
          <cell r="CH85">
            <v>3164</v>
          </cell>
          <cell r="CI85">
            <v>2797</v>
          </cell>
          <cell r="CJ85">
            <v>3178</v>
          </cell>
          <cell r="CK85">
            <v>3146</v>
          </cell>
          <cell r="CL85">
            <v>3642</v>
          </cell>
          <cell r="CM85">
            <v>3390</v>
          </cell>
          <cell r="CN85">
            <v>3352</v>
          </cell>
          <cell r="CO85">
            <v>3181</v>
          </cell>
          <cell r="CP85">
            <v>3735</v>
          </cell>
          <cell r="CQ85">
            <v>3623</v>
          </cell>
          <cell r="CR85">
            <v>3531</v>
          </cell>
          <cell r="CS85">
            <v>2185</v>
          </cell>
          <cell r="CT85">
            <v>3648</v>
          </cell>
          <cell r="CU85">
            <v>3708</v>
          </cell>
          <cell r="CV85">
            <v>3870</v>
          </cell>
          <cell r="CW85">
            <v>3495</v>
          </cell>
          <cell r="CX85">
            <v>3126</v>
          </cell>
          <cell r="CY85">
            <v>3205</v>
          </cell>
          <cell r="CZ85">
            <v>3622</v>
          </cell>
          <cell r="DA85">
            <v>3158</v>
          </cell>
          <cell r="DB85">
            <v>3166</v>
          </cell>
          <cell r="DC85">
            <v>3296</v>
          </cell>
          <cell r="DD85">
            <v>2686</v>
          </cell>
          <cell r="DE85">
            <v>2841</v>
          </cell>
          <cell r="DF85">
            <v>4149</v>
          </cell>
          <cell r="DG85">
            <v>3771</v>
          </cell>
          <cell r="DH85">
            <v>1902</v>
          </cell>
          <cell r="DI85">
            <v>969</v>
          </cell>
          <cell r="DJ85">
            <v>3914</v>
          </cell>
          <cell r="DK85">
            <v>3736</v>
          </cell>
          <cell r="DL85">
            <v>3403</v>
          </cell>
          <cell r="DM85">
            <v>2966</v>
          </cell>
          <cell r="DN85">
            <v>2652</v>
          </cell>
          <cell r="DO85">
            <v>2521</v>
          </cell>
          <cell r="DP85">
            <v>2112</v>
          </cell>
          <cell r="DQ85">
            <v>1563</v>
          </cell>
          <cell r="DR85">
            <v>2005</v>
          </cell>
          <cell r="DS85">
            <v>2364</v>
          </cell>
          <cell r="DT85">
            <v>3163</v>
          </cell>
          <cell r="DU85">
            <v>2835</v>
          </cell>
          <cell r="DV85">
            <v>2282</v>
          </cell>
          <cell r="DW85">
            <v>2746</v>
          </cell>
          <cell r="DX85">
            <v>3201</v>
          </cell>
          <cell r="DY85">
            <v>3982</v>
          </cell>
          <cell r="DZ85">
            <v>3847</v>
          </cell>
          <cell r="EA85">
            <v>3098</v>
          </cell>
          <cell r="EB85">
            <v>2896</v>
          </cell>
          <cell r="EC85">
            <v>1880</v>
          </cell>
          <cell r="ED85">
            <v>2579</v>
          </cell>
          <cell r="EE85" t="str">
            <v>ACTIVO</v>
          </cell>
          <cell r="EF85" t="str">
            <v>A</v>
          </cell>
          <cell r="EG85">
            <v>720</v>
          </cell>
          <cell r="EH85">
            <v>2792.2777777777778</v>
          </cell>
          <cell r="EI85">
            <v>465.37962962962962</v>
          </cell>
          <cell r="EJ85">
            <v>682.94100039060095</v>
          </cell>
          <cell r="EK85">
            <v>1574</v>
          </cell>
          <cell r="EL85">
            <v>4092400</v>
          </cell>
          <cell r="EM85">
            <v>0.56369749905493327</v>
          </cell>
          <cell r="EN85">
            <v>1396.1388888888889</v>
          </cell>
          <cell r="EO85">
            <v>930.75925925925924</v>
          </cell>
          <cell r="EP85">
            <v>2326.8981481481483</v>
          </cell>
        </row>
        <row r="86">
          <cell r="F86">
            <v>107098</v>
          </cell>
          <cell r="G86" t="str">
            <v>CREMA PASTELERA ESPECIAL PURATOS</v>
          </cell>
          <cell r="H86">
            <v>670</v>
          </cell>
          <cell r="I86">
            <v>400</v>
          </cell>
          <cell r="J86">
            <v>460</v>
          </cell>
          <cell r="K86">
            <v>495</v>
          </cell>
          <cell r="L86">
            <v>460</v>
          </cell>
          <cell r="M86">
            <v>650</v>
          </cell>
          <cell r="N86">
            <v>570</v>
          </cell>
          <cell r="O86">
            <v>590</v>
          </cell>
          <cell r="P86">
            <v>1620</v>
          </cell>
          <cell r="Q86">
            <v>1180</v>
          </cell>
          <cell r="R86">
            <v>1250</v>
          </cell>
          <cell r="S86">
            <v>1801</v>
          </cell>
          <cell r="T86">
            <v>1380</v>
          </cell>
          <cell r="U86">
            <v>1559</v>
          </cell>
          <cell r="V86">
            <v>1250</v>
          </cell>
          <cell r="W86">
            <v>1620</v>
          </cell>
          <cell r="X86">
            <v>1180</v>
          </cell>
          <cell r="Y86">
            <v>3530</v>
          </cell>
          <cell r="Z86">
            <v>3500</v>
          </cell>
          <cell r="AA86">
            <v>2580</v>
          </cell>
          <cell r="AB86">
            <v>1380</v>
          </cell>
          <cell r="AC86">
            <v>1250</v>
          </cell>
          <cell r="AD86">
            <v>2730</v>
          </cell>
          <cell r="AE86">
            <v>3670</v>
          </cell>
          <cell r="AF86">
            <v>1090</v>
          </cell>
          <cell r="AG86">
            <v>1340</v>
          </cell>
          <cell r="AH86">
            <v>1262</v>
          </cell>
          <cell r="AI86">
            <v>1578</v>
          </cell>
          <cell r="AJ86">
            <v>1680</v>
          </cell>
          <cell r="AK86">
            <v>1470</v>
          </cell>
          <cell r="AL86">
            <v>2380</v>
          </cell>
          <cell r="AM86">
            <v>1840</v>
          </cell>
          <cell r="AN86">
            <v>1550</v>
          </cell>
          <cell r="AO86">
            <v>1530</v>
          </cell>
          <cell r="AP86">
            <v>1200</v>
          </cell>
          <cell r="AQ86">
            <v>1400</v>
          </cell>
          <cell r="AR86">
            <v>1860</v>
          </cell>
          <cell r="AS86">
            <v>370</v>
          </cell>
          <cell r="AT86">
            <v>1680</v>
          </cell>
          <cell r="AU86">
            <v>1380</v>
          </cell>
          <cell r="AV86">
            <v>1720</v>
          </cell>
          <cell r="AW86">
            <v>1190</v>
          </cell>
          <cell r="AX86">
            <v>1520</v>
          </cell>
          <cell r="AY86">
            <v>1350</v>
          </cell>
          <cell r="AZ86">
            <v>1300</v>
          </cell>
          <cell r="BA86">
            <v>1670</v>
          </cell>
          <cell r="BB86">
            <v>1170</v>
          </cell>
          <cell r="BC86">
            <v>1420</v>
          </cell>
          <cell r="BD86">
            <v>1530</v>
          </cell>
          <cell r="BE86">
            <v>1204.5</v>
          </cell>
          <cell r="BF86">
            <v>1940</v>
          </cell>
          <cell r="BG86">
            <v>1790</v>
          </cell>
          <cell r="BH86">
            <v>640</v>
          </cell>
          <cell r="BI86">
            <v>1500</v>
          </cell>
          <cell r="BJ86">
            <v>1270</v>
          </cell>
          <cell r="BK86">
            <v>2010</v>
          </cell>
          <cell r="BL86">
            <v>1930</v>
          </cell>
          <cell r="BM86">
            <v>1750</v>
          </cell>
          <cell r="BN86">
            <v>1980</v>
          </cell>
          <cell r="BO86">
            <v>1240</v>
          </cell>
          <cell r="BP86">
            <v>1520</v>
          </cell>
          <cell r="BQ86">
            <v>1450</v>
          </cell>
          <cell r="BR86">
            <v>2070</v>
          </cell>
          <cell r="BS86">
            <v>1710</v>
          </cell>
          <cell r="BT86">
            <v>1650</v>
          </cell>
          <cell r="BU86">
            <v>1580</v>
          </cell>
          <cell r="BV86">
            <v>1710</v>
          </cell>
          <cell r="BW86">
            <v>1460</v>
          </cell>
          <cell r="BX86">
            <v>1840</v>
          </cell>
          <cell r="BY86">
            <v>2010</v>
          </cell>
          <cell r="BZ86">
            <v>2590</v>
          </cell>
          <cell r="CA86">
            <v>1090</v>
          </cell>
          <cell r="CB86">
            <v>1510</v>
          </cell>
          <cell r="CC86">
            <v>1440</v>
          </cell>
          <cell r="CD86">
            <v>1500</v>
          </cell>
          <cell r="CE86">
            <v>2470</v>
          </cell>
          <cell r="CF86">
            <v>1210</v>
          </cell>
          <cell r="CG86">
            <v>1660</v>
          </cell>
          <cell r="CH86">
            <v>1840</v>
          </cell>
          <cell r="CI86">
            <v>2570</v>
          </cell>
          <cell r="CJ86">
            <v>1980</v>
          </cell>
          <cell r="CK86">
            <v>1530</v>
          </cell>
          <cell r="CL86">
            <v>1380</v>
          </cell>
          <cell r="CM86">
            <v>2050</v>
          </cell>
          <cell r="CN86">
            <v>1570</v>
          </cell>
          <cell r="CO86">
            <v>1840</v>
          </cell>
          <cell r="CP86">
            <v>1530</v>
          </cell>
          <cell r="CQ86">
            <v>1650</v>
          </cell>
          <cell r="CR86">
            <v>1860</v>
          </cell>
          <cell r="CS86">
            <v>480</v>
          </cell>
          <cell r="CT86">
            <v>1860</v>
          </cell>
          <cell r="CU86">
            <v>1790</v>
          </cell>
          <cell r="CV86">
            <v>2350</v>
          </cell>
          <cell r="CW86">
            <v>1570</v>
          </cell>
          <cell r="CX86">
            <v>1540</v>
          </cell>
          <cell r="CY86">
            <v>1820</v>
          </cell>
          <cell r="CZ86">
            <v>1620</v>
          </cell>
          <cell r="DA86">
            <v>1760</v>
          </cell>
          <cell r="DB86">
            <v>1390</v>
          </cell>
          <cell r="DC86">
            <v>1750</v>
          </cell>
          <cell r="DD86">
            <v>1810</v>
          </cell>
          <cell r="DE86">
            <v>1360</v>
          </cell>
          <cell r="DF86">
            <v>2110</v>
          </cell>
          <cell r="DG86">
            <v>1540</v>
          </cell>
          <cell r="DH86">
            <v>730</v>
          </cell>
          <cell r="DI86">
            <v>560</v>
          </cell>
          <cell r="DJ86">
            <v>1990</v>
          </cell>
          <cell r="DK86">
            <v>1620</v>
          </cell>
          <cell r="DL86">
            <v>1570</v>
          </cell>
          <cell r="DM86">
            <v>1460</v>
          </cell>
          <cell r="DN86">
            <v>1580</v>
          </cell>
          <cell r="DO86">
            <v>2000</v>
          </cell>
          <cell r="DP86">
            <v>1710</v>
          </cell>
          <cell r="DQ86">
            <v>1420</v>
          </cell>
          <cell r="DR86">
            <v>1850</v>
          </cell>
          <cell r="DS86">
            <v>1870</v>
          </cell>
          <cell r="DT86">
            <v>1510</v>
          </cell>
          <cell r="DU86">
            <v>1960</v>
          </cell>
          <cell r="DV86">
            <v>2000</v>
          </cell>
          <cell r="DW86">
            <v>1580</v>
          </cell>
          <cell r="DX86">
            <v>1740</v>
          </cell>
          <cell r="DY86">
            <v>2070</v>
          </cell>
          <cell r="DZ86">
            <v>2200</v>
          </cell>
          <cell r="EA86">
            <v>3410</v>
          </cell>
          <cell r="EB86">
            <v>2040</v>
          </cell>
          <cell r="EC86">
            <v>1720</v>
          </cell>
          <cell r="ED86">
            <v>2180</v>
          </cell>
          <cell r="EE86" t="str">
            <v>ACTIVO</v>
          </cell>
          <cell r="EF86" t="str">
            <v>A</v>
          </cell>
          <cell r="EG86">
            <v>800</v>
          </cell>
          <cell r="EH86">
            <v>1705</v>
          </cell>
          <cell r="EI86">
            <v>284.16666666666669</v>
          </cell>
          <cell r="EJ86">
            <v>412.57976314636392</v>
          </cell>
          <cell r="EK86">
            <v>900</v>
          </cell>
          <cell r="EL86">
            <v>2868822</v>
          </cell>
          <cell r="EM86">
            <v>0.52785923753665687</v>
          </cell>
          <cell r="EN86">
            <v>852.5</v>
          </cell>
          <cell r="EO86">
            <v>568.33333333333337</v>
          </cell>
          <cell r="EP86">
            <v>1420.8333333333335</v>
          </cell>
        </row>
        <row r="87">
          <cell r="F87">
            <v>107104</v>
          </cell>
          <cell r="G87" t="str">
            <v>CREMA LACTEA DIWATTS</v>
          </cell>
          <cell r="H87">
            <v>8990</v>
          </cell>
          <cell r="I87">
            <v>6572</v>
          </cell>
          <cell r="J87">
            <v>5213</v>
          </cell>
          <cell r="K87">
            <v>6382</v>
          </cell>
          <cell r="L87">
            <v>8709</v>
          </cell>
          <cell r="M87">
            <v>7346</v>
          </cell>
          <cell r="N87">
            <v>6776</v>
          </cell>
          <cell r="O87">
            <v>5965</v>
          </cell>
          <cell r="P87">
            <v>6104</v>
          </cell>
          <cell r="Q87">
            <v>8228</v>
          </cell>
          <cell r="R87">
            <v>9812</v>
          </cell>
          <cell r="S87">
            <v>6285</v>
          </cell>
          <cell r="T87">
            <v>5871</v>
          </cell>
          <cell r="U87">
            <v>8530</v>
          </cell>
          <cell r="V87">
            <v>12069</v>
          </cell>
          <cell r="W87">
            <v>6686</v>
          </cell>
          <cell r="X87">
            <v>10494</v>
          </cell>
          <cell r="Y87">
            <v>7988</v>
          </cell>
          <cell r="Z87">
            <v>13239</v>
          </cell>
          <cell r="AA87">
            <v>7237</v>
          </cell>
          <cell r="AB87">
            <v>7979</v>
          </cell>
          <cell r="AC87">
            <v>7461</v>
          </cell>
          <cell r="AD87">
            <v>9982</v>
          </cell>
          <cell r="AE87">
            <v>12730</v>
          </cell>
          <cell r="AF87">
            <v>6608</v>
          </cell>
          <cell r="AG87">
            <v>8435</v>
          </cell>
          <cell r="AH87">
            <v>6878</v>
          </cell>
          <cell r="AI87">
            <v>8929</v>
          </cell>
          <cell r="AJ87">
            <v>9268</v>
          </cell>
          <cell r="AK87">
            <v>10395</v>
          </cell>
          <cell r="AL87">
            <v>8811</v>
          </cell>
          <cell r="AM87">
            <v>11074</v>
          </cell>
          <cell r="AN87">
            <v>10525</v>
          </cell>
          <cell r="AO87">
            <v>11099</v>
          </cell>
          <cell r="AP87">
            <v>9354</v>
          </cell>
          <cell r="AQ87">
            <v>10047</v>
          </cell>
          <cell r="AR87">
            <v>9496</v>
          </cell>
          <cell r="AS87">
            <v>3812</v>
          </cell>
          <cell r="AT87">
            <v>11146</v>
          </cell>
          <cell r="AU87">
            <v>9415</v>
          </cell>
          <cell r="AV87">
            <v>9927</v>
          </cell>
          <cell r="AW87">
            <v>8053</v>
          </cell>
          <cell r="AX87">
            <v>10666</v>
          </cell>
          <cell r="AY87">
            <v>9367</v>
          </cell>
          <cell r="AZ87">
            <v>11370</v>
          </cell>
          <cell r="BA87">
            <v>11420</v>
          </cell>
          <cell r="BB87">
            <v>10733</v>
          </cell>
          <cell r="BC87">
            <v>10738</v>
          </cell>
          <cell r="BD87">
            <v>12168</v>
          </cell>
          <cell r="BE87">
            <v>14776</v>
          </cell>
          <cell r="BF87">
            <v>14398.150000000001</v>
          </cell>
          <cell r="BG87">
            <v>10648</v>
          </cell>
          <cell r="BH87">
            <v>5141</v>
          </cell>
          <cell r="BI87">
            <v>11379</v>
          </cell>
          <cell r="BJ87">
            <v>11402</v>
          </cell>
          <cell r="BK87">
            <v>11917</v>
          </cell>
          <cell r="BL87">
            <v>10124</v>
          </cell>
          <cell r="BM87">
            <v>11394</v>
          </cell>
          <cell r="BN87">
            <v>10753</v>
          </cell>
          <cell r="BO87">
            <v>11678</v>
          </cell>
          <cell r="BP87">
            <v>8983</v>
          </cell>
          <cell r="BQ87">
            <v>8851</v>
          </cell>
          <cell r="BR87">
            <v>12137</v>
          </cell>
          <cell r="BS87">
            <v>10376</v>
          </cell>
          <cell r="BT87">
            <v>11815</v>
          </cell>
          <cell r="BU87">
            <v>10450</v>
          </cell>
          <cell r="BV87">
            <v>13896</v>
          </cell>
          <cell r="BW87">
            <v>10284</v>
          </cell>
          <cell r="BX87">
            <v>9972</v>
          </cell>
          <cell r="BY87">
            <v>12718</v>
          </cell>
          <cell r="BZ87">
            <v>16698</v>
          </cell>
          <cell r="CA87">
            <v>12416</v>
          </cell>
          <cell r="CB87">
            <v>11750</v>
          </cell>
          <cell r="CC87">
            <v>8071</v>
          </cell>
          <cell r="CD87">
            <v>10856</v>
          </cell>
          <cell r="CE87">
            <v>14380</v>
          </cell>
          <cell r="CF87">
            <v>9004</v>
          </cell>
          <cell r="CG87">
            <v>10992</v>
          </cell>
          <cell r="CH87">
            <v>10178</v>
          </cell>
          <cell r="CI87">
            <v>9038</v>
          </cell>
          <cell r="CJ87">
            <v>10014</v>
          </cell>
          <cell r="CK87">
            <v>9672</v>
          </cell>
          <cell r="CL87">
            <v>11174</v>
          </cell>
          <cell r="CM87">
            <v>9719</v>
          </cell>
          <cell r="CN87">
            <v>11445</v>
          </cell>
          <cell r="CO87">
            <v>9219</v>
          </cell>
          <cell r="CP87">
            <v>11030</v>
          </cell>
          <cell r="CQ87">
            <v>10953</v>
          </cell>
          <cell r="CR87">
            <v>10605</v>
          </cell>
          <cell r="CS87">
            <v>6568</v>
          </cell>
          <cell r="CT87">
            <v>10966</v>
          </cell>
          <cell r="CU87">
            <v>11336</v>
          </cell>
          <cell r="CV87">
            <v>11742</v>
          </cell>
          <cell r="CW87">
            <v>10505</v>
          </cell>
          <cell r="CX87">
            <v>9458</v>
          </cell>
          <cell r="CY87">
            <v>9710</v>
          </cell>
          <cell r="CZ87">
            <v>11403</v>
          </cell>
          <cell r="DA87">
            <v>9806</v>
          </cell>
          <cell r="DB87">
            <v>9669</v>
          </cell>
          <cell r="DC87">
            <v>9812</v>
          </cell>
          <cell r="DD87">
            <v>8044</v>
          </cell>
          <cell r="DE87">
            <v>8755</v>
          </cell>
          <cell r="DF87">
            <v>13499</v>
          </cell>
          <cell r="DG87">
            <v>11369</v>
          </cell>
          <cell r="DH87">
            <v>5458</v>
          </cell>
          <cell r="DI87">
            <v>2939</v>
          </cell>
          <cell r="DJ87">
            <v>11670</v>
          </cell>
          <cell r="DK87">
            <v>11131</v>
          </cell>
          <cell r="DL87">
            <v>10045</v>
          </cell>
          <cell r="DM87">
            <v>8672</v>
          </cell>
          <cell r="DN87">
            <v>9213</v>
          </cell>
          <cell r="DO87">
            <v>11516</v>
          </cell>
          <cell r="DP87">
            <v>8631</v>
          </cell>
          <cell r="DQ87">
            <v>6455</v>
          </cell>
          <cell r="DR87">
            <v>8352</v>
          </cell>
          <cell r="DS87">
            <v>8744</v>
          </cell>
          <cell r="DT87">
            <v>11883</v>
          </cell>
          <cell r="DU87">
            <v>10577</v>
          </cell>
          <cell r="DV87">
            <v>8658</v>
          </cell>
          <cell r="DW87">
            <v>9948</v>
          </cell>
          <cell r="DX87">
            <v>11313</v>
          </cell>
          <cell r="DY87">
            <v>13147</v>
          </cell>
          <cell r="DZ87">
            <v>14366</v>
          </cell>
          <cell r="EA87">
            <v>11008</v>
          </cell>
          <cell r="EB87">
            <v>10952</v>
          </cell>
          <cell r="EC87">
            <v>7761</v>
          </cell>
          <cell r="ED87">
            <v>9991</v>
          </cell>
          <cell r="EE87" t="str">
            <v>ACTIVO</v>
          </cell>
          <cell r="EF87" t="str">
            <v>A</v>
          </cell>
          <cell r="EG87">
            <v>624</v>
          </cell>
          <cell r="EH87">
            <v>9847.7777777777774</v>
          </cell>
          <cell r="EI87">
            <v>1641.2962962962963</v>
          </cell>
          <cell r="EJ87">
            <v>1969.2577845627411</v>
          </cell>
          <cell r="EK87">
            <v>5542</v>
          </cell>
          <cell r="EL87">
            <v>18731960</v>
          </cell>
          <cell r="EM87">
            <v>0.56276655759900718</v>
          </cell>
          <cell r="EN87">
            <v>4923.8888888888887</v>
          </cell>
          <cell r="EO87">
            <v>3282.5925925925926</v>
          </cell>
          <cell r="EP87">
            <v>8206.4814814814818</v>
          </cell>
        </row>
        <row r="88">
          <cell r="F88">
            <v>107142</v>
          </cell>
          <cell r="G88" t="str">
            <v>CREMA LACTEA SOPROLE</v>
          </cell>
          <cell r="H88">
            <v>389</v>
          </cell>
          <cell r="I88">
            <v>1423</v>
          </cell>
          <cell r="J88">
            <v>1171</v>
          </cell>
          <cell r="K88">
            <v>1067</v>
          </cell>
          <cell r="L88">
            <v>829</v>
          </cell>
          <cell r="M88">
            <v>1072</v>
          </cell>
          <cell r="N88">
            <v>1112</v>
          </cell>
          <cell r="O88">
            <v>1008</v>
          </cell>
          <cell r="P88">
            <v>686</v>
          </cell>
          <cell r="Q88">
            <v>570</v>
          </cell>
          <cell r="R88">
            <v>911</v>
          </cell>
          <cell r="S88">
            <v>376</v>
          </cell>
          <cell r="T88">
            <v>807</v>
          </cell>
          <cell r="U88">
            <v>1047</v>
          </cell>
          <cell r="V88">
            <v>522</v>
          </cell>
          <cell r="W88">
            <v>675</v>
          </cell>
          <cell r="X88">
            <v>940</v>
          </cell>
          <cell r="Y88">
            <v>479</v>
          </cell>
          <cell r="Z88">
            <v>367</v>
          </cell>
          <cell r="AA88">
            <v>854</v>
          </cell>
          <cell r="AB88">
            <v>1109</v>
          </cell>
          <cell r="AC88">
            <v>667</v>
          </cell>
          <cell r="AD88">
            <v>707</v>
          </cell>
          <cell r="AE88">
            <v>497</v>
          </cell>
          <cell r="AF88">
            <v>760</v>
          </cell>
          <cell r="AG88">
            <v>906</v>
          </cell>
          <cell r="AH88">
            <v>1477</v>
          </cell>
          <cell r="AI88">
            <v>539</v>
          </cell>
          <cell r="AJ88">
            <v>819</v>
          </cell>
          <cell r="AK88">
            <v>1250</v>
          </cell>
          <cell r="AL88">
            <v>549</v>
          </cell>
          <cell r="AM88">
            <v>401</v>
          </cell>
          <cell r="AN88">
            <v>1014</v>
          </cell>
          <cell r="AO88">
            <v>781</v>
          </cell>
          <cell r="AP88">
            <v>499</v>
          </cell>
          <cell r="AQ88">
            <v>134</v>
          </cell>
          <cell r="AR88">
            <v>321</v>
          </cell>
          <cell r="AS88">
            <v>65</v>
          </cell>
          <cell r="AT88">
            <v>887</v>
          </cell>
          <cell r="AU88">
            <v>779</v>
          </cell>
          <cell r="AV88">
            <v>1764</v>
          </cell>
          <cell r="AW88">
            <v>512</v>
          </cell>
          <cell r="AX88">
            <v>1141</v>
          </cell>
          <cell r="AY88">
            <v>987</v>
          </cell>
          <cell r="AZ88">
            <v>1253</v>
          </cell>
          <cell r="BA88">
            <v>318</v>
          </cell>
          <cell r="BB88">
            <v>1397</v>
          </cell>
          <cell r="BC88">
            <v>940</v>
          </cell>
          <cell r="BD88">
            <v>380</v>
          </cell>
          <cell r="BE88">
            <v>479</v>
          </cell>
          <cell r="BF88">
            <v>937</v>
          </cell>
          <cell r="BG88">
            <v>601</v>
          </cell>
          <cell r="BH88">
            <v>128</v>
          </cell>
          <cell r="BI88">
            <v>1063</v>
          </cell>
          <cell r="BJ88">
            <v>530</v>
          </cell>
          <cell r="BK88">
            <v>1074</v>
          </cell>
          <cell r="BL88">
            <v>877</v>
          </cell>
          <cell r="BM88">
            <v>741</v>
          </cell>
          <cell r="BN88">
            <v>328</v>
          </cell>
          <cell r="BO88">
            <v>478</v>
          </cell>
          <cell r="BP88">
            <v>503</v>
          </cell>
          <cell r="BQ88">
            <v>1666</v>
          </cell>
          <cell r="BR88">
            <v>740</v>
          </cell>
          <cell r="BS88">
            <v>689</v>
          </cell>
          <cell r="BT88">
            <v>1272</v>
          </cell>
          <cell r="BU88">
            <v>801</v>
          </cell>
          <cell r="BV88">
            <v>668</v>
          </cell>
          <cell r="BW88">
            <v>977</v>
          </cell>
          <cell r="BX88">
            <v>477</v>
          </cell>
          <cell r="BY88">
            <v>731</v>
          </cell>
          <cell r="BZ88">
            <v>206</v>
          </cell>
          <cell r="CA88">
            <v>761</v>
          </cell>
          <cell r="CB88">
            <v>1408</v>
          </cell>
          <cell r="CC88">
            <v>925</v>
          </cell>
          <cell r="CD88">
            <v>454</v>
          </cell>
          <cell r="CE88">
            <v>153</v>
          </cell>
          <cell r="CF88">
            <v>104</v>
          </cell>
          <cell r="CG88">
            <v>1180</v>
          </cell>
          <cell r="CH88">
            <v>372</v>
          </cell>
          <cell r="CI88">
            <v>215</v>
          </cell>
          <cell r="CJ88">
            <v>1070</v>
          </cell>
          <cell r="CK88">
            <v>782</v>
          </cell>
          <cell r="CL88">
            <v>177</v>
          </cell>
          <cell r="CM88">
            <v>1090</v>
          </cell>
          <cell r="CN88">
            <v>796</v>
          </cell>
          <cell r="CO88">
            <v>504</v>
          </cell>
          <cell r="CP88">
            <v>619</v>
          </cell>
          <cell r="CQ88">
            <v>1293</v>
          </cell>
          <cell r="CR88">
            <v>735</v>
          </cell>
          <cell r="CS88">
            <v>132</v>
          </cell>
          <cell r="CT88">
            <v>656</v>
          </cell>
          <cell r="CU88">
            <v>811</v>
          </cell>
          <cell r="CV88">
            <v>1216</v>
          </cell>
          <cell r="CW88">
            <v>693</v>
          </cell>
          <cell r="CX88">
            <v>1280</v>
          </cell>
          <cell r="CY88">
            <v>771</v>
          </cell>
          <cell r="CZ88">
            <v>792</v>
          </cell>
          <cell r="DA88">
            <v>929</v>
          </cell>
          <cell r="DB88">
            <v>850</v>
          </cell>
          <cell r="DC88">
            <v>881</v>
          </cell>
          <cell r="DD88">
            <v>498</v>
          </cell>
          <cell r="DE88">
            <v>816</v>
          </cell>
          <cell r="DF88">
            <v>580</v>
          </cell>
          <cell r="DG88">
            <v>633</v>
          </cell>
          <cell r="DH88">
            <v>287</v>
          </cell>
          <cell r="DI88">
            <v>300</v>
          </cell>
          <cell r="DJ88">
            <v>702</v>
          </cell>
          <cell r="DK88">
            <v>1507</v>
          </cell>
          <cell r="DL88">
            <v>1166</v>
          </cell>
          <cell r="DM88">
            <v>1101</v>
          </cell>
          <cell r="DN88">
            <v>862</v>
          </cell>
          <cell r="DO88">
            <v>901</v>
          </cell>
          <cell r="DP88">
            <v>1047</v>
          </cell>
          <cell r="DQ88">
            <v>711</v>
          </cell>
          <cell r="DR88">
            <v>522</v>
          </cell>
          <cell r="DS88">
            <v>533</v>
          </cell>
          <cell r="DT88">
            <v>285</v>
          </cell>
          <cell r="DU88">
            <v>1055</v>
          </cell>
          <cell r="DV88">
            <v>1133</v>
          </cell>
          <cell r="DW88">
            <v>1947</v>
          </cell>
          <cell r="DX88">
            <v>1082</v>
          </cell>
          <cell r="DY88">
            <v>2119</v>
          </cell>
          <cell r="DZ88">
            <v>1638</v>
          </cell>
          <cell r="EA88">
            <v>444</v>
          </cell>
          <cell r="EB88">
            <v>1057</v>
          </cell>
          <cell r="EC88">
            <v>849</v>
          </cell>
          <cell r="ED88">
            <v>1491.126</v>
          </cell>
          <cell r="EE88" t="str">
            <v>ACTIVO</v>
          </cell>
          <cell r="EF88" t="str">
            <v>A</v>
          </cell>
          <cell r="EG88">
            <v>528</v>
          </cell>
          <cell r="EH88">
            <v>1033.9444444444443</v>
          </cell>
          <cell r="EI88">
            <v>172.32407407407405</v>
          </cell>
          <cell r="EJ88">
            <v>356.91169483503131</v>
          </cell>
          <cell r="EK88">
            <v>307</v>
          </cell>
          <cell r="EL88">
            <v>997310.99</v>
          </cell>
          <cell r="EM88">
            <v>0.29692117564880988</v>
          </cell>
          <cell r="EN88">
            <v>516.97222222222217</v>
          </cell>
          <cell r="EO88">
            <v>344.6481481481481</v>
          </cell>
          <cell r="EP88">
            <v>861.62037037037021</v>
          </cell>
        </row>
        <row r="89">
          <cell r="F89">
            <v>107209</v>
          </cell>
          <cell r="G89" t="str">
            <v>CREMA WHIP TOPPIN RICH</v>
          </cell>
          <cell r="H89">
            <v>2356</v>
          </cell>
          <cell r="I89">
            <v>5940</v>
          </cell>
          <cell r="J89">
            <v>5564</v>
          </cell>
          <cell r="K89">
            <v>5860</v>
          </cell>
          <cell r="L89">
            <v>3880</v>
          </cell>
          <cell r="M89">
            <v>4428</v>
          </cell>
          <cell r="N89">
            <v>4948</v>
          </cell>
          <cell r="O89">
            <v>5316</v>
          </cell>
          <cell r="P89">
            <v>3336</v>
          </cell>
          <cell r="Q89">
            <v>3264</v>
          </cell>
          <cell r="R89">
            <v>3792</v>
          </cell>
          <cell r="S89">
            <v>1723</v>
          </cell>
          <cell r="T89">
            <v>3380</v>
          </cell>
          <cell r="U89">
            <v>5440</v>
          </cell>
          <cell r="V89">
            <v>2168</v>
          </cell>
          <cell r="W89">
            <v>4748</v>
          </cell>
          <cell r="X89">
            <v>4340</v>
          </cell>
          <cell r="Y89">
            <v>2712</v>
          </cell>
          <cell r="Z89">
            <v>1960</v>
          </cell>
          <cell r="AA89">
            <v>4612.5</v>
          </cell>
          <cell r="AB89">
            <v>5979.5</v>
          </cell>
          <cell r="AC89">
            <v>4308</v>
          </cell>
          <cell r="AD89">
            <v>4360</v>
          </cell>
          <cell r="AE89">
            <v>2648</v>
          </cell>
          <cell r="AF89">
            <v>4007</v>
          </cell>
          <cell r="AG89">
            <v>5020</v>
          </cell>
          <cell r="AH89">
            <v>3517</v>
          </cell>
          <cell r="AI89">
            <v>4019</v>
          </cell>
          <cell r="AJ89">
            <v>5060</v>
          </cell>
          <cell r="AK89">
            <v>6764</v>
          </cell>
          <cell r="AL89">
            <v>4260</v>
          </cell>
          <cell r="AM89">
            <v>2684</v>
          </cell>
          <cell r="AN89">
            <v>5056</v>
          </cell>
          <cell r="AO89">
            <v>4356</v>
          </cell>
          <cell r="AP89">
            <v>3688</v>
          </cell>
          <cell r="AQ89">
            <v>4624</v>
          </cell>
          <cell r="AR89">
            <v>5120</v>
          </cell>
          <cell r="AS89">
            <v>568</v>
          </cell>
          <cell r="AT89">
            <v>4892</v>
          </cell>
          <cell r="AU89">
            <v>4725</v>
          </cell>
          <cell r="AV89">
            <v>7654</v>
          </cell>
          <cell r="AW89">
            <v>5332</v>
          </cell>
          <cell r="AX89">
            <v>7503.2160000000003</v>
          </cell>
          <cell r="AY89">
            <v>5220</v>
          </cell>
          <cell r="AZ89">
            <v>7007</v>
          </cell>
          <cell r="BA89">
            <v>5600</v>
          </cell>
          <cell r="BB89">
            <v>7573.5</v>
          </cell>
          <cell r="BC89">
            <v>6154</v>
          </cell>
          <cell r="BD89">
            <v>4660</v>
          </cell>
          <cell r="BE89">
            <v>4880</v>
          </cell>
          <cell r="BF89">
            <v>4620</v>
          </cell>
          <cell r="BG89">
            <v>4499</v>
          </cell>
          <cell r="BH89">
            <v>1428</v>
          </cell>
          <cell r="BI89">
            <v>6512</v>
          </cell>
          <cell r="BJ89">
            <v>4644</v>
          </cell>
          <cell r="BK89">
            <v>8764</v>
          </cell>
          <cell r="BL89">
            <v>6104</v>
          </cell>
          <cell r="BM89">
            <v>6102</v>
          </cell>
          <cell r="BN89">
            <v>5386</v>
          </cell>
          <cell r="BO89">
            <v>6388</v>
          </cell>
          <cell r="BP89">
            <v>3164</v>
          </cell>
          <cell r="BQ89">
            <v>8207.5</v>
          </cell>
          <cell r="BR89">
            <v>6309</v>
          </cell>
          <cell r="BS89">
            <v>5350</v>
          </cell>
          <cell r="BT89">
            <v>7608</v>
          </cell>
          <cell r="BU89">
            <v>5916</v>
          </cell>
          <cell r="BV89">
            <v>5424</v>
          </cell>
          <cell r="BW89">
            <v>6944</v>
          </cell>
          <cell r="BX89">
            <v>5800</v>
          </cell>
          <cell r="BY89">
            <v>6600</v>
          </cell>
          <cell r="BZ89">
            <v>2462</v>
          </cell>
          <cell r="CA89">
            <v>5924</v>
          </cell>
          <cell r="CB89">
            <v>8737</v>
          </cell>
          <cell r="CC89">
            <v>9108</v>
          </cell>
          <cell r="CD89">
            <v>6070</v>
          </cell>
          <cell r="CE89">
            <v>3772</v>
          </cell>
          <cell r="CF89">
            <v>4724</v>
          </cell>
          <cell r="CG89">
            <v>6736</v>
          </cell>
          <cell r="CH89">
            <v>4168</v>
          </cell>
          <cell r="CI89">
            <v>5284</v>
          </cell>
          <cell r="CJ89">
            <v>6972</v>
          </cell>
          <cell r="CK89">
            <v>6392</v>
          </cell>
          <cell r="CL89">
            <v>4896</v>
          </cell>
          <cell r="CM89">
            <v>6342</v>
          </cell>
          <cell r="CN89">
            <v>6108</v>
          </cell>
          <cell r="CO89">
            <v>5936</v>
          </cell>
          <cell r="CP89">
            <v>7668</v>
          </cell>
          <cell r="CQ89">
            <v>6744</v>
          </cell>
          <cell r="CR89">
            <v>6632</v>
          </cell>
          <cell r="CS89">
            <v>2380</v>
          </cell>
          <cell r="CT89">
            <v>5052</v>
          </cell>
          <cell r="CU89">
            <v>5188</v>
          </cell>
          <cell r="CV89">
            <v>6016</v>
          </cell>
          <cell r="CW89">
            <v>5984</v>
          </cell>
          <cell r="CX89">
            <v>7016</v>
          </cell>
          <cell r="CY89">
            <v>3544</v>
          </cell>
          <cell r="CZ89">
            <v>5868</v>
          </cell>
          <cell r="DA89">
            <v>4280</v>
          </cell>
          <cell r="DB89">
            <v>5860</v>
          </cell>
          <cell r="DC89">
            <v>4304</v>
          </cell>
          <cell r="DD89">
            <v>3612</v>
          </cell>
          <cell r="DE89">
            <v>3916</v>
          </cell>
          <cell r="DF89">
            <v>4744</v>
          </cell>
          <cell r="DG89">
            <v>3060</v>
          </cell>
          <cell r="DH89">
            <v>2556</v>
          </cell>
          <cell r="DI89">
            <v>1200</v>
          </cell>
          <cell r="DJ89">
            <v>4212</v>
          </cell>
          <cell r="DK89">
            <v>6104</v>
          </cell>
          <cell r="DL89">
            <v>7576</v>
          </cell>
          <cell r="DM89">
            <v>6089</v>
          </cell>
          <cell r="DN89">
            <v>5744</v>
          </cell>
          <cell r="DO89">
            <v>5400</v>
          </cell>
          <cell r="DP89">
            <v>5872</v>
          </cell>
          <cell r="DQ89">
            <v>4964</v>
          </cell>
          <cell r="DR89">
            <v>4988</v>
          </cell>
          <cell r="DS89">
            <v>7140</v>
          </cell>
          <cell r="DT89">
            <v>3816</v>
          </cell>
          <cell r="DU89">
            <v>5044</v>
          </cell>
          <cell r="DV89">
            <v>5856</v>
          </cell>
          <cell r="DW89">
            <v>5780</v>
          </cell>
          <cell r="DX89">
            <v>6940</v>
          </cell>
          <cell r="DY89">
            <v>9212</v>
          </cell>
          <cell r="DZ89">
            <v>6264</v>
          </cell>
          <cell r="EA89">
            <v>1148</v>
          </cell>
          <cell r="EB89">
            <v>6404</v>
          </cell>
          <cell r="EC89">
            <v>6896</v>
          </cell>
          <cell r="ED89">
            <v>5804</v>
          </cell>
          <cell r="EE89" t="str">
            <v>ACTIVO</v>
          </cell>
          <cell r="EF89" t="str">
            <v>A</v>
          </cell>
          <cell r="EG89">
            <v>600</v>
          </cell>
          <cell r="EH89">
            <v>5677.833333333333</v>
          </cell>
          <cell r="EI89">
            <v>946.30555555555554</v>
          </cell>
          <cell r="EJ89">
            <v>1671.0052132516157</v>
          </cell>
          <cell r="EK89">
            <v>4460</v>
          </cell>
          <cell r="EL89">
            <v>10715150</v>
          </cell>
          <cell r="EM89">
            <v>0.78551090498136034</v>
          </cell>
          <cell r="EN89">
            <v>2838.9166666666665</v>
          </cell>
          <cell r="EO89">
            <v>1892.6111111111111</v>
          </cell>
          <cell r="EP89">
            <v>4731.5277777777774</v>
          </cell>
        </row>
        <row r="90">
          <cell r="F90">
            <v>107237</v>
          </cell>
          <cell r="G90" t="str">
            <v>CREMA CHOCOLATE RICHS</v>
          </cell>
          <cell r="H90">
            <v>376</v>
          </cell>
          <cell r="I90">
            <v>252</v>
          </cell>
          <cell r="J90">
            <v>232</v>
          </cell>
          <cell r="K90">
            <v>352</v>
          </cell>
          <cell r="L90">
            <v>284</v>
          </cell>
          <cell r="M90">
            <v>336</v>
          </cell>
          <cell r="N90">
            <v>388</v>
          </cell>
          <cell r="O90">
            <v>352</v>
          </cell>
          <cell r="P90">
            <v>344</v>
          </cell>
          <cell r="Q90">
            <v>340</v>
          </cell>
          <cell r="R90">
            <v>392</v>
          </cell>
          <cell r="S90">
            <v>164</v>
          </cell>
          <cell r="T90">
            <v>88</v>
          </cell>
          <cell r="U90">
            <v>376</v>
          </cell>
          <cell r="V90">
            <v>408</v>
          </cell>
          <cell r="W90">
            <v>368</v>
          </cell>
          <cell r="X90">
            <v>412</v>
          </cell>
          <cell r="Y90">
            <v>404</v>
          </cell>
          <cell r="Z90">
            <v>892</v>
          </cell>
          <cell r="AA90">
            <v>392</v>
          </cell>
          <cell r="AB90">
            <v>436</v>
          </cell>
          <cell r="AC90">
            <v>408</v>
          </cell>
          <cell r="AD90">
            <v>472</v>
          </cell>
          <cell r="AE90">
            <v>572</v>
          </cell>
          <cell r="AF90">
            <v>372</v>
          </cell>
          <cell r="AG90">
            <v>508</v>
          </cell>
          <cell r="AH90">
            <v>833</v>
          </cell>
          <cell r="AI90">
            <v>572</v>
          </cell>
          <cell r="AJ90">
            <v>668</v>
          </cell>
          <cell r="AK90">
            <v>524</v>
          </cell>
          <cell r="AL90">
            <v>624</v>
          </cell>
          <cell r="AM90">
            <v>604</v>
          </cell>
          <cell r="AN90">
            <v>540</v>
          </cell>
          <cell r="AO90">
            <v>532</v>
          </cell>
          <cell r="AP90">
            <v>612</v>
          </cell>
          <cell r="AQ90">
            <v>560</v>
          </cell>
          <cell r="AR90">
            <v>588</v>
          </cell>
          <cell r="AS90">
            <v>140</v>
          </cell>
          <cell r="AT90">
            <v>660</v>
          </cell>
          <cell r="AU90">
            <v>604</v>
          </cell>
          <cell r="AV90">
            <v>568</v>
          </cell>
          <cell r="AW90">
            <v>520</v>
          </cell>
          <cell r="AX90">
            <v>620</v>
          </cell>
          <cell r="AY90">
            <v>560</v>
          </cell>
          <cell r="AZ90">
            <v>612</v>
          </cell>
          <cell r="BA90">
            <v>740</v>
          </cell>
          <cell r="BB90">
            <v>540</v>
          </cell>
          <cell r="BC90">
            <v>576</v>
          </cell>
          <cell r="BD90">
            <v>552</v>
          </cell>
          <cell r="BE90">
            <v>676</v>
          </cell>
          <cell r="BF90">
            <v>864</v>
          </cell>
          <cell r="BG90">
            <v>548</v>
          </cell>
          <cell r="BH90">
            <v>392</v>
          </cell>
          <cell r="BI90">
            <v>572</v>
          </cell>
          <cell r="BJ90">
            <v>388</v>
          </cell>
          <cell r="BK90">
            <v>488</v>
          </cell>
          <cell r="BL90">
            <v>620</v>
          </cell>
          <cell r="BM90">
            <v>584</v>
          </cell>
          <cell r="BN90">
            <v>677</v>
          </cell>
          <cell r="BO90">
            <v>516</v>
          </cell>
          <cell r="BP90">
            <v>584</v>
          </cell>
          <cell r="BQ90">
            <v>504</v>
          </cell>
          <cell r="BR90">
            <v>780</v>
          </cell>
          <cell r="BS90">
            <v>520</v>
          </cell>
          <cell r="BT90">
            <v>532</v>
          </cell>
          <cell r="BU90">
            <v>516</v>
          </cell>
          <cell r="BV90">
            <v>816</v>
          </cell>
          <cell r="BW90">
            <v>744</v>
          </cell>
          <cell r="BX90">
            <v>972</v>
          </cell>
          <cell r="BY90">
            <v>816</v>
          </cell>
          <cell r="BZ90">
            <v>752</v>
          </cell>
          <cell r="CA90">
            <v>540</v>
          </cell>
          <cell r="CB90">
            <v>808</v>
          </cell>
          <cell r="CC90">
            <v>564</v>
          </cell>
          <cell r="CD90">
            <v>1148</v>
          </cell>
          <cell r="CE90">
            <v>1168</v>
          </cell>
          <cell r="CF90">
            <v>1224</v>
          </cell>
          <cell r="CG90">
            <v>780</v>
          </cell>
          <cell r="CH90">
            <v>692</v>
          </cell>
          <cell r="CI90">
            <v>860</v>
          </cell>
          <cell r="CJ90">
            <v>456</v>
          </cell>
          <cell r="CK90">
            <v>468</v>
          </cell>
          <cell r="CL90">
            <v>828</v>
          </cell>
          <cell r="CM90">
            <v>900</v>
          </cell>
          <cell r="CN90">
            <v>520</v>
          </cell>
          <cell r="CO90">
            <v>920</v>
          </cell>
          <cell r="CP90">
            <v>932</v>
          </cell>
          <cell r="CQ90">
            <v>1052</v>
          </cell>
          <cell r="CR90">
            <v>704</v>
          </cell>
          <cell r="CS90">
            <v>224</v>
          </cell>
          <cell r="CT90">
            <v>864</v>
          </cell>
          <cell r="CU90">
            <v>756</v>
          </cell>
          <cell r="CV90">
            <v>1112</v>
          </cell>
          <cell r="CW90">
            <v>388</v>
          </cell>
          <cell r="CX90">
            <v>872</v>
          </cell>
          <cell r="CY90">
            <v>872</v>
          </cell>
          <cell r="CZ90">
            <v>940</v>
          </cell>
          <cell r="DA90">
            <v>640</v>
          </cell>
          <cell r="DB90">
            <v>1316</v>
          </cell>
          <cell r="DC90">
            <v>764</v>
          </cell>
          <cell r="DD90">
            <v>480</v>
          </cell>
          <cell r="DE90">
            <v>380</v>
          </cell>
          <cell r="DF90">
            <v>764</v>
          </cell>
          <cell r="DG90">
            <v>444</v>
          </cell>
          <cell r="DH90">
            <v>464</v>
          </cell>
          <cell r="DI90">
            <v>140</v>
          </cell>
          <cell r="DJ90">
            <v>959.8</v>
          </cell>
          <cell r="DK90">
            <v>736</v>
          </cell>
          <cell r="DL90">
            <v>628</v>
          </cell>
          <cell r="DM90">
            <v>536</v>
          </cell>
          <cell r="DN90">
            <v>1240</v>
          </cell>
          <cell r="DO90">
            <v>1060</v>
          </cell>
          <cell r="DP90">
            <v>688</v>
          </cell>
          <cell r="DQ90">
            <v>584</v>
          </cell>
          <cell r="DR90">
            <v>992</v>
          </cell>
          <cell r="DS90">
            <v>816</v>
          </cell>
          <cell r="DT90">
            <v>1516</v>
          </cell>
          <cell r="DU90">
            <v>1972</v>
          </cell>
          <cell r="DV90">
            <v>904</v>
          </cell>
          <cell r="DW90">
            <v>1280</v>
          </cell>
          <cell r="DX90">
            <v>1476</v>
          </cell>
          <cell r="DY90">
            <v>558</v>
          </cell>
          <cell r="DZ90">
            <v>1612</v>
          </cell>
          <cell r="EA90">
            <v>552</v>
          </cell>
          <cell r="EB90">
            <v>508</v>
          </cell>
          <cell r="EC90">
            <v>1664</v>
          </cell>
          <cell r="ED90">
            <v>728</v>
          </cell>
          <cell r="EE90" t="str">
            <v>ACTIVO</v>
          </cell>
          <cell r="EF90" t="str">
            <v>A</v>
          </cell>
          <cell r="EG90">
            <v>960</v>
          </cell>
          <cell r="EH90">
            <v>983.21111111111111</v>
          </cell>
          <cell r="EI90">
            <v>163.86851851851853</v>
          </cell>
          <cell r="EJ90">
            <v>243.18328839821288</v>
          </cell>
          <cell r="EK90">
            <v>1004</v>
          </cell>
          <cell r="EL90">
            <v>4119652.96</v>
          </cell>
          <cell r="EM90">
            <v>1.0211438709896146</v>
          </cell>
          <cell r="EN90">
            <v>491.60555555555561</v>
          </cell>
          <cell r="EO90">
            <v>327.73703703703706</v>
          </cell>
          <cell r="EP90">
            <v>819.34259259259261</v>
          </cell>
        </row>
        <row r="91">
          <cell r="F91">
            <v>107242</v>
          </cell>
          <cell r="G91" t="str">
            <v>CREMA RELLENO SABOR NARANJA ESP. QUINTA SC 1X5 Kg</v>
          </cell>
          <cell r="H91">
            <v>2385</v>
          </cell>
          <cell r="I91">
            <v>2345</v>
          </cell>
          <cell r="J91">
            <v>3205</v>
          </cell>
          <cell r="K91">
            <v>3155</v>
          </cell>
          <cell r="L91">
            <v>3040</v>
          </cell>
          <cell r="M91">
            <v>2505</v>
          </cell>
          <cell r="N91">
            <v>1520</v>
          </cell>
          <cell r="O91">
            <v>2120</v>
          </cell>
          <cell r="P91">
            <v>2485</v>
          </cell>
          <cell r="Q91">
            <v>2100</v>
          </cell>
          <cell r="R91">
            <v>2275</v>
          </cell>
          <cell r="S91">
            <v>1700</v>
          </cell>
          <cell r="T91">
            <v>1670</v>
          </cell>
          <cell r="U91">
            <v>2105</v>
          </cell>
          <cell r="V91">
            <v>1745</v>
          </cell>
          <cell r="W91">
            <v>2490</v>
          </cell>
          <cell r="X91">
            <v>3860</v>
          </cell>
          <cell r="Y91">
            <v>1785</v>
          </cell>
          <cell r="Z91">
            <v>830</v>
          </cell>
          <cell r="AA91">
            <v>1910</v>
          </cell>
          <cell r="AB91">
            <v>2204</v>
          </cell>
          <cell r="AC91">
            <v>1790</v>
          </cell>
          <cell r="AD91">
            <v>2925</v>
          </cell>
          <cell r="AE91">
            <v>2465</v>
          </cell>
          <cell r="AF91">
            <v>1405</v>
          </cell>
          <cell r="AG91">
            <v>2040</v>
          </cell>
          <cell r="AH91">
            <v>2299</v>
          </cell>
          <cell r="AI91">
            <v>2325</v>
          </cell>
          <cell r="AJ91">
            <v>1930</v>
          </cell>
          <cell r="AK91">
            <v>2175</v>
          </cell>
          <cell r="AL91">
            <v>2245</v>
          </cell>
          <cell r="AM91">
            <v>2760</v>
          </cell>
          <cell r="AN91">
            <v>1650</v>
          </cell>
          <cell r="AO91">
            <v>1635</v>
          </cell>
          <cell r="AP91">
            <v>2050</v>
          </cell>
          <cell r="AQ91">
            <v>1615</v>
          </cell>
          <cell r="AR91">
            <v>1680</v>
          </cell>
          <cell r="AS91">
            <v>1575</v>
          </cell>
          <cell r="AT91">
            <v>1490</v>
          </cell>
          <cell r="AU91">
            <v>1340</v>
          </cell>
          <cell r="AV91">
            <v>1460</v>
          </cell>
          <cell r="AW91">
            <v>2705</v>
          </cell>
          <cell r="AX91">
            <v>2230</v>
          </cell>
          <cell r="AY91">
            <v>1370</v>
          </cell>
          <cell r="AZ91">
            <v>1790</v>
          </cell>
          <cell r="BA91">
            <v>1625</v>
          </cell>
          <cell r="BB91">
            <v>2075</v>
          </cell>
          <cell r="BC91">
            <v>1615</v>
          </cell>
          <cell r="BD91">
            <v>1705</v>
          </cell>
          <cell r="BE91">
            <v>1705</v>
          </cell>
          <cell r="BF91">
            <v>1335</v>
          </cell>
          <cell r="BG91">
            <v>2295</v>
          </cell>
          <cell r="BH91">
            <v>1255</v>
          </cell>
          <cell r="BI91">
            <v>1500</v>
          </cell>
          <cell r="BJ91">
            <v>1125</v>
          </cell>
          <cell r="BK91">
            <v>2280</v>
          </cell>
          <cell r="BL91">
            <v>1695</v>
          </cell>
          <cell r="BM91">
            <v>1685</v>
          </cell>
          <cell r="BN91">
            <v>2215</v>
          </cell>
          <cell r="BO91">
            <v>2360</v>
          </cell>
          <cell r="BP91">
            <v>1460</v>
          </cell>
          <cell r="BQ91">
            <v>1180</v>
          </cell>
          <cell r="BR91">
            <v>2645</v>
          </cell>
          <cell r="BS91">
            <v>3245</v>
          </cell>
          <cell r="BT91">
            <v>3670</v>
          </cell>
          <cell r="BU91">
            <v>950</v>
          </cell>
          <cell r="BV91">
            <v>1755</v>
          </cell>
          <cell r="BW91">
            <v>2440</v>
          </cell>
          <cell r="BX91">
            <v>3635</v>
          </cell>
          <cell r="BY91">
            <v>1815</v>
          </cell>
          <cell r="BZ91">
            <v>400</v>
          </cell>
          <cell r="CA91">
            <v>1380</v>
          </cell>
          <cell r="CB91">
            <v>2095</v>
          </cell>
          <cell r="CC91">
            <v>2600</v>
          </cell>
          <cell r="CD91">
            <v>1575</v>
          </cell>
          <cell r="CE91">
            <v>430</v>
          </cell>
          <cell r="CF91">
            <v>3050</v>
          </cell>
          <cell r="CG91">
            <v>2055</v>
          </cell>
          <cell r="CH91">
            <v>775</v>
          </cell>
          <cell r="CI91">
            <v>2460</v>
          </cell>
          <cell r="CK91">
            <v>2925</v>
          </cell>
          <cell r="CL91">
            <v>1800</v>
          </cell>
          <cell r="CM91">
            <v>1990</v>
          </cell>
          <cell r="CN91">
            <v>2255</v>
          </cell>
          <cell r="CO91">
            <v>2020</v>
          </cell>
          <cell r="CP91">
            <v>2415</v>
          </cell>
          <cell r="CQ91">
            <v>3090</v>
          </cell>
          <cell r="CR91">
            <v>3475</v>
          </cell>
          <cell r="CS91">
            <v>1635</v>
          </cell>
          <cell r="CT91">
            <v>2110</v>
          </cell>
          <cell r="CU91">
            <v>170</v>
          </cell>
          <cell r="CV91">
            <v>2640</v>
          </cell>
          <cell r="CW91">
            <v>1195</v>
          </cell>
          <cell r="CX91">
            <v>2600</v>
          </cell>
          <cell r="CY91">
            <v>1160</v>
          </cell>
          <cell r="CZ91">
            <v>1580</v>
          </cell>
          <cell r="DA91">
            <v>3390</v>
          </cell>
          <cell r="DB91">
            <v>2540</v>
          </cell>
          <cell r="DC91">
            <v>2730</v>
          </cell>
          <cell r="DD91">
            <v>1490</v>
          </cell>
          <cell r="DE91">
            <v>1915</v>
          </cell>
          <cell r="DF91">
            <v>530</v>
          </cell>
          <cell r="DG91">
            <v>165</v>
          </cell>
          <cell r="DH91">
            <v>135</v>
          </cell>
          <cell r="DI91">
            <v>160</v>
          </cell>
          <cell r="DJ91">
            <v>1940</v>
          </cell>
          <cell r="DK91">
            <v>1665</v>
          </cell>
          <cell r="DL91">
            <v>1575</v>
          </cell>
          <cell r="DM91">
            <v>2115</v>
          </cell>
          <cell r="DN91">
            <v>2775</v>
          </cell>
          <cell r="DO91">
            <v>1205</v>
          </cell>
          <cell r="DP91">
            <v>1820</v>
          </cell>
          <cell r="DQ91">
            <v>2015</v>
          </cell>
          <cell r="DR91">
            <v>1650</v>
          </cell>
          <cell r="DS91">
            <v>1490</v>
          </cell>
          <cell r="DT91">
            <v>925</v>
          </cell>
          <cell r="DU91">
            <v>1560</v>
          </cell>
          <cell r="DV91">
            <v>1085</v>
          </cell>
          <cell r="DW91">
            <v>1120</v>
          </cell>
          <cell r="DX91">
            <v>2150</v>
          </cell>
          <cell r="DY91">
            <v>3905</v>
          </cell>
          <cell r="DZ91">
            <v>1575</v>
          </cell>
          <cell r="EB91">
            <v>2185</v>
          </cell>
          <cell r="EC91">
            <v>1730</v>
          </cell>
          <cell r="ED91">
            <v>2315</v>
          </cell>
          <cell r="EE91" t="str">
            <v>ACTIVO</v>
          </cell>
          <cell r="EF91" t="str">
            <v>A</v>
          </cell>
          <cell r="EG91">
            <v>500</v>
          </cell>
          <cell r="EH91">
            <v>1707.2222222222222</v>
          </cell>
          <cell r="EI91">
            <v>284.53703703703701</v>
          </cell>
          <cell r="EJ91">
            <v>913.29518648799501</v>
          </cell>
          <cell r="EK91">
            <v>4965</v>
          </cell>
          <cell r="EL91">
            <v>21204224.100000001</v>
          </cell>
          <cell r="EM91">
            <v>2.9082329970712659</v>
          </cell>
          <cell r="EN91">
            <v>569.07407407407402</v>
          </cell>
          <cell r="EO91">
            <v>569.07407407407402</v>
          </cell>
          <cell r="EP91">
            <v>1138.148148148148</v>
          </cell>
        </row>
        <row r="92">
          <cell r="F92">
            <v>405533</v>
          </cell>
          <cell r="G92" t="str">
            <v>ULTRA RICH CLASICA UHT</v>
          </cell>
          <cell r="BW92">
            <v>205</v>
          </cell>
          <cell r="BX92">
            <v>1529.3078230000001</v>
          </cell>
          <cell r="BY92">
            <v>1189</v>
          </cell>
          <cell r="BZ92">
            <v>1909</v>
          </cell>
          <cell r="CA92">
            <v>880</v>
          </cell>
          <cell r="CB92">
            <v>849</v>
          </cell>
          <cell r="CC92">
            <v>878</v>
          </cell>
          <cell r="CD92">
            <v>971</v>
          </cell>
          <cell r="CE92">
            <v>1750</v>
          </cell>
          <cell r="CF92">
            <v>1064</v>
          </cell>
          <cell r="CG92">
            <v>1079</v>
          </cell>
          <cell r="CH92">
            <v>955</v>
          </cell>
          <cell r="CI92">
            <v>1167</v>
          </cell>
          <cell r="CJ92">
            <v>1112</v>
          </cell>
          <cell r="CK92">
            <v>1120</v>
          </cell>
          <cell r="CL92">
            <v>1050</v>
          </cell>
          <cell r="CM92">
            <v>1587</v>
          </cell>
          <cell r="CN92">
            <v>1088</v>
          </cell>
          <cell r="CO92">
            <v>1161</v>
          </cell>
          <cell r="CP92">
            <v>1111</v>
          </cell>
          <cell r="CQ92">
            <v>850</v>
          </cell>
          <cell r="CR92">
            <v>829</v>
          </cell>
          <cell r="CS92">
            <v>222</v>
          </cell>
          <cell r="CT92">
            <v>1555</v>
          </cell>
          <cell r="CU92">
            <v>1625</v>
          </cell>
          <cell r="CV92">
            <v>1969</v>
          </cell>
          <cell r="CW92">
            <v>1471</v>
          </cell>
          <cell r="CX92">
            <v>1325</v>
          </cell>
          <cell r="CY92">
            <v>1475</v>
          </cell>
          <cell r="CZ92">
            <v>1032</v>
          </cell>
          <cell r="DA92">
            <v>1404</v>
          </cell>
          <cell r="DB92">
            <v>1026</v>
          </cell>
          <cell r="DC92">
            <v>1241</v>
          </cell>
          <cell r="DD92">
            <v>1017</v>
          </cell>
          <cell r="DE92">
            <v>893</v>
          </cell>
          <cell r="DF92">
            <v>1290</v>
          </cell>
          <cell r="DG92">
            <v>849</v>
          </cell>
          <cell r="DH92">
            <v>504</v>
          </cell>
          <cell r="DI92">
            <v>281</v>
          </cell>
          <cell r="DJ92">
            <v>1271</v>
          </cell>
          <cell r="DK92">
            <v>1049</v>
          </cell>
          <cell r="DL92">
            <v>1012</v>
          </cell>
          <cell r="DM92">
            <v>1159</v>
          </cell>
          <cell r="DN92">
            <v>942</v>
          </cell>
          <cell r="DO92">
            <v>1221</v>
          </cell>
          <cell r="DP92">
            <v>992</v>
          </cell>
          <cell r="DQ92">
            <v>1008</v>
          </cell>
          <cell r="DR92">
            <v>1007</v>
          </cell>
          <cell r="DS92">
            <v>1183</v>
          </cell>
          <cell r="DT92">
            <v>1230</v>
          </cell>
          <cell r="DU92">
            <v>1431</v>
          </cell>
          <cell r="DV92">
            <v>1314</v>
          </cell>
          <cell r="DW92">
            <v>1311</v>
          </cell>
          <cell r="DX92">
            <v>1185</v>
          </cell>
          <cell r="DY92">
            <v>995</v>
          </cell>
          <cell r="DZ92">
            <v>1590</v>
          </cell>
          <cell r="EA92">
            <v>1255</v>
          </cell>
          <cell r="EB92">
            <v>1062</v>
          </cell>
          <cell r="EC92">
            <v>890</v>
          </cell>
          <cell r="ED92">
            <v>990</v>
          </cell>
          <cell r="EE92" t="str">
            <v>ACTIVO</v>
          </cell>
          <cell r="EF92" t="str">
            <v>A</v>
          </cell>
          <cell r="EH92">
            <v>1121.1666666666667</v>
          </cell>
          <cell r="EI92">
            <v>186.86111111111111</v>
          </cell>
          <cell r="EJ92">
            <v>387.82399090499842</v>
          </cell>
          <cell r="EK92">
            <v>1290</v>
          </cell>
          <cell r="EL92">
            <v>2923140</v>
          </cell>
          <cell r="EM92">
            <v>1.1505871859669985</v>
          </cell>
          <cell r="EN92">
            <v>560.58333333333337</v>
          </cell>
          <cell r="EO92">
            <v>373.72222222222223</v>
          </cell>
          <cell r="EP92">
            <v>934.30555555555566</v>
          </cell>
        </row>
        <row r="93">
          <cell r="F93">
            <v>405559</v>
          </cell>
          <cell r="G93" t="str">
            <v>CREAM CHEESE BALDE MILKAUT SANTA ROSA</v>
          </cell>
          <cell r="CY93">
            <v>25.2</v>
          </cell>
          <cell r="CZ93">
            <v>82.800000000000011</v>
          </cell>
          <cell r="DA93">
            <v>104.39999999999999</v>
          </cell>
          <cell r="DB93">
            <v>126.00000000000001</v>
          </cell>
          <cell r="DC93">
            <v>135.20000000000002</v>
          </cell>
          <cell r="DD93">
            <v>115.20000000000003</v>
          </cell>
          <cell r="DE93">
            <v>64.8</v>
          </cell>
          <cell r="DF93">
            <v>3.6</v>
          </cell>
          <cell r="DH93">
            <v>28.2</v>
          </cell>
          <cell r="DJ93">
            <v>99.000000000000014</v>
          </cell>
          <cell r="DK93">
            <v>57.600000000000009</v>
          </cell>
          <cell r="DL93">
            <v>102.60000000000001</v>
          </cell>
          <cell r="DM93">
            <v>118.8</v>
          </cell>
          <cell r="DN93">
            <v>86.40000000000002</v>
          </cell>
          <cell r="DO93">
            <v>57.600000000000009</v>
          </cell>
          <cell r="DP93">
            <v>57.600000000000009</v>
          </cell>
          <cell r="DQ93">
            <v>61.20000000000001</v>
          </cell>
          <cell r="DR93">
            <v>28.8</v>
          </cell>
          <cell r="DS93">
            <v>103.5</v>
          </cell>
          <cell r="DT93">
            <v>73.8</v>
          </cell>
          <cell r="DU93">
            <v>57.600000000000009</v>
          </cell>
          <cell r="DV93">
            <v>68.400000000000006</v>
          </cell>
          <cell r="DW93">
            <v>64.800000000000011</v>
          </cell>
          <cell r="DX93">
            <v>26.1</v>
          </cell>
          <cell r="DY93">
            <v>107.6</v>
          </cell>
          <cell r="DZ93">
            <v>115.20000000000002</v>
          </cell>
          <cell r="EA93">
            <v>180</v>
          </cell>
          <cell r="EB93">
            <v>122.4</v>
          </cell>
          <cell r="EC93">
            <v>54</v>
          </cell>
          <cell r="ED93">
            <v>140.4</v>
          </cell>
          <cell r="EE93" t="str">
            <v>ACTIVO</v>
          </cell>
          <cell r="EF93" t="str">
            <v>C</v>
          </cell>
          <cell r="EG93" t="str">
            <v/>
          </cell>
          <cell r="EH93">
            <v>75.682352941176461</v>
          </cell>
          <cell r="EI93">
            <v>12.613725490196076</v>
          </cell>
          <cell r="EJ93">
            <v>48.252645293059103</v>
          </cell>
          <cell r="EK93">
            <v>298.8</v>
          </cell>
          <cell r="EL93">
            <v>1958550.3359999999</v>
          </cell>
          <cell r="EM93">
            <v>3.948080211409918</v>
          </cell>
          <cell r="EN93">
            <v>37.841176470588231</v>
          </cell>
          <cell r="EO93">
            <v>25.227450980392153</v>
          </cell>
          <cell r="EP93">
            <v>63.068627450980387</v>
          </cell>
        </row>
        <row r="94">
          <cell r="F94">
            <v>107254</v>
          </cell>
          <cell r="G94" t="str">
            <v>CREMA PASTELERA JUMBO PURATOS</v>
          </cell>
          <cell r="H94">
            <v>640</v>
          </cell>
          <cell r="I94">
            <v>1200</v>
          </cell>
          <cell r="J94">
            <v>1050</v>
          </cell>
          <cell r="K94">
            <v>970</v>
          </cell>
          <cell r="L94">
            <v>800</v>
          </cell>
          <cell r="M94">
            <v>970</v>
          </cell>
          <cell r="N94">
            <v>750</v>
          </cell>
          <cell r="O94">
            <v>760</v>
          </cell>
          <cell r="P94">
            <v>1060</v>
          </cell>
          <cell r="Q94">
            <v>80</v>
          </cell>
          <cell r="S94">
            <v>28</v>
          </cell>
          <cell r="U94">
            <v>30.036000000000001</v>
          </cell>
          <cell r="EE94" t="str">
            <v>SIN USO</v>
          </cell>
          <cell r="EF94" t="str">
            <v/>
          </cell>
          <cell r="EG94" t="str">
            <v/>
          </cell>
          <cell r="EH94">
            <v>0</v>
          </cell>
          <cell r="EI94">
            <v>0</v>
          </cell>
          <cell r="EJ94">
            <v>0</v>
          </cell>
          <cell r="EK94">
            <v>0</v>
          </cell>
          <cell r="EL94">
            <v>0</v>
          </cell>
          <cell r="EM94">
            <v>0</v>
          </cell>
          <cell r="EN94">
            <v>0</v>
          </cell>
          <cell r="EO94">
            <v>0</v>
          </cell>
          <cell r="EP94">
            <v>0</v>
          </cell>
        </row>
        <row r="95">
          <cell r="F95">
            <v>107283</v>
          </cell>
          <cell r="G95" t="str">
            <v>CREMA CHANTIFESTA RICHS</v>
          </cell>
          <cell r="H95">
            <v>1101</v>
          </cell>
          <cell r="I95">
            <v>1099</v>
          </cell>
          <cell r="J95">
            <v>1106</v>
          </cell>
          <cell r="K95">
            <v>1143</v>
          </cell>
          <cell r="L95">
            <v>1270</v>
          </cell>
          <cell r="M95">
            <v>1384</v>
          </cell>
          <cell r="N95">
            <v>1276</v>
          </cell>
          <cell r="O95">
            <v>1201</v>
          </cell>
          <cell r="P95">
            <v>1036</v>
          </cell>
          <cell r="Q95">
            <v>1035</v>
          </cell>
          <cell r="R95">
            <v>1147</v>
          </cell>
          <cell r="S95">
            <v>1277</v>
          </cell>
          <cell r="T95">
            <v>1168</v>
          </cell>
          <cell r="U95">
            <v>1350</v>
          </cell>
          <cell r="V95">
            <v>1129</v>
          </cell>
          <cell r="W95">
            <v>968</v>
          </cell>
          <cell r="X95">
            <v>1238</v>
          </cell>
          <cell r="Y95">
            <v>1385</v>
          </cell>
          <cell r="Z95">
            <v>1669</v>
          </cell>
          <cell r="AA95">
            <v>983</v>
          </cell>
          <cell r="AB95">
            <v>1225</v>
          </cell>
          <cell r="AC95">
            <v>1187</v>
          </cell>
          <cell r="AD95">
            <v>1243</v>
          </cell>
          <cell r="AE95">
            <v>1115</v>
          </cell>
          <cell r="AF95">
            <v>1021</v>
          </cell>
          <cell r="AG95">
            <v>1325</v>
          </cell>
          <cell r="AH95">
            <v>1265</v>
          </cell>
          <cell r="AI95">
            <v>1032</v>
          </cell>
          <cell r="AJ95">
            <v>1276</v>
          </cell>
          <cell r="AK95">
            <v>1131</v>
          </cell>
          <cell r="AL95">
            <v>1111</v>
          </cell>
          <cell r="AM95">
            <v>1675</v>
          </cell>
          <cell r="AN95">
            <v>1472</v>
          </cell>
          <cell r="AO95">
            <v>1036</v>
          </cell>
          <cell r="AP95">
            <v>975</v>
          </cell>
          <cell r="AQ95">
            <v>969</v>
          </cell>
          <cell r="AR95">
            <v>905</v>
          </cell>
          <cell r="AS95">
            <v>178</v>
          </cell>
          <cell r="AT95">
            <v>1129</v>
          </cell>
          <cell r="AU95">
            <v>700</v>
          </cell>
          <cell r="AV95">
            <v>712</v>
          </cell>
          <cell r="AW95">
            <v>1008</v>
          </cell>
          <cell r="AX95">
            <v>815</v>
          </cell>
          <cell r="AY95">
            <v>697</v>
          </cell>
          <cell r="AZ95">
            <v>1105</v>
          </cell>
          <cell r="BA95">
            <v>904</v>
          </cell>
          <cell r="BB95">
            <v>953</v>
          </cell>
          <cell r="BC95">
            <v>1057</v>
          </cell>
          <cell r="BD95">
            <v>914</v>
          </cell>
          <cell r="BE95">
            <v>815</v>
          </cell>
          <cell r="BF95">
            <v>1007</v>
          </cell>
          <cell r="BG95">
            <v>921</v>
          </cell>
          <cell r="BH95">
            <v>773</v>
          </cell>
          <cell r="BI95">
            <v>854</v>
          </cell>
          <cell r="BJ95">
            <v>585</v>
          </cell>
          <cell r="BK95">
            <v>960</v>
          </cell>
          <cell r="BL95">
            <v>813</v>
          </cell>
          <cell r="BM95">
            <v>939</v>
          </cell>
          <cell r="BN95">
            <v>1075</v>
          </cell>
          <cell r="BO95">
            <v>727</v>
          </cell>
          <cell r="BP95">
            <v>761</v>
          </cell>
          <cell r="BQ95">
            <v>1144</v>
          </cell>
          <cell r="BR95">
            <v>834</v>
          </cell>
          <cell r="BS95">
            <v>811</v>
          </cell>
          <cell r="BT95">
            <v>808</v>
          </cell>
          <cell r="BU95">
            <v>865</v>
          </cell>
          <cell r="BV95">
            <v>792</v>
          </cell>
          <cell r="BW95">
            <v>645</v>
          </cell>
          <cell r="BX95">
            <v>0.69217700000000004</v>
          </cell>
          <cell r="EE95" t="str">
            <v>SIN USO</v>
          </cell>
          <cell r="EF95" t="str">
            <v>B</v>
          </cell>
          <cell r="EG95">
            <v>720</v>
          </cell>
          <cell r="EH95">
            <v>0</v>
          </cell>
          <cell r="EI95">
            <v>0</v>
          </cell>
          <cell r="EJ95">
            <v>245.15843244051595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</row>
        <row r="96">
          <cell r="F96">
            <v>107342</v>
          </cell>
          <cell r="G96" t="str">
            <v>CREMA CHANTYPACK PURATOS</v>
          </cell>
          <cell r="K96">
            <v>1786</v>
          </cell>
          <cell r="L96">
            <v>2958</v>
          </cell>
          <cell r="M96">
            <v>2460</v>
          </cell>
          <cell r="N96">
            <v>2247</v>
          </cell>
          <cell r="O96">
            <v>1985</v>
          </cell>
          <cell r="P96">
            <v>1226</v>
          </cell>
          <cell r="U96">
            <v>2713</v>
          </cell>
          <cell r="V96">
            <v>4094</v>
          </cell>
          <cell r="W96">
            <v>2464</v>
          </cell>
          <cell r="X96">
            <v>3518</v>
          </cell>
          <cell r="Y96">
            <v>2652</v>
          </cell>
          <cell r="Z96">
            <v>4394</v>
          </cell>
          <cell r="AA96">
            <v>2043</v>
          </cell>
          <cell r="AB96">
            <v>1159</v>
          </cell>
          <cell r="BS96">
            <v>1879</v>
          </cell>
          <cell r="BT96">
            <v>281</v>
          </cell>
          <cell r="BZ96">
            <v>69</v>
          </cell>
          <cell r="DF96">
            <v>156</v>
          </cell>
          <cell r="DN96">
            <v>441</v>
          </cell>
          <cell r="DO96">
            <v>943</v>
          </cell>
          <cell r="DP96">
            <v>587</v>
          </cell>
          <cell r="DQ96">
            <v>599</v>
          </cell>
          <cell r="DR96">
            <v>965</v>
          </cell>
          <cell r="DS96">
            <v>1281</v>
          </cell>
          <cell r="DT96">
            <v>638</v>
          </cell>
          <cell r="DU96">
            <v>697</v>
          </cell>
          <cell r="DV96">
            <v>707</v>
          </cell>
          <cell r="DW96">
            <v>667</v>
          </cell>
          <cell r="DX96">
            <v>604</v>
          </cell>
          <cell r="DY96">
            <v>655</v>
          </cell>
          <cell r="DZ96">
            <v>1015</v>
          </cell>
          <cell r="EA96">
            <v>1619</v>
          </cell>
          <cell r="EB96">
            <v>716</v>
          </cell>
          <cell r="EC96">
            <v>601</v>
          </cell>
          <cell r="ED96">
            <v>688</v>
          </cell>
          <cell r="EE96" t="str">
            <v>ACTIVO</v>
          </cell>
          <cell r="EF96" t="str">
            <v>C</v>
          </cell>
          <cell r="EG96" t="str">
            <v/>
          </cell>
          <cell r="EH96">
            <v>753.76923076923072</v>
          </cell>
          <cell r="EI96">
            <v>125.62820512820512</v>
          </cell>
          <cell r="EJ96">
            <v>859.5818266265677</v>
          </cell>
          <cell r="EK96">
            <v>1516</v>
          </cell>
          <cell r="EL96">
            <v>3624756</v>
          </cell>
          <cell r="EM96">
            <v>2.0112256352689051</v>
          </cell>
          <cell r="EN96">
            <v>376.88461538461536</v>
          </cell>
          <cell r="EO96">
            <v>251.25641025641025</v>
          </cell>
          <cell r="EP96">
            <v>628.14102564102564</v>
          </cell>
        </row>
        <row r="97">
          <cell r="F97">
            <v>170179</v>
          </cell>
          <cell r="G97" t="str">
            <v>CREMA AMBIENTE ICING PURATOS</v>
          </cell>
          <cell r="H97">
            <v>80</v>
          </cell>
          <cell r="I97">
            <v>29</v>
          </cell>
          <cell r="J97">
            <v>121</v>
          </cell>
          <cell r="K97">
            <v>120</v>
          </cell>
          <cell r="EE97" t="str">
            <v>SIN USO</v>
          </cell>
          <cell r="EF97" t="str">
            <v>C</v>
          </cell>
          <cell r="EG97" t="str">
            <v/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</row>
        <row r="98">
          <cell r="F98">
            <v>405197</v>
          </cell>
          <cell r="G98" t="str">
            <v>CREMA HULALA MEL</v>
          </cell>
          <cell r="H98">
            <v>1434</v>
          </cell>
          <cell r="I98">
            <v>1867</v>
          </cell>
          <cell r="J98">
            <v>1794</v>
          </cell>
          <cell r="K98">
            <v>580</v>
          </cell>
          <cell r="P98">
            <v>801</v>
          </cell>
          <cell r="Q98">
            <v>2672</v>
          </cell>
          <cell r="R98">
            <v>3330</v>
          </cell>
          <cell r="S98">
            <v>2396</v>
          </cell>
          <cell r="T98">
            <v>1867</v>
          </cell>
          <cell r="U98">
            <v>339</v>
          </cell>
          <cell r="EE98" t="str">
            <v>SIN USO</v>
          </cell>
          <cell r="EF98" t="str">
            <v/>
          </cell>
          <cell r="EG98" t="str">
            <v/>
          </cell>
          <cell r="EH98">
            <v>0</v>
          </cell>
          <cell r="EI98">
            <v>0</v>
          </cell>
          <cell r="EJ98">
            <v>0</v>
          </cell>
          <cell r="EK98">
            <v>0</v>
          </cell>
          <cell r="EL98">
            <v>0</v>
          </cell>
          <cell r="EM98">
            <v>0</v>
          </cell>
          <cell r="EN98">
            <v>0</v>
          </cell>
          <cell r="EO98">
            <v>0</v>
          </cell>
          <cell r="EP98">
            <v>0</v>
          </cell>
        </row>
        <row r="99">
          <cell r="F99">
            <v>405161</v>
          </cell>
          <cell r="G99" t="str">
            <v>CREMA NATA RICH</v>
          </cell>
          <cell r="BT99">
            <v>112</v>
          </cell>
          <cell r="ED99">
            <v>600</v>
          </cell>
          <cell r="EE99" t="str">
            <v>SIN USO</v>
          </cell>
          <cell r="EF99" t="str">
            <v>C</v>
          </cell>
          <cell r="EG99" t="str">
            <v/>
          </cell>
          <cell r="EH99">
            <v>0</v>
          </cell>
          <cell r="EI99">
            <v>0</v>
          </cell>
          <cell r="EJ99">
            <v>0</v>
          </cell>
          <cell r="EK99">
            <v>0</v>
          </cell>
          <cell r="EL99">
            <v>0</v>
          </cell>
          <cell r="EM99">
            <v>0</v>
          </cell>
          <cell r="EN99">
            <v>0</v>
          </cell>
          <cell r="EO99">
            <v>0</v>
          </cell>
          <cell r="EP99">
            <v>0</v>
          </cell>
        </row>
        <row r="100">
          <cell r="F100">
            <v>107337</v>
          </cell>
          <cell r="G100" t="str">
            <v>CREMA AMBIENTE PURATOS</v>
          </cell>
          <cell r="K100">
            <v>66</v>
          </cell>
          <cell r="M100">
            <v>116</v>
          </cell>
          <cell r="N100">
            <v>64</v>
          </cell>
          <cell r="O100">
            <v>464</v>
          </cell>
          <cell r="P100">
            <v>200</v>
          </cell>
          <cell r="Q100">
            <v>474</v>
          </cell>
          <cell r="R100">
            <v>274</v>
          </cell>
          <cell r="S100">
            <v>204</v>
          </cell>
          <cell r="T100">
            <v>262</v>
          </cell>
          <cell r="U100">
            <v>359</v>
          </cell>
          <cell r="V100">
            <v>548</v>
          </cell>
          <cell r="W100">
            <v>558</v>
          </cell>
          <cell r="X100">
            <v>892</v>
          </cell>
          <cell r="Y100">
            <v>235</v>
          </cell>
          <cell r="Z100">
            <v>126</v>
          </cell>
          <cell r="AA100">
            <v>248</v>
          </cell>
          <cell r="AB100">
            <v>360</v>
          </cell>
          <cell r="AC100">
            <v>367</v>
          </cell>
          <cell r="AD100">
            <v>478</v>
          </cell>
          <cell r="AE100">
            <v>274</v>
          </cell>
          <cell r="AF100">
            <v>309</v>
          </cell>
          <cell r="AG100">
            <v>379</v>
          </cell>
          <cell r="AH100">
            <v>352</v>
          </cell>
          <cell r="AI100">
            <v>312</v>
          </cell>
          <cell r="AJ100">
            <v>302</v>
          </cell>
          <cell r="AK100">
            <v>517</v>
          </cell>
          <cell r="AL100">
            <v>642</v>
          </cell>
          <cell r="AM100">
            <v>80</v>
          </cell>
          <cell r="AN100">
            <v>139</v>
          </cell>
          <cell r="AO100">
            <v>194</v>
          </cell>
          <cell r="AP100">
            <v>86</v>
          </cell>
          <cell r="AQ100">
            <v>157</v>
          </cell>
          <cell r="AR100">
            <v>58</v>
          </cell>
          <cell r="EE100" t="str">
            <v>SIN USO</v>
          </cell>
          <cell r="EF100" t="str">
            <v/>
          </cell>
          <cell r="EG100" t="str">
            <v/>
          </cell>
          <cell r="EH100">
            <v>0</v>
          </cell>
          <cell r="EI100">
            <v>0</v>
          </cell>
          <cell r="EJ100">
            <v>0</v>
          </cell>
          <cell r="EK100">
            <v>0</v>
          </cell>
          <cell r="EL100">
            <v>0</v>
          </cell>
          <cell r="EM100">
            <v>0</v>
          </cell>
          <cell r="EN100">
            <v>0</v>
          </cell>
          <cell r="EO100">
            <v>0</v>
          </cell>
          <cell r="EP100">
            <v>0</v>
          </cell>
        </row>
        <row r="101">
          <cell r="F101">
            <v>405673</v>
          </cell>
          <cell r="G101" t="str">
            <v>CREMA VEGETAL AMBIANTE</v>
          </cell>
          <cell r="ED101">
            <v>79</v>
          </cell>
          <cell r="EE101" t="str">
            <v>ACTIVO</v>
          </cell>
          <cell r="EF101" t="str">
            <v/>
          </cell>
          <cell r="EG101" t="str">
            <v/>
          </cell>
          <cell r="EH101">
            <v>0</v>
          </cell>
          <cell r="EI101">
            <v>0</v>
          </cell>
          <cell r="EJ101">
            <v>0</v>
          </cell>
          <cell r="EK101">
            <v>105</v>
          </cell>
          <cell r="EL101">
            <v>368760</v>
          </cell>
          <cell r="EM101">
            <v>0</v>
          </cell>
          <cell r="EN101">
            <v>0</v>
          </cell>
          <cell r="EO101">
            <v>0</v>
          </cell>
          <cell r="EP101">
            <v>0</v>
          </cell>
        </row>
        <row r="102">
          <cell r="F102">
            <v>170183</v>
          </cell>
          <cell r="G102" t="str">
            <v>CREMA AMBIANTE NATA PURATOS</v>
          </cell>
          <cell r="ED102">
            <v>277</v>
          </cell>
          <cell r="EE102" t="str">
            <v>ACTIVO</v>
          </cell>
          <cell r="EF102" t="str">
            <v/>
          </cell>
          <cell r="EG102" t="str">
            <v/>
          </cell>
          <cell r="EH102">
            <v>0</v>
          </cell>
          <cell r="EI102">
            <v>0</v>
          </cell>
          <cell r="EJ102">
            <v>0</v>
          </cell>
          <cell r="EK102">
            <v>460</v>
          </cell>
          <cell r="EL102">
            <v>1552960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</row>
        <row r="103">
          <cell r="H103">
            <v>19827</v>
          </cell>
          <cell r="I103">
            <v>21964</v>
          </cell>
          <cell r="J103">
            <v>19916</v>
          </cell>
          <cell r="K103">
            <v>21976</v>
          </cell>
          <cell r="L103">
            <v>22230</v>
          </cell>
          <cell r="M103">
            <v>21267</v>
          </cell>
          <cell r="N103">
            <v>19651</v>
          </cell>
          <cell r="O103">
            <v>19761</v>
          </cell>
          <cell r="P103">
            <v>18898</v>
          </cell>
          <cell r="Q103">
            <v>19943</v>
          </cell>
          <cell r="R103">
            <v>23183</v>
          </cell>
          <cell r="S103">
            <v>15954</v>
          </cell>
          <cell r="T103">
            <v>16493</v>
          </cell>
          <cell r="U103">
            <v>23848.036</v>
          </cell>
          <cell r="V103">
            <v>24015</v>
          </cell>
          <cell r="W103">
            <v>21081</v>
          </cell>
          <cell r="X103">
            <v>26969</v>
          </cell>
          <cell r="Y103">
            <v>21317</v>
          </cell>
          <cell r="Z103">
            <v>27134</v>
          </cell>
          <cell r="AA103">
            <v>21471.5</v>
          </cell>
          <cell r="AB103">
            <v>23745.5</v>
          </cell>
          <cell r="AC103">
            <v>20216</v>
          </cell>
          <cell r="AD103">
            <v>26822</v>
          </cell>
          <cell r="AE103">
            <v>28341</v>
          </cell>
          <cell r="AF103">
            <v>18087</v>
          </cell>
          <cell r="AG103">
            <v>23097</v>
          </cell>
          <cell r="AH103">
            <v>20706</v>
          </cell>
          <cell r="AI103">
            <v>22434</v>
          </cell>
          <cell r="AJ103">
            <v>24351</v>
          </cell>
          <cell r="AK103">
            <v>28291</v>
          </cell>
          <cell r="AL103">
            <v>23748</v>
          </cell>
          <cell r="AM103">
            <v>25103</v>
          </cell>
          <cell r="AN103">
            <v>25717</v>
          </cell>
          <cell r="AO103">
            <v>25087</v>
          </cell>
          <cell r="AP103">
            <v>21862</v>
          </cell>
          <cell r="AQ103">
            <v>23001</v>
          </cell>
          <cell r="AR103">
            <v>23351</v>
          </cell>
          <cell r="AS103">
            <v>8100</v>
          </cell>
          <cell r="AT103">
            <v>25761</v>
          </cell>
          <cell r="AU103">
            <v>22220</v>
          </cell>
          <cell r="AV103">
            <v>27283</v>
          </cell>
          <cell r="AW103">
            <v>22435</v>
          </cell>
          <cell r="AX103">
            <v>28156.216</v>
          </cell>
          <cell r="AY103">
            <v>22738</v>
          </cell>
          <cell r="AZ103">
            <v>28337</v>
          </cell>
          <cell r="BA103">
            <v>26134</v>
          </cell>
          <cell r="BB103">
            <v>28378.5</v>
          </cell>
          <cell r="BC103">
            <v>26248</v>
          </cell>
          <cell r="BD103">
            <v>26692</v>
          </cell>
          <cell r="BE103">
            <v>29281.5</v>
          </cell>
          <cell r="BF103">
            <v>29615.200000000001</v>
          </cell>
          <cell r="BG103">
            <v>25045</v>
          </cell>
          <cell r="BH103">
            <v>11571</v>
          </cell>
          <cell r="BI103">
            <v>27030</v>
          </cell>
          <cell r="BJ103">
            <v>23485</v>
          </cell>
          <cell r="BK103">
            <v>31660</v>
          </cell>
          <cell r="BL103">
            <v>25769</v>
          </cell>
          <cell r="BM103">
            <v>27228</v>
          </cell>
          <cell r="BN103">
            <v>25903</v>
          </cell>
          <cell r="BO103">
            <v>27580</v>
          </cell>
          <cell r="BP103">
            <v>20112</v>
          </cell>
          <cell r="BQ103">
            <v>26025.5</v>
          </cell>
          <cell r="BR103">
            <v>29782</v>
          </cell>
          <cell r="BS103">
            <v>26429</v>
          </cell>
          <cell r="BT103">
            <v>31638</v>
          </cell>
          <cell r="BU103">
            <v>24605</v>
          </cell>
          <cell r="BV103">
            <v>29432</v>
          </cell>
          <cell r="BW103">
            <v>27223</v>
          </cell>
          <cell r="BX103">
            <v>28060</v>
          </cell>
          <cell r="BY103">
            <v>30481</v>
          </cell>
          <cell r="BZ103">
            <v>30689</v>
          </cell>
          <cell r="CA103">
            <v>27678</v>
          </cell>
          <cell r="CB103">
            <v>31257</v>
          </cell>
          <cell r="CC103">
            <v>26586</v>
          </cell>
          <cell r="CD103">
            <v>26384</v>
          </cell>
          <cell r="CE103">
            <v>28952</v>
          </cell>
          <cell r="CF103">
            <v>23864</v>
          </cell>
          <cell r="CG103">
            <v>28512</v>
          </cell>
          <cell r="CH103">
            <v>22284</v>
          </cell>
          <cell r="CI103">
            <v>24511</v>
          </cell>
          <cell r="CJ103">
            <v>24786</v>
          </cell>
          <cell r="CK103">
            <v>26186</v>
          </cell>
          <cell r="CL103">
            <v>25254</v>
          </cell>
          <cell r="CM103">
            <v>27123</v>
          </cell>
          <cell r="CN103">
            <v>27219</v>
          </cell>
          <cell r="CO103">
            <v>25056</v>
          </cell>
          <cell r="CP103">
            <v>29348</v>
          </cell>
          <cell r="CQ103">
            <v>29454</v>
          </cell>
          <cell r="CR103">
            <v>28586</v>
          </cell>
          <cell r="CS103">
            <v>13946</v>
          </cell>
          <cell r="CT103">
            <v>27033</v>
          </cell>
          <cell r="CU103">
            <v>25444</v>
          </cell>
          <cell r="CV103">
            <v>31183</v>
          </cell>
          <cell r="CW103">
            <v>25482</v>
          </cell>
          <cell r="CX103">
            <v>27379</v>
          </cell>
          <cell r="CY103">
            <v>22725.200000000001</v>
          </cell>
          <cell r="CZ103">
            <v>27065.8</v>
          </cell>
          <cell r="DA103">
            <v>25713.4</v>
          </cell>
          <cell r="DB103">
            <v>26026</v>
          </cell>
          <cell r="DC103">
            <v>25163.200000000001</v>
          </cell>
          <cell r="DD103">
            <v>19890.2</v>
          </cell>
          <cell r="DE103">
            <v>21177.8</v>
          </cell>
          <cell r="DF103">
            <v>27989.599999999999</v>
          </cell>
          <cell r="DG103">
            <v>21871</v>
          </cell>
          <cell r="DH103">
            <v>12104.2</v>
          </cell>
          <cell r="DI103">
            <v>6549</v>
          </cell>
          <cell r="DJ103">
            <v>27034.799999999999</v>
          </cell>
          <cell r="DK103">
            <v>27803.599999999999</v>
          </cell>
          <cell r="DL103">
            <v>27309.599999999999</v>
          </cell>
          <cell r="DM103">
            <v>24346.799999999999</v>
          </cell>
          <cell r="DN103">
            <v>25719.4</v>
          </cell>
          <cell r="DO103">
            <v>27016.6</v>
          </cell>
          <cell r="DP103">
            <v>23702.6</v>
          </cell>
          <cell r="DQ103">
            <v>19604.2</v>
          </cell>
          <cell r="DR103">
            <v>22563.8</v>
          </cell>
          <cell r="DS103">
            <v>25728.5</v>
          </cell>
          <cell r="DT103">
            <v>25271.8</v>
          </cell>
          <cell r="DU103">
            <v>27348.6</v>
          </cell>
          <cell r="DV103">
            <v>24087.4</v>
          </cell>
          <cell r="DW103">
            <v>26643.8</v>
          </cell>
          <cell r="DX103">
            <v>29953.1</v>
          </cell>
          <cell r="DY103">
            <v>37070.6</v>
          </cell>
          <cell r="DZ103">
            <v>34582.199999999997</v>
          </cell>
          <cell r="EA103">
            <v>22714</v>
          </cell>
          <cell r="EB103">
            <v>28194.400000000001</v>
          </cell>
          <cell r="EC103">
            <v>24208</v>
          </cell>
          <cell r="ED103">
            <v>27874.326000000001</v>
          </cell>
          <cell r="EE103" t="str">
            <v>ACTIVO</v>
          </cell>
          <cell r="EF103" t="str">
            <v/>
          </cell>
          <cell r="EG103" t="str">
            <v/>
          </cell>
          <cell r="EH103">
            <v>25685.355555555554</v>
          </cell>
          <cell r="EI103">
            <v>4280.8925925925923</v>
          </cell>
          <cell r="EJ103">
            <v>4290.7959315287071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8561.7851851851847</v>
          </cell>
          <cell r="EP103">
            <v>8561.7851851851847</v>
          </cell>
        </row>
        <row r="104">
          <cell r="F104">
            <v>107344</v>
          </cell>
          <cell r="G104" t="str">
            <v>CUPULA TORTA ALTA  15PP (98-5) MOLDESPAC</v>
          </cell>
          <cell r="H104">
            <v>420</v>
          </cell>
          <cell r="M104">
            <v>4100</v>
          </cell>
          <cell r="N104">
            <v>38970</v>
          </cell>
          <cell r="O104">
            <v>36560</v>
          </cell>
          <cell r="P104">
            <v>29680</v>
          </cell>
          <cell r="AH104">
            <v>11980</v>
          </cell>
          <cell r="AJ104">
            <v>2240</v>
          </cell>
          <cell r="BD104">
            <v>50336</v>
          </cell>
          <cell r="BE104">
            <v>49241.5</v>
          </cell>
          <cell r="BF104">
            <v>2552.5</v>
          </cell>
          <cell r="BH104">
            <v>1890</v>
          </cell>
          <cell r="BI104">
            <v>4150</v>
          </cell>
          <cell r="BJ104">
            <v>12320</v>
          </cell>
          <cell r="BK104">
            <v>23710</v>
          </cell>
          <cell r="BL104">
            <v>20750</v>
          </cell>
          <cell r="BM104">
            <v>29300</v>
          </cell>
          <cell r="BN104">
            <v>27020</v>
          </cell>
          <cell r="BO104">
            <v>20210</v>
          </cell>
          <cell r="BP104">
            <v>14650</v>
          </cell>
          <cell r="BQ104">
            <v>13990</v>
          </cell>
          <cell r="BR104">
            <v>7780</v>
          </cell>
          <cell r="BS104">
            <v>8970</v>
          </cell>
          <cell r="BT104">
            <v>15230</v>
          </cell>
          <cell r="BU104">
            <v>8540</v>
          </cell>
          <cell r="BV104">
            <v>4410</v>
          </cell>
          <cell r="BW104">
            <v>6440</v>
          </cell>
          <cell r="BZ104">
            <v>7700</v>
          </cell>
          <cell r="CA104">
            <v>12670</v>
          </cell>
          <cell r="CB104">
            <v>19110</v>
          </cell>
          <cell r="CC104">
            <v>18410</v>
          </cell>
          <cell r="CD104">
            <v>22260</v>
          </cell>
          <cell r="CE104">
            <v>9100</v>
          </cell>
          <cell r="CF104">
            <v>10850</v>
          </cell>
          <cell r="CG104">
            <v>17570</v>
          </cell>
          <cell r="CH104">
            <v>5880</v>
          </cell>
          <cell r="CI104">
            <v>3220</v>
          </cell>
          <cell r="CJ104">
            <v>33390</v>
          </cell>
          <cell r="CK104">
            <v>23100</v>
          </cell>
          <cell r="CL104">
            <v>16660</v>
          </cell>
          <cell r="CM104">
            <v>18390</v>
          </cell>
          <cell r="CN104">
            <v>15260</v>
          </cell>
          <cell r="CO104">
            <v>53480</v>
          </cell>
          <cell r="CP104">
            <v>19740</v>
          </cell>
          <cell r="CQ104">
            <v>19600</v>
          </cell>
          <cell r="CR104">
            <v>20510</v>
          </cell>
          <cell r="CS104">
            <v>9520</v>
          </cell>
          <cell r="CT104">
            <v>18690</v>
          </cell>
          <cell r="CU104">
            <v>14410</v>
          </cell>
          <cell r="CV104">
            <v>19040</v>
          </cell>
          <cell r="CW104">
            <v>21210</v>
          </cell>
          <cell r="CX104">
            <v>17080</v>
          </cell>
          <cell r="CY104">
            <v>14210</v>
          </cell>
          <cell r="CZ104">
            <v>17500</v>
          </cell>
          <cell r="DA104">
            <v>7790</v>
          </cell>
          <cell r="DB104">
            <v>17010</v>
          </cell>
          <cell r="DC104">
            <v>14840</v>
          </cell>
          <cell r="DD104">
            <v>15610</v>
          </cell>
          <cell r="DE104">
            <v>13861</v>
          </cell>
          <cell r="DG104">
            <v>700</v>
          </cell>
          <cell r="DJ104">
            <v>4760</v>
          </cell>
          <cell r="DL104">
            <v>7490</v>
          </cell>
          <cell r="DM104">
            <v>70</v>
          </cell>
          <cell r="DO104">
            <v>2100</v>
          </cell>
          <cell r="DY104">
            <v>4480</v>
          </cell>
          <cell r="DZ104">
            <v>8960</v>
          </cell>
          <cell r="EA104">
            <v>4480</v>
          </cell>
          <cell r="EC104">
            <v>2240</v>
          </cell>
          <cell r="ED104">
            <v>2240</v>
          </cell>
          <cell r="EE104" t="str">
            <v>ACTIVO</v>
          </cell>
          <cell r="EF104" t="str">
            <v>A</v>
          </cell>
          <cell r="EG104" t="str">
            <v/>
          </cell>
          <cell r="EH104">
            <v>4643.333333333333</v>
          </cell>
          <cell r="EI104">
            <v>773.8888888888888</v>
          </cell>
          <cell r="EJ104">
            <v>8947.0956425576915</v>
          </cell>
          <cell r="EK104">
            <v>13440</v>
          </cell>
          <cell r="EL104">
            <v>3225196.8</v>
          </cell>
          <cell r="EM104">
            <v>2.8944723618090453</v>
          </cell>
          <cell r="EN104">
            <v>1547.7777777777776</v>
          </cell>
          <cell r="EO104">
            <v>1547.7777777777776</v>
          </cell>
          <cell r="EP104">
            <v>3095.5555555555552</v>
          </cell>
        </row>
        <row r="105">
          <cell r="F105">
            <v>403231</v>
          </cell>
          <cell r="G105" t="str">
            <v>CUPULA TORTA ALTA  15PP (98-5) MONSALVE CENCOSUD</v>
          </cell>
          <cell r="H105">
            <v>4340</v>
          </cell>
          <cell r="N105">
            <v>2100</v>
          </cell>
          <cell r="P105">
            <v>350</v>
          </cell>
          <cell r="R105">
            <v>1330</v>
          </cell>
          <cell r="S105">
            <v>2240</v>
          </cell>
          <cell r="U105">
            <v>2240</v>
          </cell>
          <cell r="V105">
            <v>4480</v>
          </cell>
          <cell r="Y105">
            <v>4480</v>
          </cell>
          <cell r="Z105">
            <v>2240</v>
          </cell>
          <cell r="AB105">
            <v>2240</v>
          </cell>
          <cell r="AC105">
            <v>2240</v>
          </cell>
          <cell r="AG105">
            <v>2240</v>
          </cell>
          <cell r="AH105">
            <v>6640</v>
          </cell>
          <cell r="AK105">
            <v>2240</v>
          </cell>
          <cell r="AL105">
            <v>4480</v>
          </cell>
          <cell r="AM105">
            <v>2240</v>
          </cell>
          <cell r="AN105">
            <v>4480</v>
          </cell>
          <cell r="AO105">
            <v>490</v>
          </cell>
          <cell r="AP105">
            <v>2240</v>
          </cell>
          <cell r="AQ105">
            <v>7560</v>
          </cell>
          <cell r="AR105">
            <v>12430</v>
          </cell>
          <cell r="AT105">
            <v>1120</v>
          </cell>
          <cell r="AU105">
            <v>6860</v>
          </cell>
          <cell r="AV105">
            <v>3220</v>
          </cell>
          <cell r="AW105">
            <v>10920</v>
          </cell>
          <cell r="AX105">
            <v>19770</v>
          </cell>
          <cell r="AY105">
            <v>19250</v>
          </cell>
          <cell r="AZ105">
            <v>20750</v>
          </cell>
          <cell r="BA105">
            <v>18410</v>
          </cell>
          <cell r="BB105">
            <v>59986</v>
          </cell>
          <cell r="BC105">
            <v>51900</v>
          </cell>
          <cell r="BD105">
            <v>904</v>
          </cell>
          <cell r="BF105">
            <v>23627.5</v>
          </cell>
          <cell r="BG105">
            <v>16520</v>
          </cell>
          <cell r="BH105">
            <v>2870</v>
          </cell>
          <cell r="BI105">
            <v>25180</v>
          </cell>
          <cell r="BJ105">
            <v>4690</v>
          </cell>
          <cell r="BL105">
            <v>560</v>
          </cell>
          <cell r="BO105">
            <v>350</v>
          </cell>
          <cell r="BP105">
            <v>4420</v>
          </cell>
          <cell r="BQ105">
            <v>13890</v>
          </cell>
          <cell r="BR105">
            <v>7110</v>
          </cell>
          <cell r="BS105">
            <v>2030</v>
          </cell>
          <cell r="BT105">
            <v>10290</v>
          </cell>
          <cell r="BU105">
            <v>15610</v>
          </cell>
          <cell r="BV105">
            <v>14980</v>
          </cell>
          <cell r="BW105">
            <v>21770</v>
          </cell>
          <cell r="BX105">
            <v>20650</v>
          </cell>
          <cell r="BY105">
            <v>25340</v>
          </cell>
          <cell r="BZ105">
            <v>2730</v>
          </cell>
          <cell r="CA105">
            <v>7910</v>
          </cell>
          <cell r="CB105">
            <v>16870</v>
          </cell>
          <cell r="CC105">
            <v>8750</v>
          </cell>
          <cell r="CD105">
            <v>5320</v>
          </cell>
          <cell r="CE105">
            <v>3220</v>
          </cell>
          <cell r="CF105">
            <v>6720</v>
          </cell>
          <cell r="CG105">
            <v>5950</v>
          </cell>
          <cell r="CH105">
            <v>8120</v>
          </cell>
          <cell r="CI105">
            <v>12320</v>
          </cell>
          <cell r="CJ105">
            <v>4900</v>
          </cell>
          <cell r="CK105">
            <v>6720</v>
          </cell>
          <cell r="CL105">
            <v>4340</v>
          </cell>
          <cell r="CM105">
            <v>6160</v>
          </cell>
          <cell r="CN105">
            <v>3500</v>
          </cell>
          <cell r="CO105">
            <v>560</v>
          </cell>
          <cell r="CP105">
            <v>22960</v>
          </cell>
          <cell r="CQ105">
            <v>4620</v>
          </cell>
          <cell r="CR105">
            <v>4620</v>
          </cell>
          <cell r="CS105">
            <v>350</v>
          </cell>
          <cell r="CU105">
            <v>4550</v>
          </cell>
          <cell r="CV105">
            <v>4620</v>
          </cell>
          <cell r="CX105">
            <v>6930</v>
          </cell>
          <cell r="CZ105">
            <v>6930</v>
          </cell>
          <cell r="DA105">
            <v>6700</v>
          </cell>
          <cell r="DB105">
            <v>4620</v>
          </cell>
          <cell r="EE105" t="str">
            <v>ACTIVO</v>
          </cell>
          <cell r="EF105" t="str">
            <v>B</v>
          </cell>
          <cell r="EG105">
            <v>2240</v>
          </cell>
          <cell r="EH105">
            <v>0</v>
          </cell>
          <cell r="EI105">
            <v>0</v>
          </cell>
          <cell r="EJ105">
            <v>6887.6414508957678</v>
          </cell>
          <cell r="EK105">
            <v>0</v>
          </cell>
          <cell r="EL105">
            <v>0</v>
          </cell>
          <cell r="EM105">
            <v>0</v>
          </cell>
          <cell r="EN105">
            <v>0</v>
          </cell>
          <cell r="EO105">
            <v>0</v>
          </cell>
          <cell r="EP105">
            <v>0</v>
          </cell>
        </row>
        <row r="106">
          <cell r="F106">
            <v>405380</v>
          </cell>
          <cell r="G106" t="str">
            <v>CUPULA TORTA ALTA  15PP (98-5) FPS</v>
          </cell>
          <cell r="AM106">
            <v>30800</v>
          </cell>
          <cell r="AN106">
            <v>46000</v>
          </cell>
          <cell r="AO106">
            <v>6510</v>
          </cell>
          <cell r="AP106">
            <v>2240</v>
          </cell>
          <cell r="AQ106">
            <v>1540</v>
          </cell>
          <cell r="AR106">
            <v>940</v>
          </cell>
          <cell r="EE106" t="str">
            <v>SIN USO</v>
          </cell>
          <cell r="EF106" t="str">
            <v/>
          </cell>
          <cell r="EG106" t="str">
            <v/>
          </cell>
          <cell r="EH106">
            <v>0</v>
          </cell>
          <cell r="EI106">
            <v>0</v>
          </cell>
          <cell r="EJ106">
            <v>0</v>
          </cell>
          <cell r="EK106">
            <v>0</v>
          </cell>
          <cell r="EL106">
            <v>0</v>
          </cell>
          <cell r="EM106">
            <v>0</v>
          </cell>
          <cell r="EN106">
            <v>0</v>
          </cell>
          <cell r="EO106">
            <v>0</v>
          </cell>
          <cell r="EP106">
            <v>0</v>
          </cell>
        </row>
        <row r="107">
          <cell r="F107">
            <v>403212</v>
          </cell>
          <cell r="G107" t="str">
            <v>CUPULA BRAZO REINA MONSALVE</v>
          </cell>
          <cell r="I107">
            <v>690</v>
          </cell>
          <cell r="L107">
            <v>552</v>
          </cell>
          <cell r="M107">
            <v>342</v>
          </cell>
          <cell r="N107">
            <v>482</v>
          </cell>
          <cell r="O107">
            <v>210</v>
          </cell>
          <cell r="Q107">
            <v>0</v>
          </cell>
          <cell r="S107">
            <v>840</v>
          </cell>
          <cell r="EE107" t="str">
            <v>SIN USO</v>
          </cell>
          <cell r="EF107" t="str">
            <v/>
          </cell>
          <cell r="EG107">
            <v>2240</v>
          </cell>
          <cell r="EH107">
            <v>0</v>
          </cell>
          <cell r="EI107">
            <v>0</v>
          </cell>
          <cell r="EJ107">
            <v>0</v>
          </cell>
          <cell r="EK107">
            <v>2084</v>
          </cell>
          <cell r="EL107">
            <v>437640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</row>
        <row r="108">
          <cell r="F108">
            <v>405283</v>
          </cell>
          <cell r="G108" t="str">
            <v>CUPULA TORTA ALTA SISA FPS</v>
          </cell>
          <cell r="AA108">
            <v>4275</v>
          </cell>
          <cell r="AB108">
            <v>50400</v>
          </cell>
          <cell r="AC108">
            <v>43300</v>
          </cell>
          <cell r="AD108">
            <v>52700</v>
          </cell>
          <cell r="AE108">
            <v>65800</v>
          </cell>
          <cell r="AF108">
            <v>47600</v>
          </cell>
          <cell r="AG108">
            <v>47200</v>
          </cell>
          <cell r="AH108">
            <v>25920</v>
          </cell>
          <cell r="AI108">
            <v>48950</v>
          </cell>
          <cell r="AJ108">
            <v>53440</v>
          </cell>
          <cell r="AK108">
            <v>60915</v>
          </cell>
          <cell r="AL108">
            <v>73700</v>
          </cell>
          <cell r="AM108">
            <v>16100</v>
          </cell>
          <cell r="AN108">
            <v>2400</v>
          </cell>
          <cell r="AO108">
            <v>35000</v>
          </cell>
          <cell r="AP108">
            <v>41720</v>
          </cell>
          <cell r="AQ108">
            <v>41600</v>
          </cell>
          <cell r="AR108">
            <v>40600</v>
          </cell>
          <cell r="AS108">
            <v>21600</v>
          </cell>
          <cell r="AT108">
            <v>43900</v>
          </cell>
          <cell r="AU108">
            <v>41200</v>
          </cell>
          <cell r="AV108">
            <v>57790</v>
          </cell>
          <cell r="AW108">
            <v>22130</v>
          </cell>
          <cell r="AX108">
            <v>45680</v>
          </cell>
          <cell r="AY108">
            <v>28200</v>
          </cell>
          <cell r="EE108" t="str">
            <v>SIN USO</v>
          </cell>
          <cell r="EF108" t="str">
            <v/>
          </cell>
          <cell r="EG108" t="str">
            <v/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</row>
        <row r="109">
          <cell r="F109">
            <v>405278</v>
          </cell>
          <cell r="G109" t="str">
            <v>CUPULA TORTA 15PP (98-45) MOLDESPAC</v>
          </cell>
          <cell r="H109">
            <v>1470</v>
          </cell>
          <cell r="Q109">
            <v>280</v>
          </cell>
          <cell r="R109">
            <v>1960</v>
          </cell>
          <cell r="Z109">
            <v>3120</v>
          </cell>
          <cell r="AC109">
            <v>700</v>
          </cell>
          <cell r="AO109">
            <v>1820</v>
          </cell>
          <cell r="AV109">
            <v>372</v>
          </cell>
          <cell r="AX109">
            <v>420</v>
          </cell>
          <cell r="BA109">
            <v>1330</v>
          </cell>
          <cell r="BB109">
            <v>5040</v>
          </cell>
          <cell r="BC109">
            <v>5530</v>
          </cell>
          <cell r="BD109">
            <v>5600</v>
          </cell>
          <cell r="BE109">
            <v>5180</v>
          </cell>
          <cell r="BF109">
            <v>4200</v>
          </cell>
          <cell r="BG109">
            <v>6790</v>
          </cell>
          <cell r="BH109">
            <v>3360</v>
          </cell>
          <cell r="BI109">
            <v>5180</v>
          </cell>
          <cell r="BJ109">
            <v>4089</v>
          </cell>
          <cell r="BK109">
            <v>6300</v>
          </cell>
          <cell r="BL109">
            <v>6090</v>
          </cell>
          <cell r="BM109">
            <v>5460</v>
          </cell>
          <cell r="BN109">
            <v>3920</v>
          </cell>
          <cell r="BO109">
            <v>4200</v>
          </cell>
          <cell r="BP109">
            <v>3990</v>
          </cell>
          <cell r="BQ109">
            <v>4200</v>
          </cell>
          <cell r="BR109">
            <v>7700</v>
          </cell>
          <cell r="BS109">
            <v>3360</v>
          </cell>
          <cell r="BU109">
            <v>2310</v>
          </cell>
          <cell r="BV109">
            <v>4410</v>
          </cell>
          <cell r="BW109">
            <v>4900</v>
          </cell>
          <cell r="BX109">
            <v>6860</v>
          </cell>
          <cell r="BY109">
            <v>7980</v>
          </cell>
          <cell r="BZ109">
            <v>7210</v>
          </cell>
          <cell r="CA109">
            <v>5041.0599999999995</v>
          </cell>
          <cell r="CB109">
            <v>5880</v>
          </cell>
          <cell r="CC109">
            <v>5040</v>
          </cell>
          <cell r="CD109">
            <v>5460</v>
          </cell>
          <cell r="CE109">
            <v>8680</v>
          </cell>
          <cell r="CF109">
            <v>7560</v>
          </cell>
          <cell r="CG109">
            <v>5810</v>
          </cell>
          <cell r="CH109">
            <v>3290</v>
          </cell>
          <cell r="CI109">
            <v>4900</v>
          </cell>
          <cell r="CJ109">
            <v>2730</v>
          </cell>
          <cell r="CK109">
            <v>6860</v>
          </cell>
          <cell r="CL109">
            <v>3360</v>
          </cell>
          <cell r="CM109">
            <v>3360</v>
          </cell>
          <cell r="CN109">
            <v>3990</v>
          </cell>
          <cell r="CP109">
            <v>2240</v>
          </cell>
          <cell r="CQ109">
            <v>6650</v>
          </cell>
          <cell r="CR109">
            <v>5110</v>
          </cell>
          <cell r="CS109">
            <v>2520</v>
          </cell>
          <cell r="CT109">
            <v>4900</v>
          </cell>
          <cell r="CU109">
            <v>4830</v>
          </cell>
          <cell r="CV109">
            <v>5110</v>
          </cell>
          <cell r="CW109">
            <v>4410</v>
          </cell>
          <cell r="CX109">
            <v>5740</v>
          </cell>
          <cell r="CY109">
            <v>7910</v>
          </cell>
          <cell r="CZ109">
            <v>4200</v>
          </cell>
          <cell r="DA109">
            <v>10990</v>
          </cell>
          <cell r="DB109">
            <v>7630</v>
          </cell>
          <cell r="DC109">
            <v>8610</v>
          </cell>
          <cell r="DD109">
            <v>4130</v>
          </cell>
          <cell r="DE109">
            <v>6371</v>
          </cell>
          <cell r="DF109">
            <v>5880</v>
          </cell>
          <cell r="DG109">
            <v>4410</v>
          </cell>
          <cell r="DH109">
            <v>2590</v>
          </cell>
          <cell r="DI109">
            <v>980</v>
          </cell>
          <cell r="DJ109">
            <v>5600</v>
          </cell>
          <cell r="DK109">
            <v>6370</v>
          </cell>
          <cell r="DL109">
            <v>4480</v>
          </cell>
          <cell r="DM109">
            <v>7350</v>
          </cell>
          <cell r="DN109">
            <v>7700</v>
          </cell>
          <cell r="DO109">
            <v>7560</v>
          </cell>
          <cell r="DP109">
            <v>5740</v>
          </cell>
          <cell r="DQ109">
            <v>6650</v>
          </cell>
          <cell r="DR109">
            <v>7350</v>
          </cell>
          <cell r="DS109">
            <v>3570</v>
          </cell>
          <cell r="DT109">
            <v>6720</v>
          </cell>
          <cell r="DU109">
            <v>3850</v>
          </cell>
          <cell r="DV109">
            <v>6160</v>
          </cell>
          <cell r="DW109">
            <v>5250</v>
          </cell>
          <cell r="DX109">
            <v>5811</v>
          </cell>
          <cell r="DY109">
            <v>10570</v>
          </cell>
          <cell r="DZ109">
            <v>9660</v>
          </cell>
          <cell r="EA109">
            <v>5040</v>
          </cell>
          <cell r="EB109">
            <v>8400</v>
          </cell>
          <cell r="EC109">
            <v>9100</v>
          </cell>
          <cell r="ED109">
            <v>6583</v>
          </cell>
          <cell r="EE109" t="str">
            <v>ACTIVO</v>
          </cell>
          <cell r="EF109" t="str">
            <v>B</v>
          </cell>
          <cell r="EG109">
            <v>2240</v>
          </cell>
          <cell r="EH109">
            <v>6187.2777777777774</v>
          </cell>
          <cell r="EI109">
            <v>1031.2129629629628</v>
          </cell>
          <cell r="EJ109">
            <v>1862.143325266693</v>
          </cell>
          <cell r="EK109">
            <v>10220</v>
          </cell>
          <cell r="EL109">
            <v>2470071.7999999998</v>
          </cell>
          <cell r="EM109">
            <v>1.6517764947787128</v>
          </cell>
          <cell r="EN109">
            <v>2062.4259259259256</v>
          </cell>
          <cell r="EO109">
            <v>2062.4259259259256</v>
          </cell>
          <cell r="EP109">
            <v>4124.8518518518513</v>
          </cell>
        </row>
        <row r="110">
          <cell r="F110">
            <v>403210</v>
          </cell>
          <cell r="G110" t="str">
            <v>CUPULA TORTA 15PP (98-45) MONSALVE CENCOSUD</v>
          </cell>
          <cell r="H110">
            <v>3430</v>
          </cell>
          <cell r="I110">
            <v>3920</v>
          </cell>
          <cell r="J110">
            <v>2940</v>
          </cell>
          <cell r="K110">
            <v>3990</v>
          </cell>
          <cell r="L110">
            <v>4130</v>
          </cell>
          <cell r="M110">
            <v>5320</v>
          </cell>
          <cell r="N110">
            <v>4340</v>
          </cell>
          <cell r="O110">
            <v>3920</v>
          </cell>
          <cell r="P110">
            <v>3780</v>
          </cell>
          <cell r="Q110">
            <v>3710</v>
          </cell>
          <cell r="R110">
            <v>1960</v>
          </cell>
          <cell r="S110">
            <v>3780</v>
          </cell>
          <cell r="T110">
            <v>2940</v>
          </cell>
          <cell r="U110">
            <v>4480</v>
          </cell>
          <cell r="V110">
            <v>4060</v>
          </cell>
          <cell r="W110">
            <v>3360</v>
          </cell>
          <cell r="X110">
            <v>3990</v>
          </cell>
          <cell r="Y110">
            <v>7420</v>
          </cell>
          <cell r="Z110">
            <v>1990</v>
          </cell>
          <cell r="AA110">
            <v>3640</v>
          </cell>
          <cell r="AB110">
            <v>4340</v>
          </cell>
          <cell r="AC110">
            <v>3360</v>
          </cell>
          <cell r="AD110">
            <v>6860</v>
          </cell>
          <cell r="AE110">
            <v>5600</v>
          </cell>
          <cell r="AF110">
            <v>4620</v>
          </cell>
          <cell r="AG110">
            <v>4480</v>
          </cell>
          <cell r="AH110">
            <v>5040</v>
          </cell>
          <cell r="AI110">
            <v>5250</v>
          </cell>
          <cell r="AJ110">
            <v>4480</v>
          </cell>
          <cell r="AK110">
            <v>4130</v>
          </cell>
          <cell r="AL110">
            <v>6720</v>
          </cell>
          <cell r="AM110">
            <v>5740</v>
          </cell>
          <cell r="AN110">
            <v>4760</v>
          </cell>
          <cell r="AO110">
            <v>3710</v>
          </cell>
          <cell r="AP110">
            <v>6790</v>
          </cell>
          <cell r="AQ110">
            <v>5880</v>
          </cell>
          <cell r="AR110">
            <v>5880</v>
          </cell>
          <cell r="AS110">
            <v>3500</v>
          </cell>
          <cell r="AT110">
            <v>5040</v>
          </cell>
          <cell r="AU110">
            <v>4970</v>
          </cell>
          <cell r="AV110">
            <v>3478</v>
          </cell>
          <cell r="AW110">
            <v>5950</v>
          </cell>
          <cell r="AX110">
            <v>5320</v>
          </cell>
          <cell r="AY110">
            <v>4480</v>
          </cell>
          <cell r="AZ110">
            <v>5180</v>
          </cell>
          <cell r="BA110">
            <v>5250</v>
          </cell>
          <cell r="BB110">
            <v>1330</v>
          </cell>
          <cell r="BN110">
            <v>1960</v>
          </cell>
          <cell r="BO110">
            <v>2800</v>
          </cell>
          <cell r="BS110">
            <v>2940</v>
          </cell>
          <cell r="BT110">
            <v>6160</v>
          </cell>
          <cell r="BU110">
            <v>981.05600000000004</v>
          </cell>
          <cell r="BV110">
            <v>70</v>
          </cell>
          <cell r="BW110">
            <v>280</v>
          </cell>
          <cell r="BX110">
            <v>70</v>
          </cell>
          <cell r="CA110">
            <v>69</v>
          </cell>
          <cell r="CB110">
            <v>2240</v>
          </cell>
          <cell r="CJ110">
            <v>140</v>
          </cell>
          <cell r="CM110">
            <v>5180</v>
          </cell>
          <cell r="CN110">
            <v>3430</v>
          </cell>
          <cell r="CO110">
            <v>6440</v>
          </cell>
          <cell r="CP110">
            <v>4760</v>
          </cell>
          <cell r="CQ110">
            <v>630</v>
          </cell>
          <cell r="CR110">
            <v>4200</v>
          </cell>
          <cell r="CS110">
            <v>420</v>
          </cell>
          <cell r="CT110">
            <v>2310</v>
          </cell>
          <cell r="CU110">
            <v>560</v>
          </cell>
          <cell r="CV110">
            <v>4410</v>
          </cell>
          <cell r="CX110">
            <v>630</v>
          </cell>
          <cell r="CY110">
            <v>350</v>
          </cell>
          <cell r="DC110">
            <v>70</v>
          </cell>
          <cell r="EE110" t="str">
            <v>ACTIVO</v>
          </cell>
          <cell r="EF110" t="str">
            <v>C</v>
          </cell>
          <cell r="EG110">
            <v>2240</v>
          </cell>
          <cell r="EH110">
            <v>0</v>
          </cell>
          <cell r="EI110">
            <v>0</v>
          </cell>
          <cell r="EJ110">
            <v>2107.1996329527433</v>
          </cell>
          <cell r="EK110">
            <v>0</v>
          </cell>
          <cell r="EL110">
            <v>0</v>
          </cell>
          <cell r="EM110">
            <v>0</v>
          </cell>
          <cell r="EN110">
            <v>0</v>
          </cell>
          <cell r="EO110">
            <v>0</v>
          </cell>
          <cell r="EP110">
            <v>0</v>
          </cell>
        </row>
        <row r="111">
          <cell r="F111">
            <v>403225</v>
          </cell>
          <cell r="G111" t="str">
            <v>CUPULA 170B DEANDES</v>
          </cell>
          <cell r="H111">
            <v>1320</v>
          </cell>
          <cell r="I111">
            <v>1560</v>
          </cell>
          <cell r="J111">
            <v>1320</v>
          </cell>
          <cell r="K111">
            <v>1440</v>
          </cell>
          <cell r="L111">
            <v>1560</v>
          </cell>
          <cell r="M111">
            <v>1560</v>
          </cell>
          <cell r="N111">
            <v>1440</v>
          </cell>
          <cell r="O111">
            <v>1560</v>
          </cell>
          <cell r="P111">
            <v>1680</v>
          </cell>
          <cell r="Q111">
            <v>1220</v>
          </cell>
          <cell r="AH111">
            <v>2400</v>
          </cell>
          <cell r="AI111">
            <v>840</v>
          </cell>
          <cell r="AM111">
            <v>960</v>
          </cell>
          <cell r="AN111">
            <v>1680</v>
          </cell>
          <cell r="AO111">
            <v>1800</v>
          </cell>
          <cell r="BF111">
            <v>120</v>
          </cell>
          <cell r="EE111" t="str">
            <v>SIN USO</v>
          </cell>
          <cell r="EF111" t="str">
            <v/>
          </cell>
          <cell r="EG111">
            <v>2160</v>
          </cell>
          <cell r="EH111">
            <v>0</v>
          </cell>
          <cell r="EI111">
            <v>0</v>
          </cell>
          <cell r="EJ111">
            <v>0</v>
          </cell>
          <cell r="EK111">
            <v>0</v>
          </cell>
          <cell r="EL111">
            <v>0</v>
          </cell>
          <cell r="EM111">
            <v>0</v>
          </cell>
          <cell r="EN111">
            <v>0</v>
          </cell>
          <cell r="EO111">
            <v>0</v>
          </cell>
          <cell r="EP111">
            <v>0</v>
          </cell>
        </row>
        <row r="112">
          <cell r="F112">
            <v>403232</v>
          </cell>
          <cell r="G112" t="str">
            <v>CUPULA TARTA 1025-3 MONSALVE</v>
          </cell>
          <cell r="H112">
            <v>1190</v>
          </cell>
          <cell r="I112">
            <v>1400</v>
          </cell>
          <cell r="J112">
            <v>1120</v>
          </cell>
          <cell r="K112">
            <v>1400</v>
          </cell>
          <cell r="L112">
            <v>700</v>
          </cell>
          <cell r="EE112" t="str">
            <v>SIN USO</v>
          </cell>
          <cell r="EF112" t="str">
            <v/>
          </cell>
          <cell r="EG112" t="str">
            <v/>
          </cell>
          <cell r="EH112">
            <v>0</v>
          </cell>
          <cell r="EI112">
            <v>0</v>
          </cell>
          <cell r="EJ112">
            <v>0</v>
          </cell>
          <cell r="EK112">
            <v>0</v>
          </cell>
          <cell r="EL112">
            <v>0</v>
          </cell>
          <cell r="EM112">
            <v>0</v>
          </cell>
          <cell r="EN112">
            <v>0</v>
          </cell>
          <cell r="EO112">
            <v>0</v>
          </cell>
          <cell r="EP112">
            <v>0</v>
          </cell>
        </row>
        <row r="113">
          <cell r="F113">
            <v>107339</v>
          </cell>
          <cell r="G113" t="str">
            <v>CUPULA TARTA 1025-3 MOLDES PAC</v>
          </cell>
          <cell r="H113">
            <v>350</v>
          </cell>
          <cell r="L113">
            <v>700</v>
          </cell>
          <cell r="M113">
            <v>1400</v>
          </cell>
          <cell r="N113">
            <v>1470</v>
          </cell>
          <cell r="O113">
            <v>1330</v>
          </cell>
          <cell r="P113">
            <v>1400</v>
          </cell>
          <cell r="Q113">
            <v>1260</v>
          </cell>
          <cell r="R113">
            <v>1400</v>
          </cell>
          <cell r="S113">
            <v>1400</v>
          </cell>
          <cell r="T113">
            <v>1470</v>
          </cell>
          <cell r="U113">
            <v>1470</v>
          </cell>
          <cell r="V113">
            <v>1960</v>
          </cell>
          <cell r="W113">
            <v>1610</v>
          </cell>
          <cell r="X113">
            <v>1680</v>
          </cell>
          <cell r="Y113">
            <v>1540</v>
          </cell>
          <cell r="Z113">
            <v>2030</v>
          </cell>
          <cell r="AA113">
            <v>1400</v>
          </cell>
          <cell r="AB113">
            <v>2170</v>
          </cell>
          <cell r="AC113">
            <v>2100</v>
          </cell>
          <cell r="AD113">
            <v>3290</v>
          </cell>
          <cell r="AE113">
            <v>6020</v>
          </cell>
          <cell r="AF113">
            <v>3710</v>
          </cell>
          <cell r="AG113">
            <v>4690</v>
          </cell>
          <cell r="AH113">
            <v>5320</v>
          </cell>
          <cell r="AI113">
            <v>6160</v>
          </cell>
          <cell r="AJ113">
            <v>5810</v>
          </cell>
          <cell r="AK113">
            <v>6580</v>
          </cell>
          <cell r="AL113">
            <v>5250</v>
          </cell>
          <cell r="AM113">
            <v>6370</v>
          </cell>
          <cell r="AN113">
            <v>5530</v>
          </cell>
          <cell r="AO113">
            <v>5460</v>
          </cell>
          <cell r="AP113">
            <v>6860</v>
          </cell>
          <cell r="AQ113">
            <v>6370</v>
          </cell>
          <cell r="AR113">
            <v>6720</v>
          </cell>
          <cell r="AS113">
            <v>3920</v>
          </cell>
          <cell r="AT113">
            <v>5740</v>
          </cell>
          <cell r="AU113">
            <v>6720</v>
          </cell>
          <cell r="AV113">
            <v>6230</v>
          </cell>
          <cell r="AW113">
            <v>6090</v>
          </cell>
          <cell r="AX113">
            <v>6510</v>
          </cell>
          <cell r="AY113">
            <v>6230</v>
          </cell>
          <cell r="AZ113">
            <v>7896</v>
          </cell>
          <cell r="BA113">
            <v>6160</v>
          </cell>
          <cell r="BB113">
            <v>5404</v>
          </cell>
          <cell r="BC113">
            <v>6090</v>
          </cell>
          <cell r="BD113">
            <v>6090</v>
          </cell>
          <cell r="BE113">
            <v>6860</v>
          </cell>
          <cell r="BF113">
            <v>6860</v>
          </cell>
          <cell r="BG113">
            <v>6510</v>
          </cell>
          <cell r="BJ113">
            <v>210</v>
          </cell>
          <cell r="BK113">
            <v>3234</v>
          </cell>
          <cell r="BL113">
            <v>4298</v>
          </cell>
          <cell r="BM113">
            <v>6930</v>
          </cell>
          <cell r="BN113">
            <v>6720</v>
          </cell>
          <cell r="BO113">
            <v>5712</v>
          </cell>
          <cell r="BP113">
            <v>7070</v>
          </cell>
          <cell r="BQ113">
            <v>5530</v>
          </cell>
          <cell r="BR113">
            <v>7790</v>
          </cell>
          <cell r="BS113">
            <v>6160</v>
          </cell>
          <cell r="BT113">
            <v>6860</v>
          </cell>
          <cell r="BU113">
            <v>6930</v>
          </cell>
          <cell r="BV113">
            <v>6230</v>
          </cell>
          <cell r="BW113">
            <v>6440</v>
          </cell>
          <cell r="BX113">
            <v>6930</v>
          </cell>
          <cell r="BY113">
            <v>7560</v>
          </cell>
          <cell r="BZ113">
            <v>6160</v>
          </cell>
          <cell r="CA113">
            <v>3850</v>
          </cell>
          <cell r="CB113">
            <v>4410</v>
          </cell>
          <cell r="CC113">
            <v>4830</v>
          </cell>
          <cell r="CD113">
            <v>5040</v>
          </cell>
          <cell r="CE113">
            <v>8190</v>
          </cell>
          <cell r="CF113">
            <v>4620</v>
          </cell>
          <cell r="CG113">
            <v>4970</v>
          </cell>
          <cell r="CH113">
            <v>5110</v>
          </cell>
          <cell r="CI113">
            <v>3780</v>
          </cell>
          <cell r="CJ113">
            <v>9170</v>
          </cell>
          <cell r="CK113">
            <v>6300</v>
          </cell>
          <cell r="CL113">
            <v>5530</v>
          </cell>
          <cell r="CM113">
            <v>6300</v>
          </cell>
          <cell r="CN113">
            <v>9030</v>
          </cell>
          <cell r="CO113">
            <v>7070</v>
          </cell>
          <cell r="CP113">
            <v>7980</v>
          </cell>
          <cell r="CQ113">
            <v>6440</v>
          </cell>
          <cell r="CR113">
            <v>7000</v>
          </cell>
          <cell r="CS113">
            <v>2030</v>
          </cell>
          <cell r="CT113">
            <v>6930</v>
          </cell>
          <cell r="CU113">
            <v>6860</v>
          </cell>
          <cell r="CV113">
            <v>6440</v>
          </cell>
          <cell r="CW113">
            <v>5670</v>
          </cell>
          <cell r="CX113">
            <v>5320</v>
          </cell>
          <cell r="CY113">
            <v>5810</v>
          </cell>
          <cell r="CZ113">
            <v>5250</v>
          </cell>
          <cell r="DA113">
            <v>5110</v>
          </cell>
          <cell r="DB113">
            <v>4620</v>
          </cell>
          <cell r="DC113">
            <v>7420</v>
          </cell>
          <cell r="DD113">
            <v>5390</v>
          </cell>
          <cell r="DE113">
            <v>3431</v>
          </cell>
          <cell r="DF113">
            <v>7000</v>
          </cell>
          <cell r="DG113">
            <v>5600</v>
          </cell>
          <cell r="DH113">
            <v>2800</v>
          </cell>
          <cell r="DI113">
            <v>1680</v>
          </cell>
          <cell r="DJ113">
            <v>5520</v>
          </cell>
          <cell r="DK113">
            <v>5150</v>
          </cell>
          <cell r="DL113">
            <v>5700</v>
          </cell>
          <cell r="DM113">
            <v>4920</v>
          </cell>
          <cell r="DN113">
            <v>4780</v>
          </cell>
          <cell r="DO113">
            <v>4480</v>
          </cell>
          <cell r="DP113">
            <v>4200</v>
          </cell>
          <cell r="DQ113">
            <v>4690</v>
          </cell>
          <cell r="DR113">
            <v>4830</v>
          </cell>
          <cell r="DS113">
            <v>4970</v>
          </cell>
          <cell r="DT113">
            <v>4760</v>
          </cell>
          <cell r="DU113">
            <v>5530</v>
          </cell>
          <cell r="DV113">
            <v>5810</v>
          </cell>
          <cell r="DW113">
            <v>8610</v>
          </cell>
          <cell r="DX113">
            <v>5321</v>
          </cell>
          <cell r="DY113">
            <v>5460</v>
          </cell>
          <cell r="DZ113">
            <v>7140</v>
          </cell>
          <cell r="EA113">
            <v>5810</v>
          </cell>
          <cell r="EB113">
            <v>6160</v>
          </cell>
          <cell r="EC113">
            <v>6160</v>
          </cell>
          <cell r="ED113">
            <v>6160</v>
          </cell>
          <cell r="EE113" t="str">
            <v>ACTIVO</v>
          </cell>
          <cell r="EF113" t="str">
            <v>B</v>
          </cell>
          <cell r="EG113">
            <v>2240</v>
          </cell>
          <cell r="EH113">
            <v>5197.2777777777774</v>
          </cell>
          <cell r="EI113">
            <v>866.21296296296293</v>
          </cell>
          <cell r="EJ113">
            <v>1697.0526688303801</v>
          </cell>
          <cell r="EK113">
            <v>7560</v>
          </cell>
          <cell r="EL113">
            <v>1951765.2</v>
          </cell>
          <cell r="EM113">
            <v>1.4546076471657172</v>
          </cell>
          <cell r="EN113">
            <v>1732.4259259259259</v>
          </cell>
          <cell r="EO113">
            <v>1732.4259259259259</v>
          </cell>
          <cell r="EP113">
            <v>3464.8518518518517</v>
          </cell>
        </row>
        <row r="114">
          <cell r="F114">
            <v>403338</v>
          </cell>
          <cell r="G114" t="str">
            <v>BLISTER 7189 1 PASTEL DEANDES</v>
          </cell>
          <cell r="H114">
            <v>10200</v>
          </cell>
          <cell r="I114">
            <v>10800</v>
          </cell>
          <cell r="J114">
            <v>7800</v>
          </cell>
          <cell r="K114">
            <v>11600</v>
          </cell>
          <cell r="L114">
            <v>9600</v>
          </cell>
          <cell r="M114">
            <v>9600</v>
          </cell>
          <cell r="N114">
            <v>9000</v>
          </cell>
          <cell r="O114">
            <v>8600</v>
          </cell>
          <cell r="P114">
            <v>6000</v>
          </cell>
          <cell r="Q114">
            <v>3600</v>
          </cell>
          <cell r="R114">
            <v>4200</v>
          </cell>
          <cell r="S114">
            <v>1200</v>
          </cell>
          <cell r="T114">
            <v>1200</v>
          </cell>
          <cell r="U114">
            <v>3600</v>
          </cell>
          <cell r="V114">
            <v>3600</v>
          </cell>
          <cell r="W114">
            <v>2300</v>
          </cell>
          <cell r="X114">
            <v>3600</v>
          </cell>
          <cell r="Y114">
            <v>1800</v>
          </cell>
          <cell r="Z114">
            <v>1200</v>
          </cell>
          <cell r="AA114">
            <v>3600</v>
          </cell>
          <cell r="AB114">
            <v>3600</v>
          </cell>
          <cell r="AC114">
            <v>3600</v>
          </cell>
          <cell r="AD114">
            <v>2400</v>
          </cell>
          <cell r="AE114">
            <v>1200</v>
          </cell>
          <cell r="AF114">
            <v>9600</v>
          </cell>
          <cell r="AG114">
            <v>3600</v>
          </cell>
          <cell r="AH114">
            <v>3600</v>
          </cell>
          <cell r="AI114">
            <v>3600</v>
          </cell>
          <cell r="AJ114">
            <v>6000</v>
          </cell>
          <cell r="AK114">
            <v>3600</v>
          </cell>
          <cell r="AL114">
            <v>2400</v>
          </cell>
          <cell r="AM114">
            <v>1200</v>
          </cell>
          <cell r="AN114">
            <v>3600</v>
          </cell>
          <cell r="AO114">
            <v>3600</v>
          </cell>
          <cell r="AP114">
            <v>3600</v>
          </cell>
          <cell r="AQ114">
            <v>3600</v>
          </cell>
          <cell r="AR114">
            <v>3600</v>
          </cell>
          <cell r="AS114">
            <v>1200</v>
          </cell>
          <cell r="AT114">
            <v>3600</v>
          </cell>
          <cell r="AU114">
            <v>3600</v>
          </cell>
          <cell r="AV114">
            <v>3000</v>
          </cell>
          <cell r="AW114">
            <v>3000</v>
          </cell>
          <cell r="AX114">
            <v>4200</v>
          </cell>
          <cell r="AY114">
            <v>3600</v>
          </cell>
          <cell r="AZ114">
            <v>3000</v>
          </cell>
          <cell r="BA114">
            <v>3600</v>
          </cell>
          <cell r="BB114">
            <v>3600</v>
          </cell>
          <cell r="BC114">
            <v>3600</v>
          </cell>
          <cell r="BD114">
            <v>4200</v>
          </cell>
          <cell r="BE114">
            <v>3600</v>
          </cell>
          <cell r="BF114">
            <v>3600</v>
          </cell>
          <cell r="BG114">
            <v>3000</v>
          </cell>
          <cell r="BH114">
            <v>1800</v>
          </cell>
          <cell r="BI114">
            <v>7200</v>
          </cell>
          <cell r="BJ114">
            <v>3000</v>
          </cell>
          <cell r="BK114">
            <v>8400</v>
          </cell>
          <cell r="BL114">
            <v>3600</v>
          </cell>
          <cell r="BM114">
            <v>3600</v>
          </cell>
          <cell r="BN114">
            <v>3600</v>
          </cell>
          <cell r="BO114">
            <v>3600</v>
          </cell>
          <cell r="BP114">
            <v>8400</v>
          </cell>
          <cell r="BQ114">
            <v>3000</v>
          </cell>
          <cell r="BR114">
            <v>4200</v>
          </cell>
          <cell r="BS114">
            <v>3600</v>
          </cell>
          <cell r="BT114">
            <v>3600</v>
          </cell>
          <cell r="BU114">
            <v>3600</v>
          </cell>
          <cell r="BV114">
            <v>3600</v>
          </cell>
          <cell r="BW114">
            <v>3600</v>
          </cell>
          <cell r="BX114">
            <v>3600</v>
          </cell>
          <cell r="BY114">
            <v>3600</v>
          </cell>
          <cell r="BZ114">
            <v>3600</v>
          </cell>
          <cell r="CA114">
            <v>3600</v>
          </cell>
          <cell r="CB114">
            <v>4200</v>
          </cell>
          <cell r="CC114">
            <v>3600</v>
          </cell>
          <cell r="CD114">
            <v>3600</v>
          </cell>
          <cell r="CE114">
            <v>4200</v>
          </cell>
          <cell r="CF114">
            <v>3600</v>
          </cell>
          <cell r="CG114">
            <v>4200</v>
          </cell>
          <cell r="CH114">
            <v>3600</v>
          </cell>
          <cell r="CI114">
            <v>2400</v>
          </cell>
          <cell r="CJ114">
            <v>4200</v>
          </cell>
          <cell r="CK114">
            <v>5400</v>
          </cell>
          <cell r="CL114">
            <v>4200</v>
          </cell>
          <cell r="CM114">
            <v>1800</v>
          </cell>
          <cell r="CN114">
            <v>600</v>
          </cell>
          <cell r="CO114">
            <v>3600</v>
          </cell>
          <cell r="CP114">
            <v>4200</v>
          </cell>
          <cell r="CQ114">
            <v>3600</v>
          </cell>
          <cell r="CR114">
            <v>3000</v>
          </cell>
          <cell r="CS114">
            <v>1200</v>
          </cell>
          <cell r="CT114">
            <v>3600</v>
          </cell>
          <cell r="CU114">
            <v>1200</v>
          </cell>
          <cell r="CV114">
            <v>28800</v>
          </cell>
          <cell r="CX114">
            <v>1300</v>
          </cell>
          <cell r="CY114">
            <v>2600</v>
          </cell>
          <cell r="CZ114">
            <v>3100</v>
          </cell>
          <cell r="DA114">
            <v>2400</v>
          </cell>
          <cell r="DB114">
            <v>3200</v>
          </cell>
          <cell r="DC114">
            <v>3392</v>
          </cell>
          <cell r="DD114">
            <v>3600</v>
          </cell>
          <cell r="DE114">
            <v>3001</v>
          </cell>
          <cell r="DF114">
            <v>4000</v>
          </cell>
          <cell r="DG114">
            <v>3500</v>
          </cell>
          <cell r="DH114">
            <v>1900</v>
          </cell>
          <cell r="DI114">
            <v>1200</v>
          </cell>
          <cell r="DJ114">
            <v>3600</v>
          </cell>
          <cell r="DK114">
            <v>3600</v>
          </cell>
          <cell r="DL114">
            <v>3700</v>
          </cell>
          <cell r="DM114">
            <v>4100</v>
          </cell>
          <cell r="DN114">
            <v>3800</v>
          </cell>
          <cell r="DO114">
            <v>3600</v>
          </cell>
          <cell r="DP114">
            <v>3600</v>
          </cell>
          <cell r="DQ114">
            <v>3600</v>
          </cell>
          <cell r="DR114">
            <v>3600</v>
          </cell>
          <cell r="DS114">
            <v>3600</v>
          </cell>
          <cell r="DT114">
            <v>3600</v>
          </cell>
          <cell r="DU114">
            <v>3600</v>
          </cell>
          <cell r="DV114">
            <v>3600</v>
          </cell>
          <cell r="DW114">
            <v>3600</v>
          </cell>
          <cell r="DX114">
            <v>3001</v>
          </cell>
          <cell r="DY114">
            <v>3000</v>
          </cell>
          <cell r="DZ114">
            <v>4200</v>
          </cell>
          <cell r="EA114">
            <v>600</v>
          </cell>
          <cell r="EB114">
            <v>4800</v>
          </cell>
          <cell r="EC114">
            <v>4200</v>
          </cell>
          <cell r="ED114">
            <v>3600</v>
          </cell>
          <cell r="EE114" t="str">
            <v>ACTIVO</v>
          </cell>
          <cell r="EF114" t="str">
            <v>C</v>
          </cell>
          <cell r="EG114">
            <v>3000</v>
          </cell>
          <cell r="EH114">
            <v>3477.8333333333335</v>
          </cell>
          <cell r="EI114">
            <v>579.63888888888891</v>
          </cell>
          <cell r="EJ114">
            <v>3786.7645252588222</v>
          </cell>
          <cell r="EK114">
            <v>9600</v>
          </cell>
          <cell r="EL114">
            <v>474624</v>
          </cell>
          <cell r="EM114">
            <v>2.7603392917046055</v>
          </cell>
          <cell r="EN114">
            <v>1159.2777777777778</v>
          </cell>
          <cell r="EO114">
            <v>1159.2777777777778</v>
          </cell>
          <cell r="EP114">
            <v>2318.5555555555557</v>
          </cell>
        </row>
        <row r="115">
          <cell r="F115">
            <v>107281</v>
          </cell>
          <cell r="G115" t="str">
            <v>BLISTER 7189 1 PASTEL BUENAVENTURA</v>
          </cell>
          <cell r="CM115">
            <v>1800</v>
          </cell>
          <cell r="CN115">
            <v>3600</v>
          </cell>
          <cell r="CO115">
            <v>600</v>
          </cell>
          <cell r="CU115">
            <v>2400</v>
          </cell>
          <cell r="CV115">
            <v>3300</v>
          </cell>
          <cell r="CW115">
            <v>4000</v>
          </cell>
          <cell r="CX115">
            <v>2500</v>
          </cell>
          <cell r="CY115">
            <v>1300</v>
          </cell>
          <cell r="CZ115">
            <v>700</v>
          </cell>
          <cell r="DA115">
            <v>2100</v>
          </cell>
          <cell r="DB115">
            <v>600</v>
          </cell>
          <cell r="DC115">
            <v>1008</v>
          </cell>
          <cell r="DG115">
            <v>700</v>
          </cell>
          <cell r="EE115" t="str">
            <v>ACTIVO</v>
          </cell>
          <cell r="EF115" t="str">
            <v>C</v>
          </cell>
          <cell r="EG115" t="str">
            <v/>
          </cell>
          <cell r="EH115">
            <v>0</v>
          </cell>
          <cell r="EI115">
            <v>0</v>
          </cell>
          <cell r="EJ115">
            <v>1201.9086530416569</v>
          </cell>
          <cell r="EK115">
            <v>0</v>
          </cell>
          <cell r="EL115">
            <v>0</v>
          </cell>
          <cell r="EM115">
            <v>0</v>
          </cell>
          <cell r="EN115">
            <v>0</v>
          </cell>
          <cell r="EO115">
            <v>0</v>
          </cell>
          <cell r="EP115">
            <v>0</v>
          </cell>
        </row>
        <row r="116">
          <cell r="F116">
            <v>405501</v>
          </cell>
          <cell r="G116" t="str">
            <v>BASE TORTA CON TOPE COEXPAN</v>
          </cell>
          <cell r="CR116">
            <v>4800</v>
          </cell>
          <cell r="CU116">
            <v>3600</v>
          </cell>
          <cell r="EE116" t="str">
            <v>SIN USO</v>
          </cell>
          <cell r="EF116" t="str">
            <v>C</v>
          </cell>
          <cell r="EG116" t="str">
            <v/>
          </cell>
          <cell r="EH116">
            <v>0</v>
          </cell>
          <cell r="EI116">
            <v>0</v>
          </cell>
          <cell r="EJ116">
            <v>848.52813742385706</v>
          </cell>
          <cell r="EK116">
            <v>0</v>
          </cell>
          <cell r="EL116">
            <v>0</v>
          </cell>
          <cell r="EM116">
            <v>0</v>
          </cell>
          <cell r="EN116">
            <v>0</v>
          </cell>
          <cell r="EO116">
            <v>0</v>
          </cell>
          <cell r="EP116">
            <v>0</v>
          </cell>
        </row>
        <row r="117">
          <cell r="F117">
            <v>405490</v>
          </cell>
          <cell r="G117" t="str">
            <v>CUPULA TARTA 1025-4 FOOD PACK</v>
          </cell>
          <cell r="H117">
            <v>910</v>
          </cell>
          <cell r="BH117">
            <v>3150</v>
          </cell>
          <cell r="BI117">
            <v>280</v>
          </cell>
          <cell r="EE117" t="str">
            <v>SIN USO</v>
          </cell>
          <cell r="EF117" t="str">
            <v>C</v>
          </cell>
          <cell r="EG117" t="str">
            <v/>
          </cell>
          <cell r="EH117">
            <v>0</v>
          </cell>
          <cell r="EI117">
            <v>0</v>
          </cell>
          <cell r="EJ117">
            <v>2029.3964620053914</v>
          </cell>
          <cell r="EK117">
            <v>0</v>
          </cell>
          <cell r="EL117">
            <v>0</v>
          </cell>
          <cell r="EM117">
            <v>0</v>
          </cell>
          <cell r="EN117">
            <v>0</v>
          </cell>
          <cell r="EO117">
            <v>0</v>
          </cell>
          <cell r="EP117">
            <v>0</v>
          </cell>
        </row>
        <row r="118">
          <cell r="F118">
            <v>405489</v>
          </cell>
          <cell r="G118" t="str">
            <v>CUPULA TARTA 1025-5 MOLDES PAC</v>
          </cell>
          <cell r="BI118">
            <v>6090</v>
          </cell>
          <cell r="BJ118">
            <v>5950</v>
          </cell>
          <cell r="BK118">
            <v>2716</v>
          </cell>
          <cell r="BL118">
            <v>1792</v>
          </cell>
          <cell r="EE118" t="str">
            <v>SIN USO</v>
          </cell>
          <cell r="EF118" t="str">
            <v>C</v>
          </cell>
          <cell r="EG118" t="str">
            <v/>
          </cell>
          <cell r="EH118">
            <v>0</v>
          </cell>
          <cell r="EI118">
            <v>0</v>
          </cell>
          <cell r="EJ118">
            <v>2207.5207813291363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</row>
        <row r="119">
          <cell r="F119">
            <v>403219</v>
          </cell>
          <cell r="G119" t="str">
            <v>CAPSULA OVALADA N° 10 ARRIAZA</v>
          </cell>
          <cell r="I119">
            <v>15000</v>
          </cell>
          <cell r="J119">
            <v>15000</v>
          </cell>
          <cell r="K119">
            <v>15000</v>
          </cell>
          <cell r="M119">
            <v>15000</v>
          </cell>
          <cell r="O119">
            <v>15000</v>
          </cell>
          <cell r="U119">
            <v>25000</v>
          </cell>
          <cell r="AC119">
            <v>10000</v>
          </cell>
          <cell r="AJ119">
            <v>15000</v>
          </cell>
          <cell r="AR119">
            <v>2000</v>
          </cell>
          <cell r="AT119">
            <v>14000</v>
          </cell>
          <cell r="BC119">
            <v>13000</v>
          </cell>
          <cell r="BH119">
            <v>10000</v>
          </cell>
          <cell r="BK119">
            <v>5000</v>
          </cell>
          <cell r="BN119">
            <v>1000</v>
          </cell>
          <cell r="BO119">
            <v>2000</v>
          </cell>
          <cell r="BP119">
            <v>3000</v>
          </cell>
          <cell r="BR119">
            <v>400</v>
          </cell>
          <cell r="BT119">
            <v>3000</v>
          </cell>
          <cell r="BW119">
            <v>5000</v>
          </cell>
          <cell r="CA119">
            <v>3000</v>
          </cell>
          <cell r="CD119">
            <v>5000</v>
          </cell>
          <cell r="CF119">
            <v>5000</v>
          </cell>
          <cell r="CH119">
            <v>5000</v>
          </cell>
          <cell r="CJ119">
            <v>16000</v>
          </cell>
          <cell r="CM119">
            <v>3000</v>
          </cell>
          <cell r="CO119">
            <v>12000</v>
          </cell>
          <cell r="CV119">
            <v>10000</v>
          </cell>
          <cell r="DC119">
            <v>9000</v>
          </cell>
          <cell r="DJ119">
            <v>10000</v>
          </cell>
          <cell r="DN119">
            <v>2000</v>
          </cell>
          <cell r="DP119">
            <v>5000</v>
          </cell>
          <cell r="DS119">
            <v>2000</v>
          </cell>
          <cell r="DT119">
            <v>1000</v>
          </cell>
          <cell r="DU119">
            <v>3000</v>
          </cell>
          <cell r="DV119">
            <v>7000</v>
          </cell>
          <cell r="DX119">
            <v>40000</v>
          </cell>
          <cell r="DY119">
            <v>2000</v>
          </cell>
          <cell r="DZ119">
            <v>1000</v>
          </cell>
          <cell r="EA119">
            <v>10000</v>
          </cell>
          <cell r="EE119" t="str">
            <v>ACTIVO</v>
          </cell>
          <cell r="EF119" t="str">
            <v>C</v>
          </cell>
          <cell r="EG119">
            <v>70000</v>
          </cell>
          <cell r="EH119">
            <v>7300</v>
          </cell>
          <cell r="EI119">
            <v>1216.6666666666667</v>
          </cell>
          <cell r="EJ119">
            <v>4250.8476663311449</v>
          </cell>
          <cell r="EK119">
            <v>18000</v>
          </cell>
          <cell r="EL119">
            <v>109800</v>
          </cell>
          <cell r="EM119">
            <v>2.4657534246575343</v>
          </cell>
          <cell r="EN119">
            <v>7300</v>
          </cell>
          <cell r="EO119">
            <v>2433.3333333333335</v>
          </cell>
          <cell r="EP119">
            <v>9733.3333333333339</v>
          </cell>
        </row>
        <row r="120">
          <cell r="F120">
            <v>107300</v>
          </cell>
          <cell r="G120" t="str">
            <v>COMBO 88 ALTA 12 PP MOLDES PAC</v>
          </cell>
          <cell r="H120">
            <v>5430</v>
          </cell>
          <cell r="I120">
            <v>13790</v>
          </cell>
          <cell r="J120">
            <v>8750</v>
          </cell>
          <cell r="K120">
            <v>17460</v>
          </cell>
          <cell r="L120">
            <v>5600</v>
          </cell>
          <cell r="M120">
            <v>13930</v>
          </cell>
          <cell r="N120">
            <v>11270</v>
          </cell>
          <cell r="O120">
            <v>14840</v>
          </cell>
          <cell r="P120">
            <v>7980</v>
          </cell>
          <cell r="Q120">
            <v>13160</v>
          </cell>
          <cell r="R120">
            <v>4200</v>
          </cell>
          <cell r="S120">
            <v>8330</v>
          </cell>
          <cell r="T120">
            <v>6650</v>
          </cell>
          <cell r="U120">
            <v>10080</v>
          </cell>
          <cell r="V120">
            <v>7000</v>
          </cell>
          <cell r="W120">
            <v>11410</v>
          </cell>
          <cell r="X120">
            <v>12670</v>
          </cell>
          <cell r="Y120">
            <v>8890</v>
          </cell>
          <cell r="Z120">
            <v>3850</v>
          </cell>
          <cell r="AA120">
            <v>9170</v>
          </cell>
          <cell r="AB120">
            <v>10920</v>
          </cell>
          <cell r="AC120">
            <v>15540</v>
          </cell>
          <cell r="AD120">
            <v>14420</v>
          </cell>
          <cell r="AE120">
            <v>6850</v>
          </cell>
          <cell r="AF120">
            <v>8680</v>
          </cell>
          <cell r="AG120">
            <v>11760</v>
          </cell>
          <cell r="AH120">
            <v>9100</v>
          </cell>
          <cell r="AI120">
            <v>7840</v>
          </cell>
          <cell r="AJ120">
            <v>17160</v>
          </cell>
          <cell r="AK120">
            <v>10220</v>
          </cell>
          <cell r="AL120">
            <v>16170</v>
          </cell>
          <cell r="AM120">
            <v>6650</v>
          </cell>
          <cell r="AN120">
            <v>5460</v>
          </cell>
          <cell r="AO120">
            <v>9800</v>
          </cell>
          <cell r="AP120">
            <v>15120</v>
          </cell>
          <cell r="AQ120">
            <v>9170</v>
          </cell>
          <cell r="AR120">
            <v>12530</v>
          </cell>
          <cell r="AS120">
            <v>2800</v>
          </cell>
          <cell r="AT120">
            <v>11340</v>
          </cell>
          <cell r="AU120">
            <v>15730</v>
          </cell>
          <cell r="AV120">
            <v>6120</v>
          </cell>
          <cell r="AW120">
            <v>23760</v>
          </cell>
          <cell r="AX120">
            <v>15570</v>
          </cell>
          <cell r="AY120">
            <v>12070</v>
          </cell>
          <cell r="AZ120">
            <v>13680</v>
          </cell>
          <cell r="BA120">
            <v>10660</v>
          </cell>
          <cell r="BB120">
            <v>14760</v>
          </cell>
          <cell r="BC120">
            <v>9200</v>
          </cell>
          <cell r="BD120">
            <v>10540</v>
          </cell>
          <cell r="BE120">
            <v>16810</v>
          </cell>
          <cell r="BF120">
            <v>7750</v>
          </cell>
          <cell r="BG120">
            <v>10100</v>
          </cell>
          <cell r="BH120">
            <v>6220</v>
          </cell>
          <cell r="BI120">
            <v>3680</v>
          </cell>
          <cell r="BJ120">
            <v>10291</v>
          </cell>
          <cell r="BK120">
            <v>20791</v>
          </cell>
          <cell r="BL120">
            <v>14420</v>
          </cell>
          <cell r="BM120">
            <v>12570</v>
          </cell>
          <cell r="BN120">
            <v>13120</v>
          </cell>
          <cell r="BO120">
            <v>16280</v>
          </cell>
          <cell r="BP120">
            <v>12550</v>
          </cell>
          <cell r="BQ120">
            <v>6920</v>
          </cell>
          <cell r="BR120">
            <v>20210</v>
          </cell>
          <cell r="BS120">
            <v>19530</v>
          </cell>
          <cell r="BT120">
            <v>23910</v>
          </cell>
          <cell r="BU120">
            <v>8080</v>
          </cell>
          <cell r="BV120">
            <v>14870</v>
          </cell>
          <cell r="BW120">
            <v>8680</v>
          </cell>
          <cell r="BX120">
            <v>21030</v>
          </cell>
          <cell r="BY120">
            <v>16170</v>
          </cell>
          <cell r="BZ120">
            <v>4690</v>
          </cell>
          <cell r="CA120">
            <v>9610</v>
          </cell>
          <cell r="CB120">
            <v>10780</v>
          </cell>
          <cell r="CC120">
            <v>22050</v>
          </cell>
          <cell r="CD120">
            <v>11480</v>
          </cell>
          <cell r="CE120">
            <v>13400</v>
          </cell>
          <cell r="CF120">
            <v>16590</v>
          </cell>
          <cell r="CG120">
            <v>13680</v>
          </cell>
          <cell r="CH120">
            <v>9590</v>
          </cell>
          <cell r="CI120">
            <v>9360</v>
          </cell>
          <cell r="CJ120">
            <v>12110</v>
          </cell>
          <cell r="CK120">
            <v>10920</v>
          </cell>
          <cell r="CL120">
            <v>8400</v>
          </cell>
          <cell r="CM120">
            <v>15759</v>
          </cell>
          <cell r="CN120">
            <v>15190</v>
          </cell>
          <cell r="CO120">
            <v>14210</v>
          </cell>
          <cell r="CP120">
            <v>23660</v>
          </cell>
          <cell r="CQ120">
            <v>8820</v>
          </cell>
          <cell r="CR120">
            <v>7840</v>
          </cell>
          <cell r="CS120">
            <v>2450</v>
          </cell>
          <cell r="CT120">
            <v>12600</v>
          </cell>
          <cell r="CU120">
            <v>10220</v>
          </cell>
          <cell r="CV120">
            <v>6580</v>
          </cell>
          <cell r="CW120">
            <v>3360</v>
          </cell>
          <cell r="CX120">
            <v>8890</v>
          </cell>
          <cell r="CY120">
            <v>8890</v>
          </cell>
          <cell r="CZ120">
            <v>4900</v>
          </cell>
          <cell r="DA120">
            <v>6160</v>
          </cell>
          <cell r="DB120">
            <v>5040</v>
          </cell>
          <cell r="DC120">
            <v>6860</v>
          </cell>
          <cell r="DD120">
            <v>8890</v>
          </cell>
          <cell r="DE120">
            <v>3640</v>
          </cell>
          <cell r="DF120">
            <v>7020</v>
          </cell>
          <cell r="DG120">
            <v>6300</v>
          </cell>
          <cell r="DH120">
            <v>2240</v>
          </cell>
          <cell r="DI120">
            <v>2240</v>
          </cell>
          <cell r="DJ120">
            <v>11130</v>
          </cell>
          <cell r="DK120">
            <v>2240</v>
          </cell>
          <cell r="DL120">
            <v>10950</v>
          </cell>
          <cell r="DM120">
            <v>5250</v>
          </cell>
          <cell r="DN120">
            <v>11160</v>
          </cell>
          <cell r="DO120">
            <v>10550</v>
          </cell>
          <cell r="DP120">
            <v>6230</v>
          </cell>
          <cell r="DQ120">
            <v>15050</v>
          </cell>
          <cell r="DR120">
            <v>5110</v>
          </cell>
          <cell r="DS120">
            <v>16940</v>
          </cell>
          <cell r="DT120">
            <v>12460</v>
          </cell>
          <cell r="DU120">
            <v>8820</v>
          </cell>
          <cell r="DV120">
            <v>11760</v>
          </cell>
          <cell r="DW120">
            <v>12320</v>
          </cell>
          <cell r="DX120">
            <v>7070</v>
          </cell>
          <cell r="DY120">
            <v>70</v>
          </cell>
          <cell r="DZ120">
            <v>10430</v>
          </cell>
          <cell r="EA120">
            <v>6720</v>
          </cell>
          <cell r="EB120">
            <v>8120</v>
          </cell>
          <cell r="EC120">
            <v>7000</v>
          </cell>
          <cell r="ED120">
            <v>4060</v>
          </cell>
          <cell r="EE120" t="str">
            <v>ACTIVO</v>
          </cell>
          <cell r="EF120" t="str">
            <v>A</v>
          </cell>
          <cell r="EG120">
            <v>2240</v>
          </cell>
          <cell r="EH120">
            <v>8876.6666666666661</v>
          </cell>
          <cell r="EI120">
            <v>1479.4444444444443</v>
          </cell>
          <cell r="EJ120">
            <v>5570.6492417491936</v>
          </cell>
          <cell r="EK120">
            <v>9380</v>
          </cell>
          <cell r="EL120">
            <v>1948601.2</v>
          </cell>
          <cell r="EM120">
            <v>1.0567029665790462</v>
          </cell>
          <cell r="EN120">
            <v>2958.8888888888887</v>
          </cell>
          <cell r="EO120">
            <v>2958.8888888888887</v>
          </cell>
          <cell r="EP120">
            <v>5917.7777777777774</v>
          </cell>
        </row>
        <row r="121">
          <cell r="F121">
            <v>405374</v>
          </cell>
          <cell r="G121" t="str">
            <v>COMBO 88 ALTA 12 PP FOOD PACK</v>
          </cell>
          <cell r="BI121">
            <v>1620</v>
          </cell>
          <cell r="EE121" t="str">
            <v>SIN USO</v>
          </cell>
          <cell r="EF121" t="str">
            <v>C</v>
          </cell>
          <cell r="EG121" t="str">
            <v/>
          </cell>
          <cell r="EH121">
            <v>0</v>
          </cell>
          <cell r="EI121">
            <v>0</v>
          </cell>
          <cell r="EJ121">
            <v>0</v>
          </cell>
          <cell r="EK121">
            <v>0</v>
          </cell>
          <cell r="EL121">
            <v>0</v>
          </cell>
          <cell r="EM121">
            <v>0</v>
          </cell>
          <cell r="EN121">
            <v>0</v>
          </cell>
          <cell r="EO121">
            <v>0</v>
          </cell>
          <cell r="EP121">
            <v>0</v>
          </cell>
        </row>
        <row r="122">
          <cell r="F122">
            <v>107323</v>
          </cell>
          <cell r="G122" t="str">
            <v>COMBO 88 ALTA 12 PP LISA MOLDES PAC</v>
          </cell>
          <cell r="H122">
            <v>120</v>
          </cell>
          <cell r="L122">
            <v>300</v>
          </cell>
          <cell r="M122">
            <v>720</v>
          </cell>
          <cell r="N122">
            <v>770</v>
          </cell>
          <cell r="O122">
            <v>140</v>
          </cell>
          <cell r="Q122">
            <v>2240</v>
          </cell>
          <cell r="V122">
            <v>690</v>
          </cell>
          <cell r="W122">
            <v>1880</v>
          </cell>
          <cell r="X122">
            <v>490</v>
          </cell>
          <cell r="Y122">
            <v>420</v>
          </cell>
          <cell r="Z122">
            <v>770</v>
          </cell>
          <cell r="AA122">
            <v>730</v>
          </cell>
          <cell r="AB122">
            <v>1320</v>
          </cell>
          <cell r="AC122">
            <v>1120</v>
          </cell>
          <cell r="AD122">
            <v>2120</v>
          </cell>
          <cell r="AE122">
            <v>420</v>
          </cell>
          <cell r="AF122">
            <v>900</v>
          </cell>
          <cell r="AG122">
            <v>660</v>
          </cell>
          <cell r="AH122">
            <v>960</v>
          </cell>
          <cell r="AI122">
            <v>900</v>
          </cell>
          <cell r="AJ122">
            <v>900</v>
          </cell>
          <cell r="AK122">
            <v>1200</v>
          </cell>
          <cell r="AL122">
            <v>1920</v>
          </cell>
          <cell r="AM122">
            <v>1320</v>
          </cell>
          <cell r="AN122">
            <v>720</v>
          </cell>
          <cell r="AO122">
            <v>780</v>
          </cell>
          <cell r="AP122">
            <v>600</v>
          </cell>
          <cell r="AQ122">
            <v>2980</v>
          </cell>
          <cell r="AR122">
            <v>1140</v>
          </cell>
          <cell r="AS122">
            <v>360</v>
          </cell>
          <cell r="AT122">
            <v>300</v>
          </cell>
          <cell r="AU122">
            <v>540</v>
          </cell>
          <cell r="AV122">
            <v>480</v>
          </cell>
          <cell r="AW122">
            <v>1290</v>
          </cell>
          <cell r="AX122">
            <v>450</v>
          </cell>
          <cell r="AZ122">
            <v>1330</v>
          </cell>
          <cell r="BA122">
            <v>3220</v>
          </cell>
          <cell r="BB122">
            <v>2100</v>
          </cell>
          <cell r="BC122">
            <v>1560</v>
          </cell>
          <cell r="BD122">
            <v>1800</v>
          </cell>
          <cell r="BE122">
            <v>1260</v>
          </cell>
          <cell r="BF122">
            <v>930</v>
          </cell>
          <cell r="BG122">
            <v>660</v>
          </cell>
          <cell r="BH122">
            <v>420</v>
          </cell>
          <cell r="BI122">
            <v>1440</v>
          </cell>
          <cell r="BJ122">
            <v>780</v>
          </cell>
          <cell r="BK122">
            <v>1129</v>
          </cell>
          <cell r="BV122">
            <v>0</v>
          </cell>
          <cell r="CO122">
            <v>560</v>
          </cell>
          <cell r="CP122">
            <v>560</v>
          </cell>
          <cell r="CQ122">
            <v>280</v>
          </cell>
          <cell r="CR122">
            <v>560</v>
          </cell>
          <cell r="CS122">
            <v>280</v>
          </cell>
          <cell r="CT122">
            <v>540</v>
          </cell>
          <cell r="CU122">
            <v>540</v>
          </cell>
          <cell r="CV122">
            <v>560</v>
          </cell>
          <cell r="CW122">
            <v>700</v>
          </cell>
          <cell r="CX122">
            <v>280</v>
          </cell>
          <cell r="CY122">
            <v>700</v>
          </cell>
          <cell r="CZ122">
            <v>770</v>
          </cell>
          <cell r="DA122">
            <v>1330</v>
          </cell>
          <cell r="DB122">
            <v>490</v>
          </cell>
          <cell r="DC122">
            <v>650</v>
          </cell>
          <cell r="DD122">
            <v>900</v>
          </cell>
          <cell r="DF122">
            <v>260</v>
          </cell>
          <cell r="DG122">
            <v>140</v>
          </cell>
          <cell r="DH122">
            <v>280</v>
          </cell>
          <cell r="DJ122">
            <v>800</v>
          </cell>
          <cell r="DK122">
            <v>660</v>
          </cell>
          <cell r="DL122">
            <v>510</v>
          </cell>
          <cell r="DM122">
            <v>1140</v>
          </cell>
          <cell r="DN122">
            <v>860</v>
          </cell>
          <cell r="DO122">
            <v>840</v>
          </cell>
          <cell r="DP122">
            <v>1320</v>
          </cell>
          <cell r="DQ122">
            <v>960</v>
          </cell>
          <cell r="DR122">
            <v>600</v>
          </cell>
          <cell r="DS122">
            <v>600</v>
          </cell>
          <cell r="DT122">
            <v>780</v>
          </cell>
          <cell r="DU122">
            <v>500</v>
          </cell>
          <cell r="DV122">
            <v>540</v>
          </cell>
          <cell r="DW122">
            <v>1180</v>
          </cell>
          <cell r="DX122">
            <v>1320</v>
          </cell>
          <cell r="DY122">
            <v>1700</v>
          </cell>
          <cell r="DZ122">
            <v>1200</v>
          </cell>
          <cell r="EA122">
            <v>60</v>
          </cell>
          <cell r="EB122">
            <v>740</v>
          </cell>
          <cell r="EC122">
            <v>900</v>
          </cell>
          <cell r="ED122">
            <v>380</v>
          </cell>
          <cell r="EE122" t="str">
            <v>ACTIVO</v>
          </cell>
          <cell r="EF122" t="str">
            <v>C</v>
          </cell>
          <cell r="EG122">
            <v>2240</v>
          </cell>
          <cell r="EH122">
            <v>912.35294117647061</v>
          </cell>
          <cell r="EI122">
            <v>152.05882352941177</v>
          </cell>
          <cell r="EJ122">
            <v>351.66782488304358</v>
          </cell>
          <cell r="EK122">
            <v>4020</v>
          </cell>
          <cell r="EL122">
            <v>920017.2</v>
          </cell>
          <cell r="EM122">
            <v>4.4061895551257253</v>
          </cell>
          <cell r="EN122">
            <v>304.11764705882354</v>
          </cell>
          <cell r="EO122">
            <v>304.11764705882354</v>
          </cell>
          <cell r="EP122">
            <v>608.23529411764707</v>
          </cell>
        </row>
        <row r="123">
          <cell r="F123">
            <v>107345</v>
          </cell>
          <cell r="G123" t="str">
            <v>CUPULA 170BX DEANDES</v>
          </cell>
          <cell r="Q123">
            <v>340</v>
          </cell>
          <cell r="R123">
            <v>1800</v>
          </cell>
          <cell r="S123">
            <v>480</v>
          </cell>
          <cell r="T123">
            <v>480</v>
          </cell>
          <cell r="U123">
            <v>1680</v>
          </cell>
          <cell r="V123">
            <v>1920</v>
          </cell>
          <cell r="W123">
            <v>1680</v>
          </cell>
          <cell r="X123">
            <v>1680</v>
          </cell>
          <cell r="Y123">
            <v>960</v>
          </cell>
          <cell r="Z123">
            <v>480</v>
          </cell>
          <cell r="AA123">
            <v>3360</v>
          </cell>
          <cell r="AB123">
            <v>4320</v>
          </cell>
          <cell r="AC123">
            <v>1920</v>
          </cell>
          <cell r="AD123">
            <v>1440</v>
          </cell>
          <cell r="AE123">
            <v>480</v>
          </cell>
          <cell r="AF123">
            <v>1200</v>
          </cell>
          <cell r="AG123">
            <v>2400</v>
          </cell>
          <cell r="AH123">
            <v>1800</v>
          </cell>
          <cell r="AI123">
            <v>1560</v>
          </cell>
          <cell r="AJ123">
            <v>3240</v>
          </cell>
          <cell r="AK123">
            <v>2640</v>
          </cell>
          <cell r="AL123">
            <v>2640</v>
          </cell>
          <cell r="AM123">
            <v>1200</v>
          </cell>
          <cell r="AN123">
            <v>240</v>
          </cell>
          <cell r="AO123">
            <v>120</v>
          </cell>
          <cell r="AP123">
            <v>2760</v>
          </cell>
          <cell r="AQ123">
            <v>1920</v>
          </cell>
          <cell r="AR123">
            <v>1920</v>
          </cell>
          <cell r="AS123">
            <v>480</v>
          </cell>
          <cell r="AT123">
            <v>1680</v>
          </cell>
          <cell r="AU123">
            <v>2160</v>
          </cell>
          <cell r="AV123">
            <v>1920</v>
          </cell>
          <cell r="AW123">
            <v>1680</v>
          </cell>
          <cell r="AX123">
            <v>1680</v>
          </cell>
          <cell r="AY123">
            <v>1440</v>
          </cell>
          <cell r="AZ123">
            <v>1440</v>
          </cell>
          <cell r="BA123">
            <v>2400</v>
          </cell>
          <cell r="BB123">
            <v>1920</v>
          </cell>
          <cell r="BC123">
            <v>1680</v>
          </cell>
          <cell r="BD123">
            <v>1680</v>
          </cell>
          <cell r="BE123">
            <v>1920</v>
          </cell>
          <cell r="BF123">
            <v>1200</v>
          </cell>
          <cell r="BG123">
            <v>240</v>
          </cell>
          <cell r="BO123">
            <v>962</v>
          </cell>
          <cell r="BP123">
            <v>1920</v>
          </cell>
          <cell r="BQ123">
            <v>1920</v>
          </cell>
          <cell r="BR123">
            <v>1920</v>
          </cell>
          <cell r="BS123">
            <v>1920</v>
          </cell>
          <cell r="BT123">
            <v>1650</v>
          </cell>
          <cell r="BU123">
            <v>2400</v>
          </cell>
          <cell r="BV123">
            <v>2400</v>
          </cell>
          <cell r="BW123">
            <v>2880</v>
          </cell>
          <cell r="BX123">
            <v>2400</v>
          </cell>
          <cell r="BY123">
            <v>1680</v>
          </cell>
          <cell r="BZ123">
            <v>240</v>
          </cell>
          <cell r="CA123">
            <v>1920</v>
          </cell>
          <cell r="CB123">
            <v>2160</v>
          </cell>
          <cell r="CC123">
            <v>2640</v>
          </cell>
          <cell r="CD123">
            <v>2640</v>
          </cell>
          <cell r="CE123">
            <v>2640</v>
          </cell>
          <cell r="CF123">
            <v>2160</v>
          </cell>
          <cell r="CG123">
            <v>1920</v>
          </cell>
          <cell r="CH123">
            <v>2160</v>
          </cell>
          <cell r="CI123">
            <v>1200</v>
          </cell>
          <cell r="CJ123">
            <v>2640</v>
          </cell>
          <cell r="CK123">
            <v>1920</v>
          </cell>
          <cell r="CL123">
            <v>1680</v>
          </cell>
          <cell r="CM123">
            <v>1680</v>
          </cell>
          <cell r="CN123">
            <v>3120</v>
          </cell>
          <cell r="CO123">
            <v>2640</v>
          </cell>
          <cell r="CP123">
            <v>3120</v>
          </cell>
          <cell r="DH123">
            <v>960</v>
          </cell>
          <cell r="DI123">
            <v>480</v>
          </cell>
          <cell r="DJ123">
            <v>1440</v>
          </cell>
          <cell r="DK123">
            <v>390</v>
          </cell>
          <cell r="DM123">
            <v>1440</v>
          </cell>
          <cell r="DN123">
            <v>1440</v>
          </cell>
          <cell r="DO123">
            <v>1440</v>
          </cell>
          <cell r="DP123">
            <v>1680</v>
          </cell>
          <cell r="DQ123">
            <v>1440</v>
          </cell>
          <cell r="DR123">
            <v>1440</v>
          </cell>
          <cell r="DS123">
            <v>2400</v>
          </cell>
          <cell r="DT123">
            <v>1440</v>
          </cell>
          <cell r="DU123">
            <v>1920</v>
          </cell>
          <cell r="DV123">
            <v>1680</v>
          </cell>
          <cell r="DW123">
            <v>1440</v>
          </cell>
          <cell r="DX123">
            <v>1201</v>
          </cell>
          <cell r="DY123">
            <v>3120</v>
          </cell>
          <cell r="DZ123">
            <v>2640</v>
          </cell>
          <cell r="EA123">
            <v>1200</v>
          </cell>
          <cell r="EB123">
            <v>2880</v>
          </cell>
          <cell r="EC123">
            <v>1920</v>
          </cell>
          <cell r="ED123">
            <v>1920</v>
          </cell>
          <cell r="EE123" t="str">
            <v>ACTIVO</v>
          </cell>
          <cell r="EF123" t="str">
            <v>C</v>
          </cell>
          <cell r="EH123">
            <v>1590.0588235294117</v>
          </cell>
          <cell r="EI123">
            <v>265.00980392156862</v>
          </cell>
          <cell r="EJ123">
            <v>659.60981898429372</v>
          </cell>
          <cell r="EK123">
            <v>10080</v>
          </cell>
          <cell r="EL123">
            <v>1868832</v>
          </cell>
          <cell r="EM123">
            <v>6.339388109947838</v>
          </cell>
          <cell r="EN123">
            <v>530.01960784313724</v>
          </cell>
          <cell r="EO123">
            <v>530.01960784313724</v>
          </cell>
          <cell r="EP123">
            <v>1060.0392156862745</v>
          </cell>
        </row>
        <row r="124">
          <cell r="F124">
            <v>405226</v>
          </cell>
          <cell r="G124" t="str">
            <v>CUPULA 170 BX BUENAVENTURA</v>
          </cell>
          <cell r="H124">
            <v>150</v>
          </cell>
          <cell r="BF124">
            <v>360</v>
          </cell>
          <cell r="BG124">
            <v>1350</v>
          </cell>
          <cell r="BH124">
            <v>960</v>
          </cell>
          <cell r="BI124">
            <v>1680</v>
          </cell>
          <cell r="BJ124">
            <v>1140</v>
          </cell>
          <cell r="BK124">
            <v>2160</v>
          </cell>
          <cell r="BL124">
            <v>2220</v>
          </cell>
          <cell r="BM124">
            <v>2432</v>
          </cell>
          <cell r="BN124">
            <v>1680</v>
          </cell>
          <cell r="BO124">
            <v>718</v>
          </cell>
          <cell r="CP124">
            <v>4500</v>
          </cell>
          <cell r="CQ124">
            <v>2640</v>
          </cell>
          <cell r="CR124">
            <v>2640</v>
          </cell>
          <cell r="CS124">
            <v>960</v>
          </cell>
          <cell r="CT124">
            <v>2400</v>
          </cell>
          <cell r="CU124">
            <v>1440</v>
          </cell>
          <cell r="CV124">
            <v>1680</v>
          </cell>
          <cell r="CW124">
            <v>1440</v>
          </cell>
          <cell r="CX124">
            <v>1440</v>
          </cell>
          <cell r="CY124">
            <v>1740</v>
          </cell>
          <cell r="CZ124">
            <v>1650</v>
          </cell>
          <cell r="DA124">
            <v>1830</v>
          </cell>
          <cell r="DB124">
            <v>1440</v>
          </cell>
          <cell r="DC124">
            <v>1680</v>
          </cell>
          <cell r="DD124">
            <v>1440</v>
          </cell>
          <cell r="DE124">
            <v>1591</v>
          </cell>
          <cell r="DF124">
            <v>1680</v>
          </cell>
          <cell r="DG124">
            <v>1680</v>
          </cell>
          <cell r="DH124">
            <v>240</v>
          </cell>
          <cell r="DK124">
            <v>1320</v>
          </cell>
          <cell r="DL124">
            <v>1320</v>
          </cell>
          <cell r="EE124" t="str">
            <v>ACTIVO</v>
          </cell>
          <cell r="EF124" t="str">
            <v>C</v>
          </cell>
          <cell r="EG124" t="str">
            <v/>
          </cell>
          <cell r="EH124">
            <v>1320</v>
          </cell>
          <cell r="EI124">
            <v>220</v>
          </cell>
          <cell r="EJ124">
            <v>782.98262925865595</v>
          </cell>
          <cell r="EK124">
            <v>0</v>
          </cell>
          <cell r="EL124">
            <v>0</v>
          </cell>
          <cell r="EM124">
            <v>0</v>
          </cell>
          <cell r="EN124">
            <v>440</v>
          </cell>
          <cell r="EO124">
            <v>440</v>
          </cell>
          <cell r="EP124">
            <v>880</v>
          </cell>
        </row>
        <row r="125">
          <cell r="F125">
            <v>405228</v>
          </cell>
          <cell r="G125" t="str">
            <v>CUPULA TORTA ALTA SISA ECOPLASTIC</v>
          </cell>
          <cell r="H125">
            <v>32200</v>
          </cell>
          <cell r="I125">
            <v>48100</v>
          </cell>
          <cell r="J125">
            <v>43600</v>
          </cell>
          <cell r="K125">
            <v>46000</v>
          </cell>
          <cell r="L125">
            <v>45400</v>
          </cell>
          <cell r="M125">
            <v>44200</v>
          </cell>
          <cell r="P125">
            <v>9400</v>
          </cell>
          <cell r="Q125">
            <v>41100</v>
          </cell>
          <cell r="R125">
            <v>49600</v>
          </cell>
          <cell r="S125">
            <v>33190</v>
          </cell>
          <cell r="T125">
            <v>35000</v>
          </cell>
          <cell r="U125">
            <v>47310</v>
          </cell>
          <cell r="V125">
            <v>51600</v>
          </cell>
          <cell r="W125">
            <v>42300</v>
          </cell>
          <cell r="X125">
            <v>67500</v>
          </cell>
          <cell r="Y125">
            <v>51850</v>
          </cell>
          <cell r="Z125">
            <v>43625</v>
          </cell>
          <cell r="AA125">
            <v>38925</v>
          </cell>
          <cell r="AB125">
            <v>600</v>
          </cell>
          <cell r="EE125" t="str">
            <v>SIN USO</v>
          </cell>
          <cell r="EF125" t="str">
            <v/>
          </cell>
          <cell r="EG125" t="str">
            <v/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</row>
        <row r="126">
          <cell r="F126">
            <v>404314</v>
          </cell>
          <cell r="G126" t="str">
            <v>CUPULA MEDIA TORTA FOOD PACK</v>
          </cell>
          <cell r="H126">
            <v>100</v>
          </cell>
          <cell r="AT126">
            <v>200</v>
          </cell>
          <cell r="AU126">
            <v>227</v>
          </cell>
          <cell r="AV126">
            <v>412</v>
          </cell>
          <cell r="AW126">
            <v>223</v>
          </cell>
          <cell r="AX126">
            <v>401</v>
          </cell>
          <cell r="AY126">
            <v>700</v>
          </cell>
          <cell r="AZ126">
            <v>440</v>
          </cell>
          <cell r="BA126">
            <v>1100</v>
          </cell>
          <cell r="BB126">
            <v>600</v>
          </cell>
          <cell r="BC126">
            <v>400</v>
          </cell>
          <cell r="BD126">
            <v>300</v>
          </cell>
          <cell r="BE126">
            <v>400</v>
          </cell>
          <cell r="BF126">
            <v>420</v>
          </cell>
          <cell r="BG126">
            <v>200</v>
          </cell>
          <cell r="BH126">
            <v>100</v>
          </cell>
          <cell r="BI126">
            <v>400</v>
          </cell>
          <cell r="BJ126">
            <v>1482</v>
          </cell>
          <cell r="BK126">
            <v>400</v>
          </cell>
          <cell r="BL126">
            <v>400</v>
          </cell>
          <cell r="BM126">
            <v>600</v>
          </cell>
          <cell r="BN126">
            <v>300</v>
          </cell>
          <cell r="BP126">
            <v>100</v>
          </cell>
          <cell r="BR126">
            <v>100</v>
          </cell>
          <cell r="BS126">
            <v>400</v>
          </cell>
          <cell r="BT126">
            <v>500</v>
          </cell>
          <cell r="BU126">
            <v>500</v>
          </cell>
          <cell r="BV126">
            <v>300</v>
          </cell>
          <cell r="BW126">
            <v>400</v>
          </cell>
          <cell r="BX126">
            <v>400</v>
          </cell>
          <cell r="BY126">
            <v>300</v>
          </cell>
          <cell r="BZ126">
            <v>100</v>
          </cell>
          <cell r="CA126">
            <v>300</v>
          </cell>
          <cell r="CB126">
            <v>403</v>
          </cell>
          <cell r="CC126">
            <v>400</v>
          </cell>
          <cell r="CD126">
            <v>400</v>
          </cell>
          <cell r="CE126">
            <v>300</v>
          </cell>
          <cell r="CF126">
            <v>300</v>
          </cell>
          <cell r="CG126">
            <v>200</v>
          </cell>
          <cell r="CH126">
            <v>300</v>
          </cell>
          <cell r="CI126">
            <v>100</v>
          </cell>
          <cell r="CJ126">
            <v>200</v>
          </cell>
          <cell r="CK126">
            <v>400</v>
          </cell>
          <cell r="CL126">
            <v>300</v>
          </cell>
          <cell r="CM126">
            <v>400</v>
          </cell>
          <cell r="CN126">
            <v>500</v>
          </cell>
          <cell r="CO126">
            <v>400</v>
          </cell>
          <cell r="CP126">
            <v>500</v>
          </cell>
          <cell r="CQ126">
            <v>400</v>
          </cell>
          <cell r="CR126">
            <v>300</v>
          </cell>
          <cell r="CT126">
            <v>400</v>
          </cell>
          <cell r="CU126">
            <v>400</v>
          </cell>
          <cell r="CV126">
            <v>400</v>
          </cell>
          <cell r="CW126">
            <v>400</v>
          </cell>
          <cell r="CX126">
            <v>400</v>
          </cell>
          <cell r="CY126">
            <v>400</v>
          </cell>
          <cell r="CZ126">
            <v>400</v>
          </cell>
          <cell r="DA126">
            <v>500</v>
          </cell>
          <cell r="DB126">
            <v>400</v>
          </cell>
          <cell r="DC126">
            <v>500</v>
          </cell>
          <cell r="DD126">
            <v>300</v>
          </cell>
          <cell r="DE126">
            <v>300</v>
          </cell>
          <cell r="DF126">
            <v>400</v>
          </cell>
          <cell r="DG126">
            <v>500</v>
          </cell>
          <cell r="DJ126">
            <v>400</v>
          </cell>
          <cell r="DK126">
            <v>400</v>
          </cell>
          <cell r="DL126">
            <v>300</v>
          </cell>
          <cell r="DM126">
            <v>300</v>
          </cell>
          <cell r="DN126">
            <v>400</v>
          </cell>
          <cell r="DO126">
            <v>400</v>
          </cell>
          <cell r="DP126">
            <v>500</v>
          </cell>
          <cell r="DQ126">
            <v>300</v>
          </cell>
          <cell r="DR126">
            <v>400</v>
          </cell>
          <cell r="DS126">
            <v>500</v>
          </cell>
          <cell r="DT126">
            <v>500</v>
          </cell>
          <cell r="DU126">
            <v>500</v>
          </cell>
          <cell r="DV126">
            <v>400</v>
          </cell>
          <cell r="DW126">
            <v>400</v>
          </cell>
          <cell r="DX126">
            <v>401</v>
          </cell>
          <cell r="DY126">
            <v>300</v>
          </cell>
          <cell r="DZ126">
            <v>400</v>
          </cell>
          <cell r="EA126">
            <v>200</v>
          </cell>
          <cell r="EB126">
            <v>400</v>
          </cell>
          <cell r="EC126">
            <v>500</v>
          </cell>
          <cell r="ED126">
            <v>400</v>
          </cell>
          <cell r="EE126" t="str">
            <v>ACTIVO</v>
          </cell>
          <cell r="EF126" t="str">
            <v>C</v>
          </cell>
          <cell r="EG126" t="str">
            <v/>
          </cell>
          <cell r="EH126">
            <v>400.05882352941177</v>
          </cell>
          <cell r="EI126">
            <v>66.67647058823529</v>
          </cell>
          <cell r="EJ126">
            <v>198.94031768347008</v>
          </cell>
          <cell r="EK126">
            <v>2000</v>
          </cell>
          <cell r="EL126">
            <v>471700</v>
          </cell>
          <cell r="EM126">
            <v>4.9992648139979412</v>
          </cell>
          <cell r="EN126">
            <v>266.70588235294116</v>
          </cell>
          <cell r="EO126">
            <v>133.35294117647058</v>
          </cell>
          <cell r="EP126">
            <v>400.05882352941171</v>
          </cell>
        </row>
        <row r="127">
          <cell r="F127">
            <v>405383</v>
          </cell>
          <cell r="G127" t="str">
            <v>ESTUCHE GALLETAS VERA Y GIANNINI</v>
          </cell>
          <cell r="AX127">
            <v>4800</v>
          </cell>
          <cell r="BG127">
            <v>4800</v>
          </cell>
          <cell r="BI127">
            <v>200</v>
          </cell>
          <cell r="BK127">
            <v>14400</v>
          </cell>
          <cell r="BT127">
            <v>4800</v>
          </cell>
          <cell r="BZ127">
            <v>4800</v>
          </cell>
          <cell r="CE127">
            <v>4800</v>
          </cell>
          <cell r="CI127">
            <v>4800</v>
          </cell>
          <cell r="CU127">
            <v>4800</v>
          </cell>
          <cell r="EE127" t="str">
            <v>ACTIVO</v>
          </cell>
          <cell r="EF127" t="str">
            <v>C</v>
          </cell>
          <cell r="EG127">
            <v>0</v>
          </cell>
          <cell r="EH127">
            <v>0</v>
          </cell>
          <cell r="EI127">
            <v>0</v>
          </cell>
          <cell r="EJ127">
            <v>4276.8479715122648</v>
          </cell>
          <cell r="EK127">
            <v>0</v>
          </cell>
          <cell r="EL127">
            <v>0</v>
          </cell>
          <cell r="EM127">
            <v>0</v>
          </cell>
          <cell r="EN127">
            <v>0</v>
          </cell>
          <cell r="EO127">
            <v>0</v>
          </cell>
          <cell r="EP127">
            <v>0</v>
          </cell>
        </row>
        <row r="128">
          <cell r="F128">
            <v>405444</v>
          </cell>
          <cell r="G128" t="str">
            <v>CUPULA TORTA 15 PP ALTA COEXPAN</v>
          </cell>
          <cell r="H128">
            <v>10000</v>
          </cell>
          <cell r="AY128">
            <v>6000</v>
          </cell>
          <cell r="AZ128">
            <v>28800</v>
          </cell>
          <cell r="BA128">
            <v>36500</v>
          </cell>
          <cell r="BB128">
            <v>900</v>
          </cell>
          <cell r="BF128">
            <v>30380</v>
          </cell>
          <cell r="BG128">
            <v>36700</v>
          </cell>
          <cell r="BH128">
            <v>13800</v>
          </cell>
          <cell r="BI128">
            <v>31600</v>
          </cell>
          <cell r="BJ128">
            <v>29500</v>
          </cell>
          <cell r="BK128">
            <v>37900</v>
          </cell>
          <cell r="BL128">
            <v>34500</v>
          </cell>
          <cell r="BM128">
            <v>26100</v>
          </cell>
          <cell r="BN128">
            <v>29400</v>
          </cell>
          <cell r="BO128">
            <v>35400</v>
          </cell>
          <cell r="BP128">
            <v>21600</v>
          </cell>
          <cell r="BQ128">
            <v>32000</v>
          </cell>
          <cell r="BR128">
            <v>39680</v>
          </cell>
          <cell r="BS128">
            <v>40520</v>
          </cell>
          <cell r="BT128">
            <v>37700</v>
          </cell>
          <cell r="BU128">
            <v>36900</v>
          </cell>
          <cell r="BV128">
            <v>40940</v>
          </cell>
          <cell r="BW128">
            <v>36100</v>
          </cell>
          <cell r="BX128">
            <v>42200</v>
          </cell>
          <cell r="BY128">
            <v>37800</v>
          </cell>
          <cell r="BZ128">
            <v>43200</v>
          </cell>
          <cell r="CA128">
            <v>40900</v>
          </cell>
          <cell r="CB128">
            <v>29000</v>
          </cell>
          <cell r="CC128">
            <v>29000</v>
          </cell>
          <cell r="CD128">
            <v>33000</v>
          </cell>
          <cell r="CE128">
            <v>45000</v>
          </cell>
          <cell r="CF128">
            <v>34300</v>
          </cell>
          <cell r="CG128">
            <v>33800</v>
          </cell>
          <cell r="CH128">
            <v>31500</v>
          </cell>
          <cell r="CI128">
            <v>23700</v>
          </cell>
          <cell r="CJ128">
            <v>22900</v>
          </cell>
          <cell r="CK128">
            <v>38100</v>
          </cell>
          <cell r="CL128">
            <v>32400</v>
          </cell>
          <cell r="CM128">
            <v>41000</v>
          </cell>
          <cell r="CN128">
            <v>42600</v>
          </cell>
          <cell r="CO128">
            <v>5000</v>
          </cell>
          <cell r="CP128">
            <v>26100</v>
          </cell>
          <cell r="CQ128">
            <v>38200</v>
          </cell>
          <cell r="CR128">
            <v>47600</v>
          </cell>
          <cell r="CS128">
            <v>20800</v>
          </cell>
          <cell r="CT128">
            <v>40800</v>
          </cell>
          <cell r="CU128">
            <v>39100</v>
          </cell>
          <cell r="CV128">
            <v>40100</v>
          </cell>
          <cell r="CW128">
            <v>39100</v>
          </cell>
          <cell r="CX128">
            <v>39600</v>
          </cell>
          <cell r="CY128">
            <v>28700</v>
          </cell>
          <cell r="CZ128">
            <v>39800</v>
          </cell>
          <cell r="DA128">
            <v>38400</v>
          </cell>
          <cell r="DB128">
            <v>41800</v>
          </cell>
          <cell r="DC128">
            <v>38200</v>
          </cell>
          <cell r="DD128">
            <v>36400</v>
          </cell>
          <cell r="DE128">
            <v>35101</v>
          </cell>
          <cell r="DF128">
            <v>58200</v>
          </cell>
          <cell r="DG128">
            <v>50200</v>
          </cell>
          <cell r="DH128">
            <v>28600</v>
          </cell>
          <cell r="DI128">
            <v>17200</v>
          </cell>
          <cell r="DJ128">
            <v>50500</v>
          </cell>
          <cell r="DK128">
            <v>60500</v>
          </cell>
          <cell r="DL128">
            <v>54900</v>
          </cell>
          <cell r="DM128">
            <v>55900</v>
          </cell>
          <cell r="DN128">
            <v>55200</v>
          </cell>
          <cell r="DO128">
            <v>59000</v>
          </cell>
          <cell r="DP128">
            <v>50504</v>
          </cell>
          <cell r="DQ128">
            <v>48500</v>
          </cell>
          <cell r="DR128">
            <v>51100</v>
          </cell>
          <cell r="DS128">
            <v>48900</v>
          </cell>
          <cell r="DT128">
            <v>49600</v>
          </cell>
          <cell r="DU128">
            <v>64100</v>
          </cell>
          <cell r="DV128">
            <v>53300</v>
          </cell>
          <cell r="DW128">
            <v>57700</v>
          </cell>
          <cell r="DX128">
            <v>70601</v>
          </cell>
          <cell r="DY128">
            <v>78700</v>
          </cell>
          <cell r="DZ128">
            <v>63800</v>
          </cell>
          <cell r="EA128">
            <v>49000</v>
          </cell>
          <cell r="EB128">
            <v>64000</v>
          </cell>
          <cell r="EC128">
            <v>77200</v>
          </cell>
          <cell r="ED128">
            <v>61500</v>
          </cell>
          <cell r="EE128" t="str">
            <v>ACTIVO</v>
          </cell>
          <cell r="EF128" t="str">
            <v>A</v>
          </cell>
          <cell r="EG128">
            <v>100</v>
          </cell>
          <cell r="EH128">
            <v>55000.277777777781</v>
          </cell>
          <cell r="EI128">
            <v>9166.7129629629635</v>
          </cell>
          <cell r="EJ128">
            <v>8816.8907567711176</v>
          </cell>
          <cell r="EK128">
            <v>37500</v>
          </cell>
          <cell r="EL128">
            <v>9448875</v>
          </cell>
          <cell r="EM128">
            <v>0.68181473830940242</v>
          </cell>
          <cell r="EN128">
            <v>18333.425925925927</v>
          </cell>
          <cell r="EO128">
            <v>18333.425925925927</v>
          </cell>
          <cell r="EP128">
            <v>36666.851851851854</v>
          </cell>
        </row>
        <row r="129">
          <cell r="F129">
            <v>405445</v>
          </cell>
          <cell r="G129" t="str">
            <v>BASE TORTA 15PP ALTA COEXPAN</v>
          </cell>
          <cell r="H129">
            <v>10000</v>
          </cell>
          <cell r="AY129">
            <v>6000</v>
          </cell>
          <cell r="AZ129">
            <v>28600</v>
          </cell>
          <cell r="BA129">
            <v>36400</v>
          </cell>
          <cell r="BB129">
            <v>600</v>
          </cell>
          <cell r="BF129">
            <v>24200</v>
          </cell>
          <cell r="BG129">
            <v>36800</v>
          </cell>
          <cell r="BH129">
            <v>14000</v>
          </cell>
          <cell r="BI129">
            <v>32000</v>
          </cell>
          <cell r="BJ129">
            <v>30000</v>
          </cell>
          <cell r="BK129">
            <v>41300</v>
          </cell>
          <cell r="BL129">
            <v>32600</v>
          </cell>
          <cell r="BM129">
            <v>25400</v>
          </cell>
          <cell r="BN129">
            <v>29600</v>
          </cell>
          <cell r="BO129">
            <v>35800</v>
          </cell>
          <cell r="BP129">
            <v>22800</v>
          </cell>
          <cell r="BQ129">
            <v>32200</v>
          </cell>
          <cell r="BR129">
            <v>39500</v>
          </cell>
          <cell r="BS129">
            <v>38800</v>
          </cell>
          <cell r="BT129">
            <v>41700</v>
          </cell>
          <cell r="BU129">
            <v>37600</v>
          </cell>
          <cell r="BV129">
            <v>40201</v>
          </cell>
          <cell r="BW129">
            <v>39800</v>
          </cell>
          <cell r="BX129">
            <v>41400</v>
          </cell>
          <cell r="BY129">
            <v>38800</v>
          </cell>
          <cell r="BZ129">
            <v>43800</v>
          </cell>
          <cell r="CA129">
            <v>41400</v>
          </cell>
          <cell r="CB129">
            <v>29600</v>
          </cell>
          <cell r="CC129">
            <v>29600</v>
          </cell>
          <cell r="CD129">
            <v>33800</v>
          </cell>
          <cell r="CE129">
            <v>45200</v>
          </cell>
          <cell r="CF129">
            <v>35600</v>
          </cell>
          <cell r="CG129">
            <v>34500</v>
          </cell>
          <cell r="CH129">
            <v>32600</v>
          </cell>
          <cell r="CI129">
            <v>25000</v>
          </cell>
          <cell r="CJ129">
            <v>21200</v>
          </cell>
          <cell r="CK129">
            <v>40200</v>
          </cell>
          <cell r="CL129">
            <v>33400</v>
          </cell>
          <cell r="CM129">
            <v>42000</v>
          </cell>
          <cell r="CN129">
            <v>43000</v>
          </cell>
          <cell r="CO129">
            <v>2900</v>
          </cell>
          <cell r="CP129">
            <v>26800</v>
          </cell>
          <cell r="CQ129">
            <v>39800</v>
          </cell>
          <cell r="CR129">
            <v>48600</v>
          </cell>
          <cell r="CS129">
            <v>21800</v>
          </cell>
          <cell r="CT129">
            <v>42400</v>
          </cell>
          <cell r="CU129">
            <v>37000</v>
          </cell>
          <cell r="CV129">
            <v>41800</v>
          </cell>
          <cell r="CW129">
            <v>41400</v>
          </cell>
          <cell r="CX129">
            <v>41200</v>
          </cell>
          <cell r="CY129">
            <v>29600</v>
          </cell>
          <cell r="CZ129">
            <v>41600</v>
          </cell>
          <cell r="DA129">
            <v>38400</v>
          </cell>
          <cell r="DB129">
            <v>42900</v>
          </cell>
          <cell r="DC129">
            <v>38600</v>
          </cell>
          <cell r="DD129">
            <v>37400</v>
          </cell>
          <cell r="DE129">
            <v>36001</v>
          </cell>
          <cell r="DF129">
            <v>60000</v>
          </cell>
          <cell r="DG129">
            <v>51000</v>
          </cell>
          <cell r="DH129">
            <v>30000</v>
          </cell>
          <cell r="DI129">
            <v>17400</v>
          </cell>
          <cell r="DJ129">
            <v>52400</v>
          </cell>
          <cell r="DK129">
            <v>61200</v>
          </cell>
          <cell r="DL129">
            <v>55500</v>
          </cell>
          <cell r="DM129">
            <v>57200</v>
          </cell>
          <cell r="DN129">
            <v>57600</v>
          </cell>
          <cell r="DO129">
            <v>57700</v>
          </cell>
          <cell r="DP129">
            <v>50800</v>
          </cell>
          <cell r="DQ129">
            <v>48600</v>
          </cell>
          <cell r="DR129">
            <v>52200</v>
          </cell>
          <cell r="DS129">
            <v>51200</v>
          </cell>
          <cell r="DT129">
            <v>51000</v>
          </cell>
          <cell r="DU129">
            <v>65200</v>
          </cell>
          <cell r="DV129">
            <v>50600</v>
          </cell>
          <cell r="DW129">
            <v>56700</v>
          </cell>
          <cell r="DX129">
            <v>72121</v>
          </cell>
          <cell r="DY129">
            <v>83800</v>
          </cell>
          <cell r="DZ129">
            <v>64800</v>
          </cell>
          <cell r="EA129">
            <v>49400</v>
          </cell>
          <cell r="EB129">
            <v>65200</v>
          </cell>
          <cell r="EC129">
            <v>78600</v>
          </cell>
          <cell r="ED129">
            <v>58800</v>
          </cell>
          <cell r="EE129" t="str">
            <v>ACTIVO</v>
          </cell>
          <cell r="EF129" t="str">
            <v>A</v>
          </cell>
          <cell r="EG129">
            <v>200</v>
          </cell>
          <cell r="EH129">
            <v>55890.055555555555</v>
          </cell>
          <cell r="EI129">
            <v>9315.0092592592591</v>
          </cell>
          <cell r="EJ129">
            <v>9220.7093794003431</v>
          </cell>
          <cell r="EK129">
            <v>45000</v>
          </cell>
          <cell r="EL129">
            <v>4210650</v>
          </cell>
          <cell r="EM129">
            <v>0.80515217873185552</v>
          </cell>
          <cell r="EN129">
            <v>18630.018518518518</v>
          </cell>
          <cell r="EO129">
            <v>18630.018518518518</v>
          </cell>
          <cell r="EP129">
            <v>37260.037037037036</v>
          </cell>
        </row>
        <row r="130">
          <cell r="F130">
            <v>403244</v>
          </cell>
          <cell r="G130" t="str">
            <v>CUPULA 271 BX DEANDES</v>
          </cell>
          <cell r="BP130">
            <v>2400</v>
          </cell>
          <cell r="CW130">
            <v>4500</v>
          </cell>
          <cell r="EE130" t="str">
            <v>SIN USO</v>
          </cell>
          <cell r="EF130" t="str">
            <v>C</v>
          </cell>
          <cell r="EG130" t="str">
            <v/>
          </cell>
          <cell r="EH130">
            <v>0</v>
          </cell>
          <cell r="EI130">
            <v>0</v>
          </cell>
          <cell r="EJ130">
            <v>1484.9242404917497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</row>
        <row r="131">
          <cell r="F131">
            <v>403248</v>
          </cell>
          <cell r="G131" t="str">
            <v>CUPULA 15 PP ALTA WALMART</v>
          </cell>
          <cell r="CU131">
            <v>9600</v>
          </cell>
          <cell r="EE131" t="str">
            <v>SIN USO</v>
          </cell>
          <cell r="EF131" t="str">
            <v>C</v>
          </cell>
          <cell r="EG131" t="str">
            <v/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</row>
        <row r="132">
          <cell r="F132">
            <v>403251</v>
          </cell>
          <cell r="G132" t="str">
            <v>CUPULA 98-9 ALTA 12 PP MONSALVE</v>
          </cell>
          <cell r="BJ132">
            <v>1960</v>
          </cell>
          <cell r="EE132" t="str">
            <v>SIN USO</v>
          </cell>
          <cell r="EF132" t="str">
            <v>C</v>
          </cell>
          <cell r="EG132">
            <v>1920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</row>
        <row r="133">
          <cell r="F133">
            <v>403216</v>
          </cell>
          <cell r="G133" t="str">
            <v>CUPULA 170A DEANDES</v>
          </cell>
          <cell r="BJ133">
            <v>480</v>
          </cell>
          <cell r="EE133" t="str">
            <v>SIN USO</v>
          </cell>
          <cell r="EF133" t="str">
            <v>C</v>
          </cell>
          <cell r="EG133">
            <v>2400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</row>
        <row r="134">
          <cell r="F134">
            <v>403252</v>
          </cell>
          <cell r="G134" t="str">
            <v>CUPULA LISA BAJA FOOD PACK</v>
          </cell>
          <cell r="DD134">
            <v>100</v>
          </cell>
          <cell r="EE134" t="str">
            <v>SIN USO</v>
          </cell>
          <cell r="EF134" t="str">
            <v>C</v>
          </cell>
          <cell r="EG134" t="str">
            <v/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</row>
        <row r="135">
          <cell r="H135">
            <v>81630</v>
          </cell>
          <cell r="I135">
            <v>95260</v>
          </cell>
          <cell r="J135">
            <v>80530</v>
          </cell>
          <cell r="K135">
            <v>96890</v>
          </cell>
          <cell r="L135">
            <v>68542</v>
          </cell>
          <cell r="M135">
            <v>96172</v>
          </cell>
          <cell r="N135">
            <v>69842</v>
          </cell>
          <cell r="O135">
            <v>82160</v>
          </cell>
          <cell r="P135">
            <v>60270</v>
          </cell>
          <cell r="Q135">
            <v>66910</v>
          </cell>
          <cell r="R135">
            <v>66450</v>
          </cell>
          <cell r="S135">
            <v>51460</v>
          </cell>
          <cell r="T135">
            <v>47740</v>
          </cell>
          <cell r="U135">
            <v>95860</v>
          </cell>
          <cell r="V135">
            <v>75310</v>
          </cell>
          <cell r="W135">
            <v>64540</v>
          </cell>
          <cell r="X135">
            <v>91610</v>
          </cell>
          <cell r="Y135">
            <v>77360</v>
          </cell>
          <cell r="Z135">
            <v>59305</v>
          </cell>
          <cell r="AA135">
            <v>65100</v>
          </cell>
          <cell r="AB135">
            <v>79910</v>
          </cell>
          <cell r="AC135">
            <v>83880</v>
          </cell>
          <cell r="AD135">
            <v>83230</v>
          </cell>
          <cell r="AE135">
            <v>86370</v>
          </cell>
          <cell r="AF135">
            <v>76310</v>
          </cell>
          <cell r="AG135">
            <v>77030</v>
          </cell>
          <cell r="AH135">
            <v>72760</v>
          </cell>
          <cell r="AI135">
            <v>75100</v>
          </cell>
          <cell r="AJ135">
            <v>108270</v>
          </cell>
          <cell r="AK135">
            <v>91525</v>
          </cell>
          <cell r="AL135">
            <v>113280</v>
          </cell>
          <cell r="AM135">
            <v>72580</v>
          </cell>
          <cell r="AN135">
            <v>74870</v>
          </cell>
          <cell r="AO135">
            <v>69090</v>
          </cell>
          <cell r="AP135">
            <v>81930</v>
          </cell>
          <cell r="AQ135">
            <v>80620</v>
          </cell>
          <cell r="AR135">
            <v>87760</v>
          </cell>
          <cell r="AS135">
            <v>33860</v>
          </cell>
          <cell r="AT135">
            <v>86920</v>
          </cell>
          <cell r="AU135">
            <v>82007</v>
          </cell>
          <cell r="AV135">
            <v>83022</v>
          </cell>
          <cell r="AW135">
            <v>75043</v>
          </cell>
          <cell r="AX135">
            <v>104801</v>
          </cell>
          <cell r="AY135">
            <v>87970</v>
          </cell>
          <cell r="AZ135">
            <v>111116</v>
          </cell>
          <cell r="BA135">
            <v>125030</v>
          </cell>
          <cell r="BB135">
            <v>96240</v>
          </cell>
          <cell r="BC135">
            <v>92960</v>
          </cell>
          <cell r="BD135">
            <v>81450</v>
          </cell>
          <cell r="BE135">
            <v>85271.5</v>
          </cell>
          <cell r="BF135">
            <v>106200</v>
          </cell>
          <cell r="BG135">
            <v>123670</v>
          </cell>
          <cell r="BH135">
            <v>58570</v>
          </cell>
          <cell r="BI135">
            <v>120700</v>
          </cell>
          <cell r="BJ135">
            <v>105892</v>
          </cell>
          <cell r="BK135">
            <v>167440</v>
          </cell>
          <cell r="BL135">
            <v>121230</v>
          </cell>
          <cell r="BM135">
            <v>112392</v>
          </cell>
          <cell r="BN135">
            <v>118320</v>
          </cell>
          <cell r="BO135">
            <v>128032</v>
          </cell>
          <cell r="BP135">
            <v>102900</v>
          </cell>
          <cell r="BQ135">
            <v>113650</v>
          </cell>
          <cell r="BR135">
            <v>136390</v>
          </cell>
          <cell r="BS135">
            <v>128230</v>
          </cell>
          <cell r="BT135">
            <v>155400</v>
          </cell>
          <cell r="BU135">
            <v>123451.056</v>
          </cell>
          <cell r="BV135">
            <v>132411</v>
          </cell>
          <cell r="BW135">
            <v>136290</v>
          </cell>
          <cell r="BX135">
            <v>145540</v>
          </cell>
          <cell r="BY135">
            <v>139230</v>
          </cell>
          <cell r="BZ135">
            <v>124230</v>
          </cell>
          <cell r="CA135">
            <v>130270.06</v>
          </cell>
          <cell r="CB135">
            <v>124653</v>
          </cell>
          <cell r="CC135">
            <v>124320</v>
          </cell>
          <cell r="CD135">
            <v>128000</v>
          </cell>
          <cell r="CE135">
            <v>144730</v>
          </cell>
          <cell r="CF135">
            <v>127300</v>
          </cell>
          <cell r="CG135">
            <v>122600</v>
          </cell>
          <cell r="CH135">
            <v>107150</v>
          </cell>
          <cell r="CI135">
            <v>90780</v>
          </cell>
          <cell r="CJ135">
            <v>129580</v>
          </cell>
          <cell r="CK135">
            <v>139920</v>
          </cell>
          <cell r="CL135">
            <v>110270</v>
          </cell>
          <cell r="CM135">
            <v>146829</v>
          </cell>
          <cell r="CN135">
            <v>143820</v>
          </cell>
          <cell r="CO135">
            <v>109460</v>
          </cell>
          <cell r="CP135">
            <v>147120</v>
          </cell>
          <cell r="CQ135">
            <v>131680</v>
          </cell>
          <cell r="CR135">
            <v>156780</v>
          </cell>
          <cell r="CS135">
            <v>62330</v>
          </cell>
          <cell r="CT135">
            <v>135570</v>
          </cell>
          <cell r="CU135">
            <v>141510</v>
          </cell>
          <cell r="CV135">
            <v>172840</v>
          </cell>
          <cell r="CW135">
            <v>126190</v>
          </cell>
          <cell r="CX135">
            <v>131310</v>
          </cell>
          <cell r="CY135">
            <v>102210</v>
          </cell>
          <cell r="CZ135">
            <v>126800</v>
          </cell>
          <cell r="DA135">
            <v>121710</v>
          </cell>
          <cell r="DB135">
            <v>129750</v>
          </cell>
          <cell r="DC135">
            <v>130830</v>
          </cell>
          <cell r="DD135">
            <v>114160</v>
          </cell>
          <cell r="DE135">
            <v>103297</v>
          </cell>
          <cell r="DF135">
            <v>144440</v>
          </cell>
          <cell r="DG135">
            <v>124730</v>
          </cell>
          <cell r="DH135">
            <v>69610</v>
          </cell>
          <cell r="DI135">
            <v>41180</v>
          </cell>
          <cell r="DJ135">
            <v>146150</v>
          </cell>
          <cell r="DK135">
            <v>141830</v>
          </cell>
          <cell r="DL135">
            <v>144850</v>
          </cell>
          <cell r="DM135">
            <v>137670</v>
          </cell>
          <cell r="DN135">
            <v>144940</v>
          </cell>
          <cell r="DO135">
            <v>147670</v>
          </cell>
          <cell r="DP135">
            <v>129574</v>
          </cell>
          <cell r="DQ135">
            <v>129790</v>
          </cell>
          <cell r="DR135">
            <v>126630</v>
          </cell>
          <cell r="DS135">
            <v>134680</v>
          </cell>
          <cell r="DT135">
            <v>131860</v>
          </cell>
          <cell r="DU135">
            <v>157020</v>
          </cell>
          <cell r="DV135">
            <v>140850</v>
          </cell>
          <cell r="DW135">
            <v>147200</v>
          </cell>
          <cell r="DX135">
            <v>206847</v>
          </cell>
          <cell r="DY135">
            <v>193200</v>
          </cell>
          <cell r="DZ135">
            <v>174230</v>
          </cell>
          <cell r="EA135">
            <v>132510</v>
          </cell>
          <cell r="EB135">
            <v>160700</v>
          </cell>
          <cell r="EC135">
            <v>187820</v>
          </cell>
          <cell r="ED135">
            <v>145643</v>
          </cell>
          <cell r="EE135" t="str">
            <v>ACTIVO</v>
          </cell>
          <cell r="EF135" t="str">
            <v/>
          </cell>
          <cell r="EG135" t="str">
            <v/>
          </cell>
          <cell r="EH135">
            <v>143120.61111111112</v>
          </cell>
          <cell r="EI135">
            <v>23853.435185185186</v>
          </cell>
          <cell r="EJ135">
            <v>22182.011007187633</v>
          </cell>
          <cell r="EK135">
            <v>0</v>
          </cell>
          <cell r="EL135">
            <v>0</v>
          </cell>
          <cell r="EM135">
            <v>0</v>
          </cell>
          <cell r="EN135">
            <v>0</v>
          </cell>
          <cell r="EO135">
            <v>47706.870370370372</v>
          </cell>
          <cell r="EP135">
            <v>47706.870370370372</v>
          </cell>
        </row>
        <row r="136">
          <cell r="F136">
            <v>404718</v>
          </cell>
          <cell r="G136" t="str">
            <v>ETIQUETA BLANCA 100x80 SISA</v>
          </cell>
          <cell r="I136">
            <v>13000</v>
          </cell>
          <cell r="J136">
            <v>22000</v>
          </cell>
          <cell r="K136">
            <v>10000</v>
          </cell>
          <cell r="L136">
            <v>14000</v>
          </cell>
          <cell r="M136">
            <v>12000</v>
          </cell>
          <cell r="P136">
            <v>12000</v>
          </cell>
          <cell r="Q136">
            <v>6000</v>
          </cell>
          <cell r="S136">
            <v>2000</v>
          </cell>
          <cell r="T136">
            <v>16000</v>
          </cell>
          <cell r="U136">
            <v>2000</v>
          </cell>
          <cell r="V136">
            <v>2000</v>
          </cell>
          <cell r="W136">
            <v>2000</v>
          </cell>
          <cell r="X136">
            <v>4000</v>
          </cell>
          <cell r="Y136">
            <v>2000</v>
          </cell>
          <cell r="AA136">
            <v>2000</v>
          </cell>
          <cell r="AB136">
            <v>4000</v>
          </cell>
          <cell r="AC136">
            <v>2000</v>
          </cell>
          <cell r="AD136">
            <v>4000</v>
          </cell>
          <cell r="AE136">
            <v>4000</v>
          </cell>
          <cell r="AF136">
            <v>2000</v>
          </cell>
          <cell r="AG136">
            <v>4000</v>
          </cell>
          <cell r="AH136">
            <v>2000</v>
          </cell>
          <cell r="AI136">
            <v>2000</v>
          </cell>
          <cell r="AJ136">
            <v>4000</v>
          </cell>
          <cell r="AK136">
            <v>3000</v>
          </cell>
          <cell r="AL136">
            <v>2000</v>
          </cell>
          <cell r="AM136">
            <v>4000</v>
          </cell>
          <cell r="AN136">
            <v>2000</v>
          </cell>
          <cell r="AO136">
            <v>2000</v>
          </cell>
          <cell r="AP136">
            <v>2000</v>
          </cell>
          <cell r="AQ136">
            <v>2000</v>
          </cell>
          <cell r="AR136">
            <v>2000</v>
          </cell>
          <cell r="AS136">
            <v>4000</v>
          </cell>
          <cell r="AT136">
            <v>4000</v>
          </cell>
          <cell r="AU136">
            <v>4000</v>
          </cell>
          <cell r="AV136">
            <v>2000</v>
          </cell>
          <cell r="AW136">
            <v>2000</v>
          </cell>
          <cell r="AX136">
            <v>4000</v>
          </cell>
          <cell r="AY136">
            <v>4000</v>
          </cell>
          <cell r="BA136">
            <v>5000</v>
          </cell>
          <cell r="BB136">
            <v>6000</v>
          </cell>
          <cell r="BD136">
            <v>2000</v>
          </cell>
          <cell r="BE136">
            <v>8000</v>
          </cell>
          <cell r="BF136">
            <v>2</v>
          </cell>
          <cell r="BG136">
            <v>7998</v>
          </cell>
          <cell r="BH136">
            <v>4000</v>
          </cell>
          <cell r="BJ136">
            <v>4000</v>
          </cell>
          <cell r="BK136">
            <v>8000</v>
          </cell>
          <cell r="BM136">
            <v>2000</v>
          </cell>
          <cell r="BN136">
            <v>2000</v>
          </cell>
          <cell r="BO136">
            <v>2000</v>
          </cell>
          <cell r="BQ136">
            <v>12000</v>
          </cell>
          <cell r="BR136">
            <v>4000</v>
          </cell>
          <cell r="BT136">
            <v>8000</v>
          </cell>
          <cell r="BV136">
            <v>9000</v>
          </cell>
          <cell r="BW136">
            <v>4000</v>
          </cell>
          <cell r="BX136">
            <v>4000</v>
          </cell>
          <cell r="BY136">
            <v>2000</v>
          </cell>
          <cell r="CA136">
            <v>4000</v>
          </cell>
          <cell r="CB136">
            <v>4000</v>
          </cell>
          <cell r="CD136">
            <v>2000</v>
          </cell>
          <cell r="CE136">
            <v>4000</v>
          </cell>
          <cell r="CF136">
            <v>4000</v>
          </cell>
          <cell r="CG136">
            <v>8000</v>
          </cell>
          <cell r="CI136">
            <v>4000</v>
          </cell>
          <cell r="CJ136">
            <v>6000</v>
          </cell>
          <cell r="CL136">
            <v>2000</v>
          </cell>
          <cell r="CM136">
            <v>4000</v>
          </cell>
          <cell r="CN136">
            <v>5000</v>
          </cell>
          <cell r="CO136">
            <v>2000</v>
          </cell>
          <cell r="CP136">
            <v>2000</v>
          </cell>
          <cell r="CQ136">
            <v>2000</v>
          </cell>
          <cell r="CT136">
            <v>4000</v>
          </cell>
          <cell r="CU136">
            <v>2000</v>
          </cell>
          <cell r="CV136">
            <v>1000</v>
          </cell>
          <cell r="CW136">
            <v>1000</v>
          </cell>
          <cell r="CX136">
            <v>3000</v>
          </cell>
          <cell r="CY136">
            <v>10000</v>
          </cell>
          <cell r="CZ136">
            <v>2000</v>
          </cell>
          <cell r="DB136">
            <v>4000</v>
          </cell>
          <cell r="DC136">
            <v>2000</v>
          </cell>
          <cell r="DD136">
            <v>4000</v>
          </cell>
          <cell r="DE136">
            <v>5000</v>
          </cell>
          <cell r="DF136">
            <v>2000</v>
          </cell>
          <cell r="DG136">
            <v>2000</v>
          </cell>
          <cell r="DJ136">
            <v>2000</v>
          </cell>
          <cell r="DK136">
            <v>4000</v>
          </cell>
          <cell r="DL136">
            <v>2000</v>
          </cell>
          <cell r="DM136">
            <v>2000</v>
          </cell>
          <cell r="DN136">
            <v>2000</v>
          </cell>
          <cell r="DO136">
            <v>2000</v>
          </cell>
          <cell r="DP136">
            <v>2000</v>
          </cell>
          <cell r="DQ136">
            <v>2000</v>
          </cell>
          <cell r="DR136">
            <v>2000</v>
          </cell>
          <cell r="DS136">
            <v>2000</v>
          </cell>
          <cell r="DT136">
            <v>4000</v>
          </cell>
          <cell r="DU136">
            <v>6000</v>
          </cell>
          <cell r="DV136">
            <v>8000</v>
          </cell>
          <cell r="DW136">
            <v>2000</v>
          </cell>
          <cell r="DX136">
            <v>2000</v>
          </cell>
          <cell r="DY136">
            <v>2000</v>
          </cell>
          <cell r="DZ136">
            <v>6000</v>
          </cell>
          <cell r="EA136">
            <v>2000</v>
          </cell>
          <cell r="EB136">
            <v>4000</v>
          </cell>
          <cell r="EC136">
            <v>2000</v>
          </cell>
          <cell r="ED136">
            <v>3000</v>
          </cell>
          <cell r="EE136" t="str">
            <v>ACTIVO</v>
          </cell>
          <cell r="EF136" t="str">
            <v>C</v>
          </cell>
          <cell r="EG136">
            <v>20000</v>
          </cell>
          <cell r="EH136">
            <v>3058.8235294117649</v>
          </cell>
          <cell r="EI136">
            <v>509.80392156862746</v>
          </cell>
          <cell r="EJ136">
            <v>2552.0228276448693</v>
          </cell>
          <cell r="EK136">
            <v>2000</v>
          </cell>
          <cell r="EL136">
            <v>16140</v>
          </cell>
          <cell r="EM136">
            <v>0.65384615384615385</v>
          </cell>
          <cell r="EN136">
            <v>3058.8235294117649</v>
          </cell>
          <cell r="EO136">
            <v>1019.6078431372549</v>
          </cell>
          <cell r="EP136">
            <v>4078.4313725490197</v>
          </cell>
        </row>
        <row r="137">
          <cell r="F137">
            <v>404719</v>
          </cell>
          <cell r="G137" t="str">
            <v>ETIQUETA BLANCA 100x120 SISA</v>
          </cell>
          <cell r="AH137">
            <v>4000</v>
          </cell>
          <cell r="AL137">
            <v>10000</v>
          </cell>
          <cell r="AP137">
            <v>10000</v>
          </cell>
          <cell r="AV137">
            <v>20000</v>
          </cell>
          <cell r="BB137">
            <v>30000</v>
          </cell>
          <cell r="BD137">
            <v>30000</v>
          </cell>
          <cell r="BN137">
            <v>30000</v>
          </cell>
          <cell r="BS137">
            <v>0</v>
          </cell>
          <cell r="BT137">
            <v>5000</v>
          </cell>
          <cell r="CE137">
            <v>10000</v>
          </cell>
          <cell r="CF137">
            <v>24000</v>
          </cell>
          <cell r="CG137">
            <v>3000</v>
          </cell>
          <cell r="CJ137">
            <v>20000</v>
          </cell>
          <cell r="CT137">
            <v>2000</v>
          </cell>
          <cell r="CU137">
            <v>40000</v>
          </cell>
          <cell r="CW137">
            <v>4000</v>
          </cell>
          <cell r="DB137">
            <v>30000</v>
          </cell>
          <cell r="DC137">
            <v>28000</v>
          </cell>
          <cell r="EE137" t="str">
            <v>CURICO</v>
          </cell>
          <cell r="EF137" t="str">
            <v>C</v>
          </cell>
          <cell r="EG137" t="str">
            <v/>
          </cell>
          <cell r="EH137">
            <v>0</v>
          </cell>
          <cell r="EI137">
            <v>0</v>
          </cell>
          <cell r="EJ137">
            <v>13858.593220836163</v>
          </cell>
          <cell r="EK137">
            <v>36000</v>
          </cell>
          <cell r="EL137">
            <v>570960</v>
          </cell>
          <cell r="EM137">
            <v>0</v>
          </cell>
          <cell r="EN137">
            <v>0</v>
          </cell>
          <cell r="EO137">
            <v>0</v>
          </cell>
          <cell r="EP137">
            <v>0</v>
          </cell>
        </row>
        <row r="138">
          <cell r="F138">
            <v>404720</v>
          </cell>
          <cell r="G138" t="str">
            <v>ETIQUETA BLANCA 100x50</v>
          </cell>
          <cell r="N138">
            <v>30000</v>
          </cell>
          <cell r="P138">
            <v>2500</v>
          </cell>
          <cell r="R138">
            <v>20000</v>
          </cell>
          <cell r="Y138">
            <v>30000</v>
          </cell>
          <cell r="AG138">
            <v>20000</v>
          </cell>
          <cell r="AI138">
            <v>40000</v>
          </cell>
          <cell r="AO138">
            <v>50000</v>
          </cell>
          <cell r="AW138">
            <v>30000</v>
          </cell>
          <cell r="BD138">
            <v>10000</v>
          </cell>
          <cell r="BE138">
            <v>30000</v>
          </cell>
          <cell r="BN138">
            <v>30000</v>
          </cell>
          <cell r="BP138">
            <v>30000</v>
          </cell>
          <cell r="CB138">
            <v>50000</v>
          </cell>
          <cell r="CH138">
            <v>50000</v>
          </cell>
          <cell r="CU138">
            <v>50000</v>
          </cell>
          <cell r="DD138">
            <v>50000</v>
          </cell>
          <cell r="DN138">
            <v>30000</v>
          </cell>
          <cell r="DR138">
            <v>70000</v>
          </cell>
          <cell r="ED138">
            <v>260000</v>
          </cell>
          <cell r="EE138" t="str">
            <v>CURICO</v>
          </cell>
          <cell r="EF138" t="str">
            <v>C</v>
          </cell>
          <cell r="EG138" t="str">
            <v/>
          </cell>
          <cell r="EH138">
            <v>50000</v>
          </cell>
          <cell r="EI138">
            <v>8333.3333333333339</v>
          </cell>
          <cell r="EJ138">
            <v>10327.955589886451</v>
          </cell>
          <cell r="EK138">
            <v>0</v>
          </cell>
          <cell r="EL138">
            <v>0</v>
          </cell>
          <cell r="EM138">
            <v>0</v>
          </cell>
          <cell r="EN138">
            <v>50000</v>
          </cell>
          <cell r="EO138">
            <v>16666.666666666668</v>
          </cell>
          <cell r="EP138">
            <v>66666.666666666672</v>
          </cell>
        </row>
        <row r="139">
          <cell r="F139">
            <v>404722</v>
          </cell>
          <cell r="G139" t="str">
            <v>ETIQUETA BLANCA 30X40</v>
          </cell>
          <cell r="J139">
            <v>60000</v>
          </cell>
          <cell r="P139">
            <v>100000</v>
          </cell>
          <cell r="U139">
            <v>50000</v>
          </cell>
          <cell r="AC139">
            <v>40000</v>
          </cell>
          <cell r="AE139">
            <v>60000</v>
          </cell>
          <cell r="AI139">
            <v>50000</v>
          </cell>
          <cell r="AL139">
            <v>30000</v>
          </cell>
          <cell r="AO139">
            <v>30000</v>
          </cell>
          <cell r="AR139">
            <v>60000</v>
          </cell>
          <cell r="AW139">
            <v>50000</v>
          </cell>
          <cell r="BB139">
            <v>50000</v>
          </cell>
          <cell r="BD139">
            <v>50000</v>
          </cell>
          <cell r="BL139">
            <v>60000</v>
          </cell>
          <cell r="BQ139">
            <v>60000</v>
          </cell>
          <cell r="BT139">
            <v>50000</v>
          </cell>
          <cell r="BY139">
            <v>50000</v>
          </cell>
          <cell r="CA139">
            <v>10000</v>
          </cell>
          <cell r="CB139">
            <v>20000</v>
          </cell>
          <cell r="CD139">
            <v>13000</v>
          </cell>
          <cell r="CE139">
            <v>57000</v>
          </cell>
          <cell r="CF139">
            <v>50000</v>
          </cell>
          <cell r="CK139">
            <v>100000</v>
          </cell>
          <cell r="CM139">
            <v>10000</v>
          </cell>
          <cell r="CP139">
            <v>110000</v>
          </cell>
          <cell r="CT139">
            <v>5000</v>
          </cell>
          <cell r="CU139">
            <v>200000</v>
          </cell>
          <cell r="CW139">
            <v>20000</v>
          </cell>
          <cell r="CY139">
            <v>150000</v>
          </cell>
          <cell r="DL139">
            <v>150000</v>
          </cell>
          <cell r="DP139">
            <v>100000</v>
          </cell>
          <cell r="DW139">
            <v>100000</v>
          </cell>
          <cell r="EE139" t="str">
            <v>CURICO</v>
          </cell>
          <cell r="EF139" t="str">
            <v>C</v>
          </cell>
          <cell r="EG139" t="str">
            <v/>
          </cell>
          <cell r="EH139">
            <v>116666.66666666667</v>
          </cell>
          <cell r="EI139">
            <v>19444.444444444445</v>
          </cell>
          <cell r="EJ139">
            <v>55100.778881367311</v>
          </cell>
          <cell r="EK139">
            <v>220000</v>
          </cell>
          <cell r="EL139">
            <v>638000</v>
          </cell>
          <cell r="EM139">
            <v>1.8857142857142857</v>
          </cell>
          <cell r="EN139">
            <v>116666.66666666667</v>
          </cell>
          <cell r="EO139">
            <v>38888.888888888891</v>
          </cell>
          <cell r="EP139">
            <v>155555.55555555556</v>
          </cell>
        </row>
        <row r="140">
          <cell r="F140">
            <v>404731</v>
          </cell>
          <cell r="G140" t="str">
            <v>ETIQUETA  4,2X6cm IMPR.PASTEL 5 COLOR + BARNIZ UV</v>
          </cell>
          <cell r="I140">
            <v>2500</v>
          </cell>
          <cell r="J140">
            <v>5500</v>
          </cell>
          <cell r="K140">
            <v>3000</v>
          </cell>
          <cell r="L140">
            <v>7500</v>
          </cell>
          <cell r="O140">
            <v>2000</v>
          </cell>
          <cell r="P140">
            <v>2000</v>
          </cell>
          <cell r="Q140">
            <v>2000</v>
          </cell>
          <cell r="T140">
            <v>2000</v>
          </cell>
          <cell r="U140">
            <v>2000</v>
          </cell>
          <cell r="V140">
            <v>2000</v>
          </cell>
          <cell r="W140">
            <v>2000</v>
          </cell>
          <cell r="X140">
            <v>2000</v>
          </cell>
          <cell r="AA140">
            <v>2000</v>
          </cell>
          <cell r="AB140">
            <v>4000</v>
          </cell>
          <cell r="AC140">
            <v>2000</v>
          </cell>
          <cell r="AE140">
            <v>2000</v>
          </cell>
          <cell r="AF140">
            <v>2000</v>
          </cell>
          <cell r="AG140">
            <v>2500</v>
          </cell>
          <cell r="AH140">
            <v>2000</v>
          </cell>
          <cell r="AI140">
            <v>2000</v>
          </cell>
          <cell r="AJ140">
            <v>2000</v>
          </cell>
          <cell r="AK140">
            <v>2500</v>
          </cell>
          <cell r="AM140">
            <v>2500</v>
          </cell>
          <cell r="AN140">
            <v>2500</v>
          </cell>
          <cell r="AO140">
            <v>5000</v>
          </cell>
          <cell r="AQ140">
            <v>2500</v>
          </cell>
          <cell r="AS140">
            <v>2500</v>
          </cell>
          <cell r="AT140">
            <v>2500</v>
          </cell>
          <cell r="AV140">
            <v>2500</v>
          </cell>
          <cell r="AW140">
            <v>2500</v>
          </cell>
          <cell r="AX140">
            <v>5000</v>
          </cell>
          <cell r="AY140">
            <v>2500</v>
          </cell>
          <cell r="BA140">
            <v>5000</v>
          </cell>
          <cell r="BD140">
            <v>2500</v>
          </cell>
          <cell r="BE140">
            <v>2500</v>
          </cell>
          <cell r="BF140">
            <v>1</v>
          </cell>
          <cell r="BG140">
            <v>4999</v>
          </cell>
          <cell r="BH140">
            <v>2500</v>
          </cell>
          <cell r="BK140">
            <v>5000</v>
          </cell>
          <cell r="BM140">
            <v>2500</v>
          </cell>
          <cell r="BN140">
            <v>2500</v>
          </cell>
          <cell r="BO140">
            <v>10000</v>
          </cell>
          <cell r="BQ140">
            <v>2500</v>
          </cell>
          <cell r="BR140">
            <v>2500</v>
          </cell>
          <cell r="BT140">
            <v>5000</v>
          </cell>
          <cell r="BV140">
            <v>2500</v>
          </cell>
          <cell r="BW140">
            <v>2500</v>
          </cell>
          <cell r="BX140">
            <v>2500</v>
          </cell>
          <cell r="BY140">
            <v>5000</v>
          </cell>
          <cell r="CA140">
            <v>10000</v>
          </cell>
          <cell r="CB140">
            <v>2500</v>
          </cell>
          <cell r="CD140">
            <v>2500</v>
          </cell>
          <cell r="CE140">
            <v>5000</v>
          </cell>
          <cell r="CF140">
            <v>5000</v>
          </cell>
          <cell r="CG140">
            <v>2500</v>
          </cell>
          <cell r="CI140">
            <v>10000</v>
          </cell>
          <cell r="CJ140">
            <v>2500</v>
          </cell>
          <cell r="CL140">
            <v>2500</v>
          </cell>
          <cell r="CM140">
            <v>5000</v>
          </cell>
          <cell r="CN140">
            <v>3000</v>
          </cell>
          <cell r="CU140">
            <v>12500</v>
          </cell>
          <cell r="CV140">
            <v>2500</v>
          </cell>
          <cell r="CW140">
            <v>2500</v>
          </cell>
          <cell r="CY140">
            <v>3500</v>
          </cell>
          <cell r="CZ140">
            <v>5000</v>
          </cell>
          <cell r="DB140">
            <v>2500</v>
          </cell>
          <cell r="DC140">
            <v>1500</v>
          </cell>
          <cell r="DF140">
            <v>5000</v>
          </cell>
          <cell r="DG140">
            <v>2500</v>
          </cell>
          <cell r="DJ140">
            <v>2500</v>
          </cell>
          <cell r="DK140">
            <v>5000</v>
          </cell>
          <cell r="DL140">
            <v>2500</v>
          </cell>
          <cell r="DN140">
            <v>5000</v>
          </cell>
          <cell r="DO140">
            <v>2500</v>
          </cell>
          <cell r="DQ140">
            <v>1500</v>
          </cell>
          <cell r="DR140">
            <v>2500</v>
          </cell>
          <cell r="DS140">
            <v>2500</v>
          </cell>
          <cell r="DT140">
            <v>2500</v>
          </cell>
          <cell r="DU140">
            <v>2500</v>
          </cell>
          <cell r="DX140">
            <v>2500</v>
          </cell>
          <cell r="DY140">
            <v>2500</v>
          </cell>
          <cell r="EB140">
            <v>2500</v>
          </cell>
          <cell r="ED140">
            <v>2500</v>
          </cell>
          <cell r="EE140" t="str">
            <v>ACTIVO</v>
          </cell>
          <cell r="EF140" t="str">
            <v>C</v>
          </cell>
          <cell r="EG140">
            <v>10000</v>
          </cell>
          <cell r="EH140">
            <v>2833.3333333333335</v>
          </cell>
          <cell r="EI140">
            <v>472.22222222222223</v>
          </cell>
          <cell r="EJ140">
            <v>2742.8425918872863</v>
          </cell>
          <cell r="EK140">
            <v>0</v>
          </cell>
          <cell r="EL140">
            <v>0</v>
          </cell>
          <cell r="EM140">
            <v>0</v>
          </cell>
          <cell r="EN140">
            <v>2833.3333333333335</v>
          </cell>
          <cell r="EO140">
            <v>944.44444444444446</v>
          </cell>
          <cell r="EP140">
            <v>3777.7777777777778</v>
          </cell>
        </row>
        <row r="141">
          <cell r="F141">
            <v>405461</v>
          </cell>
          <cell r="G141" t="str">
            <v>ETIQUETA CIRCULAR 4cm IMPR. PASTEL SISA</v>
          </cell>
          <cell r="CP141">
            <v>2500</v>
          </cell>
          <cell r="CT141">
            <v>6000</v>
          </cell>
          <cell r="DE141">
            <v>2500</v>
          </cell>
          <cell r="DG141">
            <v>5000</v>
          </cell>
          <cell r="DU141">
            <v>2500</v>
          </cell>
          <cell r="DZ141">
            <v>2500</v>
          </cell>
          <cell r="EE141" t="str">
            <v>ACTIVO</v>
          </cell>
          <cell r="EF141" t="str">
            <v>C</v>
          </cell>
          <cell r="EG141" t="str">
            <v/>
          </cell>
          <cell r="EH141">
            <v>2500</v>
          </cell>
          <cell r="EI141">
            <v>416.66666666666669</v>
          </cell>
          <cell r="EJ141">
            <v>1779.5130420052185</v>
          </cell>
          <cell r="EK141">
            <v>5000</v>
          </cell>
          <cell r="EL141">
            <v>25000</v>
          </cell>
          <cell r="EM141">
            <v>2</v>
          </cell>
          <cell r="EN141">
            <v>2500</v>
          </cell>
          <cell r="EO141">
            <v>833.33333333333337</v>
          </cell>
          <cell r="EP141">
            <v>3333.3333333333335</v>
          </cell>
        </row>
        <row r="142">
          <cell r="F142">
            <v>404735</v>
          </cell>
          <cell r="G142" t="str">
            <v>ETIQUETA CIRCULAR 9,8cm IMPR. TARTA  5 COL +UV</v>
          </cell>
          <cell r="I142">
            <v>2000</v>
          </cell>
          <cell r="J142">
            <v>2000</v>
          </cell>
          <cell r="K142">
            <v>2000</v>
          </cell>
          <cell r="O142">
            <v>2000</v>
          </cell>
          <cell r="P142">
            <v>2000</v>
          </cell>
          <cell r="Q142">
            <v>2000</v>
          </cell>
          <cell r="T142">
            <v>2000</v>
          </cell>
          <cell r="U142">
            <v>2000</v>
          </cell>
          <cell r="V142">
            <v>2000</v>
          </cell>
          <cell r="W142">
            <v>2000</v>
          </cell>
          <cell r="X142">
            <v>2000</v>
          </cell>
          <cell r="AA142">
            <v>2000</v>
          </cell>
          <cell r="AB142">
            <v>4000</v>
          </cell>
          <cell r="AC142">
            <v>2000</v>
          </cell>
          <cell r="AE142">
            <v>2000</v>
          </cell>
          <cell r="AF142">
            <v>2000</v>
          </cell>
          <cell r="AH142">
            <v>2000</v>
          </cell>
          <cell r="AI142">
            <v>2000</v>
          </cell>
          <cell r="AJ142">
            <v>2000</v>
          </cell>
          <cell r="AK142">
            <v>2000</v>
          </cell>
          <cell r="AL142">
            <v>2000</v>
          </cell>
          <cell r="AM142">
            <v>2000</v>
          </cell>
          <cell r="AN142">
            <v>2000</v>
          </cell>
          <cell r="AP142">
            <v>2000</v>
          </cell>
          <cell r="AQ142">
            <v>2000</v>
          </cell>
          <cell r="AS142">
            <v>1000</v>
          </cell>
          <cell r="AT142">
            <v>2000</v>
          </cell>
          <cell r="AV142">
            <v>2000</v>
          </cell>
          <cell r="AW142">
            <v>2000</v>
          </cell>
          <cell r="AX142">
            <v>3000</v>
          </cell>
          <cell r="AY142">
            <v>2000</v>
          </cell>
          <cell r="BA142">
            <v>6000</v>
          </cell>
          <cell r="BD142">
            <v>2000</v>
          </cell>
          <cell r="BE142">
            <v>2000</v>
          </cell>
          <cell r="BF142">
            <v>2</v>
          </cell>
          <cell r="BG142">
            <v>3998</v>
          </cell>
          <cell r="BH142">
            <v>2000</v>
          </cell>
          <cell r="BJ142">
            <v>1000</v>
          </cell>
          <cell r="BK142">
            <v>4000</v>
          </cell>
          <cell r="BM142">
            <v>2000</v>
          </cell>
          <cell r="BN142">
            <v>2000</v>
          </cell>
          <cell r="BO142">
            <v>4000</v>
          </cell>
          <cell r="BQ142">
            <v>2000</v>
          </cell>
          <cell r="BR142">
            <v>2000</v>
          </cell>
          <cell r="BT142">
            <v>4000</v>
          </cell>
          <cell r="BV142">
            <v>2000</v>
          </cell>
          <cell r="BW142">
            <v>2000</v>
          </cell>
          <cell r="BX142">
            <v>2000</v>
          </cell>
          <cell r="CA142">
            <v>4000</v>
          </cell>
          <cell r="CB142">
            <v>2000</v>
          </cell>
          <cell r="CD142">
            <v>2000</v>
          </cell>
          <cell r="CE142">
            <v>2000</v>
          </cell>
          <cell r="CF142">
            <v>4000</v>
          </cell>
          <cell r="CG142">
            <v>2000</v>
          </cell>
          <cell r="CI142">
            <v>4000</v>
          </cell>
          <cell r="CJ142">
            <v>2000</v>
          </cell>
          <cell r="CL142">
            <v>2000</v>
          </cell>
          <cell r="CM142">
            <v>2000</v>
          </cell>
          <cell r="CN142">
            <v>4000</v>
          </cell>
          <cell r="CO142">
            <v>2000</v>
          </cell>
          <cell r="CP142">
            <v>2000</v>
          </cell>
          <cell r="CT142">
            <v>4000</v>
          </cell>
          <cell r="CU142">
            <v>4000</v>
          </cell>
          <cell r="CV142">
            <v>2000</v>
          </cell>
          <cell r="CW142">
            <v>5000</v>
          </cell>
          <cell r="CY142">
            <v>3000</v>
          </cell>
          <cell r="CZ142">
            <v>2000</v>
          </cell>
          <cell r="DB142">
            <v>2000</v>
          </cell>
          <cell r="DC142">
            <v>1000</v>
          </cell>
          <cell r="DE142">
            <v>1000</v>
          </cell>
          <cell r="DF142">
            <v>1000</v>
          </cell>
          <cell r="DG142">
            <v>1000</v>
          </cell>
          <cell r="DJ142">
            <v>1000</v>
          </cell>
          <cell r="DK142">
            <v>2000</v>
          </cell>
          <cell r="DL142">
            <v>2000</v>
          </cell>
          <cell r="DN142">
            <v>1000</v>
          </cell>
          <cell r="DO142">
            <v>1000</v>
          </cell>
          <cell r="DP142">
            <v>3000</v>
          </cell>
          <cell r="DQ142">
            <v>2000</v>
          </cell>
          <cell r="DR142">
            <v>4000</v>
          </cell>
          <cell r="DS142">
            <v>2000</v>
          </cell>
          <cell r="DT142">
            <v>3000</v>
          </cell>
          <cell r="DU142">
            <v>2000</v>
          </cell>
          <cell r="DW142">
            <v>2000</v>
          </cell>
          <cell r="DX142">
            <v>2000</v>
          </cell>
          <cell r="DY142">
            <v>4000</v>
          </cell>
          <cell r="DZ142">
            <v>2000</v>
          </cell>
          <cell r="EB142">
            <v>4000</v>
          </cell>
          <cell r="EC142">
            <v>3000</v>
          </cell>
          <cell r="ED142">
            <v>2000</v>
          </cell>
          <cell r="EE142" t="str">
            <v>ACTIVO</v>
          </cell>
          <cell r="EF142" t="str">
            <v>C</v>
          </cell>
          <cell r="EG142">
            <v>10000</v>
          </cell>
          <cell r="EH142">
            <v>2200</v>
          </cell>
          <cell r="EI142">
            <v>366.66666666666669</v>
          </cell>
          <cell r="EJ142">
            <v>1108.0513425729771</v>
          </cell>
          <cell r="EK142">
            <v>4000</v>
          </cell>
          <cell r="EL142">
            <v>68680</v>
          </cell>
          <cell r="EM142">
            <v>1.8181818181818181</v>
          </cell>
          <cell r="EN142">
            <v>2200</v>
          </cell>
          <cell r="EO142">
            <v>733.33333333333337</v>
          </cell>
          <cell r="EP142">
            <v>2933.3333333333335</v>
          </cell>
        </row>
        <row r="143">
          <cell r="F143">
            <v>404736</v>
          </cell>
          <cell r="G143" t="str">
            <v>ETIQUETA CIRCULAR 9,8cm IMPR. PIE  5 COL +UV</v>
          </cell>
          <cell r="I143">
            <v>2000</v>
          </cell>
          <cell r="J143">
            <v>2000</v>
          </cell>
          <cell r="K143">
            <v>2000</v>
          </cell>
          <cell r="O143">
            <v>2000</v>
          </cell>
          <cell r="P143">
            <v>2000</v>
          </cell>
          <cell r="Q143">
            <v>2000</v>
          </cell>
          <cell r="S143">
            <v>2000</v>
          </cell>
          <cell r="T143">
            <v>2000</v>
          </cell>
          <cell r="U143">
            <v>2000</v>
          </cell>
          <cell r="V143">
            <v>2000</v>
          </cell>
          <cell r="W143">
            <v>2000</v>
          </cell>
          <cell r="X143">
            <v>2000</v>
          </cell>
          <cell r="Z143">
            <v>2000</v>
          </cell>
          <cell r="AA143">
            <v>2000</v>
          </cell>
          <cell r="AB143">
            <v>4000</v>
          </cell>
          <cell r="AC143">
            <v>2000</v>
          </cell>
          <cell r="AE143">
            <v>3000</v>
          </cell>
          <cell r="AF143">
            <v>2000</v>
          </cell>
          <cell r="AH143">
            <v>2000</v>
          </cell>
          <cell r="AI143">
            <v>2000</v>
          </cell>
          <cell r="AJ143">
            <v>2000</v>
          </cell>
          <cell r="AK143">
            <v>2000</v>
          </cell>
          <cell r="AL143">
            <v>2000</v>
          </cell>
          <cell r="AM143">
            <v>2000</v>
          </cell>
          <cell r="AN143">
            <v>2000</v>
          </cell>
          <cell r="AO143">
            <v>1000</v>
          </cell>
          <cell r="AP143">
            <v>2000</v>
          </cell>
          <cell r="AQ143">
            <v>2000</v>
          </cell>
          <cell r="AS143">
            <v>2000</v>
          </cell>
          <cell r="AT143">
            <v>2000</v>
          </cell>
          <cell r="AV143">
            <v>2000</v>
          </cell>
          <cell r="AW143">
            <v>2000</v>
          </cell>
          <cell r="AX143">
            <v>3000</v>
          </cell>
          <cell r="AY143">
            <v>3000</v>
          </cell>
          <cell r="BA143">
            <v>6000</v>
          </cell>
          <cell r="BC143">
            <v>1000</v>
          </cell>
          <cell r="BD143">
            <v>3000</v>
          </cell>
          <cell r="BE143">
            <v>3000</v>
          </cell>
          <cell r="BF143">
            <v>3</v>
          </cell>
          <cell r="BG143">
            <v>6997</v>
          </cell>
          <cell r="BH143">
            <v>2000</v>
          </cell>
          <cell r="BK143">
            <v>6000</v>
          </cell>
          <cell r="BM143">
            <v>3000</v>
          </cell>
          <cell r="BN143">
            <v>3000</v>
          </cell>
          <cell r="BO143">
            <v>5000</v>
          </cell>
          <cell r="BQ143">
            <v>2000</v>
          </cell>
          <cell r="BR143">
            <v>2000</v>
          </cell>
          <cell r="BT143">
            <v>5000</v>
          </cell>
          <cell r="BV143">
            <v>2000</v>
          </cell>
          <cell r="BW143">
            <v>4000</v>
          </cell>
          <cell r="BX143">
            <v>2000</v>
          </cell>
          <cell r="BY143">
            <v>2000</v>
          </cell>
          <cell r="CA143">
            <v>4000</v>
          </cell>
          <cell r="CB143">
            <v>2000</v>
          </cell>
          <cell r="CD143">
            <v>2000</v>
          </cell>
          <cell r="CE143">
            <v>2000</v>
          </cell>
          <cell r="CF143">
            <v>5000</v>
          </cell>
          <cell r="CG143">
            <v>2000</v>
          </cell>
          <cell r="CI143">
            <v>4000</v>
          </cell>
          <cell r="CJ143">
            <v>3000</v>
          </cell>
          <cell r="CL143">
            <v>2000</v>
          </cell>
          <cell r="CM143">
            <v>2000</v>
          </cell>
          <cell r="CN143">
            <v>4000</v>
          </cell>
          <cell r="CO143">
            <v>2000</v>
          </cell>
          <cell r="CP143">
            <v>3000</v>
          </cell>
          <cell r="CR143">
            <v>2000</v>
          </cell>
          <cell r="CT143">
            <v>4000</v>
          </cell>
          <cell r="CU143">
            <v>2000</v>
          </cell>
          <cell r="CV143">
            <v>2000</v>
          </cell>
          <cell r="CW143">
            <v>2000</v>
          </cell>
          <cell r="CY143">
            <v>3000</v>
          </cell>
          <cell r="CZ143">
            <v>2000</v>
          </cell>
          <cell r="DB143">
            <v>2000</v>
          </cell>
          <cell r="DC143">
            <v>1000</v>
          </cell>
          <cell r="DE143">
            <v>1000</v>
          </cell>
          <cell r="DF143">
            <v>1000</v>
          </cell>
          <cell r="DG143">
            <v>1000</v>
          </cell>
          <cell r="DJ143">
            <v>1000</v>
          </cell>
          <cell r="DK143">
            <v>2000</v>
          </cell>
          <cell r="DL143">
            <v>1000</v>
          </cell>
          <cell r="DM143">
            <v>1000</v>
          </cell>
          <cell r="DN143">
            <v>1000</v>
          </cell>
          <cell r="DO143">
            <v>1000</v>
          </cell>
          <cell r="DP143">
            <v>1000</v>
          </cell>
          <cell r="DQ143">
            <v>1000</v>
          </cell>
          <cell r="DR143">
            <v>1000</v>
          </cell>
          <cell r="DS143">
            <v>1000</v>
          </cell>
          <cell r="DT143">
            <v>1000</v>
          </cell>
          <cell r="DU143">
            <v>1000</v>
          </cell>
          <cell r="DV143">
            <v>1000</v>
          </cell>
          <cell r="DW143">
            <v>1000</v>
          </cell>
          <cell r="DX143">
            <v>1000</v>
          </cell>
          <cell r="DY143">
            <v>3000</v>
          </cell>
          <cell r="DZ143">
            <v>3000</v>
          </cell>
          <cell r="EB143">
            <v>2000</v>
          </cell>
          <cell r="EC143">
            <v>1000</v>
          </cell>
          <cell r="ED143">
            <v>1000</v>
          </cell>
          <cell r="EE143" t="str">
            <v>ACTIVO</v>
          </cell>
          <cell r="EF143" t="str">
            <v>C</v>
          </cell>
          <cell r="EG143">
            <v>10000</v>
          </cell>
          <cell r="EH143">
            <v>1294.1176470588234</v>
          </cell>
          <cell r="EI143">
            <v>215.68627450980389</v>
          </cell>
          <cell r="EJ143">
            <v>1252.0253861514022</v>
          </cell>
          <cell r="EK143">
            <v>6000</v>
          </cell>
          <cell r="EL143">
            <v>103020</v>
          </cell>
          <cell r="EM143">
            <v>4.6363636363636367</v>
          </cell>
          <cell r="EN143">
            <v>1294.1176470588234</v>
          </cell>
          <cell r="EO143">
            <v>431.37254901960779</v>
          </cell>
          <cell r="EP143">
            <v>1725.4901960784312</v>
          </cell>
        </row>
        <row r="144">
          <cell r="F144">
            <v>404739</v>
          </cell>
          <cell r="G144" t="str">
            <v>ETIQUETA CIRCULAR 9cm IMPR. TORTA CREMA MANJAR</v>
          </cell>
          <cell r="I144">
            <v>5000</v>
          </cell>
          <cell r="J144">
            <v>6000</v>
          </cell>
          <cell r="K144">
            <v>5000</v>
          </cell>
          <cell r="M144">
            <v>3000</v>
          </cell>
          <cell r="N144">
            <v>1000</v>
          </cell>
          <cell r="O144">
            <v>7000</v>
          </cell>
          <cell r="P144">
            <v>2000</v>
          </cell>
          <cell r="Q144">
            <v>2000</v>
          </cell>
          <cell r="S144">
            <v>8000</v>
          </cell>
          <cell r="T144">
            <v>2000</v>
          </cell>
          <cell r="U144">
            <v>2000</v>
          </cell>
          <cell r="V144">
            <v>3000</v>
          </cell>
          <cell r="W144">
            <v>2000</v>
          </cell>
          <cell r="X144">
            <v>3000</v>
          </cell>
          <cell r="AA144">
            <v>2000</v>
          </cell>
          <cell r="AB144">
            <v>8000</v>
          </cell>
          <cell r="AC144">
            <v>3000</v>
          </cell>
          <cell r="AE144">
            <v>2000</v>
          </cell>
          <cell r="AF144">
            <v>6000</v>
          </cell>
          <cell r="AG144">
            <v>5000</v>
          </cell>
          <cell r="AH144">
            <v>3000</v>
          </cell>
          <cell r="AI144">
            <v>3000</v>
          </cell>
          <cell r="AJ144">
            <v>3000</v>
          </cell>
          <cell r="AK144">
            <v>5000</v>
          </cell>
          <cell r="AM144">
            <v>4000</v>
          </cell>
          <cell r="AN144">
            <v>2000</v>
          </cell>
          <cell r="AO144">
            <v>3000</v>
          </cell>
          <cell r="AQ144">
            <v>2000</v>
          </cell>
          <cell r="AS144">
            <v>2000</v>
          </cell>
          <cell r="AT144">
            <v>2000</v>
          </cell>
          <cell r="AV144">
            <v>2000</v>
          </cell>
          <cell r="AW144">
            <v>2000</v>
          </cell>
          <cell r="AX144">
            <v>5000</v>
          </cell>
          <cell r="BA144">
            <v>10000</v>
          </cell>
          <cell r="BE144">
            <v>8000</v>
          </cell>
          <cell r="BK144">
            <v>3000</v>
          </cell>
          <cell r="BL144">
            <v>3000</v>
          </cell>
          <cell r="BO144">
            <v>8000</v>
          </cell>
          <cell r="BR144">
            <v>7000</v>
          </cell>
          <cell r="BS144">
            <v>8000</v>
          </cell>
          <cell r="BT144">
            <v>8000</v>
          </cell>
          <cell r="BW144">
            <v>2000</v>
          </cell>
          <cell r="BX144">
            <v>2000</v>
          </cell>
          <cell r="BY144">
            <v>1000</v>
          </cell>
          <cell r="BZ144">
            <v>2000</v>
          </cell>
          <cell r="CA144">
            <v>4000</v>
          </cell>
          <cell r="CB144">
            <v>8000</v>
          </cell>
          <cell r="CD144">
            <v>2000</v>
          </cell>
          <cell r="CF144">
            <v>1000</v>
          </cell>
          <cell r="CG144">
            <v>4000</v>
          </cell>
          <cell r="CI144">
            <v>8000</v>
          </cell>
          <cell r="CM144">
            <v>5000</v>
          </cell>
          <cell r="CN144">
            <v>10000</v>
          </cell>
          <cell r="CO144">
            <v>4000</v>
          </cell>
          <cell r="CP144">
            <v>4000</v>
          </cell>
          <cell r="DX144">
            <v>8000</v>
          </cell>
          <cell r="EB144">
            <v>8000</v>
          </cell>
          <cell r="EE144" t="str">
            <v>ACTIVO</v>
          </cell>
          <cell r="EF144" t="str">
            <v>C</v>
          </cell>
          <cell r="EG144">
            <v>10000</v>
          </cell>
          <cell r="EH144">
            <v>8000</v>
          </cell>
          <cell r="EI144">
            <v>1333.3333333333333</v>
          </cell>
          <cell r="EJ144">
            <v>2830.2873203598028</v>
          </cell>
          <cell r="EK144">
            <v>16000</v>
          </cell>
          <cell r="EL144">
            <v>362880</v>
          </cell>
          <cell r="EM144">
            <v>2</v>
          </cell>
          <cell r="EN144">
            <v>8000</v>
          </cell>
          <cell r="EO144">
            <v>2666.6666666666665</v>
          </cell>
          <cell r="EP144">
            <v>10666.666666666666</v>
          </cell>
        </row>
        <row r="145">
          <cell r="F145">
            <v>404744</v>
          </cell>
          <cell r="G145" t="str">
            <v>ETIQUETA CIRCULAR 9cm IMPR. TORTA TRS LECHES</v>
          </cell>
          <cell r="I145">
            <v>3000</v>
          </cell>
          <cell r="J145">
            <v>3000</v>
          </cell>
          <cell r="K145">
            <v>2000</v>
          </cell>
          <cell r="O145">
            <v>6000</v>
          </cell>
          <cell r="P145">
            <v>3000</v>
          </cell>
          <cell r="Q145">
            <v>3000</v>
          </cell>
          <cell r="S145">
            <v>2000</v>
          </cell>
          <cell r="T145">
            <v>3000</v>
          </cell>
          <cell r="U145">
            <v>3000</v>
          </cell>
          <cell r="V145">
            <v>3000</v>
          </cell>
          <cell r="W145">
            <v>3000</v>
          </cell>
          <cell r="X145">
            <v>3000</v>
          </cell>
          <cell r="Y145">
            <v>7000</v>
          </cell>
          <cell r="Z145">
            <v>3000</v>
          </cell>
          <cell r="AA145">
            <v>3000</v>
          </cell>
          <cell r="AB145">
            <v>6000</v>
          </cell>
          <cell r="AC145">
            <v>3000</v>
          </cell>
          <cell r="AD145">
            <v>6000</v>
          </cell>
          <cell r="AE145">
            <v>3000</v>
          </cell>
          <cell r="AF145">
            <v>2000</v>
          </cell>
          <cell r="AG145">
            <v>3000</v>
          </cell>
          <cell r="AH145">
            <v>3000</v>
          </cell>
          <cell r="AI145">
            <v>5000</v>
          </cell>
          <cell r="AJ145">
            <v>3000</v>
          </cell>
          <cell r="AK145">
            <v>3000</v>
          </cell>
          <cell r="AL145">
            <v>4000</v>
          </cell>
          <cell r="AM145">
            <v>3000</v>
          </cell>
          <cell r="AN145">
            <v>3000</v>
          </cell>
          <cell r="AP145">
            <v>3000</v>
          </cell>
          <cell r="AQ145">
            <v>3000</v>
          </cell>
          <cell r="AR145">
            <v>1000</v>
          </cell>
          <cell r="AS145">
            <v>3000</v>
          </cell>
          <cell r="AT145">
            <v>3000</v>
          </cell>
          <cell r="AV145">
            <v>3000</v>
          </cell>
          <cell r="AW145">
            <v>2000</v>
          </cell>
          <cell r="AX145">
            <v>4000</v>
          </cell>
          <cell r="AY145">
            <v>1000</v>
          </cell>
          <cell r="BA145">
            <v>4000</v>
          </cell>
          <cell r="BB145">
            <v>1000</v>
          </cell>
          <cell r="BD145">
            <v>2000</v>
          </cell>
          <cell r="BE145">
            <v>2000</v>
          </cell>
          <cell r="BF145">
            <v>2</v>
          </cell>
          <cell r="BG145">
            <v>5998</v>
          </cell>
          <cell r="BH145">
            <v>2000</v>
          </cell>
          <cell r="BJ145">
            <v>2000</v>
          </cell>
          <cell r="BK145">
            <v>4000</v>
          </cell>
          <cell r="BM145">
            <v>2000</v>
          </cell>
          <cell r="BN145">
            <v>2000</v>
          </cell>
          <cell r="BO145">
            <v>4000</v>
          </cell>
          <cell r="BQ145">
            <v>2000</v>
          </cell>
          <cell r="BR145">
            <v>2000</v>
          </cell>
          <cell r="BT145">
            <v>4000</v>
          </cell>
          <cell r="BV145">
            <v>2000</v>
          </cell>
          <cell r="BW145">
            <v>3000</v>
          </cell>
          <cell r="BX145">
            <v>2000</v>
          </cell>
          <cell r="BY145">
            <v>6000</v>
          </cell>
          <cell r="CA145">
            <v>4000</v>
          </cell>
          <cell r="CB145">
            <v>2000</v>
          </cell>
          <cell r="CD145">
            <v>2000</v>
          </cell>
          <cell r="CE145">
            <v>4000</v>
          </cell>
          <cell r="CF145">
            <v>4000</v>
          </cell>
          <cell r="CG145">
            <v>2000</v>
          </cell>
          <cell r="CI145">
            <v>4000</v>
          </cell>
          <cell r="CJ145">
            <v>2000</v>
          </cell>
          <cell r="CL145">
            <v>2000</v>
          </cell>
          <cell r="CM145">
            <v>2000</v>
          </cell>
          <cell r="CN145">
            <v>4000</v>
          </cell>
          <cell r="CO145">
            <v>2000</v>
          </cell>
          <cell r="CP145">
            <v>2000</v>
          </cell>
          <cell r="CR145">
            <v>2000</v>
          </cell>
          <cell r="CT145">
            <v>4000</v>
          </cell>
          <cell r="CU145">
            <v>3000</v>
          </cell>
          <cell r="CV145">
            <v>2000</v>
          </cell>
          <cell r="CW145">
            <v>3000</v>
          </cell>
          <cell r="CX145">
            <v>3000</v>
          </cell>
          <cell r="CY145">
            <v>3000</v>
          </cell>
          <cell r="CZ145">
            <v>3000</v>
          </cell>
          <cell r="DB145">
            <v>3000</v>
          </cell>
          <cell r="DC145">
            <v>2000</v>
          </cell>
          <cell r="DE145">
            <v>3000</v>
          </cell>
          <cell r="DF145">
            <v>2000</v>
          </cell>
          <cell r="DG145">
            <v>3000</v>
          </cell>
          <cell r="DJ145">
            <v>2000</v>
          </cell>
          <cell r="DK145">
            <v>4000</v>
          </cell>
          <cell r="DL145">
            <v>2000</v>
          </cell>
          <cell r="DM145">
            <v>2000</v>
          </cell>
          <cell r="DN145">
            <v>2000</v>
          </cell>
          <cell r="DO145">
            <v>2000</v>
          </cell>
          <cell r="DP145">
            <v>2000</v>
          </cell>
          <cell r="DQ145">
            <v>1000</v>
          </cell>
          <cell r="DR145">
            <v>2000</v>
          </cell>
          <cell r="DS145">
            <v>2000</v>
          </cell>
          <cell r="DT145">
            <v>3000</v>
          </cell>
          <cell r="DU145">
            <v>2000</v>
          </cell>
          <cell r="DV145">
            <v>2000</v>
          </cell>
          <cell r="DW145">
            <v>2000</v>
          </cell>
          <cell r="DX145">
            <v>2000</v>
          </cell>
          <cell r="DY145">
            <v>5000</v>
          </cell>
          <cell r="DZ145">
            <v>5000</v>
          </cell>
          <cell r="EB145">
            <v>4000</v>
          </cell>
          <cell r="ED145">
            <v>2000</v>
          </cell>
          <cell r="EE145" t="str">
            <v>ACTIVO</v>
          </cell>
          <cell r="EF145" t="str">
            <v>C</v>
          </cell>
          <cell r="EG145">
            <v>10000</v>
          </cell>
          <cell r="EH145">
            <v>2470.5882352941176</v>
          </cell>
          <cell r="EI145">
            <v>411.76470588235293</v>
          </cell>
          <cell r="EJ145">
            <v>978.16926690110802</v>
          </cell>
          <cell r="EK145">
            <v>1000</v>
          </cell>
          <cell r="EL145">
            <v>17170</v>
          </cell>
          <cell r="EM145">
            <v>0.40476190476190477</v>
          </cell>
          <cell r="EN145">
            <v>2470.5882352941176</v>
          </cell>
          <cell r="EO145">
            <v>823.52941176470586</v>
          </cell>
          <cell r="EP145">
            <v>3294.1176470588234</v>
          </cell>
        </row>
        <row r="146">
          <cell r="F146">
            <v>404748</v>
          </cell>
          <cell r="G146" t="str">
            <v>ETIQUETA BLANCA 40x200 SISA</v>
          </cell>
          <cell r="I146">
            <v>3000</v>
          </cell>
          <cell r="J146">
            <v>6000</v>
          </cell>
          <cell r="K146">
            <v>3000</v>
          </cell>
          <cell r="L146">
            <v>3000</v>
          </cell>
          <cell r="M146">
            <v>3000</v>
          </cell>
          <cell r="O146">
            <v>6000</v>
          </cell>
          <cell r="P146">
            <v>3000</v>
          </cell>
          <cell r="Q146">
            <v>3000</v>
          </cell>
          <cell r="T146">
            <v>4000</v>
          </cell>
          <cell r="U146">
            <v>5000</v>
          </cell>
          <cell r="V146">
            <v>3000</v>
          </cell>
          <cell r="W146">
            <v>3000</v>
          </cell>
          <cell r="X146">
            <v>28000</v>
          </cell>
          <cell r="Z146">
            <v>2000</v>
          </cell>
          <cell r="AA146">
            <v>3000</v>
          </cell>
          <cell r="AB146">
            <v>7000</v>
          </cell>
          <cell r="AC146">
            <v>3000</v>
          </cell>
          <cell r="AD146">
            <v>1000</v>
          </cell>
          <cell r="AE146">
            <v>5000</v>
          </cell>
          <cell r="AF146">
            <v>3000</v>
          </cell>
          <cell r="AG146">
            <v>4000</v>
          </cell>
          <cell r="AH146">
            <v>5000</v>
          </cell>
          <cell r="AI146">
            <v>6000</v>
          </cell>
          <cell r="AJ146">
            <v>4000</v>
          </cell>
          <cell r="AK146">
            <v>6000</v>
          </cell>
          <cell r="AL146">
            <v>4000</v>
          </cell>
          <cell r="AM146">
            <v>4000</v>
          </cell>
          <cell r="AN146">
            <v>4000</v>
          </cell>
          <cell r="AO146">
            <v>4000</v>
          </cell>
          <cell r="AP146">
            <v>4000</v>
          </cell>
          <cell r="AQ146">
            <v>4000</v>
          </cell>
          <cell r="AS146">
            <v>3000</v>
          </cell>
          <cell r="AT146">
            <v>6000</v>
          </cell>
          <cell r="AV146">
            <v>3000</v>
          </cell>
          <cell r="AW146">
            <v>3000</v>
          </cell>
          <cell r="AX146">
            <v>6000</v>
          </cell>
          <cell r="AY146">
            <v>4000</v>
          </cell>
          <cell r="BA146">
            <v>6000</v>
          </cell>
          <cell r="BB146">
            <v>4000</v>
          </cell>
          <cell r="BD146">
            <v>3000</v>
          </cell>
          <cell r="BE146">
            <v>4000</v>
          </cell>
          <cell r="BF146">
            <v>1003</v>
          </cell>
          <cell r="BG146">
            <v>4997</v>
          </cell>
          <cell r="BK146">
            <v>10000</v>
          </cell>
          <cell r="BO146">
            <v>3000</v>
          </cell>
          <cell r="BQ146">
            <v>3000</v>
          </cell>
          <cell r="BR146">
            <v>6000</v>
          </cell>
          <cell r="BT146">
            <v>3000</v>
          </cell>
          <cell r="BV146">
            <v>3000</v>
          </cell>
          <cell r="BX146">
            <v>3000</v>
          </cell>
          <cell r="CA146">
            <v>3000</v>
          </cell>
          <cell r="CB146">
            <v>3000</v>
          </cell>
          <cell r="CD146">
            <v>3000</v>
          </cell>
          <cell r="CE146">
            <v>6000</v>
          </cell>
          <cell r="CF146">
            <v>3000</v>
          </cell>
          <cell r="CG146">
            <v>3000</v>
          </cell>
          <cell r="CI146">
            <v>1000</v>
          </cell>
          <cell r="CJ146">
            <v>5000</v>
          </cell>
          <cell r="CL146">
            <v>3000</v>
          </cell>
          <cell r="CM146">
            <v>3000</v>
          </cell>
          <cell r="CN146">
            <v>3000</v>
          </cell>
          <cell r="CO146">
            <v>3000</v>
          </cell>
          <cell r="CP146">
            <v>3000</v>
          </cell>
          <cell r="CT146">
            <v>6000</v>
          </cell>
          <cell r="CV146">
            <v>3000</v>
          </cell>
          <cell r="CW146">
            <v>3000</v>
          </cell>
          <cell r="CX146">
            <v>3000</v>
          </cell>
          <cell r="CZ146">
            <v>3000</v>
          </cell>
          <cell r="DB146">
            <v>3000</v>
          </cell>
          <cell r="DC146">
            <v>2000</v>
          </cell>
          <cell r="DD146">
            <v>2000</v>
          </cell>
          <cell r="DE146">
            <v>2000</v>
          </cell>
          <cell r="DF146">
            <v>2000</v>
          </cell>
          <cell r="DG146">
            <v>2000</v>
          </cell>
          <cell r="DJ146">
            <v>2000</v>
          </cell>
          <cell r="DK146">
            <v>4000</v>
          </cell>
          <cell r="DL146">
            <v>2000</v>
          </cell>
          <cell r="DM146">
            <v>2000</v>
          </cell>
          <cell r="DN146">
            <v>2000</v>
          </cell>
          <cell r="DO146">
            <v>2000</v>
          </cell>
          <cell r="DQ146">
            <v>2000</v>
          </cell>
          <cell r="DR146">
            <v>2000</v>
          </cell>
          <cell r="DS146">
            <v>2000</v>
          </cell>
          <cell r="DT146">
            <v>3000</v>
          </cell>
          <cell r="DU146">
            <v>3000</v>
          </cell>
          <cell r="DV146">
            <v>3000</v>
          </cell>
          <cell r="DW146">
            <v>3000</v>
          </cell>
          <cell r="DX146">
            <v>3000</v>
          </cell>
          <cell r="DY146">
            <v>5000</v>
          </cell>
          <cell r="EB146">
            <v>6000</v>
          </cell>
          <cell r="ED146">
            <v>3000</v>
          </cell>
          <cell r="EE146" t="str">
            <v>ACTIVO</v>
          </cell>
          <cell r="EF146" t="str">
            <v>C</v>
          </cell>
          <cell r="EG146">
            <v>10000</v>
          </cell>
          <cell r="EH146">
            <v>2666.6666666666665</v>
          </cell>
          <cell r="EI146">
            <v>444.4444444444444</v>
          </cell>
          <cell r="EJ146">
            <v>1684.2087577806221</v>
          </cell>
          <cell r="EK146">
            <v>46000</v>
          </cell>
          <cell r="EL146">
            <v>629740</v>
          </cell>
          <cell r="EM146">
            <v>17.25</v>
          </cell>
          <cell r="EN146">
            <v>2666.6666666666665</v>
          </cell>
          <cell r="EO146">
            <v>888.8888888888888</v>
          </cell>
          <cell r="EP146">
            <v>3555.5555555555552</v>
          </cell>
        </row>
        <row r="147">
          <cell r="F147">
            <v>405103</v>
          </cell>
          <cell r="G147" t="str">
            <v>ETIQUETA BLANCA 200X50 SISA OPP</v>
          </cell>
          <cell r="H147">
            <v>15000</v>
          </cell>
          <cell r="I147">
            <v>75000</v>
          </cell>
          <cell r="J147">
            <v>133000</v>
          </cell>
          <cell r="K147">
            <v>57000</v>
          </cell>
          <cell r="L147">
            <v>65000</v>
          </cell>
          <cell r="M147">
            <v>57000</v>
          </cell>
          <cell r="N147">
            <v>3000</v>
          </cell>
          <cell r="O147">
            <v>120000</v>
          </cell>
          <cell r="P147">
            <v>68000</v>
          </cell>
          <cell r="Q147">
            <v>63000</v>
          </cell>
          <cell r="R147">
            <v>11000</v>
          </cell>
          <cell r="S147">
            <v>85000</v>
          </cell>
          <cell r="T147">
            <v>89000</v>
          </cell>
          <cell r="U147">
            <v>63000</v>
          </cell>
          <cell r="V147">
            <v>77000</v>
          </cell>
          <cell r="W147">
            <v>33000</v>
          </cell>
          <cell r="X147">
            <v>127000</v>
          </cell>
          <cell r="Y147">
            <v>18000</v>
          </cell>
          <cell r="Z147">
            <v>89000</v>
          </cell>
          <cell r="AA147">
            <v>66000</v>
          </cell>
          <cell r="AB147">
            <v>142000</v>
          </cell>
          <cell r="AC147">
            <v>70000</v>
          </cell>
          <cell r="AD147">
            <v>33000</v>
          </cell>
          <cell r="AE147">
            <v>155000</v>
          </cell>
          <cell r="AF147">
            <v>68000</v>
          </cell>
          <cell r="AG147">
            <v>81000</v>
          </cell>
          <cell r="AH147">
            <v>79000</v>
          </cell>
          <cell r="AI147">
            <v>85000</v>
          </cell>
          <cell r="AJ147">
            <v>69000</v>
          </cell>
          <cell r="AK147">
            <v>94000</v>
          </cell>
          <cell r="AL147">
            <v>97000</v>
          </cell>
          <cell r="AM147">
            <v>81000</v>
          </cell>
          <cell r="AN147">
            <v>84000</v>
          </cell>
          <cell r="AO147">
            <v>87000</v>
          </cell>
          <cell r="AP147">
            <v>93000</v>
          </cell>
          <cell r="AQ147">
            <v>81000</v>
          </cell>
          <cell r="AR147">
            <v>15000</v>
          </cell>
          <cell r="AS147">
            <v>68000</v>
          </cell>
          <cell r="AT147">
            <v>147000</v>
          </cell>
          <cell r="AV147">
            <v>94000</v>
          </cell>
          <cell r="AW147">
            <v>57000</v>
          </cell>
          <cell r="AX147">
            <v>145000</v>
          </cell>
          <cell r="AY147">
            <v>39000</v>
          </cell>
          <cell r="AZ147">
            <v>61000</v>
          </cell>
          <cell r="BA147">
            <v>111000</v>
          </cell>
          <cell r="BB147">
            <v>95000</v>
          </cell>
          <cell r="BC147">
            <v>25000</v>
          </cell>
          <cell r="BD147">
            <v>121000</v>
          </cell>
          <cell r="BE147">
            <v>81000</v>
          </cell>
          <cell r="BF147">
            <v>5074</v>
          </cell>
          <cell r="BG147">
            <v>149326</v>
          </cell>
          <cell r="BH147">
            <v>81000</v>
          </cell>
          <cell r="BI147">
            <v>10000</v>
          </cell>
          <cell r="BJ147">
            <v>85000</v>
          </cell>
          <cell r="BK147">
            <v>152000</v>
          </cell>
          <cell r="BL147">
            <v>5000</v>
          </cell>
          <cell r="BM147">
            <v>87000</v>
          </cell>
          <cell r="BN147">
            <v>82000</v>
          </cell>
          <cell r="BO147">
            <v>152000</v>
          </cell>
          <cell r="BP147">
            <v>10000</v>
          </cell>
          <cell r="BQ147">
            <v>139000</v>
          </cell>
          <cell r="BR147">
            <v>151000</v>
          </cell>
          <cell r="BS147">
            <v>15000</v>
          </cell>
          <cell r="BT147">
            <v>130000</v>
          </cell>
          <cell r="BU147">
            <v>18000</v>
          </cell>
          <cell r="BV147">
            <v>91000</v>
          </cell>
          <cell r="BW147">
            <v>165000</v>
          </cell>
          <cell r="BX147">
            <v>112000</v>
          </cell>
          <cell r="BY147">
            <v>89000</v>
          </cell>
          <cell r="BZ147">
            <v>40000</v>
          </cell>
          <cell r="CA147">
            <v>159000</v>
          </cell>
          <cell r="CB147">
            <v>106000</v>
          </cell>
          <cell r="CC147">
            <v>20000</v>
          </cell>
          <cell r="CD147">
            <v>100000</v>
          </cell>
          <cell r="CE147">
            <v>96000</v>
          </cell>
          <cell r="CF147">
            <v>156000</v>
          </cell>
          <cell r="CG147">
            <v>84000</v>
          </cell>
          <cell r="CH147">
            <v>22000</v>
          </cell>
          <cell r="CI147">
            <v>147000</v>
          </cell>
          <cell r="CJ147">
            <v>84000</v>
          </cell>
          <cell r="CK147">
            <v>46000</v>
          </cell>
          <cell r="CL147">
            <v>74000</v>
          </cell>
          <cell r="CM147">
            <v>87000</v>
          </cell>
          <cell r="CN147">
            <v>148000</v>
          </cell>
          <cell r="CO147">
            <v>108000</v>
          </cell>
          <cell r="CP147">
            <v>116000</v>
          </cell>
          <cell r="CQ147">
            <v>108000</v>
          </cell>
          <cell r="CR147">
            <v>20000</v>
          </cell>
          <cell r="CT147">
            <v>157000</v>
          </cell>
          <cell r="CU147">
            <v>95000</v>
          </cell>
          <cell r="CV147">
            <v>100000</v>
          </cell>
          <cell r="CW147">
            <v>101000</v>
          </cell>
          <cell r="CX147">
            <v>50010</v>
          </cell>
          <cell r="CY147">
            <v>158000</v>
          </cell>
          <cell r="CZ147">
            <v>74000</v>
          </cell>
          <cell r="DA147">
            <v>19000</v>
          </cell>
          <cell r="DB147">
            <v>135990</v>
          </cell>
          <cell r="DC147">
            <v>85000</v>
          </cell>
          <cell r="DD147">
            <v>62000</v>
          </cell>
          <cell r="DE147">
            <v>94000</v>
          </cell>
          <cell r="DF147">
            <v>79000</v>
          </cell>
          <cell r="DG147">
            <v>58000</v>
          </cell>
          <cell r="DH147">
            <v>5000</v>
          </cell>
          <cell r="DJ147">
            <v>88000</v>
          </cell>
          <cell r="DK147">
            <v>154000</v>
          </cell>
          <cell r="DL147">
            <v>101000</v>
          </cell>
          <cell r="DM147">
            <v>75000</v>
          </cell>
          <cell r="DN147">
            <v>89000</v>
          </cell>
          <cell r="DO147">
            <v>87000</v>
          </cell>
          <cell r="DP147">
            <v>89000</v>
          </cell>
          <cell r="DQ147">
            <v>67000</v>
          </cell>
          <cell r="DR147">
            <v>72000</v>
          </cell>
          <cell r="DS147">
            <v>96000</v>
          </cell>
          <cell r="DT147">
            <v>140000</v>
          </cell>
          <cell r="DU147">
            <v>78000</v>
          </cell>
          <cell r="DV147">
            <v>101000</v>
          </cell>
          <cell r="DW147">
            <v>103000</v>
          </cell>
          <cell r="DX147">
            <v>83000</v>
          </cell>
          <cell r="DY147">
            <v>113000</v>
          </cell>
          <cell r="DZ147">
            <v>60000</v>
          </cell>
          <cell r="EA147">
            <v>25000</v>
          </cell>
          <cell r="EB147">
            <v>136000</v>
          </cell>
          <cell r="EC147">
            <v>92000</v>
          </cell>
          <cell r="ED147">
            <v>84000</v>
          </cell>
          <cell r="EE147" t="str">
            <v>ACTIVO</v>
          </cell>
          <cell r="EF147" t="str">
            <v>B</v>
          </cell>
          <cell r="EG147">
            <v>10000</v>
          </cell>
          <cell r="EH147">
            <v>93882.352941176476</v>
          </cell>
          <cell r="EI147">
            <v>15647.058823529413</v>
          </cell>
          <cell r="EJ147">
            <v>47794.709985144829</v>
          </cell>
          <cell r="EK147">
            <v>118000</v>
          </cell>
          <cell r="EL147">
            <v>1852600</v>
          </cell>
          <cell r="EM147">
            <v>1.2568922305764409</v>
          </cell>
          <cell r="EN147">
            <v>93882.352941176476</v>
          </cell>
          <cell r="EO147">
            <v>31294.117647058825</v>
          </cell>
          <cell r="EP147">
            <v>125176.4705882353</v>
          </cell>
        </row>
        <row r="148">
          <cell r="F148">
            <v>405108</v>
          </cell>
          <cell r="G148" t="str">
            <v>ETIQUETA TORTA  MOCACCINO</v>
          </cell>
          <cell r="I148">
            <v>3000</v>
          </cell>
          <cell r="J148">
            <v>10000</v>
          </cell>
          <cell r="K148">
            <v>3000</v>
          </cell>
          <cell r="M148">
            <v>3000</v>
          </cell>
          <cell r="O148">
            <v>11000</v>
          </cell>
          <cell r="P148">
            <v>3000</v>
          </cell>
          <cell r="S148">
            <v>10000</v>
          </cell>
          <cell r="W148">
            <v>3000</v>
          </cell>
          <cell r="X148">
            <v>3000</v>
          </cell>
          <cell r="AA148">
            <v>6000</v>
          </cell>
          <cell r="AB148">
            <v>8000</v>
          </cell>
          <cell r="AC148">
            <v>3000</v>
          </cell>
          <cell r="AE148">
            <v>3000</v>
          </cell>
          <cell r="AF148">
            <v>2000</v>
          </cell>
          <cell r="AG148">
            <v>4000</v>
          </cell>
          <cell r="AH148">
            <v>5000</v>
          </cell>
          <cell r="AI148">
            <v>3000</v>
          </cell>
          <cell r="AJ148">
            <v>3000</v>
          </cell>
          <cell r="AK148">
            <v>3000</v>
          </cell>
          <cell r="AM148">
            <v>3000</v>
          </cell>
          <cell r="AN148">
            <v>5000</v>
          </cell>
          <cell r="AO148">
            <v>5000</v>
          </cell>
          <cell r="AQ148">
            <v>3000</v>
          </cell>
          <cell r="AS148">
            <v>3000</v>
          </cell>
          <cell r="AT148">
            <v>3000</v>
          </cell>
          <cell r="AV148">
            <v>3000</v>
          </cell>
          <cell r="AW148">
            <v>8000</v>
          </cell>
          <cell r="AY148">
            <v>3000</v>
          </cell>
          <cell r="BA148">
            <v>4000</v>
          </cell>
          <cell r="BD148">
            <v>11000</v>
          </cell>
          <cell r="BG148">
            <v>6000</v>
          </cell>
          <cell r="BK148">
            <v>12000</v>
          </cell>
          <cell r="BM148">
            <v>2000</v>
          </cell>
          <cell r="BN148">
            <v>6000</v>
          </cell>
          <cell r="BO148">
            <v>5000</v>
          </cell>
          <cell r="BQ148">
            <v>6000</v>
          </cell>
          <cell r="BR148">
            <v>10000</v>
          </cell>
          <cell r="BS148">
            <v>10000</v>
          </cell>
          <cell r="BT148">
            <v>8000</v>
          </cell>
          <cell r="BU148">
            <v>2000</v>
          </cell>
          <cell r="BV148">
            <v>15000</v>
          </cell>
          <cell r="BW148">
            <v>2000</v>
          </cell>
          <cell r="BX148">
            <v>4000</v>
          </cell>
          <cell r="CA148">
            <v>4000</v>
          </cell>
          <cell r="CB148">
            <v>4000</v>
          </cell>
          <cell r="CD148">
            <v>1000</v>
          </cell>
          <cell r="CE148">
            <v>4000</v>
          </cell>
          <cell r="CF148">
            <v>4000</v>
          </cell>
          <cell r="CG148">
            <v>3000</v>
          </cell>
          <cell r="CI148">
            <v>2000</v>
          </cell>
          <cell r="CJ148">
            <v>4000</v>
          </cell>
          <cell r="CM148">
            <v>4000</v>
          </cell>
          <cell r="CN148">
            <v>8000</v>
          </cell>
          <cell r="CP148">
            <v>4000</v>
          </cell>
          <cell r="CQ148">
            <v>5000</v>
          </cell>
          <cell r="CT148">
            <v>10000</v>
          </cell>
          <cell r="CW148">
            <v>4000</v>
          </cell>
          <cell r="CX148">
            <v>2000</v>
          </cell>
          <cell r="CY148">
            <v>4000</v>
          </cell>
          <cell r="DC148">
            <v>4000</v>
          </cell>
          <cell r="DF148">
            <v>4000</v>
          </cell>
          <cell r="DJ148">
            <v>4000</v>
          </cell>
          <cell r="DK148">
            <v>4000</v>
          </cell>
          <cell r="DL148">
            <v>4000</v>
          </cell>
          <cell r="DN148">
            <v>4000</v>
          </cell>
          <cell r="DO148">
            <v>4000</v>
          </cell>
          <cell r="DP148">
            <v>4000</v>
          </cell>
          <cell r="DR148">
            <v>4000</v>
          </cell>
          <cell r="DS148">
            <v>4000</v>
          </cell>
          <cell r="DT148">
            <v>3000</v>
          </cell>
          <cell r="DU148">
            <v>8000</v>
          </cell>
          <cell r="DV148">
            <v>1000</v>
          </cell>
          <cell r="DW148">
            <v>4000</v>
          </cell>
          <cell r="DY148">
            <v>4000</v>
          </cell>
          <cell r="ED148">
            <v>4000</v>
          </cell>
          <cell r="EE148" t="str">
            <v>ACTIVO</v>
          </cell>
          <cell r="EF148" t="str">
            <v>C</v>
          </cell>
          <cell r="EG148">
            <v>10000</v>
          </cell>
          <cell r="EH148">
            <v>4000</v>
          </cell>
          <cell r="EI148">
            <v>666.66666666666663</v>
          </cell>
          <cell r="EJ148">
            <v>3318.5303491396489</v>
          </cell>
          <cell r="EK148">
            <v>10000</v>
          </cell>
          <cell r="EL148">
            <v>227000</v>
          </cell>
          <cell r="EM148">
            <v>2.5</v>
          </cell>
          <cell r="EN148">
            <v>4000</v>
          </cell>
          <cell r="EO148">
            <v>1333.3333333333333</v>
          </cell>
          <cell r="EP148">
            <v>5333.333333333333</v>
          </cell>
        </row>
        <row r="149">
          <cell r="F149">
            <v>405111</v>
          </cell>
          <cell r="G149" t="str">
            <v>ETIQUETA CIRCULAR TORTA AMOR</v>
          </cell>
          <cell r="I149">
            <v>2000</v>
          </cell>
          <cell r="J149">
            <v>2000</v>
          </cell>
          <cell r="K149">
            <v>2000</v>
          </cell>
          <cell r="M149">
            <v>3000</v>
          </cell>
          <cell r="O149">
            <v>2000</v>
          </cell>
          <cell r="P149">
            <v>2000</v>
          </cell>
          <cell r="Q149">
            <v>2000</v>
          </cell>
          <cell r="S149">
            <v>2000</v>
          </cell>
          <cell r="T149">
            <v>2000</v>
          </cell>
          <cell r="U149">
            <v>2000</v>
          </cell>
          <cell r="V149">
            <v>2000</v>
          </cell>
          <cell r="W149">
            <v>2000</v>
          </cell>
          <cell r="X149">
            <v>2000</v>
          </cell>
          <cell r="Y149">
            <v>6000</v>
          </cell>
          <cell r="Z149">
            <v>3000</v>
          </cell>
          <cell r="AA149">
            <v>2000</v>
          </cell>
          <cell r="AB149">
            <v>5000</v>
          </cell>
          <cell r="AC149">
            <v>3000</v>
          </cell>
          <cell r="AD149">
            <v>5000</v>
          </cell>
          <cell r="AE149">
            <v>3000</v>
          </cell>
          <cell r="AF149">
            <v>3000</v>
          </cell>
          <cell r="AG149">
            <v>3000</v>
          </cell>
          <cell r="AH149">
            <v>3000</v>
          </cell>
          <cell r="AI149">
            <v>5000</v>
          </cell>
          <cell r="AJ149">
            <v>3000</v>
          </cell>
          <cell r="AK149">
            <v>3000</v>
          </cell>
          <cell r="AL149">
            <v>3000</v>
          </cell>
          <cell r="AM149">
            <v>3000</v>
          </cell>
          <cell r="AN149">
            <v>3000</v>
          </cell>
          <cell r="AP149">
            <v>2000</v>
          </cell>
          <cell r="AQ149">
            <v>3000</v>
          </cell>
          <cell r="AR149">
            <v>1000</v>
          </cell>
          <cell r="AS149">
            <v>2000</v>
          </cell>
          <cell r="AT149">
            <v>2000</v>
          </cell>
          <cell r="AV149">
            <v>3000</v>
          </cell>
          <cell r="AW149">
            <v>2000</v>
          </cell>
          <cell r="AX149">
            <v>5000</v>
          </cell>
          <cell r="AY149">
            <v>1000</v>
          </cell>
          <cell r="BA149">
            <v>4000</v>
          </cell>
          <cell r="BB149">
            <v>2000</v>
          </cell>
          <cell r="BC149">
            <v>2000</v>
          </cell>
          <cell r="BD149">
            <v>3000</v>
          </cell>
          <cell r="BE149">
            <v>5000</v>
          </cell>
          <cell r="BF149">
            <v>3</v>
          </cell>
          <cell r="BG149">
            <v>4997</v>
          </cell>
          <cell r="BH149">
            <v>2000</v>
          </cell>
          <cell r="BK149">
            <v>4000</v>
          </cell>
          <cell r="BM149">
            <v>3000</v>
          </cell>
          <cell r="BN149">
            <v>2000</v>
          </cell>
          <cell r="BO149">
            <v>7000</v>
          </cell>
          <cell r="BQ149">
            <v>3000</v>
          </cell>
          <cell r="BR149">
            <v>3000</v>
          </cell>
          <cell r="BT149">
            <v>6000</v>
          </cell>
          <cell r="BV149">
            <v>3000</v>
          </cell>
          <cell r="BW149">
            <v>2000</v>
          </cell>
          <cell r="BX149">
            <v>2000</v>
          </cell>
          <cell r="BY149">
            <v>6000</v>
          </cell>
          <cell r="BZ149">
            <v>1000</v>
          </cell>
          <cell r="CA149">
            <v>6000</v>
          </cell>
          <cell r="CB149">
            <v>4000</v>
          </cell>
          <cell r="CD149">
            <v>3000</v>
          </cell>
          <cell r="CE149">
            <v>3000</v>
          </cell>
          <cell r="CF149">
            <v>6000</v>
          </cell>
          <cell r="CG149">
            <v>3000</v>
          </cell>
          <cell r="CI149">
            <v>6000</v>
          </cell>
          <cell r="CJ149">
            <v>2000</v>
          </cell>
          <cell r="CK149">
            <v>1000</v>
          </cell>
          <cell r="CL149">
            <v>2000</v>
          </cell>
          <cell r="CM149">
            <v>2000</v>
          </cell>
          <cell r="CN149">
            <v>4000</v>
          </cell>
          <cell r="CO149">
            <v>2000</v>
          </cell>
          <cell r="CP149">
            <v>2000</v>
          </cell>
          <cell r="CT149">
            <v>4000</v>
          </cell>
          <cell r="CU149">
            <v>3000</v>
          </cell>
          <cell r="CV149">
            <v>2000</v>
          </cell>
          <cell r="CW149">
            <v>3000</v>
          </cell>
          <cell r="CX149">
            <v>3000</v>
          </cell>
          <cell r="CY149">
            <v>3000</v>
          </cell>
          <cell r="CZ149">
            <v>3000</v>
          </cell>
          <cell r="DB149">
            <v>4000</v>
          </cell>
          <cell r="DC149">
            <v>3000</v>
          </cell>
          <cell r="DE149">
            <v>3000</v>
          </cell>
          <cell r="DF149">
            <v>3000</v>
          </cell>
          <cell r="DG149">
            <v>3000</v>
          </cell>
          <cell r="DJ149">
            <v>3000</v>
          </cell>
          <cell r="DK149">
            <v>6000</v>
          </cell>
          <cell r="DL149">
            <v>3000</v>
          </cell>
          <cell r="DN149">
            <v>3000</v>
          </cell>
          <cell r="DO149">
            <v>4000</v>
          </cell>
          <cell r="DP149">
            <v>3000</v>
          </cell>
          <cell r="DQ149">
            <v>3000</v>
          </cell>
          <cell r="DR149">
            <v>3000</v>
          </cell>
          <cell r="DS149">
            <v>3000</v>
          </cell>
          <cell r="DT149">
            <v>3000</v>
          </cell>
          <cell r="DU149">
            <v>3000</v>
          </cell>
          <cell r="DV149">
            <v>3000</v>
          </cell>
          <cell r="DW149">
            <v>3000</v>
          </cell>
          <cell r="DX149">
            <v>3000</v>
          </cell>
          <cell r="DY149">
            <v>5000</v>
          </cell>
          <cell r="DZ149">
            <v>5000</v>
          </cell>
          <cell r="EB149">
            <v>6000</v>
          </cell>
          <cell r="EC149">
            <v>3000</v>
          </cell>
          <cell r="ED149">
            <v>3000</v>
          </cell>
          <cell r="EE149" t="str">
            <v>ACTIVO</v>
          </cell>
          <cell r="EF149" t="str">
            <v>C</v>
          </cell>
          <cell r="EG149">
            <v>10000</v>
          </cell>
          <cell r="EH149">
            <v>3500</v>
          </cell>
          <cell r="EI149">
            <v>583.33333333333337</v>
          </cell>
          <cell r="EJ149">
            <v>1463.9159581491065</v>
          </cell>
          <cell r="EK149">
            <v>0</v>
          </cell>
          <cell r="EL149">
            <v>0</v>
          </cell>
          <cell r="EM149">
            <v>0</v>
          </cell>
          <cell r="EN149">
            <v>3500</v>
          </cell>
          <cell r="EO149">
            <v>1166.6666666666667</v>
          </cell>
          <cell r="EP149">
            <v>4666.666666666667</v>
          </cell>
        </row>
        <row r="150">
          <cell r="F150">
            <v>405121</v>
          </cell>
          <cell r="G150" t="str">
            <v>ETIQUETAS CIRCULAR 9cm IMPR.TORTA TRES LECHES JUMB0</v>
          </cell>
          <cell r="I150">
            <v>2000</v>
          </cell>
          <cell r="J150">
            <v>2000</v>
          </cell>
          <cell r="K150">
            <v>2000</v>
          </cell>
          <cell r="L150">
            <v>2000</v>
          </cell>
          <cell r="O150">
            <v>2000</v>
          </cell>
          <cell r="P150">
            <v>2000</v>
          </cell>
          <cell r="Q150">
            <v>2000</v>
          </cell>
          <cell r="S150">
            <v>2000</v>
          </cell>
          <cell r="T150">
            <v>2000</v>
          </cell>
          <cell r="U150">
            <v>2000</v>
          </cell>
          <cell r="V150">
            <v>2000</v>
          </cell>
          <cell r="W150">
            <v>2000</v>
          </cell>
          <cell r="X150">
            <v>2000</v>
          </cell>
          <cell r="Z150">
            <v>5000</v>
          </cell>
          <cell r="AA150">
            <v>3000</v>
          </cell>
          <cell r="AB150">
            <v>4000</v>
          </cell>
          <cell r="AC150">
            <v>2000</v>
          </cell>
          <cell r="AD150">
            <v>5000</v>
          </cell>
          <cell r="AE150">
            <v>3000</v>
          </cell>
          <cell r="AF150">
            <v>2000</v>
          </cell>
          <cell r="AG150">
            <v>2000</v>
          </cell>
          <cell r="AH150">
            <v>2000</v>
          </cell>
          <cell r="AI150">
            <v>2000</v>
          </cell>
          <cell r="AJ150">
            <v>2000</v>
          </cell>
          <cell r="AK150">
            <v>3000</v>
          </cell>
          <cell r="AL150">
            <v>3000</v>
          </cell>
          <cell r="AM150">
            <v>2000</v>
          </cell>
          <cell r="AN150">
            <v>2000</v>
          </cell>
          <cell r="AO150">
            <v>2000</v>
          </cell>
          <cell r="AP150">
            <v>2000</v>
          </cell>
          <cell r="AQ150">
            <v>2000</v>
          </cell>
          <cell r="AS150">
            <v>2000</v>
          </cell>
          <cell r="AT150">
            <v>2000</v>
          </cell>
          <cell r="AV150">
            <v>2000</v>
          </cell>
          <cell r="AW150">
            <v>2000</v>
          </cell>
          <cell r="AX150">
            <v>2000</v>
          </cell>
          <cell r="AY150">
            <v>1000</v>
          </cell>
          <cell r="BA150">
            <v>3000</v>
          </cell>
          <cell r="BB150">
            <v>1000</v>
          </cell>
          <cell r="BD150">
            <v>1000</v>
          </cell>
          <cell r="BE150">
            <v>1000</v>
          </cell>
          <cell r="BF150">
            <v>1002</v>
          </cell>
          <cell r="BG150">
            <v>5998</v>
          </cell>
          <cell r="BH150">
            <v>3000</v>
          </cell>
          <cell r="BJ150">
            <v>2000</v>
          </cell>
          <cell r="BK150">
            <v>4000</v>
          </cell>
          <cell r="BM150">
            <v>2000</v>
          </cell>
          <cell r="BN150">
            <v>3000</v>
          </cell>
          <cell r="BO150">
            <v>4000</v>
          </cell>
          <cell r="BR150">
            <v>2000</v>
          </cell>
          <cell r="BT150">
            <v>4000</v>
          </cell>
          <cell r="BV150">
            <v>2000</v>
          </cell>
          <cell r="BW150">
            <v>2000</v>
          </cell>
          <cell r="BX150">
            <v>2000</v>
          </cell>
          <cell r="BY150">
            <v>5000</v>
          </cell>
          <cell r="CA150">
            <v>4000</v>
          </cell>
          <cell r="CB150">
            <v>2000</v>
          </cell>
          <cell r="CD150">
            <v>2000</v>
          </cell>
          <cell r="CE150">
            <v>7000</v>
          </cell>
          <cell r="CF150">
            <v>4000</v>
          </cell>
          <cell r="CG150">
            <v>2000</v>
          </cell>
          <cell r="CI150">
            <v>4000</v>
          </cell>
          <cell r="CJ150">
            <v>2000</v>
          </cell>
          <cell r="CL150">
            <v>2000</v>
          </cell>
          <cell r="CM150">
            <v>2000</v>
          </cell>
          <cell r="CN150">
            <v>4000</v>
          </cell>
          <cell r="CO150">
            <v>3000</v>
          </cell>
          <cell r="CP150">
            <v>2000</v>
          </cell>
          <cell r="CR150">
            <v>1000</v>
          </cell>
          <cell r="CT150">
            <v>4000</v>
          </cell>
          <cell r="CU150">
            <v>3000</v>
          </cell>
          <cell r="CV150">
            <v>2000</v>
          </cell>
          <cell r="CW150">
            <v>2000</v>
          </cell>
          <cell r="CX150">
            <v>2000</v>
          </cell>
          <cell r="CY150">
            <v>2000</v>
          </cell>
          <cell r="CZ150">
            <v>2000</v>
          </cell>
          <cell r="DB150">
            <v>2000</v>
          </cell>
          <cell r="DC150">
            <v>2000</v>
          </cell>
          <cell r="DE150">
            <v>3000</v>
          </cell>
          <cell r="DF150">
            <v>2000</v>
          </cell>
          <cell r="DG150">
            <v>3000</v>
          </cell>
          <cell r="DJ150">
            <v>2000</v>
          </cell>
          <cell r="DK150">
            <v>4000</v>
          </cell>
          <cell r="DL150">
            <v>2000</v>
          </cell>
          <cell r="DM150">
            <v>2000</v>
          </cell>
          <cell r="DO150">
            <v>3000</v>
          </cell>
          <cell r="DP150">
            <v>2000</v>
          </cell>
          <cell r="DQ150">
            <v>2000</v>
          </cell>
          <cell r="DR150">
            <v>2000</v>
          </cell>
          <cell r="DS150">
            <v>2000</v>
          </cell>
          <cell r="DT150">
            <v>2000</v>
          </cell>
          <cell r="DU150">
            <v>2000</v>
          </cell>
          <cell r="DV150">
            <v>2000</v>
          </cell>
          <cell r="DW150">
            <v>2000</v>
          </cell>
          <cell r="DX150">
            <v>2000</v>
          </cell>
          <cell r="DY150">
            <v>3000</v>
          </cell>
          <cell r="DZ150">
            <v>3000</v>
          </cell>
          <cell r="EB150">
            <v>4000</v>
          </cell>
          <cell r="EC150">
            <v>2000</v>
          </cell>
          <cell r="ED150">
            <v>2000</v>
          </cell>
          <cell r="EE150" t="str">
            <v>ACTIVO</v>
          </cell>
          <cell r="EF150" t="str">
            <v>C</v>
          </cell>
          <cell r="EG150">
            <v>10000</v>
          </cell>
          <cell r="EH150">
            <v>2312.5</v>
          </cell>
          <cell r="EI150">
            <v>385.41666666666669</v>
          </cell>
          <cell r="EJ150">
            <v>1172.5281193266385</v>
          </cell>
          <cell r="EK150">
            <v>12000</v>
          </cell>
          <cell r="EL150">
            <v>206040</v>
          </cell>
          <cell r="EM150">
            <v>5.1891891891891895</v>
          </cell>
          <cell r="EN150">
            <v>2312.5</v>
          </cell>
          <cell r="EO150">
            <v>770.83333333333337</v>
          </cell>
          <cell r="EP150">
            <v>3083.3333333333335</v>
          </cell>
        </row>
        <row r="151">
          <cell r="F151">
            <v>405159</v>
          </cell>
          <cell r="G151" t="str">
            <v>ETIQUETA BLANCA 120X100 OPP</v>
          </cell>
          <cell r="AJ151">
            <v>20000</v>
          </cell>
          <cell r="AQ151">
            <v>8000</v>
          </cell>
          <cell r="AR151">
            <v>7000</v>
          </cell>
          <cell r="AV151">
            <v>3000</v>
          </cell>
          <cell r="AX151">
            <v>2000</v>
          </cell>
          <cell r="AY151">
            <v>2000</v>
          </cell>
          <cell r="DV151">
            <v>5000</v>
          </cell>
          <cell r="EE151" t="str">
            <v>SIN USO</v>
          </cell>
          <cell r="EF151" t="str">
            <v/>
          </cell>
          <cell r="EG151">
            <v>10000</v>
          </cell>
          <cell r="EH151">
            <v>5000</v>
          </cell>
          <cell r="EI151">
            <v>833.33333333333337</v>
          </cell>
          <cell r="EJ151">
            <v>0</v>
          </cell>
          <cell r="EK151">
            <v>18000</v>
          </cell>
          <cell r="EL151">
            <v>266040</v>
          </cell>
          <cell r="EM151">
            <v>3.6</v>
          </cell>
          <cell r="EN151">
            <v>5000</v>
          </cell>
          <cell r="EO151">
            <v>1666.6666666666667</v>
          </cell>
          <cell r="EP151">
            <v>6666.666666666667</v>
          </cell>
        </row>
        <row r="152">
          <cell r="F152">
            <v>405160</v>
          </cell>
          <cell r="G152" t="str">
            <v>ETIQUETA 200X50 POLIPROPILENO IMPR. QUINTA</v>
          </cell>
          <cell r="P152">
            <v>3000</v>
          </cell>
          <cell r="S152">
            <v>3000</v>
          </cell>
          <cell r="U152">
            <v>3000</v>
          </cell>
          <cell r="Z152">
            <v>5000</v>
          </cell>
          <cell r="AB152">
            <v>2000</v>
          </cell>
          <cell r="AE152">
            <v>2000</v>
          </cell>
          <cell r="AG152">
            <v>2000</v>
          </cell>
          <cell r="AI152">
            <v>3000</v>
          </cell>
          <cell r="AK152">
            <v>5000</v>
          </cell>
          <cell r="AL152">
            <v>5000</v>
          </cell>
          <cell r="AN152">
            <v>5000</v>
          </cell>
          <cell r="AR152">
            <v>5000</v>
          </cell>
          <cell r="AV152">
            <v>5000</v>
          </cell>
          <cell r="AY152">
            <v>4000</v>
          </cell>
          <cell r="BB152">
            <v>4000</v>
          </cell>
          <cell r="BG152">
            <v>2000</v>
          </cell>
          <cell r="BM152">
            <v>2000</v>
          </cell>
          <cell r="BN152">
            <v>2000</v>
          </cell>
          <cell r="BP152">
            <v>5000</v>
          </cell>
          <cell r="BT152">
            <v>5000</v>
          </cell>
          <cell r="BV152">
            <v>2000</v>
          </cell>
          <cell r="BY152">
            <v>3000</v>
          </cell>
          <cell r="CD152">
            <v>5000</v>
          </cell>
          <cell r="CE152">
            <v>2000</v>
          </cell>
          <cell r="CG152">
            <v>2000</v>
          </cell>
          <cell r="CI152">
            <v>2000</v>
          </cell>
          <cell r="CN152">
            <v>5000</v>
          </cell>
          <cell r="DD152">
            <v>40000</v>
          </cell>
          <cell r="DX152">
            <v>15000</v>
          </cell>
          <cell r="DY152">
            <v>3000</v>
          </cell>
          <cell r="DZ152">
            <v>6000</v>
          </cell>
          <cell r="EA152">
            <v>10000</v>
          </cell>
          <cell r="EB152">
            <v>3000</v>
          </cell>
          <cell r="ED152">
            <v>3000</v>
          </cell>
          <cell r="EE152" t="str">
            <v>ACTIVO</v>
          </cell>
          <cell r="EF152" t="str">
            <v>C</v>
          </cell>
          <cell r="EG152">
            <v>10000</v>
          </cell>
          <cell r="EH152">
            <v>8000</v>
          </cell>
          <cell r="EI152">
            <v>1333.3333333333333</v>
          </cell>
          <cell r="EJ152">
            <v>10720.625829764705</v>
          </cell>
          <cell r="EK152">
            <v>30000</v>
          </cell>
          <cell r="EL152">
            <v>484800</v>
          </cell>
          <cell r="EM152">
            <v>3.75</v>
          </cell>
          <cell r="EN152">
            <v>8000</v>
          </cell>
          <cell r="EO152">
            <v>2666.6666666666665</v>
          </cell>
          <cell r="EP152">
            <v>10666.666666666666</v>
          </cell>
        </row>
        <row r="153">
          <cell r="F153">
            <v>405353</v>
          </cell>
          <cell r="G153" t="str">
            <v>ETIQ. CIRCULAR 90cm IMPR. TORTA CUSINE &amp; CO JUMBO COOKIES AND CREAM</v>
          </cell>
          <cell r="AJ153">
            <v>10000</v>
          </cell>
          <cell r="AQ153">
            <v>1000</v>
          </cell>
          <cell r="AR153">
            <v>1000</v>
          </cell>
          <cell r="AT153">
            <v>2000</v>
          </cell>
          <cell r="AU153">
            <v>4000</v>
          </cell>
          <cell r="AW153">
            <v>3000</v>
          </cell>
          <cell r="AY153">
            <v>2000</v>
          </cell>
          <cell r="AZ153">
            <v>3000</v>
          </cell>
          <cell r="BC153">
            <v>7000</v>
          </cell>
          <cell r="BD153">
            <v>1000</v>
          </cell>
          <cell r="BE153">
            <v>1000</v>
          </cell>
          <cell r="BH153">
            <v>1000</v>
          </cell>
          <cell r="BJ153">
            <v>4000</v>
          </cell>
          <cell r="BK153">
            <v>7000</v>
          </cell>
          <cell r="BO153">
            <v>9000</v>
          </cell>
          <cell r="BR153">
            <v>7000</v>
          </cell>
          <cell r="BS153">
            <v>2000</v>
          </cell>
          <cell r="BT153">
            <v>8000</v>
          </cell>
          <cell r="BX153">
            <v>4000</v>
          </cell>
          <cell r="BY153">
            <v>1000</v>
          </cell>
          <cell r="CA153">
            <v>4000</v>
          </cell>
          <cell r="CB153">
            <v>4000</v>
          </cell>
          <cell r="CD153">
            <v>4000</v>
          </cell>
          <cell r="CF153">
            <v>4000</v>
          </cell>
          <cell r="CI153">
            <v>4000</v>
          </cell>
          <cell r="CL153">
            <v>4000</v>
          </cell>
          <cell r="CN153">
            <v>8000</v>
          </cell>
          <cell r="CO153">
            <v>4000</v>
          </cell>
          <cell r="CP153">
            <v>4000</v>
          </cell>
          <cell r="CT153">
            <v>10000</v>
          </cell>
          <cell r="CV153">
            <v>4000</v>
          </cell>
          <cell r="CW153">
            <v>5000</v>
          </cell>
          <cell r="CY153">
            <v>2000</v>
          </cell>
          <cell r="CZ153">
            <v>5000</v>
          </cell>
          <cell r="DB153">
            <v>4000</v>
          </cell>
          <cell r="DE153">
            <v>4000</v>
          </cell>
          <cell r="DJ153">
            <v>4000</v>
          </cell>
          <cell r="DK153">
            <v>4000</v>
          </cell>
          <cell r="DM153">
            <v>4000</v>
          </cell>
          <cell r="DO153">
            <v>4000</v>
          </cell>
          <cell r="DP153">
            <v>4000</v>
          </cell>
          <cell r="DR153">
            <v>4000</v>
          </cell>
          <cell r="DS153">
            <v>5000</v>
          </cell>
          <cell r="DT153">
            <v>4000</v>
          </cell>
          <cell r="DU153">
            <v>4000</v>
          </cell>
          <cell r="DW153">
            <v>1000</v>
          </cell>
          <cell r="EB153">
            <v>4000</v>
          </cell>
          <cell r="EC153">
            <v>4000</v>
          </cell>
          <cell r="EE153" t="str">
            <v>ACTIVO</v>
          </cell>
          <cell r="EF153" t="str">
            <v>C</v>
          </cell>
          <cell r="EG153" t="str">
            <v/>
          </cell>
          <cell r="EH153">
            <v>3800</v>
          </cell>
          <cell r="EI153">
            <v>633.33333333333337</v>
          </cell>
          <cell r="EJ153">
            <v>2304.3437243605827</v>
          </cell>
          <cell r="EK153">
            <v>15000</v>
          </cell>
          <cell r="EL153">
            <v>340500</v>
          </cell>
          <cell r="EM153">
            <v>3.9473684210526314</v>
          </cell>
          <cell r="EN153">
            <v>3800</v>
          </cell>
          <cell r="EO153">
            <v>1266.6666666666667</v>
          </cell>
          <cell r="EP153">
            <v>5066.666666666667</v>
          </cell>
        </row>
        <row r="154">
          <cell r="F154">
            <v>405354</v>
          </cell>
          <cell r="G154" t="str">
            <v>ETIQ. CIRCULAR 90cm IMPR. JUMBO KUCHEN DE DURAZNO</v>
          </cell>
          <cell r="BV154">
            <v>1000</v>
          </cell>
          <cell r="EE154" t="str">
            <v>SIN USO</v>
          </cell>
          <cell r="EF154" t="str">
            <v>C</v>
          </cell>
          <cell r="EG154" t="str">
            <v/>
          </cell>
          <cell r="EH154">
            <v>0</v>
          </cell>
          <cell r="EI154">
            <v>0</v>
          </cell>
          <cell r="EJ154">
            <v>0</v>
          </cell>
          <cell r="EK154">
            <v>0</v>
          </cell>
          <cell r="EL154">
            <v>0</v>
          </cell>
          <cell r="EM154">
            <v>0</v>
          </cell>
          <cell r="EN154">
            <v>0</v>
          </cell>
          <cell r="EO154">
            <v>0</v>
          </cell>
          <cell r="EP154">
            <v>0</v>
          </cell>
        </row>
        <row r="155">
          <cell r="F155">
            <v>405357</v>
          </cell>
          <cell r="G155" t="str">
            <v>ETIQ. CIRCULAR 90cm IMPR. JUMBO KUCHEN DE STROISSEL MANZANA</v>
          </cell>
          <cell r="BV155">
            <v>1000</v>
          </cell>
          <cell r="EE155" t="str">
            <v>SIN USO</v>
          </cell>
          <cell r="EF155" t="str">
            <v>C</v>
          </cell>
          <cell r="EG155" t="str">
            <v/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</row>
        <row r="156">
          <cell r="F156">
            <v>405360</v>
          </cell>
          <cell r="G156" t="str">
            <v>ETIQ. CIRCULAR 90cm IMPR. JUMBO KUCHEN DE FRAMBUESA</v>
          </cell>
          <cell r="BV156">
            <v>2000</v>
          </cell>
          <cell r="EE156" t="str">
            <v>SIN USO</v>
          </cell>
          <cell r="EF156" t="str">
            <v>C</v>
          </cell>
          <cell r="EG156" t="str">
            <v/>
          </cell>
          <cell r="EH156">
            <v>0</v>
          </cell>
          <cell r="EI156">
            <v>0</v>
          </cell>
          <cell r="EJ156">
            <v>0</v>
          </cell>
          <cell r="EK156">
            <v>0</v>
          </cell>
          <cell r="EL156">
            <v>0</v>
          </cell>
          <cell r="EM156">
            <v>0</v>
          </cell>
          <cell r="EN156">
            <v>0</v>
          </cell>
          <cell r="EO156">
            <v>0</v>
          </cell>
          <cell r="EP156">
            <v>0</v>
          </cell>
        </row>
        <row r="157">
          <cell r="F157">
            <v>405376</v>
          </cell>
          <cell r="G157" t="str">
            <v>ETIQUETA CIRCULAR 9cm TORTA SACHER</v>
          </cell>
          <cell r="AM157">
            <v>8000</v>
          </cell>
          <cell r="AS157">
            <v>1000</v>
          </cell>
          <cell r="BD157">
            <v>9000</v>
          </cell>
          <cell r="BO157">
            <v>14000</v>
          </cell>
          <cell r="BV157">
            <v>2000</v>
          </cell>
          <cell r="BW157">
            <v>4000</v>
          </cell>
          <cell r="BX157">
            <v>3500</v>
          </cell>
          <cell r="CA157">
            <v>2000</v>
          </cell>
          <cell r="CB157">
            <v>3000</v>
          </cell>
          <cell r="CD157">
            <v>10000</v>
          </cell>
          <cell r="CF157">
            <v>5000</v>
          </cell>
          <cell r="CG157">
            <v>3000</v>
          </cell>
          <cell r="CI157">
            <v>8000</v>
          </cell>
          <cell r="CL157">
            <v>7000</v>
          </cell>
          <cell r="CN157">
            <v>4000</v>
          </cell>
          <cell r="CO157">
            <v>4000</v>
          </cell>
          <cell r="CP157">
            <v>4000</v>
          </cell>
          <cell r="CR157">
            <v>4000</v>
          </cell>
          <cell r="CT157">
            <v>5000</v>
          </cell>
          <cell r="CV157">
            <v>3000</v>
          </cell>
          <cell r="CY157">
            <v>10000</v>
          </cell>
          <cell r="DC157">
            <v>8000</v>
          </cell>
          <cell r="DE157">
            <v>4000</v>
          </cell>
          <cell r="DG157">
            <v>4000</v>
          </cell>
          <cell r="DL157">
            <v>2000</v>
          </cell>
          <cell r="DM157">
            <v>8000</v>
          </cell>
          <cell r="DN157">
            <v>4000</v>
          </cell>
          <cell r="DO157">
            <v>4000</v>
          </cell>
          <cell r="DQ157">
            <v>4000</v>
          </cell>
          <cell r="DT157">
            <v>8000</v>
          </cell>
          <cell r="DW157">
            <v>4000</v>
          </cell>
          <cell r="DX157">
            <v>2000</v>
          </cell>
          <cell r="DY157">
            <v>4000</v>
          </cell>
          <cell r="EB157">
            <v>4000</v>
          </cell>
          <cell r="EC157">
            <v>4000</v>
          </cell>
          <cell r="EE157" t="str">
            <v>ACTIVO</v>
          </cell>
          <cell r="EF157" t="str">
            <v>C</v>
          </cell>
          <cell r="EG157">
            <v>10000</v>
          </cell>
          <cell r="EH157">
            <v>4444.4444444444443</v>
          </cell>
          <cell r="EI157">
            <v>740.74074074074076</v>
          </cell>
          <cell r="EJ157">
            <v>3084.1376042428401</v>
          </cell>
          <cell r="EK157">
            <v>6000</v>
          </cell>
          <cell r="EL157">
            <v>136200</v>
          </cell>
          <cell r="EM157">
            <v>1.35</v>
          </cell>
          <cell r="EN157">
            <v>4444.4444444444443</v>
          </cell>
          <cell r="EO157">
            <v>1481.4814814814815</v>
          </cell>
          <cell r="EP157">
            <v>5925.9259259259261</v>
          </cell>
        </row>
        <row r="158">
          <cell r="F158">
            <v>405377</v>
          </cell>
          <cell r="G158" t="str">
            <v>ETIQUETA CIRCULAR 9cm TORTA MANJAR LUCUMA</v>
          </cell>
          <cell r="H158">
            <v>2000</v>
          </cell>
          <cell r="AM158">
            <v>8000</v>
          </cell>
          <cell r="AQ158">
            <v>1000</v>
          </cell>
          <cell r="AT158">
            <v>1000</v>
          </cell>
          <cell r="AX158">
            <v>6000</v>
          </cell>
          <cell r="BA158">
            <v>2000</v>
          </cell>
          <cell r="BB158">
            <v>3000</v>
          </cell>
          <cell r="BD158">
            <v>4000</v>
          </cell>
          <cell r="BE158">
            <v>3000</v>
          </cell>
          <cell r="BJ158">
            <v>4000</v>
          </cell>
          <cell r="BM158">
            <v>8000</v>
          </cell>
          <cell r="BO158">
            <v>12000</v>
          </cell>
          <cell r="BQ158">
            <v>7000</v>
          </cell>
          <cell r="BR158">
            <v>3000</v>
          </cell>
          <cell r="BU158">
            <v>4000</v>
          </cell>
          <cell r="BW158">
            <v>10000</v>
          </cell>
          <cell r="BX158">
            <v>1000</v>
          </cell>
          <cell r="BY158">
            <v>1000</v>
          </cell>
          <cell r="BZ158">
            <v>2000</v>
          </cell>
          <cell r="CA158">
            <v>4000</v>
          </cell>
          <cell r="CB158">
            <v>3000</v>
          </cell>
          <cell r="CD158">
            <v>4000</v>
          </cell>
          <cell r="CE158">
            <v>4000</v>
          </cell>
          <cell r="CF158">
            <v>5000</v>
          </cell>
          <cell r="CI158">
            <v>8000</v>
          </cell>
          <cell r="CJ158">
            <v>4000</v>
          </cell>
          <cell r="CL158">
            <v>4000</v>
          </cell>
          <cell r="CM158">
            <v>7000</v>
          </cell>
          <cell r="CN158">
            <v>8000</v>
          </cell>
          <cell r="CO158">
            <v>4000</v>
          </cell>
          <cell r="CP158">
            <v>5000</v>
          </cell>
          <cell r="CQ158">
            <v>10000</v>
          </cell>
          <cell r="CT158">
            <v>5000</v>
          </cell>
          <cell r="CU158">
            <v>1000</v>
          </cell>
          <cell r="CV158">
            <v>10000</v>
          </cell>
          <cell r="CY158">
            <v>6000</v>
          </cell>
          <cell r="CZ158">
            <v>5000</v>
          </cell>
          <cell r="DC158">
            <v>4000</v>
          </cell>
          <cell r="DE158">
            <v>8000</v>
          </cell>
          <cell r="DH158">
            <v>3000</v>
          </cell>
          <cell r="DJ158">
            <v>4000</v>
          </cell>
          <cell r="DK158">
            <v>10000</v>
          </cell>
          <cell r="DL158">
            <v>4000</v>
          </cell>
          <cell r="DN158">
            <v>5000</v>
          </cell>
          <cell r="DO158">
            <v>2000</v>
          </cell>
          <cell r="DP158">
            <v>4000</v>
          </cell>
          <cell r="DQ158">
            <v>8000</v>
          </cell>
          <cell r="DR158">
            <v>4000</v>
          </cell>
          <cell r="DS158">
            <v>4000</v>
          </cell>
          <cell r="DT158">
            <v>8000</v>
          </cell>
          <cell r="DU158">
            <v>4000</v>
          </cell>
          <cell r="DW158">
            <v>8000</v>
          </cell>
          <cell r="DY158">
            <v>3000</v>
          </cell>
          <cell r="EB158">
            <v>8000</v>
          </cell>
          <cell r="ED158">
            <v>8000</v>
          </cell>
          <cell r="EE158" t="str">
            <v>ACTIVO</v>
          </cell>
          <cell r="EF158" t="str">
            <v>C</v>
          </cell>
          <cell r="EG158">
            <v>10000</v>
          </cell>
          <cell r="EH158">
            <v>5230.7692307692305</v>
          </cell>
          <cell r="EI158">
            <v>871.79487179487171</v>
          </cell>
          <cell r="EJ158">
            <v>2854.1612706957862</v>
          </cell>
          <cell r="EK158">
            <v>3000</v>
          </cell>
          <cell r="EL158">
            <v>68100</v>
          </cell>
          <cell r="EM158">
            <v>0.57352941176470595</v>
          </cell>
          <cell r="EN158">
            <v>5230.7692307692305</v>
          </cell>
          <cell r="EO158">
            <v>1743.5897435897434</v>
          </cell>
          <cell r="EP158">
            <v>6974.3589743589737</v>
          </cell>
        </row>
        <row r="159">
          <cell r="F159">
            <v>405378</v>
          </cell>
          <cell r="G159" t="str">
            <v>ETIQUETA CIRCULAR 9cm TORTA GUINDA CHOCOLATE</v>
          </cell>
          <cell r="H159">
            <v>1000</v>
          </cell>
          <cell r="AM159">
            <v>8000</v>
          </cell>
          <cell r="AQ159">
            <v>2000</v>
          </cell>
          <cell r="BA159">
            <v>1000</v>
          </cell>
          <cell r="BB159">
            <v>4000</v>
          </cell>
          <cell r="BG159">
            <v>2000</v>
          </cell>
          <cell r="BI159">
            <v>4000</v>
          </cell>
          <cell r="BN159">
            <v>4000</v>
          </cell>
          <cell r="BP159">
            <v>1000</v>
          </cell>
          <cell r="BQ159">
            <v>7000</v>
          </cell>
          <cell r="BS159">
            <v>4000</v>
          </cell>
          <cell r="BU159">
            <v>5000</v>
          </cell>
          <cell r="BV159">
            <v>11000</v>
          </cell>
          <cell r="BW159">
            <v>4000</v>
          </cell>
          <cell r="BX159">
            <v>4000</v>
          </cell>
          <cell r="BZ159">
            <v>1000</v>
          </cell>
          <cell r="CA159">
            <v>4000</v>
          </cell>
          <cell r="CB159">
            <v>7000</v>
          </cell>
          <cell r="CC159">
            <v>3000</v>
          </cell>
          <cell r="CF159">
            <v>4000</v>
          </cell>
          <cell r="CG159">
            <v>4000</v>
          </cell>
          <cell r="CJ159">
            <v>4000</v>
          </cell>
          <cell r="CL159">
            <v>7000</v>
          </cell>
          <cell r="CN159">
            <v>4000</v>
          </cell>
          <cell r="CO159">
            <v>4000</v>
          </cell>
          <cell r="CP159">
            <v>5000</v>
          </cell>
          <cell r="CT159">
            <v>1000</v>
          </cell>
          <cell r="EE159" t="str">
            <v>ACTIVO</v>
          </cell>
          <cell r="EF159" t="str">
            <v>C</v>
          </cell>
          <cell r="EG159">
            <v>10000</v>
          </cell>
          <cell r="EH159">
            <v>0</v>
          </cell>
          <cell r="EI159">
            <v>0</v>
          </cell>
          <cell r="EJ159">
            <v>2268.8364964490165</v>
          </cell>
          <cell r="EK159">
            <v>9000</v>
          </cell>
          <cell r="EL159">
            <v>204300</v>
          </cell>
          <cell r="EM159">
            <v>0</v>
          </cell>
          <cell r="EN159">
            <v>0</v>
          </cell>
          <cell r="EO159">
            <v>0</v>
          </cell>
          <cell r="EP159">
            <v>0</v>
          </cell>
        </row>
        <row r="160">
          <cell r="F160">
            <v>405090</v>
          </cell>
          <cell r="G160" t="str">
            <v>ETIQUETA TORTA MERENGUE LUCUMA CONGELADA</v>
          </cell>
          <cell r="H160">
            <v>1000</v>
          </cell>
          <cell r="I160">
            <v>4000</v>
          </cell>
          <cell r="J160">
            <v>1000</v>
          </cell>
          <cell r="L160">
            <v>2000</v>
          </cell>
          <cell r="M160">
            <v>3000</v>
          </cell>
          <cell r="N160">
            <v>2000</v>
          </cell>
          <cell r="T160">
            <v>1000</v>
          </cell>
          <cell r="V160">
            <v>1000</v>
          </cell>
          <cell r="X160">
            <v>1000</v>
          </cell>
          <cell r="AA160">
            <v>1000</v>
          </cell>
          <cell r="AB160">
            <v>1000</v>
          </cell>
          <cell r="AE160">
            <v>1000</v>
          </cell>
          <cell r="AF160">
            <v>1000</v>
          </cell>
          <cell r="AK160">
            <v>2000</v>
          </cell>
          <cell r="AN160">
            <v>1000</v>
          </cell>
          <cell r="AO160">
            <v>1000</v>
          </cell>
          <cell r="AT160">
            <v>1000</v>
          </cell>
          <cell r="AU160">
            <v>1000</v>
          </cell>
          <cell r="AV160">
            <v>1000</v>
          </cell>
          <cell r="AW160">
            <v>2000</v>
          </cell>
          <cell r="AX160">
            <v>3000</v>
          </cell>
          <cell r="AZ160">
            <v>1000</v>
          </cell>
          <cell r="BA160">
            <v>1000</v>
          </cell>
          <cell r="BB160">
            <v>2000</v>
          </cell>
          <cell r="BC160">
            <v>1000</v>
          </cell>
          <cell r="BE160">
            <v>2000</v>
          </cell>
          <cell r="BH160">
            <v>1000</v>
          </cell>
          <cell r="BI160">
            <v>1000</v>
          </cell>
          <cell r="BJ160">
            <v>2000</v>
          </cell>
          <cell r="BK160">
            <v>2000</v>
          </cell>
          <cell r="BL160">
            <v>1000</v>
          </cell>
          <cell r="BO160">
            <v>1000</v>
          </cell>
          <cell r="BR160">
            <v>2000</v>
          </cell>
          <cell r="BS160">
            <v>1000</v>
          </cell>
          <cell r="BT160">
            <v>1000</v>
          </cell>
          <cell r="BV160">
            <v>1000</v>
          </cell>
          <cell r="BW160">
            <v>1000</v>
          </cell>
          <cell r="BX160">
            <v>2000</v>
          </cell>
          <cell r="BY160">
            <v>1000</v>
          </cell>
          <cell r="CA160">
            <v>1000</v>
          </cell>
          <cell r="CB160">
            <v>1000</v>
          </cell>
          <cell r="CD160">
            <v>2000</v>
          </cell>
          <cell r="CG160">
            <v>1000</v>
          </cell>
          <cell r="CI160">
            <v>2000</v>
          </cell>
          <cell r="CJ160">
            <v>1000</v>
          </cell>
          <cell r="CM160">
            <v>1000</v>
          </cell>
          <cell r="CN160">
            <v>3000</v>
          </cell>
          <cell r="CQ160">
            <v>1000</v>
          </cell>
          <cell r="CT160">
            <v>3000</v>
          </cell>
          <cell r="CU160">
            <v>1000</v>
          </cell>
          <cell r="CV160">
            <v>2000</v>
          </cell>
          <cell r="CX160">
            <v>2000</v>
          </cell>
          <cell r="CY160">
            <v>2000</v>
          </cell>
          <cell r="CZ160">
            <v>2000</v>
          </cell>
          <cell r="DB160">
            <v>1000</v>
          </cell>
          <cell r="DE160">
            <v>2000</v>
          </cell>
          <cell r="DF160">
            <v>2000</v>
          </cell>
          <cell r="DG160">
            <v>1000</v>
          </cell>
          <cell r="DJ160">
            <v>1000</v>
          </cell>
          <cell r="DK160">
            <v>4000</v>
          </cell>
          <cell r="DO160">
            <v>2000</v>
          </cell>
          <cell r="DQ160">
            <v>1000</v>
          </cell>
          <cell r="DT160">
            <v>1000</v>
          </cell>
          <cell r="DU160">
            <v>2000</v>
          </cell>
          <cell r="DW160">
            <v>1000</v>
          </cell>
          <cell r="DX160">
            <v>2000</v>
          </cell>
          <cell r="DY160">
            <v>2000</v>
          </cell>
          <cell r="EB160">
            <v>3000</v>
          </cell>
          <cell r="ED160">
            <v>1000</v>
          </cell>
          <cell r="EE160" t="str">
            <v>ACTIVO</v>
          </cell>
          <cell r="EF160" t="str">
            <v>C</v>
          </cell>
          <cell r="EG160">
            <v>10000</v>
          </cell>
          <cell r="EH160">
            <v>1777.7777777777778</v>
          </cell>
          <cell r="EI160">
            <v>296.2962962962963</v>
          </cell>
          <cell r="EJ160">
            <v>622.17101683825513</v>
          </cell>
          <cell r="EK160">
            <v>15000</v>
          </cell>
          <cell r="EL160">
            <v>340500</v>
          </cell>
          <cell r="EM160">
            <v>8.4375</v>
          </cell>
          <cell r="EN160">
            <v>1777.7777777777778</v>
          </cell>
          <cell r="EO160">
            <v>592.59259259259261</v>
          </cell>
          <cell r="EP160">
            <v>2370.3703703703704</v>
          </cell>
        </row>
        <row r="161">
          <cell r="F161">
            <v>405300</v>
          </cell>
          <cell r="G161" t="str">
            <v>ETIQ. CIRCULAR 9cm IMPR. PIE DE LIMÓN ESPECIAL JUMBO</v>
          </cell>
          <cell r="AB161">
            <v>1000</v>
          </cell>
          <cell r="AE161">
            <v>1000</v>
          </cell>
          <cell r="AF161">
            <v>6000</v>
          </cell>
          <cell r="AG161">
            <v>3000</v>
          </cell>
          <cell r="AH161">
            <v>2000</v>
          </cell>
          <cell r="AI161">
            <v>4000</v>
          </cell>
          <cell r="AJ161">
            <v>3000</v>
          </cell>
          <cell r="AK161">
            <v>2000</v>
          </cell>
          <cell r="AL161">
            <v>3000</v>
          </cell>
          <cell r="AM161">
            <v>3000</v>
          </cell>
          <cell r="AN161">
            <v>3000</v>
          </cell>
          <cell r="AO161">
            <v>3000</v>
          </cell>
          <cell r="AP161">
            <v>2000</v>
          </cell>
          <cell r="AQ161">
            <v>3000</v>
          </cell>
          <cell r="AS161">
            <v>3000</v>
          </cell>
          <cell r="AV161">
            <v>3000</v>
          </cell>
          <cell r="AW161">
            <v>3000</v>
          </cell>
          <cell r="AX161">
            <v>4000</v>
          </cell>
          <cell r="BA161">
            <v>6000</v>
          </cell>
          <cell r="BD161">
            <v>3000</v>
          </cell>
          <cell r="BE161">
            <v>3000</v>
          </cell>
          <cell r="BF161">
            <v>3</v>
          </cell>
          <cell r="BG161">
            <v>8997</v>
          </cell>
          <cell r="BH161">
            <v>3000</v>
          </cell>
          <cell r="BJ161">
            <v>3000</v>
          </cell>
          <cell r="BK161">
            <v>6000</v>
          </cell>
          <cell r="BM161">
            <v>1000</v>
          </cell>
          <cell r="BN161">
            <v>3000</v>
          </cell>
          <cell r="BO161">
            <v>6000</v>
          </cell>
          <cell r="BQ161">
            <v>3000</v>
          </cell>
          <cell r="BR161">
            <v>3000</v>
          </cell>
          <cell r="BT161">
            <v>6000</v>
          </cell>
          <cell r="BV161">
            <v>3000</v>
          </cell>
          <cell r="BW161">
            <v>3000</v>
          </cell>
          <cell r="BX161">
            <v>3000</v>
          </cell>
          <cell r="BY161">
            <v>7000</v>
          </cell>
          <cell r="CA161">
            <v>6000</v>
          </cell>
          <cell r="CB161">
            <v>3000</v>
          </cell>
          <cell r="CD161">
            <v>3000</v>
          </cell>
          <cell r="CE161">
            <v>6000</v>
          </cell>
          <cell r="CF161">
            <v>6000</v>
          </cell>
          <cell r="CG161">
            <v>3000</v>
          </cell>
          <cell r="CI161">
            <v>6000</v>
          </cell>
          <cell r="CJ161">
            <v>3000</v>
          </cell>
          <cell r="CL161">
            <v>3000</v>
          </cell>
          <cell r="CM161">
            <v>3000</v>
          </cell>
          <cell r="CN161">
            <v>6000</v>
          </cell>
          <cell r="CO161">
            <v>3000</v>
          </cell>
          <cell r="CP161">
            <v>3000</v>
          </cell>
          <cell r="CR161">
            <v>1000</v>
          </cell>
          <cell r="CT161">
            <v>6000</v>
          </cell>
          <cell r="CU161">
            <v>3000</v>
          </cell>
          <cell r="CV161">
            <v>3000</v>
          </cell>
          <cell r="CW161">
            <v>4000</v>
          </cell>
          <cell r="CY161">
            <v>4000</v>
          </cell>
          <cell r="CZ161">
            <v>3000</v>
          </cell>
          <cell r="DB161">
            <v>3000</v>
          </cell>
          <cell r="DC161">
            <v>2000</v>
          </cell>
          <cell r="DE161">
            <v>2000</v>
          </cell>
          <cell r="DF161">
            <v>2000</v>
          </cell>
          <cell r="DG161">
            <v>2000</v>
          </cell>
          <cell r="DJ161">
            <v>2000</v>
          </cell>
          <cell r="DK161">
            <v>4000</v>
          </cell>
          <cell r="DL161">
            <v>2000</v>
          </cell>
          <cell r="DM161">
            <v>2000</v>
          </cell>
          <cell r="DN161">
            <v>2000</v>
          </cell>
          <cell r="DO161">
            <v>2000</v>
          </cell>
          <cell r="DQ161">
            <v>2000</v>
          </cell>
          <cell r="DR161">
            <v>2000</v>
          </cell>
          <cell r="DS161">
            <v>2000</v>
          </cell>
          <cell r="DU161">
            <v>2000</v>
          </cell>
          <cell r="DV161">
            <v>2000</v>
          </cell>
          <cell r="DW161">
            <v>2000</v>
          </cell>
          <cell r="DX161">
            <v>2000</v>
          </cell>
          <cell r="DY161">
            <v>6000</v>
          </cell>
          <cell r="EB161">
            <v>4000</v>
          </cell>
          <cell r="EC161">
            <v>3000</v>
          </cell>
          <cell r="ED161">
            <v>2000</v>
          </cell>
          <cell r="EE161" t="str">
            <v>ACTIVO</v>
          </cell>
          <cell r="EF161" t="str">
            <v>C</v>
          </cell>
          <cell r="EG161">
            <v>10000</v>
          </cell>
          <cell r="EH161">
            <v>2428.5714285714284</v>
          </cell>
          <cell r="EI161">
            <v>404.76190476190476</v>
          </cell>
          <cell r="EJ161">
            <v>1598.5857903662034</v>
          </cell>
          <cell r="EK161">
            <v>5000</v>
          </cell>
          <cell r="EL161">
            <v>85850</v>
          </cell>
          <cell r="EM161">
            <v>2.0588235294117649</v>
          </cell>
          <cell r="EN161">
            <v>2428.5714285714284</v>
          </cell>
          <cell r="EO161">
            <v>809.52380952380952</v>
          </cell>
          <cell r="EP161">
            <v>3238.0952380952381</v>
          </cell>
        </row>
        <row r="162">
          <cell r="F162">
            <v>393426</v>
          </cell>
          <cell r="G162" t="str">
            <v>ETIQUETA CIRCULAR 9cm TORTA DOÑA ISABEL</v>
          </cell>
          <cell r="Z162">
            <v>1001</v>
          </cell>
          <cell r="AA162">
            <v>1000</v>
          </cell>
          <cell r="AB162">
            <v>1999</v>
          </cell>
          <cell r="AC162">
            <v>1000</v>
          </cell>
          <cell r="AE162">
            <v>3000</v>
          </cell>
          <cell r="AF162">
            <v>1000</v>
          </cell>
          <cell r="AH162">
            <v>2000</v>
          </cell>
          <cell r="AI162">
            <v>2000</v>
          </cell>
          <cell r="AJ162">
            <v>2000</v>
          </cell>
          <cell r="AK162">
            <v>2000</v>
          </cell>
          <cell r="AL162">
            <v>2000</v>
          </cell>
          <cell r="AM162">
            <v>2000</v>
          </cell>
          <cell r="AN162">
            <v>2000</v>
          </cell>
          <cell r="AP162">
            <v>2000</v>
          </cell>
          <cell r="AQ162">
            <v>2000</v>
          </cell>
          <cell r="AS162">
            <v>1000</v>
          </cell>
          <cell r="AT162">
            <v>2000</v>
          </cell>
          <cell r="AV162">
            <v>2000</v>
          </cell>
          <cell r="AW162">
            <v>2000</v>
          </cell>
          <cell r="AX162">
            <v>3000</v>
          </cell>
          <cell r="AY162">
            <v>2000</v>
          </cell>
          <cell r="BA162">
            <v>2000</v>
          </cell>
          <cell r="BD162">
            <v>1000</v>
          </cell>
          <cell r="BE162">
            <v>1000</v>
          </cell>
          <cell r="BF162">
            <v>2</v>
          </cell>
          <cell r="BG162">
            <v>3998</v>
          </cell>
          <cell r="BH162">
            <v>3000</v>
          </cell>
          <cell r="BK162">
            <v>4000</v>
          </cell>
          <cell r="BM162">
            <v>1000</v>
          </cell>
          <cell r="BN162">
            <v>2000</v>
          </cell>
          <cell r="BO162">
            <v>4000</v>
          </cell>
          <cell r="BQ162">
            <v>2000</v>
          </cell>
          <cell r="BR162">
            <v>2000</v>
          </cell>
          <cell r="BT162">
            <v>4000</v>
          </cell>
          <cell r="BV162">
            <v>2000</v>
          </cell>
          <cell r="BW162">
            <v>1000</v>
          </cell>
          <cell r="BX162">
            <v>1000</v>
          </cell>
          <cell r="BY162">
            <v>3000</v>
          </cell>
          <cell r="CA162">
            <v>4000</v>
          </cell>
          <cell r="CB162">
            <v>2000</v>
          </cell>
          <cell r="CD162">
            <v>2000</v>
          </cell>
          <cell r="CE162">
            <v>3000</v>
          </cell>
          <cell r="CF162">
            <v>2000</v>
          </cell>
          <cell r="CG162">
            <v>1000</v>
          </cell>
          <cell r="CI162">
            <v>2000</v>
          </cell>
          <cell r="CJ162">
            <v>1000</v>
          </cell>
          <cell r="CL162">
            <v>1000</v>
          </cell>
          <cell r="CM162">
            <v>1000</v>
          </cell>
          <cell r="CN162">
            <v>2000</v>
          </cell>
          <cell r="CO162">
            <v>2000</v>
          </cell>
          <cell r="CP162">
            <v>2000</v>
          </cell>
          <cell r="CR162">
            <v>3000</v>
          </cell>
          <cell r="CT162">
            <v>3000</v>
          </cell>
          <cell r="CU162">
            <v>4000</v>
          </cell>
          <cell r="CV162">
            <v>3000</v>
          </cell>
          <cell r="CW162">
            <v>3000</v>
          </cell>
          <cell r="CY162">
            <v>2000</v>
          </cell>
          <cell r="CZ162">
            <v>2000</v>
          </cell>
          <cell r="DB162">
            <v>5000</v>
          </cell>
          <cell r="DC162">
            <v>2000</v>
          </cell>
          <cell r="DK162">
            <v>1000</v>
          </cell>
          <cell r="DL162">
            <v>5000</v>
          </cell>
          <cell r="DM162">
            <v>2000</v>
          </cell>
          <cell r="DN162">
            <v>1000</v>
          </cell>
          <cell r="DO162">
            <v>1000</v>
          </cell>
          <cell r="DP162">
            <v>1000</v>
          </cell>
          <cell r="DQ162">
            <v>1000</v>
          </cell>
          <cell r="DR162">
            <v>2000</v>
          </cell>
          <cell r="DS162">
            <v>2000</v>
          </cell>
          <cell r="DT162">
            <v>3000</v>
          </cell>
          <cell r="DU162">
            <v>2000</v>
          </cell>
          <cell r="DW162">
            <v>6000</v>
          </cell>
          <cell r="DX162">
            <v>2000</v>
          </cell>
          <cell r="DY162">
            <v>1000</v>
          </cell>
          <cell r="DZ162">
            <v>1000</v>
          </cell>
          <cell r="EB162">
            <v>7000</v>
          </cell>
          <cell r="ED162">
            <v>1000</v>
          </cell>
          <cell r="EE162" t="str">
            <v>ACTIVO</v>
          </cell>
          <cell r="EF162" t="str">
            <v>C</v>
          </cell>
          <cell r="EG162">
            <v>10000</v>
          </cell>
          <cell r="EH162">
            <v>2066.6666666666665</v>
          </cell>
          <cell r="EI162">
            <v>344.4444444444444</v>
          </cell>
          <cell r="EJ162">
            <v>1073.5019408982455</v>
          </cell>
          <cell r="EK162">
            <v>4000</v>
          </cell>
          <cell r="EL162">
            <v>68680</v>
          </cell>
          <cell r="EM162">
            <v>1.935483870967742</v>
          </cell>
          <cell r="EN162">
            <v>2066.6666666666665</v>
          </cell>
          <cell r="EO162">
            <v>688.8888888888888</v>
          </cell>
          <cell r="EP162">
            <v>2755.5555555555552</v>
          </cell>
        </row>
        <row r="163">
          <cell r="F163">
            <v>405089</v>
          </cell>
          <cell r="G163" t="str">
            <v>ETIQUETA TORTA MERENGUE FRAMBUESA CONGELADA</v>
          </cell>
          <cell r="H163">
            <v>4000</v>
          </cell>
          <cell r="I163">
            <v>2000</v>
          </cell>
          <cell r="K163">
            <v>1000</v>
          </cell>
          <cell r="L163">
            <v>2000</v>
          </cell>
          <cell r="M163">
            <v>4000</v>
          </cell>
          <cell r="N163">
            <v>1000</v>
          </cell>
          <cell r="R163">
            <v>1000</v>
          </cell>
          <cell r="S163">
            <v>2000</v>
          </cell>
          <cell r="T163">
            <v>2000</v>
          </cell>
          <cell r="U163">
            <v>1000</v>
          </cell>
          <cell r="V163">
            <v>1000</v>
          </cell>
          <cell r="W163">
            <v>1000</v>
          </cell>
          <cell r="X163">
            <v>3000</v>
          </cell>
          <cell r="AA163">
            <v>2000</v>
          </cell>
          <cell r="AB163">
            <v>1000</v>
          </cell>
          <cell r="AE163">
            <v>1000</v>
          </cell>
          <cell r="AF163">
            <v>2000</v>
          </cell>
          <cell r="AG163">
            <v>1000</v>
          </cell>
          <cell r="AI163">
            <v>1000</v>
          </cell>
          <cell r="AJ163">
            <v>1000</v>
          </cell>
          <cell r="AK163">
            <v>1000</v>
          </cell>
          <cell r="AN163">
            <v>2000</v>
          </cell>
          <cell r="AO163">
            <v>2000</v>
          </cell>
          <cell r="AX163">
            <v>3000</v>
          </cell>
          <cell r="AY163">
            <v>3000</v>
          </cell>
          <cell r="AZ163">
            <v>1000</v>
          </cell>
          <cell r="BB163">
            <v>1000</v>
          </cell>
          <cell r="BC163">
            <v>1000</v>
          </cell>
          <cell r="BE163">
            <v>1000</v>
          </cell>
          <cell r="BF163">
            <v>2000</v>
          </cell>
          <cell r="BI163">
            <v>2000</v>
          </cell>
          <cell r="BJ163">
            <v>2000</v>
          </cell>
          <cell r="BK163">
            <v>2000</v>
          </cell>
          <cell r="BL163">
            <v>1000</v>
          </cell>
          <cell r="BM163">
            <v>1000</v>
          </cell>
          <cell r="BO163">
            <v>1000</v>
          </cell>
          <cell r="BQ163">
            <v>2000</v>
          </cell>
          <cell r="BR163">
            <v>2000</v>
          </cell>
          <cell r="BS163">
            <v>2000</v>
          </cell>
          <cell r="BT163">
            <v>1000</v>
          </cell>
          <cell r="BV163">
            <v>2000</v>
          </cell>
          <cell r="BW163">
            <v>3000</v>
          </cell>
          <cell r="BX163">
            <v>1000</v>
          </cell>
          <cell r="CA163">
            <v>2000</v>
          </cell>
          <cell r="CB163">
            <v>1000</v>
          </cell>
          <cell r="CD163">
            <v>3000</v>
          </cell>
          <cell r="CG163">
            <v>1000</v>
          </cell>
          <cell r="CI163">
            <v>3000</v>
          </cell>
          <cell r="CJ163">
            <v>1000</v>
          </cell>
          <cell r="CL163">
            <v>1000</v>
          </cell>
          <cell r="CM163">
            <v>1000</v>
          </cell>
          <cell r="CN163">
            <v>3000</v>
          </cell>
          <cell r="CO163">
            <v>1000</v>
          </cell>
          <cell r="CP163">
            <v>1000</v>
          </cell>
          <cell r="CQ163">
            <v>1000</v>
          </cell>
          <cell r="CT163">
            <v>3000</v>
          </cell>
          <cell r="CU163">
            <v>1000</v>
          </cell>
          <cell r="CV163">
            <v>2000</v>
          </cell>
          <cell r="CW163">
            <v>3000</v>
          </cell>
          <cell r="CY163">
            <v>3000</v>
          </cell>
          <cell r="CZ163">
            <v>2000</v>
          </cell>
          <cell r="DB163">
            <v>2000</v>
          </cell>
          <cell r="DC163">
            <v>1000</v>
          </cell>
          <cell r="DE163">
            <v>2000</v>
          </cell>
          <cell r="DF163">
            <v>1000</v>
          </cell>
          <cell r="DG163">
            <v>2000</v>
          </cell>
          <cell r="DH163">
            <v>1000</v>
          </cell>
          <cell r="DJ163">
            <v>2000</v>
          </cell>
          <cell r="DK163">
            <v>5000</v>
          </cell>
          <cell r="DL163">
            <v>2000</v>
          </cell>
          <cell r="DO163">
            <v>1000</v>
          </cell>
          <cell r="DQ163">
            <v>1000</v>
          </cell>
          <cell r="DR163">
            <v>1000</v>
          </cell>
          <cell r="DS163">
            <v>1000</v>
          </cell>
          <cell r="DT163">
            <v>2000</v>
          </cell>
          <cell r="DU163">
            <v>2000</v>
          </cell>
          <cell r="DW163">
            <v>2000</v>
          </cell>
          <cell r="DX163">
            <v>2000</v>
          </cell>
          <cell r="DY163">
            <v>3000</v>
          </cell>
          <cell r="EC163">
            <v>1000</v>
          </cell>
          <cell r="ED163">
            <v>1000</v>
          </cell>
          <cell r="EE163" t="str">
            <v>ACTIVO</v>
          </cell>
          <cell r="EF163" t="str">
            <v>C</v>
          </cell>
          <cell r="EG163">
            <v>10000</v>
          </cell>
          <cell r="EH163">
            <v>2000</v>
          </cell>
          <cell r="EI163">
            <v>333.33333333333331</v>
          </cell>
          <cell r="EJ163">
            <v>769.14991490059435</v>
          </cell>
          <cell r="EK163">
            <v>12000</v>
          </cell>
          <cell r="EL163">
            <v>272400</v>
          </cell>
          <cell r="EM163">
            <v>6</v>
          </cell>
          <cell r="EN163">
            <v>2000</v>
          </cell>
          <cell r="EO163">
            <v>666.66666666666663</v>
          </cell>
          <cell r="EP163">
            <v>2666.6666666666665</v>
          </cell>
        </row>
        <row r="164">
          <cell r="F164">
            <v>405168</v>
          </cell>
          <cell r="G164" t="str">
            <v>ETIQUETAS 22X32 BLANCA ADHESIVO ULTRA FRÍO</v>
          </cell>
          <cell r="H164">
            <v>10000</v>
          </cell>
          <cell r="I164">
            <v>10000</v>
          </cell>
          <cell r="M164">
            <v>20000</v>
          </cell>
          <cell r="N164">
            <v>60000</v>
          </cell>
          <cell r="S164">
            <v>10000</v>
          </cell>
          <cell r="T164">
            <v>20000</v>
          </cell>
          <cell r="U164">
            <v>10000</v>
          </cell>
          <cell r="W164">
            <v>10000</v>
          </cell>
          <cell r="X164">
            <v>50000</v>
          </cell>
          <cell r="Y164">
            <v>30000</v>
          </cell>
          <cell r="Z164">
            <v>20000</v>
          </cell>
          <cell r="AA164">
            <v>0</v>
          </cell>
          <cell r="AB164">
            <v>10000</v>
          </cell>
          <cell r="AD164">
            <v>20000</v>
          </cell>
          <cell r="AG164">
            <v>20000</v>
          </cell>
          <cell r="AM164">
            <v>20000</v>
          </cell>
          <cell r="AO164">
            <v>20000</v>
          </cell>
          <cell r="AP164">
            <v>20000</v>
          </cell>
          <cell r="AS164">
            <v>40000</v>
          </cell>
          <cell r="AT164">
            <v>30000</v>
          </cell>
          <cell r="AV164">
            <v>20000</v>
          </cell>
          <cell r="AX164">
            <v>20000</v>
          </cell>
          <cell r="AZ164">
            <v>20000</v>
          </cell>
          <cell r="BE164">
            <v>30000</v>
          </cell>
          <cell r="BV164">
            <v>20000</v>
          </cell>
          <cell r="BX164">
            <v>10000</v>
          </cell>
          <cell r="EE164" t="str">
            <v>SIN USO</v>
          </cell>
          <cell r="EF164" t="str">
            <v>C</v>
          </cell>
          <cell r="EG164">
            <v>10000</v>
          </cell>
          <cell r="EH164">
            <v>0</v>
          </cell>
          <cell r="EI164">
            <v>0</v>
          </cell>
          <cell r="EJ164">
            <v>7071.0678118654751</v>
          </cell>
          <cell r="EK164">
            <v>0</v>
          </cell>
          <cell r="EL164">
            <v>0</v>
          </cell>
          <cell r="EM164">
            <v>0</v>
          </cell>
          <cell r="EN164">
            <v>0</v>
          </cell>
          <cell r="EO164">
            <v>0</v>
          </cell>
          <cell r="EP164">
            <v>0</v>
          </cell>
        </row>
        <row r="165">
          <cell r="F165">
            <v>404737</v>
          </cell>
          <cell r="G165" t="str">
            <v>ETIQUETA CIRCULAR 9cm IMPR. T.CREMA PIÑA 5 COL +UV</v>
          </cell>
          <cell r="I165">
            <v>5000</v>
          </cell>
          <cell r="J165">
            <v>5000</v>
          </cell>
          <cell r="K165">
            <v>3000</v>
          </cell>
          <cell r="L165">
            <v>3000</v>
          </cell>
          <cell r="M165">
            <v>3000</v>
          </cell>
          <cell r="N165">
            <v>1000</v>
          </cell>
          <cell r="O165">
            <v>3000</v>
          </cell>
          <cell r="P165">
            <v>4000</v>
          </cell>
          <cell r="Q165">
            <v>3000</v>
          </cell>
          <cell r="S165">
            <v>4000</v>
          </cell>
          <cell r="T165">
            <v>6000</v>
          </cell>
          <cell r="U165">
            <v>2000</v>
          </cell>
          <cell r="V165">
            <v>3000</v>
          </cell>
          <cell r="W165">
            <v>3000</v>
          </cell>
          <cell r="X165">
            <v>4000</v>
          </cell>
          <cell r="Y165">
            <v>1000</v>
          </cell>
          <cell r="AA165">
            <v>6000</v>
          </cell>
          <cell r="AB165">
            <v>8000</v>
          </cell>
          <cell r="AC165">
            <v>3000</v>
          </cell>
          <cell r="AE165">
            <v>3000</v>
          </cell>
          <cell r="AF165">
            <v>5000</v>
          </cell>
          <cell r="AH165">
            <v>4000</v>
          </cell>
          <cell r="AI165">
            <v>3000</v>
          </cell>
          <cell r="AJ165">
            <v>3000</v>
          </cell>
          <cell r="AK165">
            <v>3000</v>
          </cell>
          <cell r="AM165">
            <v>4000</v>
          </cell>
          <cell r="AN165">
            <v>3000</v>
          </cell>
          <cell r="AO165">
            <v>4000</v>
          </cell>
          <cell r="AP165">
            <v>4000</v>
          </cell>
          <cell r="AQ165">
            <v>3000</v>
          </cell>
          <cell r="AS165">
            <v>3000</v>
          </cell>
          <cell r="AT165">
            <v>4000</v>
          </cell>
          <cell r="AV165">
            <v>6000</v>
          </cell>
          <cell r="AX165">
            <v>5000</v>
          </cell>
          <cell r="AY165">
            <v>1000</v>
          </cell>
          <cell r="BA165">
            <v>7000</v>
          </cell>
          <cell r="BD165">
            <v>6000</v>
          </cell>
          <cell r="BF165">
            <v>4</v>
          </cell>
          <cell r="BG165">
            <v>3996</v>
          </cell>
          <cell r="BJ165">
            <v>1000</v>
          </cell>
          <cell r="BK165">
            <v>10000</v>
          </cell>
          <cell r="BM165">
            <v>4000</v>
          </cell>
          <cell r="BN165">
            <v>4000</v>
          </cell>
          <cell r="BO165">
            <v>4000</v>
          </cell>
          <cell r="BP165">
            <v>2000</v>
          </cell>
          <cell r="BQ165">
            <v>12000</v>
          </cell>
          <cell r="BR165">
            <v>4000</v>
          </cell>
          <cell r="BT165">
            <v>16000</v>
          </cell>
          <cell r="BV165">
            <v>8000</v>
          </cell>
          <cell r="BW165">
            <v>4000</v>
          </cell>
          <cell r="CA165">
            <v>12000</v>
          </cell>
          <cell r="CB165">
            <v>4000</v>
          </cell>
          <cell r="CE165">
            <v>1000</v>
          </cell>
          <cell r="CF165">
            <v>8000</v>
          </cell>
          <cell r="CJ165">
            <v>4000</v>
          </cell>
          <cell r="CM165">
            <v>4000</v>
          </cell>
          <cell r="CN165">
            <v>4000</v>
          </cell>
          <cell r="CP165">
            <v>4000</v>
          </cell>
          <cell r="CR165">
            <v>3000</v>
          </cell>
          <cell r="CT165">
            <v>5000</v>
          </cell>
          <cell r="CU165">
            <v>5000</v>
          </cell>
          <cell r="CW165">
            <v>5000</v>
          </cell>
          <cell r="CY165">
            <v>3000</v>
          </cell>
          <cell r="DB165">
            <v>5000</v>
          </cell>
          <cell r="DF165">
            <v>3000</v>
          </cell>
          <cell r="DG165">
            <v>4000</v>
          </cell>
          <cell r="DJ165">
            <v>8000</v>
          </cell>
          <cell r="DK165">
            <v>12000</v>
          </cell>
          <cell r="DL165">
            <v>9000</v>
          </cell>
          <cell r="DM165">
            <v>4000</v>
          </cell>
          <cell r="DN165">
            <v>4000</v>
          </cell>
          <cell r="DO165">
            <v>4000</v>
          </cell>
          <cell r="DP165">
            <v>4000</v>
          </cell>
          <cell r="DR165">
            <v>4000</v>
          </cell>
          <cell r="DS165">
            <v>5000</v>
          </cell>
          <cell r="DU165">
            <v>4000</v>
          </cell>
          <cell r="DW165">
            <v>4000</v>
          </cell>
          <cell r="DX165">
            <v>4000</v>
          </cell>
          <cell r="DY165">
            <v>1000</v>
          </cell>
          <cell r="EC165">
            <v>8000</v>
          </cell>
          <cell r="EE165" t="str">
            <v>ACTIVO</v>
          </cell>
          <cell r="EF165" t="str">
            <v>C</v>
          </cell>
          <cell r="EG165">
            <v>10000</v>
          </cell>
          <cell r="EH165">
            <v>5153.8461538461543</v>
          </cell>
          <cell r="EI165">
            <v>858.97435897435901</v>
          </cell>
          <cell r="EJ165">
            <v>3528.0721998413592</v>
          </cell>
          <cell r="EK165">
            <v>14000</v>
          </cell>
          <cell r="EL165">
            <v>317800</v>
          </cell>
          <cell r="EM165">
            <v>2.716417910447761</v>
          </cell>
          <cell r="EN165">
            <v>5153.8461538461543</v>
          </cell>
          <cell r="EO165">
            <v>1717.948717948718</v>
          </cell>
          <cell r="EP165">
            <v>6871.7948717948721</v>
          </cell>
        </row>
        <row r="166">
          <cell r="F166">
            <v>404738</v>
          </cell>
          <cell r="G166" t="str">
            <v>ETIQUETA CIRCULAR 9cm IMPR. TORTA SELVA NEGRA</v>
          </cell>
          <cell r="I166">
            <v>5000</v>
          </cell>
          <cell r="J166">
            <v>9000</v>
          </cell>
          <cell r="K166">
            <v>3000</v>
          </cell>
          <cell r="L166">
            <v>3000</v>
          </cell>
          <cell r="M166">
            <v>1000</v>
          </cell>
          <cell r="N166">
            <v>1000</v>
          </cell>
          <cell r="O166">
            <v>8000</v>
          </cell>
          <cell r="P166">
            <v>4000</v>
          </cell>
          <cell r="Q166">
            <v>3000</v>
          </cell>
          <cell r="S166">
            <v>6000</v>
          </cell>
          <cell r="T166">
            <v>3000</v>
          </cell>
          <cell r="U166">
            <v>2000</v>
          </cell>
          <cell r="V166">
            <v>3000</v>
          </cell>
          <cell r="W166">
            <v>3000</v>
          </cell>
          <cell r="X166">
            <v>3000</v>
          </cell>
          <cell r="AA166">
            <v>4000</v>
          </cell>
          <cell r="AB166">
            <v>7000</v>
          </cell>
          <cell r="AC166">
            <v>3000</v>
          </cell>
          <cell r="AE166">
            <v>6000</v>
          </cell>
          <cell r="AF166">
            <v>4000</v>
          </cell>
          <cell r="AH166">
            <v>3000</v>
          </cell>
          <cell r="AI166">
            <v>3000</v>
          </cell>
          <cell r="AJ166">
            <v>3000</v>
          </cell>
          <cell r="AK166">
            <v>3000</v>
          </cell>
          <cell r="AL166">
            <v>2000</v>
          </cell>
          <cell r="AM166">
            <v>4000</v>
          </cell>
          <cell r="AN166">
            <v>3000</v>
          </cell>
          <cell r="AP166">
            <v>3000</v>
          </cell>
          <cell r="AQ166">
            <v>3000</v>
          </cell>
          <cell r="AS166">
            <v>3000</v>
          </cell>
          <cell r="AT166">
            <v>4000</v>
          </cell>
          <cell r="AV166">
            <v>10000</v>
          </cell>
          <cell r="AY166">
            <v>11000</v>
          </cell>
          <cell r="BB166">
            <v>9000</v>
          </cell>
          <cell r="BF166">
            <v>8</v>
          </cell>
          <cell r="BG166">
            <v>15992</v>
          </cell>
          <cell r="BH166">
            <v>8000</v>
          </cell>
          <cell r="BK166">
            <v>6000</v>
          </cell>
          <cell r="BM166">
            <v>2000</v>
          </cell>
          <cell r="BN166">
            <v>6000</v>
          </cell>
          <cell r="BO166">
            <v>8000</v>
          </cell>
          <cell r="BP166">
            <v>4000</v>
          </cell>
          <cell r="BQ166">
            <v>15000</v>
          </cell>
          <cell r="BR166">
            <v>4000</v>
          </cell>
          <cell r="BS166">
            <v>4000</v>
          </cell>
          <cell r="BT166">
            <v>12000</v>
          </cell>
          <cell r="BU166">
            <v>8000</v>
          </cell>
          <cell r="BX166">
            <v>8000</v>
          </cell>
          <cell r="BY166">
            <v>4000</v>
          </cell>
          <cell r="CA166">
            <v>4000</v>
          </cell>
          <cell r="CB166">
            <v>5000</v>
          </cell>
          <cell r="CD166">
            <v>4000</v>
          </cell>
          <cell r="CF166">
            <v>8000</v>
          </cell>
          <cell r="CG166">
            <v>8000</v>
          </cell>
          <cell r="CI166">
            <v>8000</v>
          </cell>
          <cell r="CJ166">
            <v>8000</v>
          </cell>
          <cell r="CM166">
            <v>8000</v>
          </cell>
          <cell r="CN166">
            <v>8000</v>
          </cell>
          <cell r="CO166">
            <v>4000</v>
          </cell>
          <cell r="CP166">
            <v>9000</v>
          </cell>
          <cell r="CQ166">
            <v>1000</v>
          </cell>
          <cell r="CT166">
            <v>5000</v>
          </cell>
          <cell r="CU166">
            <v>5000</v>
          </cell>
          <cell r="CV166">
            <v>5000</v>
          </cell>
          <cell r="CW166">
            <v>10000</v>
          </cell>
          <cell r="CX166">
            <v>1000</v>
          </cell>
          <cell r="CY166">
            <v>5000</v>
          </cell>
          <cell r="DB166">
            <v>7000</v>
          </cell>
          <cell r="DC166">
            <v>4000</v>
          </cell>
          <cell r="DF166">
            <v>4000</v>
          </cell>
          <cell r="DG166">
            <v>4000</v>
          </cell>
          <cell r="DK166">
            <v>8000</v>
          </cell>
          <cell r="DL166">
            <v>8000</v>
          </cell>
          <cell r="DM166">
            <v>4000</v>
          </cell>
          <cell r="DN166">
            <v>4000</v>
          </cell>
          <cell r="DO166">
            <v>4000</v>
          </cell>
          <cell r="DP166">
            <v>4000</v>
          </cell>
          <cell r="DQ166">
            <v>4000</v>
          </cell>
          <cell r="DR166">
            <v>2000</v>
          </cell>
          <cell r="DT166">
            <v>4000</v>
          </cell>
          <cell r="DU166">
            <v>5000</v>
          </cell>
          <cell r="DV166">
            <v>4000</v>
          </cell>
          <cell r="DX166">
            <v>4000</v>
          </cell>
          <cell r="DY166">
            <v>4000</v>
          </cell>
          <cell r="EB166">
            <v>8000</v>
          </cell>
          <cell r="EC166">
            <v>4000</v>
          </cell>
          <cell r="ED166">
            <v>4000</v>
          </cell>
          <cell r="EE166" t="str">
            <v>ACTIVO</v>
          </cell>
          <cell r="EF166" t="str">
            <v>C</v>
          </cell>
          <cell r="EG166">
            <v>10000</v>
          </cell>
          <cell r="EH166">
            <v>4538.4615384615381</v>
          </cell>
          <cell r="EI166">
            <v>756.41025641025635</v>
          </cell>
          <cell r="EJ166">
            <v>2938.3011155050376</v>
          </cell>
          <cell r="EK166">
            <v>12000</v>
          </cell>
          <cell r="EL166">
            <v>272400</v>
          </cell>
          <cell r="EM166">
            <v>2.6440677966101696</v>
          </cell>
          <cell r="EN166">
            <v>4538.4615384615381</v>
          </cell>
          <cell r="EO166">
            <v>1512.8205128205127</v>
          </cell>
          <cell r="EP166">
            <v>6051.2820512820508</v>
          </cell>
        </row>
        <row r="167">
          <cell r="F167">
            <v>404745</v>
          </cell>
          <cell r="G167" t="str">
            <v>ETIQUETA CIRCULAR 9cm IMPR. TORTA YOGURT FRUTILLA</v>
          </cell>
          <cell r="I167">
            <v>3000</v>
          </cell>
          <cell r="J167">
            <v>3000</v>
          </cell>
          <cell r="K167">
            <v>3000</v>
          </cell>
          <cell r="M167">
            <v>3000</v>
          </cell>
          <cell r="O167">
            <v>3000</v>
          </cell>
          <cell r="P167">
            <v>3000</v>
          </cell>
          <cell r="Q167">
            <v>3000</v>
          </cell>
          <cell r="S167">
            <v>2000</v>
          </cell>
          <cell r="T167">
            <v>4000</v>
          </cell>
          <cell r="U167">
            <v>3000</v>
          </cell>
          <cell r="V167">
            <v>3000</v>
          </cell>
          <cell r="W167">
            <v>3000</v>
          </cell>
          <cell r="X167">
            <v>3000</v>
          </cell>
          <cell r="Z167">
            <v>5000</v>
          </cell>
          <cell r="AA167">
            <v>3000</v>
          </cell>
          <cell r="AB167">
            <v>6000</v>
          </cell>
          <cell r="AC167">
            <v>3000</v>
          </cell>
          <cell r="AE167">
            <v>3000</v>
          </cell>
          <cell r="AF167">
            <v>3000</v>
          </cell>
          <cell r="AH167">
            <v>3000</v>
          </cell>
          <cell r="AI167">
            <v>3000</v>
          </cell>
          <cell r="AJ167">
            <v>3000</v>
          </cell>
          <cell r="AK167">
            <v>3000</v>
          </cell>
          <cell r="AL167">
            <v>3000</v>
          </cell>
          <cell r="AM167">
            <v>2000</v>
          </cell>
          <cell r="AN167">
            <v>2000</v>
          </cell>
          <cell r="AP167">
            <v>2000</v>
          </cell>
          <cell r="AQ167">
            <v>2000</v>
          </cell>
          <cell r="AS167">
            <v>2000</v>
          </cell>
          <cell r="AT167">
            <v>2000</v>
          </cell>
          <cell r="AV167">
            <v>2000</v>
          </cell>
          <cell r="AW167">
            <v>2000</v>
          </cell>
          <cell r="AX167">
            <v>3000</v>
          </cell>
          <cell r="AY167">
            <v>2000</v>
          </cell>
          <cell r="BA167">
            <v>2000</v>
          </cell>
          <cell r="BC167">
            <v>1000</v>
          </cell>
          <cell r="BD167">
            <v>2000</v>
          </cell>
          <cell r="BE167">
            <v>2000</v>
          </cell>
          <cell r="BF167">
            <v>2</v>
          </cell>
          <cell r="BG167">
            <v>4998</v>
          </cell>
          <cell r="BH167">
            <v>3000</v>
          </cell>
          <cell r="BK167">
            <v>4000</v>
          </cell>
          <cell r="BM167">
            <v>2000</v>
          </cell>
          <cell r="BN167">
            <v>2001</v>
          </cell>
          <cell r="BO167">
            <v>3000</v>
          </cell>
          <cell r="BQ167">
            <v>2000</v>
          </cell>
          <cell r="BR167">
            <v>2000</v>
          </cell>
          <cell r="BT167">
            <v>4000</v>
          </cell>
          <cell r="BV167">
            <v>2000</v>
          </cell>
          <cell r="BW167">
            <v>2000</v>
          </cell>
          <cell r="BX167">
            <v>2000</v>
          </cell>
          <cell r="BY167">
            <v>4000</v>
          </cell>
          <cell r="CA167">
            <v>4000</v>
          </cell>
          <cell r="CB167">
            <v>2000</v>
          </cell>
          <cell r="CD167">
            <v>2000</v>
          </cell>
          <cell r="CE167">
            <v>3000</v>
          </cell>
          <cell r="CF167">
            <v>4000</v>
          </cell>
          <cell r="CG167">
            <v>2000</v>
          </cell>
          <cell r="CI167">
            <v>4000</v>
          </cell>
          <cell r="CJ167">
            <v>2000</v>
          </cell>
          <cell r="CL167">
            <v>2000</v>
          </cell>
          <cell r="CM167">
            <v>2000</v>
          </cell>
          <cell r="CN167">
            <v>4000</v>
          </cell>
          <cell r="CO167">
            <v>2000</v>
          </cell>
          <cell r="CP167">
            <v>3000</v>
          </cell>
          <cell r="CT167">
            <v>5000</v>
          </cell>
          <cell r="CU167">
            <v>3000</v>
          </cell>
          <cell r="CV167">
            <v>4000</v>
          </cell>
          <cell r="CW167">
            <v>3000</v>
          </cell>
          <cell r="CX167">
            <v>3000</v>
          </cell>
          <cell r="CY167">
            <v>3000</v>
          </cell>
          <cell r="CZ167">
            <v>3000</v>
          </cell>
          <cell r="DB167">
            <v>4000</v>
          </cell>
          <cell r="DC167">
            <v>2000</v>
          </cell>
          <cell r="DE167">
            <v>2000</v>
          </cell>
          <cell r="DF167">
            <v>2000</v>
          </cell>
          <cell r="DG167">
            <v>2000</v>
          </cell>
          <cell r="DJ167">
            <v>3000</v>
          </cell>
          <cell r="DK167">
            <v>4000</v>
          </cell>
          <cell r="DL167">
            <v>2000</v>
          </cell>
          <cell r="DM167">
            <v>2000</v>
          </cell>
          <cell r="DN167">
            <v>2000</v>
          </cell>
          <cell r="DO167">
            <v>2000</v>
          </cell>
          <cell r="DP167">
            <v>2000</v>
          </cell>
          <cell r="DQ167">
            <v>2000</v>
          </cell>
          <cell r="DR167">
            <v>2000</v>
          </cell>
          <cell r="DS167">
            <v>2000</v>
          </cell>
          <cell r="DT167">
            <v>4000</v>
          </cell>
          <cell r="DU167">
            <v>2000</v>
          </cell>
          <cell r="DV167">
            <v>2000</v>
          </cell>
          <cell r="DW167">
            <v>2000</v>
          </cell>
          <cell r="DX167">
            <v>2000</v>
          </cell>
          <cell r="DY167">
            <v>4000</v>
          </cell>
          <cell r="DZ167">
            <v>4000</v>
          </cell>
          <cell r="EB167">
            <v>4000</v>
          </cell>
          <cell r="EC167">
            <v>3000</v>
          </cell>
          <cell r="ED167">
            <v>2000</v>
          </cell>
          <cell r="EE167" t="str">
            <v>ACTIVO</v>
          </cell>
          <cell r="EF167" t="str">
            <v>C</v>
          </cell>
          <cell r="EG167">
            <v>10000</v>
          </cell>
          <cell r="EH167">
            <v>2529.4117647058824</v>
          </cell>
          <cell r="EI167">
            <v>421.56862745098039</v>
          </cell>
          <cell r="EJ167">
            <v>907.89829072771465</v>
          </cell>
          <cell r="EK167">
            <v>2000</v>
          </cell>
          <cell r="EL167">
            <v>34340</v>
          </cell>
          <cell r="EM167">
            <v>0.79069767441860461</v>
          </cell>
          <cell r="EN167">
            <v>2529.4117647058824</v>
          </cell>
          <cell r="EO167">
            <v>843.13725490196077</v>
          </cell>
          <cell r="EP167">
            <v>3372.5490196078431</v>
          </cell>
        </row>
        <row r="168">
          <cell r="F168">
            <v>405031</v>
          </cell>
          <cell r="G168" t="str">
            <v>ETIQUETAS CIRCULAR 9cm IMPR. TORTA VIENA SISA</v>
          </cell>
          <cell r="I168">
            <v>2000</v>
          </cell>
          <cell r="J168">
            <v>2000</v>
          </cell>
          <cell r="K168">
            <v>2000</v>
          </cell>
          <cell r="L168">
            <v>2000</v>
          </cell>
          <cell r="M168">
            <v>3000</v>
          </cell>
          <cell r="O168">
            <v>2000</v>
          </cell>
          <cell r="P168">
            <v>2000</v>
          </cell>
          <cell r="Q168">
            <v>2000</v>
          </cell>
          <cell r="S168">
            <v>1000</v>
          </cell>
          <cell r="T168">
            <v>2000</v>
          </cell>
          <cell r="U168">
            <v>2000</v>
          </cell>
          <cell r="V168">
            <v>2000</v>
          </cell>
          <cell r="W168">
            <v>2000</v>
          </cell>
          <cell r="X168">
            <v>2000</v>
          </cell>
          <cell r="Z168">
            <v>5000</v>
          </cell>
          <cell r="AA168">
            <v>2000</v>
          </cell>
          <cell r="AB168">
            <v>4000</v>
          </cell>
          <cell r="AC168">
            <v>2000</v>
          </cell>
          <cell r="AE168">
            <v>8000</v>
          </cell>
          <cell r="AF168">
            <v>2000</v>
          </cell>
          <cell r="AG168">
            <v>3000</v>
          </cell>
          <cell r="AH168">
            <v>2000</v>
          </cell>
          <cell r="AI168">
            <v>3000</v>
          </cell>
          <cell r="AJ168">
            <v>2000</v>
          </cell>
          <cell r="AK168">
            <v>3000</v>
          </cell>
          <cell r="AL168">
            <v>5000</v>
          </cell>
          <cell r="AM168">
            <v>3000</v>
          </cell>
          <cell r="AN168">
            <v>3000</v>
          </cell>
          <cell r="AO168">
            <v>2000</v>
          </cell>
          <cell r="AQ168">
            <v>3000</v>
          </cell>
          <cell r="AS168">
            <v>3000</v>
          </cell>
          <cell r="AT168">
            <v>2000</v>
          </cell>
          <cell r="AV168">
            <v>2000</v>
          </cell>
          <cell r="AW168">
            <v>2000</v>
          </cell>
          <cell r="AX168">
            <v>2000</v>
          </cell>
          <cell r="AY168">
            <v>2000</v>
          </cell>
          <cell r="BA168">
            <v>4000</v>
          </cell>
          <cell r="BB168">
            <v>1000</v>
          </cell>
          <cell r="BD168">
            <v>2000</v>
          </cell>
          <cell r="BE168">
            <v>2000</v>
          </cell>
          <cell r="BF168">
            <v>2</v>
          </cell>
          <cell r="BG168">
            <v>3998</v>
          </cell>
          <cell r="BH168">
            <v>2000</v>
          </cell>
          <cell r="BJ168">
            <v>2000</v>
          </cell>
          <cell r="BK168">
            <v>4000</v>
          </cell>
          <cell r="BM168">
            <v>2000</v>
          </cell>
          <cell r="BN168">
            <v>2000</v>
          </cell>
          <cell r="BO168">
            <v>4000</v>
          </cell>
          <cell r="BQ168">
            <v>2000</v>
          </cell>
          <cell r="BR168">
            <v>2000</v>
          </cell>
          <cell r="BT168">
            <v>4000</v>
          </cell>
          <cell r="BV168">
            <v>2000</v>
          </cell>
          <cell r="BW168">
            <v>2000</v>
          </cell>
          <cell r="BX168">
            <v>2000</v>
          </cell>
          <cell r="BY168">
            <v>5000</v>
          </cell>
          <cell r="CA168">
            <v>4000</v>
          </cell>
          <cell r="CB168">
            <v>2000</v>
          </cell>
          <cell r="CD168">
            <v>2000</v>
          </cell>
          <cell r="CE168">
            <v>6000</v>
          </cell>
          <cell r="CF168">
            <v>4000</v>
          </cell>
          <cell r="CG168">
            <v>2000</v>
          </cell>
          <cell r="CI168">
            <v>4000</v>
          </cell>
          <cell r="CJ168">
            <v>2000</v>
          </cell>
          <cell r="CL168">
            <v>2000</v>
          </cell>
          <cell r="CM168">
            <v>2000</v>
          </cell>
          <cell r="CN168">
            <v>4000</v>
          </cell>
          <cell r="CO168">
            <v>2000</v>
          </cell>
          <cell r="CP168">
            <v>2000</v>
          </cell>
          <cell r="CQ168">
            <v>2000</v>
          </cell>
          <cell r="CT168">
            <v>4000</v>
          </cell>
          <cell r="CV168">
            <v>4000</v>
          </cell>
          <cell r="CW168">
            <v>2000</v>
          </cell>
          <cell r="CY168">
            <v>4000</v>
          </cell>
          <cell r="CZ168">
            <v>2000</v>
          </cell>
          <cell r="DB168">
            <v>4000</v>
          </cell>
          <cell r="DC168">
            <v>3000</v>
          </cell>
          <cell r="DE168">
            <v>3000</v>
          </cell>
          <cell r="DF168">
            <v>3000</v>
          </cell>
          <cell r="DG168">
            <v>3000</v>
          </cell>
          <cell r="DJ168">
            <v>2000</v>
          </cell>
          <cell r="DK168">
            <v>6000</v>
          </cell>
          <cell r="DL168">
            <v>3000</v>
          </cell>
          <cell r="DN168">
            <v>3000</v>
          </cell>
          <cell r="DO168">
            <v>3000</v>
          </cell>
          <cell r="DP168">
            <v>2000</v>
          </cell>
          <cell r="DQ168">
            <v>2000</v>
          </cell>
          <cell r="DR168">
            <v>2000</v>
          </cell>
          <cell r="DS168">
            <v>2000</v>
          </cell>
          <cell r="DU168">
            <v>2000</v>
          </cell>
          <cell r="DV168">
            <v>2000</v>
          </cell>
          <cell r="DW168">
            <v>2000</v>
          </cell>
          <cell r="DX168">
            <v>2000</v>
          </cell>
          <cell r="DY168">
            <v>6000</v>
          </cell>
          <cell r="DZ168">
            <v>6000</v>
          </cell>
          <cell r="EB168">
            <v>4000</v>
          </cell>
          <cell r="EC168">
            <v>2000</v>
          </cell>
          <cell r="ED168">
            <v>2000</v>
          </cell>
          <cell r="EE168" t="str">
            <v>ACTIVO</v>
          </cell>
          <cell r="EF168" t="str">
            <v>C</v>
          </cell>
          <cell r="EG168">
            <v>10000</v>
          </cell>
          <cell r="EH168">
            <v>3000</v>
          </cell>
          <cell r="EI168">
            <v>500</v>
          </cell>
          <cell r="EJ168">
            <v>1100.0955459459922</v>
          </cell>
          <cell r="EK168">
            <v>19000</v>
          </cell>
          <cell r="EL168">
            <v>326230</v>
          </cell>
          <cell r="EM168">
            <v>6.333333333333333</v>
          </cell>
          <cell r="EN168">
            <v>3000</v>
          </cell>
          <cell r="EO168">
            <v>1000</v>
          </cell>
          <cell r="EP168">
            <v>4000</v>
          </cell>
        </row>
        <row r="169">
          <cell r="F169">
            <v>405036</v>
          </cell>
          <cell r="G169" t="str">
            <v>ETIQUETAS CIRCULAR 9cm IMPR. PANQUEQUE NARANJA</v>
          </cell>
          <cell r="I169">
            <v>3000</v>
          </cell>
          <cell r="J169">
            <v>4000</v>
          </cell>
          <cell r="K169">
            <v>2000</v>
          </cell>
          <cell r="L169">
            <v>3000</v>
          </cell>
          <cell r="M169">
            <v>2000</v>
          </cell>
          <cell r="N169">
            <v>1000</v>
          </cell>
          <cell r="O169">
            <v>7000</v>
          </cell>
          <cell r="P169">
            <v>3000</v>
          </cell>
          <cell r="Q169">
            <v>3000</v>
          </cell>
          <cell r="S169">
            <v>2000</v>
          </cell>
          <cell r="T169">
            <v>3000</v>
          </cell>
          <cell r="U169">
            <v>3000</v>
          </cell>
          <cell r="W169">
            <v>3000</v>
          </cell>
          <cell r="X169">
            <v>8000</v>
          </cell>
          <cell r="AA169">
            <v>3000</v>
          </cell>
          <cell r="AB169">
            <v>5000</v>
          </cell>
          <cell r="AC169">
            <v>6000</v>
          </cell>
          <cell r="AE169">
            <v>3000</v>
          </cell>
          <cell r="AF169">
            <v>3000</v>
          </cell>
          <cell r="AH169">
            <v>3000</v>
          </cell>
          <cell r="AI169">
            <v>3000</v>
          </cell>
          <cell r="AJ169">
            <v>3000</v>
          </cell>
          <cell r="AK169">
            <v>3000</v>
          </cell>
          <cell r="AL169">
            <v>3000</v>
          </cell>
          <cell r="AM169">
            <v>3000</v>
          </cell>
          <cell r="AN169">
            <v>3000</v>
          </cell>
          <cell r="AO169">
            <v>2000</v>
          </cell>
          <cell r="AP169">
            <v>4000</v>
          </cell>
          <cell r="AQ169">
            <v>3000</v>
          </cell>
          <cell r="AS169">
            <v>3000</v>
          </cell>
          <cell r="AT169">
            <v>4000</v>
          </cell>
          <cell r="AV169">
            <v>3000</v>
          </cell>
          <cell r="AW169">
            <v>3000</v>
          </cell>
          <cell r="AX169">
            <v>7000</v>
          </cell>
          <cell r="BA169">
            <v>6000</v>
          </cell>
          <cell r="BB169">
            <v>2000</v>
          </cell>
          <cell r="BD169">
            <v>3000</v>
          </cell>
          <cell r="BE169">
            <v>3000</v>
          </cell>
          <cell r="BF169">
            <v>3</v>
          </cell>
          <cell r="BG169">
            <v>3997</v>
          </cell>
          <cell r="BH169">
            <v>2000</v>
          </cell>
          <cell r="BJ169">
            <v>1000</v>
          </cell>
          <cell r="BK169">
            <v>4000</v>
          </cell>
          <cell r="BM169">
            <v>2000</v>
          </cell>
          <cell r="BN169">
            <v>2000</v>
          </cell>
          <cell r="BO169">
            <v>7000</v>
          </cell>
          <cell r="BQ169">
            <v>3000</v>
          </cell>
          <cell r="BR169">
            <v>3000</v>
          </cell>
          <cell r="BS169">
            <v>4000</v>
          </cell>
          <cell r="BT169">
            <v>7000</v>
          </cell>
          <cell r="BV169">
            <v>3000</v>
          </cell>
          <cell r="BW169">
            <v>4000</v>
          </cell>
          <cell r="BX169">
            <v>5000</v>
          </cell>
          <cell r="CA169">
            <v>8000</v>
          </cell>
          <cell r="CB169">
            <v>3000</v>
          </cell>
          <cell r="CD169">
            <v>3000</v>
          </cell>
          <cell r="CF169">
            <v>8000</v>
          </cell>
          <cell r="CG169">
            <v>3000</v>
          </cell>
          <cell r="CI169">
            <v>4000</v>
          </cell>
          <cell r="CJ169">
            <v>3000</v>
          </cell>
          <cell r="CL169">
            <v>1000</v>
          </cell>
          <cell r="CM169">
            <v>5000</v>
          </cell>
          <cell r="CN169">
            <v>4000</v>
          </cell>
          <cell r="CO169">
            <v>2000</v>
          </cell>
          <cell r="CP169">
            <v>4000</v>
          </cell>
          <cell r="CT169">
            <v>2000</v>
          </cell>
          <cell r="CU169">
            <v>5000</v>
          </cell>
          <cell r="CW169">
            <v>3000</v>
          </cell>
          <cell r="CY169">
            <v>3000</v>
          </cell>
          <cell r="CZ169">
            <v>4000</v>
          </cell>
          <cell r="DB169">
            <v>6000</v>
          </cell>
          <cell r="DC169">
            <v>2000</v>
          </cell>
          <cell r="DE169">
            <v>8000</v>
          </cell>
          <cell r="DG169">
            <v>3000</v>
          </cell>
          <cell r="DJ169">
            <v>2000</v>
          </cell>
          <cell r="DK169">
            <v>5000</v>
          </cell>
          <cell r="DL169">
            <v>4000</v>
          </cell>
          <cell r="DM169">
            <v>5000</v>
          </cell>
          <cell r="DN169">
            <v>6000</v>
          </cell>
          <cell r="DO169">
            <v>3000</v>
          </cell>
          <cell r="DP169">
            <v>4000</v>
          </cell>
          <cell r="DQ169">
            <v>5000</v>
          </cell>
          <cell r="DT169">
            <v>4000</v>
          </cell>
          <cell r="DU169">
            <v>5000</v>
          </cell>
          <cell r="DW169">
            <v>2000</v>
          </cell>
          <cell r="DX169">
            <v>4000</v>
          </cell>
          <cell r="DY169">
            <v>3000</v>
          </cell>
          <cell r="EB169">
            <v>8000</v>
          </cell>
          <cell r="EC169">
            <v>4000</v>
          </cell>
          <cell r="ED169">
            <v>5000</v>
          </cell>
          <cell r="EE169" t="str">
            <v>ACTIVO</v>
          </cell>
          <cell r="EF169" t="str">
            <v>C</v>
          </cell>
          <cell r="EG169">
            <v>10000</v>
          </cell>
          <cell r="EH169">
            <v>4000</v>
          </cell>
          <cell r="EI169">
            <v>666.66666666666663</v>
          </cell>
          <cell r="EJ169">
            <v>1940.5146605862294</v>
          </cell>
          <cell r="EK169">
            <v>1000</v>
          </cell>
          <cell r="EL169">
            <v>22700</v>
          </cell>
          <cell r="EM169">
            <v>0.25</v>
          </cell>
          <cell r="EN169">
            <v>4000</v>
          </cell>
          <cell r="EO169">
            <v>1333.3333333333333</v>
          </cell>
          <cell r="EP169">
            <v>5333.333333333333</v>
          </cell>
        </row>
        <row r="170">
          <cell r="F170">
            <v>405050</v>
          </cell>
          <cell r="G170" t="str">
            <v>ETIQUETAS 75X130 IMPRESAS CUATRICOMIA MAS UV (MAXIMA)</v>
          </cell>
          <cell r="I170">
            <v>2000</v>
          </cell>
          <cell r="J170">
            <v>8000</v>
          </cell>
          <cell r="K170">
            <v>2000</v>
          </cell>
          <cell r="L170">
            <v>3000</v>
          </cell>
          <cell r="O170">
            <v>2000</v>
          </cell>
          <cell r="P170">
            <v>2000</v>
          </cell>
          <cell r="Q170">
            <v>2000</v>
          </cell>
          <cell r="S170">
            <v>2000</v>
          </cell>
          <cell r="T170">
            <v>4000</v>
          </cell>
          <cell r="V170">
            <v>2000</v>
          </cell>
          <cell r="W170">
            <v>2000</v>
          </cell>
          <cell r="X170">
            <v>2000</v>
          </cell>
          <cell r="AA170">
            <v>2000</v>
          </cell>
          <cell r="AB170">
            <v>6000</v>
          </cell>
          <cell r="AC170">
            <v>2000</v>
          </cell>
          <cell r="AE170">
            <v>2000</v>
          </cell>
          <cell r="AF170">
            <v>2000</v>
          </cell>
          <cell r="AH170">
            <v>2000</v>
          </cell>
          <cell r="AI170">
            <v>2000</v>
          </cell>
          <cell r="AJ170">
            <v>2000</v>
          </cell>
          <cell r="AK170">
            <v>5000</v>
          </cell>
          <cell r="AM170">
            <v>2000</v>
          </cell>
          <cell r="AN170">
            <v>4000</v>
          </cell>
          <cell r="AP170">
            <v>2000</v>
          </cell>
          <cell r="AQ170">
            <v>2000</v>
          </cell>
          <cell r="AS170">
            <v>2000</v>
          </cell>
          <cell r="AT170">
            <v>2000</v>
          </cell>
          <cell r="AV170">
            <v>2000</v>
          </cell>
          <cell r="AW170">
            <v>2000</v>
          </cell>
          <cell r="EE170" t="str">
            <v>SIN USO</v>
          </cell>
          <cell r="EF170" t="str">
            <v/>
          </cell>
          <cell r="EG170">
            <v>10000</v>
          </cell>
          <cell r="EH170">
            <v>0</v>
          </cell>
          <cell r="EI170">
            <v>0</v>
          </cell>
          <cell r="EJ170">
            <v>0</v>
          </cell>
          <cell r="EK170">
            <v>0</v>
          </cell>
          <cell r="EL170">
            <v>0</v>
          </cell>
          <cell r="EM170">
            <v>0</v>
          </cell>
          <cell r="EN170">
            <v>0</v>
          </cell>
          <cell r="EO170">
            <v>0</v>
          </cell>
          <cell r="EP170">
            <v>0</v>
          </cell>
        </row>
        <row r="171">
          <cell r="F171">
            <v>405122</v>
          </cell>
          <cell r="G171" t="str">
            <v>ETIQUETAS CIRCULAR 9cm IMPR. TORTA LUCUMA JUMBO</v>
          </cell>
          <cell r="I171">
            <v>2000</v>
          </cell>
          <cell r="J171">
            <v>4000</v>
          </cell>
          <cell r="K171">
            <v>5000</v>
          </cell>
          <cell r="O171">
            <v>7000</v>
          </cell>
          <cell r="P171">
            <v>2000</v>
          </cell>
          <cell r="Q171">
            <v>2000</v>
          </cell>
          <cell r="S171">
            <v>2000</v>
          </cell>
          <cell r="T171">
            <v>2000</v>
          </cell>
          <cell r="U171">
            <v>5000</v>
          </cell>
          <cell r="V171">
            <v>2000</v>
          </cell>
          <cell r="W171">
            <v>2000</v>
          </cell>
          <cell r="X171">
            <v>3000</v>
          </cell>
          <cell r="AA171">
            <v>2000</v>
          </cell>
          <cell r="AB171">
            <v>4000</v>
          </cell>
          <cell r="AC171">
            <v>2000</v>
          </cell>
          <cell r="AE171">
            <v>6000</v>
          </cell>
          <cell r="AF171">
            <v>2000</v>
          </cell>
          <cell r="AG171">
            <v>2000</v>
          </cell>
          <cell r="AH171">
            <v>2000</v>
          </cell>
          <cell r="AI171">
            <v>2000</v>
          </cell>
          <cell r="AJ171">
            <v>2000</v>
          </cell>
          <cell r="AK171">
            <v>3000</v>
          </cell>
          <cell r="AL171">
            <v>3000</v>
          </cell>
          <cell r="AM171">
            <v>2000</v>
          </cell>
          <cell r="AN171">
            <v>2000</v>
          </cell>
          <cell r="AO171">
            <v>2000</v>
          </cell>
          <cell r="AP171">
            <v>2000</v>
          </cell>
          <cell r="AQ171">
            <v>4000</v>
          </cell>
          <cell r="AS171">
            <v>2000</v>
          </cell>
          <cell r="AT171">
            <v>2000</v>
          </cell>
          <cell r="AV171">
            <v>2000</v>
          </cell>
          <cell r="AW171">
            <v>2000</v>
          </cell>
          <cell r="AX171">
            <v>4000</v>
          </cell>
          <cell r="AY171">
            <v>2000</v>
          </cell>
          <cell r="BA171">
            <v>4000</v>
          </cell>
          <cell r="BB171">
            <v>1000</v>
          </cell>
          <cell r="BD171">
            <v>2000</v>
          </cell>
          <cell r="BE171">
            <v>2000</v>
          </cell>
          <cell r="BF171">
            <v>2</v>
          </cell>
          <cell r="BG171">
            <v>4998</v>
          </cell>
          <cell r="BH171">
            <v>2000</v>
          </cell>
          <cell r="BJ171">
            <v>3000</v>
          </cell>
          <cell r="BK171">
            <v>4000</v>
          </cell>
          <cell r="BM171">
            <v>2000</v>
          </cell>
          <cell r="BN171">
            <v>3000</v>
          </cell>
          <cell r="BO171">
            <v>6000</v>
          </cell>
          <cell r="BQ171">
            <v>3000</v>
          </cell>
          <cell r="BR171">
            <v>3000</v>
          </cell>
          <cell r="BT171">
            <v>7000</v>
          </cell>
          <cell r="BV171">
            <v>6000</v>
          </cell>
          <cell r="BW171">
            <v>2000</v>
          </cell>
          <cell r="BX171">
            <v>2000</v>
          </cell>
          <cell r="CA171">
            <v>5000</v>
          </cell>
          <cell r="CD171">
            <v>2000</v>
          </cell>
          <cell r="CF171">
            <v>5000</v>
          </cell>
          <cell r="CI171">
            <v>4000</v>
          </cell>
          <cell r="CJ171">
            <v>2000</v>
          </cell>
          <cell r="CL171">
            <v>2000</v>
          </cell>
          <cell r="CM171">
            <v>4000</v>
          </cell>
          <cell r="CN171">
            <v>2000</v>
          </cell>
          <cell r="CO171">
            <v>2000</v>
          </cell>
          <cell r="CP171">
            <v>2000</v>
          </cell>
          <cell r="CT171">
            <v>4000</v>
          </cell>
          <cell r="CU171">
            <v>3000</v>
          </cell>
          <cell r="CV171">
            <v>2000</v>
          </cell>
          <cell r="CW171">
            <v>4000</v>
          </cell>
          <cell r="CZ171">
            <v>2000</v>
          </cell>
          <cell r="DB171">
            <v>3000</v>
          </cell>
          <cell r="DE171">
            <v>4000</v>
          </cell>
          <cell r="DF171">
            <v>3000</v>
          </cell>
          <cell r="DG171">
            <v>2000</v>
          </cell>
          <cell r="DJ171">
            <v>2000</v>
          </cell>
          <cell r="DK171">
            <v>4000</v>
          </cell>
          <cell r="DL171">
            <v>4000</v>
          </cell>
          <cell r="DM171">
            <v>3000</v>
          </cell>
          <cell r="DN171">
            <v>1000</v>
          </cell>
          <cell r="DP171">
            <v>1000</v>
          </cell>
          <cell r="DR171">
            <v>2000</v>
          </cell>
          <cell r="DS171">
            <v>2000</v>
          </cell>
          <cell r="DT171">
            <v>5000</v>
          </cell>
          <cell r="DU171">
            <v>2000</v>
          </cell>
          <cell r="DV171">
            <v>4000</v>
          </cell>
          <cell r="DW171">
            <v>4000</v>
          </cell>
          <cell r="DX171">
            <v>2000</v>
          </cell>
          <cell r="DY171">
            <v>2000</v>
          </cell>
          <cell r="EB171">
            <v>2000</v>
          </cell>
          <cell r="ED171">
            <v>3000</v>
          </cell>
          <cell r="EE171" t="str">
            <v>ACTIVO</v>
          </cell>
          <cell r="EF171" t="str">
            <v>C</v>
          </cell>
          <cell r="EG171">
            <v>10000</v>
          </cell>
          <cell r="EH171">
            <v>2714.2857142857142</v>
          </cell>
          <cell r="EI171">
            <v>452.38095238095235</v>
          </cell>
          <cell r="EJ171">
            <v>1407.3539573576797</v>
          </cell>
          <cell r="EK171">
            <v>0</v>
          </cell>
          <cell r="EL171">
            <v>0</v>
          </cell>
          <cell r="EM171">
            <v>0</v>
          </cell>
          <cell r="EN171">
            <v>2714.2857142857142</v>
          </cell>
          <cell r="EO171">
            <v>904.7619047619047</v>
          </cell>
          <cell r="EP171">
            <v>3619.0476190476188</v>
          </cell>
        </row>
        <row r="172">
          <cell r="F172">
            <v>405119</v>
          </cell>
          <cell r="G172" t="str">
            <v>ETIQUETAS CIRCULAR 9cm IMPR. TORTA PIÑA JUMBO</v>
          </cell>
          <cell r="I172">
            <v>3000</v>
          </cell>
          <cell r="J172">
            <v>3000</v>
          </cell>
          <cell r="K172">
            <v>3000</v>
          </cell>
          <cell r="O172">
            <v>6000</v>
          </cell>
          <cell r="P172">
            <v>3000</v>
          </cell>
          <cell r="Q172">
            <v>3000</v>
          </cell>
          <cell r="S172">
            <v>3000</v>
          </cell>
          <cell r="T172">
            <v>3000</v>
          </cell>
          <cell r="U172">
            <v>3000</v>
          </cell>
          <cell r="V172">
            <v>3000</v>
          </cell>
          <cell r="W172">
            <v>3000</v>
          </cell>
          <cell r="X172">
            <v>3000</v>
          </cell>
          <cell r="Y172">
            <v>1000</v>
          </cell>
          <cell r="Z172">
            <v>1000</v>
          </cell>
          <cell r="AA172">
            <v>3000</v>
          </cell>
          <cell r="AB172">
            <v>4000</v>
          </cell>
          <cell r="AC172">
            <v>1000</v>
          </cell>
          <cell r="AE172">
            <v>2000</v>
          </cell>
          <cell r="AF172">
            <v>5000</v>
          </cell>
          <cell r="AG172">
            <v>5000</v>
          </cell>
          <cell r="AH172">
            <v>1000</v>
          </cell>
          <cell r="AI172">
            <v>1000</v>
          </cell>
          <cell r="AJ172">
            <v>1000</v>
          </cell>
          <cell r="AK172">
            <v>1000</v>
          </cell>
          <cell r="AL172">
            <v>4000</v>
          </cell>
          <cell r="AM172">
            <v>3000</v>
          </cell>
          <cell r="AN172">
            <v>3000</v>
          </cell>
          <cell r="AO172">
            <v>1000</v>
          </cell>
          <cell r="AP172">
            <v>2000</v>
          </cell>
          <cell r="AQ172">
            <v>3000</v>
          </cell>
          <cell r="AS172">
            <v>3000</v>
          </cell>
          <cell r="AT172">
            <v>3000</v>
          </cell>
          <cell r="AV172">
            <v>3000</v>
          </cell>
          <cell r="AW172">
            <v>3000</v>
          </cell>
          <cell r="AX172">
            <v>4000</v>
          </cell>
          <cell r="AY172">
            <v>3000</v>
          </cell>
          <cell r="BA172">
            <v>6000</v>
          </cell>
          <cell r="BB172">
            <v>1000</v>
          </cell>
          <cell r="BD172">
            <v>3000</v>
          </cell>
          <cell r="BE172">
            <v>3000</v>
          </cell>
          <cell r="BF172">
            <v>3</v>
          </cell>
          <cell r="BG172">
            <v>6997</v>
          </cell>
          <cell r="BH172">
            <v>3000</v>
          </cell>
          <cell r="BJ172">
            <v>1000</v>
          </cell>
          <cell r="BK172">
            <v>6000</v>
          </cell>
          <cell r="BM172">
            <v>2000</v>
          </cell>
          <cell r="BN172">
            <v>1000</v>
          </cell>
          <cell r="BO172">
            <v>6000</v>
          </cell>
          <cell r="BQ172">
            <v>3000</v>
          </cell>
          <cell r="BR172">
            <v>3000</v>
          </cell>
          <cell r="BT172">
            <v>6000</v>
          </cell>
          <cell r="BV172">
            <v>3000</v>
          </cell>
          <cell r="BW172">
            <v>2000</v>
          </cell>
          <cell r="BX172">
            <v>2000</v>
          </cell>
          <cell r="BY172">
            <v>7000</v>
          </cell>
          <cell r="CA172">
            <v>6000</v>
          </cell>
          <cell r="CB172">
            <v>3000</v>
          </cell>
          <cell r="CD172">
            <v>3000</v>
          </cell>
          <cell r="CE172">
            <v>5000</v>
          </cell>
          <cell r="CF172">
            <v>4000</v>
          </cell>
          <cell r="CG172">
            <v>2000</v>
          </cell>
          <cell r="CI172">
            <v>4000</v>
          </cell>
          <cell r="CJ172">
            <v>3000</v>
          </cell>
          <cell r="CL172">
            <v>3000</v>
          </cell>
          <cell r="CM172">
            <v>3000</v>
          </cell>
          <cell r="CN172">
            <v>6000</v>
          </cell>
          <cell r="CO172">
            <v>3000</v>
          </cell>
          <cell r="CP172">
            <v>3000</v>
          </cell>
          <cell r="CT172">
            <v>6000</v>
          </cell>
          <cell r="CU172">
            <v>1000</v>
          </cell>
          <cell r="CV172">
            <v>4000</v>
          </cell>
          <cell r="CW172">
            <v>3000</v>
          </cell>
          <cell r="CY172">
            <v>4000</v>
          </cell>
          <cell r="CZ172">
            <v>3000</v>
          </cell>
          <cell r="DB172">
            <v>3000</v>
          </cell>
          <cell r="DC172">
            <v>2000</v>
          </cell>
          <cell r="DE172">
            <v>3000</v>
          </cell>
          <cell r="DF172">
            <v>2000</v>
          </cell>
          <cell r="DG172">
            <v>3000</v>
          </cell>
          <cell r="DJ172">
            <v>2000</v>
          </cell>
          <cell r="DK172">
            <v>4000</v>
          </cell>
          <cell r="DL172">
            <v>2000</v>
          </cell>
          <cell r="DM172">
            <v>2000</v>
          </cell>
          <cell r="DN172">
            <v>2000</v>
          </cell>
          <cell r="DO172">
            <v>2000</v>
          </cell>
          <cell r="DP172">
            <v>2000</v>
          </cell>
          <cell r="DQ172">
            <v>2000</v>
          </cell>
          <cell r="DR172">
            <v>2000</v>
          </cell>
          <cell r="DS172">
            <v>2000</v>
          </cell>
          <cell r="DT172">
            <v>4000</v>
          </cell>
          <cell r="DU172">
            <v>2000</v>
          </cell>
          <cell r="DV172">
            <v>2000</v>
          </cell>
          <cell r="DW172">
            <v>2000</v>
          </cell>
          <cell r="DX172">
            <v>2000</v>
          </cell>
          <cell r="DY172">
            <v>5000</v>
          </cell>
          <cell r="DZ172">
            <v>5000</v>
          </cell>
          <cell r="EB172">
            <v>4000</v>
          </cell>
          <cell r="ED172">
            <v>2000</v>
          </cell>
          <cell r="EE172" t="str">
            <v>ACTIVO</v>
          </cell>
          <cell r="EF172" t="str">
            <v>C</v>
          </cell>
          <cell r="EG172">
            <v>10000</v>
          </cell>
          <cell r="EH172">
            <v>2588.2352941176468</v>
          </cell>
          <cell r="EI172">
            <v>431.37254901960779</v>
          </cell>
          <cell r="EJ172">
            <v>1573.0462404120467</v>
          </cell>
          <cell r="EK172">
            <v>4000</v>
          </cell>
          <cell r="EL172">
            <v>68680</v>
          </cell>
          <cell r="EM172">
            <v>1.5454545454545456</v>
          </cell>
          <cell r="EN172">
            <v>2588.2352941176468</v>
          </cell>
          <cell r="EO172">
            <v>862.74509803921558</v>
          </cell>
          <cell r="EP172">
            <v>3450.9803921568623</v>
          </cell>
        </row>
        <row r="173">
          <cell r="F173">
            <v>405120</v>
          </cell>
          <cell r="G173" t="str">
            <v>ETIQUETAS CIRCULAR 9cm  TORTA SELVA NEGRA JUMBO</v>
          </cell>
          <cell r="I173">
            <v>3000</v>
          </cell>
          <cell r="J173">
            <v>3000</v>
          </cell>
          <cell r="K173">
            <v>6000</v>
          </cell>
          <cell r="O173">
            <v>9000</v>
          </cell>
          <cell r="P173">
            <v>3000</v>
          </cell>
          <cell r="Q173">
            <v>3000</v>
          </cell>
          <cell r="S173">
            <v>3000</v>
          </cell>
          <cell r="T173">
            <v>3000</v>
          </cell>
          <cell r="U173">
            <v>5000</v>
          </cell>
          <cell r="V173">
            <v>4000</v>
          </cell>
          <cell r="W173">
            <v>3000</v>
          </cell>
          <cell r="X173">
            <v>3000</v>
          </cell>
          <cell r="AA173">
            <v>3000</v>
          </cell>
          <cell r="AB173">
            <v>6000</v>
          </cell>
          <cell r="AC173">
            <v>3000</v>
          </cell>
          <cell r="AE173">
            <v>7000</v>
          </cell>
          <cell r="AF173">
            <v>3000</v>
          </cell>
          <cell r="AH173">
            <v>3000</v>
          </cell>
          <cell r="AI173">
            <v>3000</v>
          </cell>
          <cell r="AJ173">
            <v>3000</v>
          </cell>
          <cell r="AK173">
            <v>3000</v>
          </cell>
          <cell r="AL173">
            <v>4000</v>
          </cell>
          <cell r="AM173">
            <v>3000</v>
          </cell>
          <cell r="AN173">
            <v>3000</v>
          </cell>
          <cell r="AP173">
            <v>2000</v>
          </cell>
          <cell r="AQ173">
            <v>5000</v>
          </cell>
          <cell r="AS173">
            <v>3000</v>
          </cell>
          <cell r="AT173">
            <v>3000</v>
          </cell>
          <cell r="AV173">
            <v>3000</v>
          </cell>
          <cell r="AW173">
            <v>3000</v>
          </cell>
          <cell r="AX173">
            <v>4000</v>
          </cell>
          <cell r="AY173">
            <v>1000</v>
          </cell>
          <cell r="BA173">
            <v>6000</v>
          </cell>
          <cell r="BB173">
            <v>3000</v>
          </cell>
          <cell r="BD173">
            <v>3000</v>
          </cell>
          <cell r="BE173">
            <v>3000</v>
          </cell>
          <cell r="BF173">
            <v>1003</v>
          </cell>
          <cell r="BG173">
            <v>6997</v>
          </cell>
          <cell r="BH173">
            <v>3000</v>
          </cell>
          <cell r="BJ173">
            <v>1000</v>
          </cell>
          <cell r="BK173">
            <v>6000</v>
          </cell>
          <cell r="BM173">
            <v>2000</v>
          </cell>
          <cell r="BN173">
            <v>1000</v>
          </cell>
          <cell r="BO173">
            <v>8000</v>
          </cell>
          <cell r="BQ173">
            <v>4000</v>
          </cell>
          <cell r="BR173">
            <v>3000</v>
          </cell>
          <cell r="BT173">
            <v>8000</v>
          </cell>
          <cell r="BV173">
            <v>5000</v>
          </cell>
          <cell r="BW173">
            <v>3000</v>
          </cell>
          <cell r="BX173">
            <v>2000</v>
          </cell>
          <cell r="BY173">
            <v>2000</v>
          </cell>
          <cell r="BZ173">
            <v>3000</v>
          </cell>
          <cell r="CA173">
            <v>6000</v>
          </cell>
          <cell r="CB173">
            <v>2000</v>
          </cell>
          <cell r="CD173">
            <v>3000</v>
          </cell>
          <cell r="CE173">
            <v>1000</v>
          </cell>
          <cell r="CF173">
            <v>5000</v>
          </cell>
          <cell r="CG173">
            <v>6000</v>
          </cell>
          <cell r="CI173">
            <v>5000</v>
          </cell>
          <cell r="CK173">
            <v>1000</v>
          </cell>
          <cell r="CL173">
            <v>6000</v>
          </cell>
          <cell r="CN173">
            <v>4000</v>
          </cell>
          <cell r="CO173">
            <v>4000</v>
          </cell>
          <cell r="CP173">
            <v>1000</v>
          </cell>
          <cell r="CQ173">
            <v>3000</v>
          </cell>
          <cell r="CT173">
            <v>7000</v>
          </cell>
          <cell r="CU173">
            <v>6000</v>
          </cell>
          <cell r="CV173">
            <v>4000</v>
          </cell>
          <cell r="CW173">
            <v>1000</v>
          </cell>
          <cell r="CX173">
            <v>2000</v>
          </cell>
          <cell r="CY173">
            <v>6000</v>
          </cell>
          <cell r="DA173">
            <v>1000</v>
          </cell>
          <cell r="DB173">
            <v>3000</v>
          </cell>
          <cell r="DC173">
            <v>4000</v>
          </cell>
          <cell r="DE173">
            <v>3000</v>
          </cell>
          <cell r="DF173">
            <v>5000</v>
          </cell>
          <cell r="DG173">
            <v>1000</v>
          </cell>
          <cell r="DJ173">
            <v>4000</v>
          </cell>
          <cell r="DK173">
            <v>6000</v>
          </cell>
          <cell r="DL173">
            <v>6000</v>
          </cell>
          <cell r="DM173">
            <v>2000</v>
          </cell>
          <cell r="DN173">
            <v>5000</v>
          </cell>
          <cell r="DO173">
            <v>4000</v>
          </cell>
          <cell r="DP173">
            <v>2000</v>
          </cell>
          <cell r="DQ173">
            <v>2000</v>
          </cell>
          <cell r="DR173">
            <v>2000</v>
          </cell>
          <cell r="DS173">
            <v>2000</v>
          </cell>
          <cell r="DT173">
            <v>7000</v>
          </cell>
          <cell r="DU173">
            <v>2000</v>
          </cell>
          <cell r="DW173">
            <v>2000</v>
          </cell>
          <cell r="DX173">
            <v>3000</v>
          </cell>
          <cell r="DY173">
            <v>6000</v>
          </cell>
          <cell r="EB173">
            <v>5000</v>
          </cell>
          <cell r="EC173">
            <v>3000</v>
          </cell>
          <cell r="ED173">
            <v>6000</v>
          </cell>
          <cell r="EE173" t="str">
            <v>ACTIVO</v>
          </cell>
          <cell r="EF173" t="str">
            <v>C</v>
          </cell>
          <cell r="EG173">
            <v>10000</v>
          </cell>
          <cell r="EH173">
            <v>3666.6666666666665</v>
          </cell>
          <cell r="EI173">
            <v>611.11111111111109</v>
          </cell>
          <cell r="EJ173">
            <v>2072.5700371047665</v>
          </cell>
          <cell r="EK173">
            <v>11000</v>
          </cell>
          <cell r="EL173">
            <v>249700</v>
          </cell>
          <cell r="EM173">
            <v>3</v>
          </cell>
          <cell r="EN173">
            <v>3666.6666666666665</v>
          </cell>
          <cell r="EO173">
            <v>1222.2222222222222</v>
          </cell>
          <cell r="EP173">
            <v>4888.8888888888887</v>
          </cell>
        </row>
        <row r="174">
          <cell r="F174">
            <v>405123</v>
          </cell>
          <cell r="G174" t="str">
            <v>ETIQUETAS CIRCULAR 9cm IMPR. TORTA VIENA JUMBO</v>
          </cell>
          <cell r="I174">
            <v>2000</v>
          </cell>
          <cell r="J174">
            <v>2000</v>
          </cell>
          <cell r="K174">
            <v>2000</v>
          </cell>
          <cell r="O174">
            <v>4000</v>
          </cell>
          <cell r="P174">
            <v>2000</v>
          </cell>
          <cell r="Q174">
            <v>2000</v>
          </cell>
          <cell r="S174">
            <v>1000</v>
          </cell>
          <cell r="T174">
            <v>2000</v>
          </cell>
          <cell r="U174">
            <v>2000</v>
          </cell>
          <cell r="V174">
            <v>2000</v>
          </cell>
          <cell r="W174">
            <v>2000</v>
          </cell>
          <cell r="X174">
            <v>2000</v>
          </cell>
          <cell r="Z174">
            <v>5000</v>
          </cell>
          <cell r="AA174">
            <v>2000</v>
          </cell>
          <cell r="AB174">
            <v>4000</v>
          </cell>
          <cell r="AC174">
            <v>2000</v>
          </cell>
          <cell r="AE174">
            <v>5000</v>
          </cell>
          <cell r="AF174">
            <v>2000</v>
          </cell>
          <cell r="AH174">
            <v>2000</v>
          </cell>
          <cell r="AI174">
            <v>2000</v>
          </cell>
          <cell r="AJ174">
            <v>2000</v>
          </cell>
          <cell r="AK174">
            <v>2000</v>
          </cell>
          <cell r="AL174">
            <v>4000</v>
          </cell>
          <cell r="AM174">
            <v>3000</v>
          </cell>
          <cell r="AN174">
            <v>3000</v>
          </cell>
          <cell r="AP174">
            <v>2000</v>
          </cell>
          <cell r="AQ174">
            <v>2000</v>
          </cell>
          <cell r="AS174">
            <v>3000</v>
          </cell>
          <cell r="AT174">
            <v>2000</v>
          </cell>
          <cell r="AV174">
            <v>2000</v>
          </cell>
          <cell r="AW174">
            <v>2000</v>
          </cell>
          <cell r="AX174">
            <v>3000</v>
          </cell>
          <cell r="AY174">
            <v>3000</v>
          </cell>
          <cell r="BA174">
            <v>4000</v>
          </cell>
          <cell r="BB174">
            <v>1000</v>
          </cell>
          <cell r="BD174">
            <v>2000</v>
          </cell>
          <cell r="BE174">
            <v>2000</v>
          </cell>
          <cell r="BF174">
            <v>2</v>
          </cell>
          <cell r="BG174">
            <v>5998</v>
          </cell>
          <cell r="BH174">
            <v>3000</v>
          </cell>
          <cell r="BJ174">
            <v>2000</v>
          </cell>
          <cell r="BK174">
            <v>4000</v>
          </cell>
          <cell r="BM174">
            <v>3000</v>
          </cell>
          <cell r="BN174">
            <v>2000</v>
          </cell>
          <cell r="BO174">
            <v>4000</v>
          </cell>
          <cell r="BQ174">
            <v>2000</v>
          </cell>
          <cell r="BR174">
            <v>2000</v>
          </cell>
          <cell r="BT174">
            <v>4000</v>
          </cell>
          <cell r="BV174">
            <v>2000</v>
          </cell>
          <cell r="BW174">
            <v>4000</v>
          </cell>
          <cell r="BX174">
            <v>2000</v>
          </cell>
          <cell r="BY174">
            <v>5000</v>
          </cell>
          <cell r="CA174">
            <v>4000</v>
          </cell>
          <cell r="CB174">
            <v>2000</v>
          </cell>
          <cell r="CD174">
            <v>2000</v>
          </cell>
          <cell r="CE174">
            <v>3000</v>
          </cell>
          <cell r="CF174">
            <v>4000</v>
          </cell>
          <cell r="CG174">
            <v>2000</v>
          </cell>
          <cell r="CI174">
            <v>4000</v>
          </cell>
          <cell r="CJ174">
            <v>2000</v>
          </cell>
          <cell r="CL174">
            <v>2000</v>
          </cell>
          <cell r="CM174">
            <v>2000</v>
          </cell>
          <cell r="CN174">
            <v>4000</v>
          </cell>
          <cell r="CO174">
            <v>2000</v>
          </cell>
          <cell r="CP174">
            <v>2000</v>
          </cell>
          <cell r="CQ174">
            <v>2000</v>
          </cell>
          <cell r="CT174">
            <v>4000</v>
          </cell>
          <cell r="CU174">
            <v>2000</v>
          </cell>
          <cell r="CV174">
            <v>2000</v>
          </cell>
          <cell r="CW174">
            <v>2000</v>
          </cell>
          <cell r="CY174">
            <v>3000</v>
          </cell>
          <cell r="CZ174">
            <v>2000</v>
          </cell>
          <cell r="DB174">
            <v>3000</v>
          </cell>
          <cell r="DC174">
            <v>2000</v>
          </cell>
          <cell r="DE174">
            <v>3000</v>
          </cell>
          <cell r="DF174">
            <v>2000</v>
          </cell>
          <cell r="DG174">
            <v>3000</v>
          </cell>
          <cell r="DJ174">
            <v>2000</v>
          </cell>
          <cell r="DK174">
            <v>4000</v>
          </cell>
          <cell r="DL174">
            <v>2000</v>
          </cell>
          <cell r="DM174">
            <v>2000</v>
          </cell>
          <cell r="DN174">
            <v>2000</v>
          </cell>
          <cell r="DO174">
            <v>2000</v>
          </cell>
          <cell r="DP174">
            <v>2000</v>
          </cell>
          <cell r="DQ174">
            <v>2000</v>
          </cell>
          <cell r="DR174">
            <v>2000</v>
          </cell>
          <cell r="DS174">
            <v>2000</v>
          </cell>
          <cell r="DT174">
            <v>2000</v>
          </cell>
          <cell r="DU174">
            <v>2000</v>
          </cell>
          <cell r="DV174">
            <v>2000</v>
          </cell>
          <cell r="DW174">
            <v>2000</v>
          </cell>
          <cell r="DX174">
            <v>2000</v>
          </cell>
          <cell r="DY174">
            <v>5000</v>
          </cell>
          <cell r="DZ174">
            <v>5000</v>
          </cell>
          <cell r="EB174">
            <v>4000</v>
          </cell>
          <cell r="EC174">
            <v>2000</v>
          </cell>
          <cell r="ED174">
            <v>2000</v>
          </cell>
          <cell r="EE174" t="str">
            <v>ACTIVO</v>
          </cell>
          <cell r="EF174" t="str">
            <v>C</v>
          </cell>
          <cell r="EG174">
            <v>10000</v>
          </cell>
          <cell r="EH174">
            <v>2470.5882352941176</v>
          </cell>
          <cell r="EI174">
            <v>411.76470588235293</v>
          </cell>
          <cell r="EJ174">
            <v>920.75792887416219</v>
          </cell>
          <cell r="EK174">
            <v>9000</v>
          </cell>
          <cell r="EL174">
            <v>154530</v>
          </cell>
          <cell r="EM174">
            <v>3.6428571428571428</v>
          </cell>
          <cell r="EN174">
            <v>2470.5882352941176</v>
          </cell>
          <cell r="EO174">
            <v>823.52941176470586</v>
          </cell>
          <cell r="EP174">
            <v>3294.1176470588234</v>
          </cell>
        </row>
        <row r="175">
          <cell r="F175">
            <v>405127</v>
          </cell>
          <cell r="G175" t="str">
            <v>ETIQ.CIRCULAR 9cm TORTA PANQUEQUE NARANJA JUMBO</v>
          </cell>
          <cell r="I175">
            <v>4000</v>
          </cell>
          <cell r="J175">
            <v>8000</v>
          </cell>
          <cell r="K175">
            <v>5000</v>
          </cell>
          <cell r="O175">
            <v>6000</v>
          </cell>
          <cell r="P175">
            <v>3000</v>
          </cell>
          <cell r="Q175">
            <v>7000</v>
          </cell>
          <cell r="S175">
            <v>2000</v>
          </cell>
          <cell r="T175">
            <v>3000</v>
          </cell>
          <cell r="V175">
            <v>6000</v>
          </cell>
          <cell r="W175">
            <v>3000</v>
          </cell>
          <cell r="X175">
            <v>6000</v>
          </cell>
          <cell r="Z175">
            <v>1000</v>
          </cell>
          <cell r="AA175">
            <v>3000</v>
          </cell>
          <cell r="AB175">
            <v>10000</v>
          </cell>
          <cell r="AC175">
            <v>3000</v>
          </cell>
          <cell r="AE175">
            <v>9000</v>
          </cell>
          <cell r="AF175">
            <v>3000</v>
          </cell>
          <cell r="AG175">
            <v>3000</v>
          </cell>
          <cell r="AH175">
            <v>3000</v>
          </cell>
          <cell r="AI175">
            <v>3000</v>
          </cell>
          <cell r="AJ175">
            <v>3000</v>
          </cell>
          <cell r="AK175">
            <v>3000</v>
          </cell>
          <cell r="AL175">
            <v>5000</v>
          </cell>
          <cell r="AM175">
            <v>3000</v>
          </cell>
          <cell r="AN175">
            <v>3000</v>
          </cell>
          <cell r="AP175">
            <v>2000</v>
          </cell>
          <cell r="AQ175">
            <v>6000</v>
          </cell>
          <cell r="AS175">
            <v>3000</v>
          </cell>
          <cell r="AT175">
            <v>3000</v>
          </cell>
          <cell r="AV175">
            <v>3000</v>
          </cell>
          <cell r="AW175">
            <v>3000</v>
          </cell>
          <cell r="AX175">
            <v>4000</v>
          </cell>
          <cell r="AY175">
            <v>3000</v>
          </cell>
          <cell r="BA175">
            <v>6000</v>
          </cell>
          <cell r="BB175">
            <v>1000</v>
          </cell>
          <cell r="BD175">
            <v>3000</v>
          </cell>
          <cell r="BE175">
            <v>3000</v>
          </cell>
          <cell r="BF175">
            <v>3</v>
          </cell>
          <cell r="BG175">
            <v>7997</v>
          </cell>
          <cell r="BH175">
            <v>3000</v>
          </cell>
          <cell r="BJ175">
            <v>1000</v>
          </cell>
          <cell r="BK175">
            <v>6000</v>
          </cell>
          <cell r="BM175">
            <v>1000</v>
          </cell>
          <cell r="BN175">
            <v>2000</v>
          </cell>
          <cell r="BO175">
            <v>6000</v>
          </cell>
          <cell r="BQ175">
            <v>3000</v>
          </cell>
          <cell r="BR175">
            <v>3000</v>
          </cell>
          <cell r="BS175">
            <v>3000</v>
          </cell>
          <cell r="BT175">
            <v>7000</v>
          </cell>
          <cell r="BV175">
            <v>4000</v>
          </cell>
          <cell r="BW175">
            <v>3000</v>
          </cell>
          <cell r="BX175">
            <v>7000</v>
          </cell>
          <cell r="BY175">
            <v>1000</v>
          </cell>
          <cell r="CA175">
            <v>8000</v>
          </cell>
          <cell r="CB175">
            <v>3000</v>
          </cell>
          <cell r="CD175">
            <v>3000</v>
          </cell>
          <cell r="CF175">
            <v>6000</v>
          </cell>
          <cell r="CG175">
            <v>5000</v>
          </cell>
          <cell r="CI175">
            <v>3000</v>
          </cell>
          <cell r="CJ175">
            <v>3000</v>
          </cell>
          <cell r="CL175">
            <v>5000</v>
          </cell>
          <cell r="CN175">
            <v>6000</v>
          </cell>
          <cell r="CO175">
            <v>4000</v>
          </cell>
          <cell r="CP175">
            <v>3000</v>
          </cell>
          <cell r="CQ175">
            <v>5000</v>
          </cell>
          <cell r="CR175">
            <v>1000</v>
          </cell>
          <cell r="CT175">
            <v>4000</v>
          </cell>
          <cell r="CU175">
            <v>2000</v>
          </cell>
          <cell r="CV175">
            <v>3000</v>
          </cell>
          <cell r="CW175">
            <v>4000</v>
          </cell>
          <cell r="CX175">
            <v>3000</v>
          </cell>
          <cell r="CY175">
            <v>5000</v>
          </cell>
          <cell r="CZ175">
            <v>4000</v>
          </cell>
          <cell r="DB175">
            <v>5000</v>
          </cell>
          <cell r="DC175">
            <v>4000</v>
          </cell>
          <cell r="DE175">
            <v>3000</v>
          </cell>
          <cell r="DF175">
            <v>1000</v>
          </cell>
          <cell r="DG175">
            <v>2000</v>
          </cell>
          <cell r="DJ175">
            <v>3000</v>
          </cell>
          <cell r="DK175">
            <v>3000</v>
          </cell>
          <cell r="DL175">
            <v>3000</v>
          </cell>
          <cell r="DM175">
            <v>8000</v>
          </cell>
          <cell r="DN175">
            <v>1000</v>
          </cell>
          <cell r="DO175">
            <v>4000</v>
          </cell>
          <cell r="DP175">
            <v>5000</v>
          </cell>
          <cell r="DQ175">
            <v>2000</v>
          </cell>
          <cell r="DR175">
            <v>5000</v>
          </cell>
          <cell r="DS175">
            <v>5000</v>
          </cell>
          <cell r="DT175">
            <v>5000</v>
          </cell>
          <cell r="DU175">
            <v>2000</v>
          </cell>
          <cell r="DW175">
            <v>3000</v>
          </cell>
          <cell r="DX175">
            <v>4000</v>
          </cell>
          <cell r="DY175">
            <v>6000</v>
          </cell>
          <cell r="EB175">
            <v>7000</v>
          </cell>
          <cell r="EC175">
            <v>3000</v>
          </cell>
          <cell r="ED175">
            <v>3000</v>
          </cell>
          <cell r="EE175" t="str">
            <v>ACTIVO</v>
          </cell>
          <cell r="EF175" t="str">
            <v>C</v>
          </cell>
          <cell r="EG175">
            <v>10000</v>
          </cell>
          <cell r="EH175">
            <v>3933.3333333333335</v>
          </cell>
          <cell r="EI175">
            <v>655.55555555555554</v>
          </cell>
          <cell r="EJ175">
            <v>1791.0408316001174</v>
          </cell>
          <cell r="EK175">
            <v>5000</v>
          </cell>
          <cell r="EL175">
            <v>113500</v>
          </cell>
          <cell r="EM175">
            <v>1.271186440677966</v>
          </cell>
          <cell r="EN175">
            <v>3933.333333333333</v>
          </cell>
          <cell r="EO175">
            <v>1311.1111111111111</v>
          </cell>
          <cell r="EP175">
            <v>5244.4444444444443</v>
          </cell>
        </row>
        <row r="176">
          <cell r="F176">
            <v>405130</v>
          </cell>
          <cell r="G176" t="str">
            <v>ETIQUETAS CIRCULAR 9cm IMPR. TORTA TRUFFA JUMBO</v>
          </cell>
          <cell r="I176">
            <v>2000</v>
          </cell>
          <cell r="J176">
            <v>2000</v>
          </cell>
          <cell r="K176">
            <v>1000</v>
          </cell>
          <cell r="O176">
            <v>2000</v>
          </cell>
          <cell r="P176">
            <v>2000</v>
          </cell>
          <cell r="Q176">
            <v>3000</v>
          </cell>
          <cell r="S176">
            <v>2000</v>
          </cell>
          <cell r="T176">
            <v>2000</v>
          </cell>
          <cell r="U176">
            <v>4000</v>
          </cell>
          <cell r="V176">
            <v>2000</v>
          </cell>
          <cell r="W176">
            <v>2000</v>
          </cell>
          <cell r="X176">
            <v>3000</v>
          </cell>
          <cell r="AA176">
            <v>2000</v>
          </cell>
          <cell r="AB176">
            <v>4000</v>
          </cell>
          <cell r="AC176">
            <v>2000</v>
          </cell>
          <cell r="AE176">
            <v>2000</v>
          </cell>
          <cell r="AF176">
            <v>2000</v>
          </cell>
          <cell r="AH176">
            <v>2000</v>
          </cell>
          <cell r="AI176">
            <v>2000</v>
          </cell>
          <cell r="AJ176">
            <v>2000</v>
          </cell>
          <cell r="AK176">
            <v>2000</v>
          </cell>
          <cell r="AL176">
            <v>2000</v>
          </cell>
          <cell r="AM176">
            <v>2000</v>
          </cell>
          <cell r="AN176">
            <v>2000</v>
          </cell>
          <cell r="AQ176">
            <v>1000</v>
          </cell>
          <cell r="AS176">
            <v>1000</v>
          </cell>
          <cell r="AT176">
            <v>1000</v>
          </cell>
          <cell r="AV176">
            <v>2000</v>
          </cell>
          <cell r="AW176">
            <v>1000</v>
          </cell>
          <cell r="AX176">
            <v>3000</v>
          </cell>
          <cell r="BA176">
            <v>1000</v>
          </cell>
          <cell r="BB176">
            <v>1000</v>
          </cell>
          <cell r="BD176">
            <v>1000</v>
          </cell>
          <cell r="BE176">
            <v>1000</v>
          </cell>
          <cell r="BF176">
            <v>1</v>
          </cell>
          <cell r="BG176">
            <v>1999</v>
          </cell>
          <cell r="BH176">
            <v>1000</v>
          </cell>
          <cell r="BK176">
            <v>2000</v>
          </cell>
          <cell r="BM176">
            <v>2000</v>
          </cell>
          <cell r="BN176">
            <v>1000</v>
          </cell>
          <cell r="BO176">
            <v>4000</v>
          </cell>
          <cell r="BQ176">
            <v>3000</v>
          </cell>
          <cell r="BR176">
            <v>3000</v>
          </cell>
          <cell r="BT176">
            <v>6000</v>
          </cell>
          <cell r="BV176">
            <v>1000</v>
          </cell>
          <cell r="BW176">
            <v>2000</v>
          </cell>
          <cell r="BX176">
            <v>2000</v>
          </cell>
          <cell r="CA176">
            <v>3000</v>
          </cell>
          <cell r="CF176">
            <v>2000</v>
          </cell>
          <cell r="CG176">
            <v>2000</v>
          </cell>
          <cell r="CJ176">
            <v>1000</v>
          </cell>
          <cell r="CK176">
            <v>1000</v>
          </cell>
          <cell r="CM176">
            <v>1000</v>
          </cell>
          <cell r="CN176">
            <v>2000</v>
          </cell>
          <cell r="CO176">
            <v>2000</v>
          </cell>
          <cell r="CP176">
            <v>2000</v>
          </cell>
          <cell r="CT176">
            <v>2000</v>
          </cell>
          <cell r="CU176">
            <v>3000</v>
          </cell>
          <cell r="CV176">
            <v>2000</v>
          </cell>
          <cell r="CX176">
            <v>2000</v>
          </cell>
          <cell r="DE176">
            <v>1000</v>
          </cell>
          <cell r="DK176">
            <v>1000</v>
          </cell>
          <cell r="DL176">
            <v>2000</v>
          </cell>
          <cell r="DM176">
            <v>1000</v>
          </cell>
          <cell r="DN176">
            <v>2000</v>
          </cell>
          <cell r="DO176">
            <v>1000</v>
          </cell>
          <cell r="DQ176">
            <v>2000</v>
          </cell>
          <cell r="DR176">
            <v>1000</v>
          </cell>
          <cell r="DS176">
            <v>1000</v>
          </cell>
          <cell r="DT176">
            <v>1000</v>
          </cell>
          <cell r="DU176">
            <v>1000</v>
          </cell>
          <cell r="DW176">
            <v>2000</v>
          </cell>
          <cell r="DX176">
            <v>2000</v>
          </cell>
          <cell r="DY176">
            <v>1000</v>
          </cell>
          <cell r="EB176">
            <v>4000</v>
          </cell>
          <cell r="ED176">
            <v>1000</v>
          </cell>
          <cell r="EE176" t="str">
            <v>ACTIVO</v>
          </cell>
          <cell r="EF176" t="str">
            <v>C</v>
          </cell>
          <cell r="EG176">
            <v>10000</v>
          </cell>
          <cell r="EH176">
            <v>1384.6153846153845</v>
          </cell>
          <cell r="EI176">
            <v>230.76923076923075</v>
          </cell>
          <cell r="EJ176">
            <v>1129.8967504452196</v>
          </cell>
          <cell r="EK176">
            <v>10000</v>
          </cell>
          <cell r="EL176">
            <v>226200</v>
          </cell>
          <cell r="EM176">
            <v>7.2222222222222223</v>
          </cell>
          <cell r="EN176">
            <v>1384.6153846153845</v>
          </cell>
          <cell r="EO176">
            <v>461.53846153846149</v>
          </cell>
          <cell r="EP176">
            <v>1846.153846153846</v>
          </cell>
        </row>
        <row r="177">
          <cell r="F177">
            <v>405131</v>
          </cell>
          <cell r="G177" t="str">
            <v>ETIQUETAS CIRCULAR 9cm IMPR. TORTA 4 LECHES JUMBO</v>
          </cell>
          <cell r="I177">
            <v>2000</v>
          </cell>
          <cell r="J177">
            <v>2000</v>
          </cell>
          <cell r="K177">
            <v>2000</v>
          </cell>
          <cell r="O177">
            <v>2000</v>
          </cell>
          <cell r="P177">
            <v>2000</v>
          </cell>
          <cell r="Q177">
            <v>2000</v>
          </cell>
          <cell r="S177">
            <v>1000</v>
          </cell>
          <cell r="T177">
            <v>2000</v>
          </cell>
          <cell r="U177">
            <v>2000</v>
          </cell>
          <cell r="V177">
            <v>2000</v>
          </cell>
          <cell r="W177">
            <v>2000</v>
          </cell>
          <cell r="X177">
            <v>2000</v>
          </cell>
          <cell r="Z177">
            <v>3000</v>
          </cell>
          <cell r="AA177">
            <v>2000</v>
          </cell>
          <cell r="AB177">
            <v>4000</v>
          </cell>
          <cell r="AC177">
            <v>2000</v>
          </cell>
          <cell r="AE177">
            <v>2000</v>
          </cell>
          <cell r="AF177">
            <v>2000</v>
          </cell>
          <cell r="AH177">
            <v>2000</v>
          </cell>
          <cell r="AI177">
            <v>2000</v>
          </cell>
          <cell r="AJ177">
            <v>2000</v>
          </cell>
          <cell r="AK177">
            <v>2000</v>
          </cell>
          <cell r="AL177">
            <v>2000</v>
          </cell>
          <cell r="AM177">
            <v>2000</v>
          </cell>
          <cell r="AN177">
            <v>2000</v>
          </cell>
          <cell r="AP177">
            <v>2000</v>
          </cell>
          <cell r="AQ177">
            <v>2000</v>
          </cell>
          <cell r="AS177">
            <v>2000</v>
          </cell>
          <cell r="AT177">
            <v>2000</v>
          </cell>
          <cell r="AV177">
            <v>2000</v>
          </cell>
          <cell r="AW177">
            <v>2000</v>
          </cell>
          <cell r="AX177">
            <v>2000</v>
          </cell>
          <cell r="AY177">
            <v>2000</v>
          </cell>
          <cell r="BA177">
            <v>4000</v>
          </cell>
          <cell r="BD177">
            <v>2000</v>
          </cell>
          <cell r="BE177">
            <v>2000</v>
          </cell>
          <cell r="BF177">
            <v>2</v>
          </cell>
          <cell r="BG177">
            <v>3998</v>
          </cell>
          <cell r="BH177">
            <v>2000</v>
          </cell>
          <cell r="BK177">
            <v>4000</v>
          </cell>
          <cell r="BM177">
            <v>3000</v>
          </cell>
          <cell r="BN177">
            <v>2000</v>
          </cell>
          <cell r="BO177">
            <v>2000</v>
          </cell>
          <cell r="BR177">
            <v>2000</v>
          </cell>
          <cell r="BS177">
            <v>1000</v>
          </cell>
          <cell r="BT177">
            <v>4000</v>
          </cell>
          <cell r="BV177">
            <v>2000</v>
          </cell>
          <cell r="BW177">
            <v>2000</v>
          </cell>
          <cell r="BX177">
            <v>2000</v>
          </cell>
          <cell r="BY177">
            <v>3000</v>
          </cell>
          <cell r="CA177">
            <v>4000</v>
          </cell>
          <cell r="CB177">
            <v>2000</v>
          </cell>
          <cell r="CD177">
            <v>2000</v>
          </cell>
          <cell r="CF177">
            <v>4000</v>
          </cell>
          <cell r="CG177">
            <v>2000</v>
          </cell>
          <cell r="CI177">
            <v>4000</v>
          </cell>
          <cell r="CJ177">
            <v>1000</v>
          </cell>
          <cell r="CL177">
            <v>1000</v>
          </cell>
          <cell r="CM177">
            <v>1000</v>
          </cell>
          <cell r="CN177">
            <v>2000</v>
          </cell>
          <cell r="CO177">
            <v>1000</v>
          </cell>
          <cell r="CP177">
            <v>1000</v>
          </cell>
          <cell r="CT177">
            <v>2000</v>
          </cell>
          <cell r="CU177">
            <v>1000</v>
          </cell>
          <cell r="CV177">
            <v>1000</v>
          </cell>
          <cell r="CW177">
            <v>1000</v>
          </cell>
          <cell r="CY177">
            <v>1000</v>
          </cell>
          <cell r="CZ177">
            <v>1000</v>
          </cell>
          <cell r="DB177">
            <v>1000</v>
          </cell>
          <cell r="DC177">
            <v>2000</v>
          </cell>
          <cell r="DE177">
            <v>3000</v>
          </cell>
          <cell r="DF177">
            <v>2000</v>
          </cell>
          <cell r="DG177">
            <v>2000</v>
          </cell>
          <cell r="DJ177">
            <v>1000</v>
          </cell>
          <cell r="DK177">
            <v>4000</v>
          </cell>
          <cell r="DL177">
            <v>2000</v>
          </cell>
          <cell r="DN177">
            <v>2000</v>
          </cell>
          <cell r="DO177">
            <v>2000</v>
          </cell>
          <cell r="DP177">
            <v>2000</v>
          </cell>
          <cell r="DQ177">
            <v>2000</v>
          </cell>
          <cell r="DR177">
            <v>2000</v>
          </cell>
          <cell r="DS177">
            <v>2000</v>
          </cell>
          <cell r="DT177">
            <v>2000</v>
          </cell>
          <cell r="DU177">
            <v>2000</v>
          </cell>
          <cell r="DV177">
            <v>2000</v>
          </cell>
          <cell r="DW177">
            <v>2000</v>
          </cell>
          <cell r="DX177">
            <v>2000</v>
          </cell>
          <cell r="DY177">
            <v>3000</v>
          </cell>
          <cell r="DZ177">
            <v>3000</v>
          </cell>
          <cell r="EB177">
            <v>4000</v>
          </cell>
          <cell r="ED177">
            <v>2000</v>
          </cell>
          <cell r="EE177" t="str">
            <v>ACTIVO</v>
          </cell>
          <cell r="EF177" t="str">
            <v>C</v>
          </cell>
          <cell r="EG177">
            <v>10000</v>
          </cell>
          <cell r="EH177">
            <v>2187.5</v>
          </cell>
          <cell r="EI177">
            <v>364.58333333333331</v>
          </cell>
          <cell r="EJ177">
            <v>1014.1851056742198</v>
          </cell>
          <cell r="EK177">
            <v>6000</v>
          </cell>
          <cell r="EL177">
            <v>103020</v>
          </cell>
          <cell r="EM177">
            <v>2.7428571428571429</v>
          </cell>
          <cell r="EN177">
            <v>2187.5</v>
          </cell>
          <cell r="EO177">
            <v>729.16666666666663</v>
          </cell>
          <cell r="EP177">
            <v>2916.6666666666665</v>
          </cell>
        </row>
        <row r="178">
          <cell r="F178">
            <v>405126</v>
          </cell>
          <cell r="G178" t="str">
            <v>ETIQUETAS CIRCULAR 9cm IMPR. TORTA BOM BOM</v>
          </cell>
          <cell r="I178">
            <v>1000</v>
          </cell>
          <cell r="J178">
            <v>1000</v>
          </cell>
          <cell r="K178">
            <v>1000</v>
          </cell>
          <cell r="O178">
            <v>1000</v>
          </cell>
          <cell r="P178">
            <v>1000</v>
          </cell>
          <cell r="Q178">
            <v>3000</v>
          </cell>
          <cell r="S178">
            <v>1000</v>
          </cell>
          <cell r="T178">
            <v>1000</v>
          </cell>
          <cell r="U178">
            <v>4000</v>
          </cell>
          <cell r="V178">
            <v>1000</v>
          </cell>
          <cell r="W178">
            <v>1000</v>
          </cell>
          <cell r="X178">
            <v>2000</v>
          </cell>
          <cell r="AA178">
            <v>1000</v>
          </cell>
          <cell r="AB178">
            <v>2000</v>
          </cell>
          <cell r="AC178">
            <v>1000</v>
          </cell>
          <cell r="AE178">
            <v>1000</v>
          </cell>
          <cell r="AF178">
            <v>1000</v>
          </cell>
          <cell r="AH178">
            <v>1000</v>
          </cell>
          <cell r="AI178">
            <v>1000</v>
          </cell>
          <cell r="AJ178">
            <v>1000</v>
          </cell>
          <cell r="AK178">
            <v>2000</v>
          </cell>
          <cell r="AL178">
            <v>2000</v>
          </cell>
          <cell r="AM178">
            <v>2000</v>
          </cell>
          <cell r="AN178">
            <v>2000</v>
          </cell>
          <cell r="AQ178">
            <v>1000</v>
          </cell>
          <cell r="AS178">
            <v>1000</v>
          </cell>
          <cell r="AT178">
            <v>1000</v>
          </cell>
          <cell r="AV178">
            <v>1000</v>
          </cell>
          <cell r="AW178">
            <v>1000</v>
          </cell>
          <cell r="AX178">
            <v>1000</v>
          </cell>
          <cell r="AZ178">
            <v>1000</v>
          </cell>
          <cell r="BA178">
            <v>2000</v>
          </cell>
          <cell r="BD178">
            <v>1000</v>
          </cell>
          <cell r="BE178">
            <v>1000</v>
          </cell>
          <cell r="BF178">
            <v>1</v>
          </cell>
          <cell r="BG178">
            <v>2999</v>
          </cell>
          <cell r="BH178">
            <v>1000</v>
          </cell>
          <cell r="BJ178">
            <v>1000</v>
          </cell>
          <cell r="BK178">
            <v>2000</v>
          </cell>
          <cell r="BM178">
            <v>3000</v>
          </cell>
          <cell r="BN178">
            <v>2000</v>
          </cell>
          <cell r="BO178">
            <v>5000</v>
          </cell>
          <cell r="BQ178">
            <v>3000</v>
          </cell>
          <cell r="BR178">
            <v>3000</v>
          </cell>
          <cell r="BT178">
            <v>6000</v>
          </cell>
          <cell r="BV178">
            <v>1000</v>
          </cell>
          <cell r="BW178">
            <v>2000</v>
          </cell>
          <cell r="BX178">
            <v>2000</v>
          </cell>
          <cell r="CA178">
            <v>3000</v>
          </cell>
          <cell r="CD178">
            <v>1000</v>
          </cell>
          <cell r="CE178">
            <v>1000</v>
          </cell>
          <cell r="CF178">
            <v>2000</v>
          </cell>
          <cell r="CG178">
            <v>2000</v>
          </cell>
          <cell r="CJ178">
            <v>2000</v>
          </cell>
          <cell r="CM178">
            <v>2000</v>
          </cell>
          <cell r="CN178">
            <v>3000</v>
          </cell>
          <cell r="CP178">
            <v>3000</v>
          </cell>
          <cell r="CT178">
            <v>4000</v>
          </cell>
          <cell r="CU178">
            <v>1000</v>
          </cell>
          <cell r="CV178">
            <v>1000</v>
          </cell>
          <cell r="CW178">
            <v>2000</v>
          </cell>
          <cell r="CX178">
            <v>1000</v>
          </cell>
          <cell r="CY178">
            <v>2000</v>
          </cell>
          <cell r="DB178">
            <v>2000</v>
          </cell>
          <cell r="DE178">
            <v>1000</v>
          </cell>
          <cell r="DF178">
            <v>1000</v>
          </cell>
          <cell r="DK178">
            <v>2000</v>
          </cell>
          <cell r="DL178">
            <v>2000</v>
          </cell>
          <cell r="DM178">
            <v>1000</v>
          </cell>
          <cell r="DN178">
            <v>2000</v>
          </cell>
          <cell r="DO178">
            <v>1000</v>
          </cell>
          <cell r="DQ178">
            <v>2000</v>
          </cell>
          <cell r="DR178">
            <v>1000</v>
          </cell>
          <cell r="DS178">
            <v>1000</v>
          </cell>
          <cell r="DT178">
            <v>1000</v>
          </cell>
          <cell r="DU178">
            <v>2000</v>
          </cell>
          <cell r="DW178">
            <v>2000</v>
          </cell>
          <cell r="DX178">
            <v>2000</v>
          </cell>
          <cell r="EB178">
            <v>3000</v>
          </cell>
          <cell r="ED178">
            <v>1000</v>
          </cell>
          <cell r="EE178" t="str">
            <v>ACTIVO</v>
          </cell>
          <cell r="EF178" t="str">
            <v>C</v>
          </cell>
          <cell r="EG178">
            <v>10000</v>
          </cell>
          <cell r="EH178">
            <v>1583.3333333333333</v>
          </cell>
          <cell r="EI178">
            <v>263.88888888888886</v>
          </cell>
          <cell r="EJ178">
            <v>1234.0942045675145</v>
          </cell>
          <cell r="EK178">
            <v>8000</v>
          </cell>
          <cell r="EL178">
            <v>176800</v>
          </cell>
          <cell r="EM178">
            <v>5.052631578947369</v>
          </cell>
          <cell r="EN178">
            <v>1583.333333333333</v>
          </cell>
          <cell r="EO178">
            <v>527.77777777777771</v>
          </cell>
          <cell r="EP178">
            <v>2111.1111111111109</v>
          </cell>
        </row>
        <row r="179">
          <cell r="F179">
            <v>405206</v>
          </cell>
          <cell r="G179" t="str">
            <v>ETIQ.CIRCULAR 9cm IMPR. TORTA SAN JORGE GUINDA ARTESANAL JUMBO</v>
          </cell>
          <cell r="I179">
            <v>1000</v>
          </cell>
          <cell r="J179">
            <v>1000</v>
          </cell>
          <cell r="K179">
            <v>1000</v>
          </cell>
          <cell r="M179">
            <v>2000</v>
          </cell>
          <cell r="O179">
            <v>1000</v>
          </cell>
          <cell r="P179">
            <v>2000</v>
          </cell>
          <cell r="Q179">
            <v>2000</v>
          </cell>
          <cell r="S179">
            <v>2000</v>
          </cell>
          <cell r="T179">
            <v>2000</v>
          </cell>
          <cell r="U179">
            <v>2000</v>
          </cell>
          <cell r="V179">
            <v>2000</v>
          </cell>
          <cell r="W179">
            <v>2000</v>
          </cell>
          <cell r="X179">
            <v>3000</v>
          </cell>
          <cell r="AA179">
            <v>2000</v>
          </cell>
          <cell r="AB179">
            <v>4000</v>
          </cell>
          <cell r="AC179">
            <v>2000</v>
          </cell>
          <cell r="AD179">
            <v>1000</v>
          </cell>
          <cell r="AE179">
            <v>2000</v>
          </cell>
          <cell r="AF179">
            <v>2000</v>
          </cell>
          <cell r="AH179">
            <v>2000</v>
          </cell>
          <cell r="AI179">
            <v>2000</v>
          </cell>
          <cell r="AJ179">
            <v>2000</v>
          </cell>
          <cell r="AK179">
            <v>3000</v>
          </cell>
          <cell r="AL179">
            <v>3000</v>
          </cell>
          <cell r="AM179">
            <v>3000</v>
          </cell>
          <cell r="AN179">
            <v>3000</v>
          </cell>
          <cell r="AQ179">
            <v>2000</v>
          </cell>
          <cell r="AS179">
            <v>2000</v>
          </cell>
          <cell r="AT179">
            <v>2000</v>
          </cell>
          <cell r="AU179">
            <v>1000</v>
          </cell>
          <cell r="AV179">
            <v>3000</v>
          </cell>
          <cell r="AW179">
            <v>3000</v>
          </cell>
          <cell r="AX179">
            <v>5000</v>
          </cell>
          <cell r="AY179">
            <v>1000</v>
          </cell>
          <cell r="BA179">
            <v>5000</v>
          </cell>
          <cell r="BB179">
            <v>2000</v>
          </cell>
          <cell r="BD179">
            <v>3000</v>
          </cell>
          <cell r="BE179">
            <v>3000</v>
          </cell>
          <cell r="BF179">
            <v>3</v>
          </cell>
          <cell r="BG179">
            <v>5997</v>
          </cell>
          <cell r="BH179">
            <v>3000</v>
          </cell>
          <cell r="BK179">
            <v>6000</v>
          </cell>
          <cell r="BM179">
            <v>9000</v>
          </cell>
          <cell r="BN179">
            <v>1000</v>
          </cell>
          <cell r="BO179">
            <v>4000</v>
          </cell>
          <cell r="BQ179">
            <v>2000</v>
          </cell>
          <cell r="BR179">
            <v>3000</v>
          </cell>
          <cell r="BT179">
            <v>6000</v>
          </cell>
          <cell r="BV179">
            <v>3000</v>
          </cell>
          <cell r="BW179">
            <v>4000</v>
          </cell>
          <cell r="BX179">
            <v>3000</v>
          </cell>
          <cell r="BY179">
            <v>3000</v>
          </cell>
          <cell r="CA179">
            <v>6000</v>
          </cell>
          <cell r="CB179">
            <v>3000</v>
          </cell>
          <cell r="CD179">
            <v>3000</v>
          </cell>
          <cell r="CE179">
            <v>3000</v>
          </cell>
          <cell r="CF179">
            <v>4000</v>
          </cell>
          <cell r="CG179">
            <v>2000</v>
          </cell>
          <cell r="CI179">
            <v>4000</v>
          </cell>
          <cell r="CJ179">
            <v>2000</v>
          </cell>
          <cell r="CL179">
            <v>2000</v>
          </cell>
          <cell r="CM179">
            <v>2000</v>
          </cell>
          <cell r="CN179">
            <v>4000</v>
          </cell>
          <cell r="CO179">
            <v>2000</v>
          </cell>
          <cell r="CP179">
            <v>2000</v>
          </cell>
          <cell r="CR179">
            <v>1000</v>
          </cell>
          <cell r="CT179">
            <v>4000</v>
          </cell>
          <cell r="CU179">
            <v>5000</v>
          </cell>
          <cell r="CV179">
            <v>2000</v>
          </cell>
          <cell r="CW179">
            <v>2000</v>
          </cell>
          <cell r="CY179">
            <v>2000</v>
          </cell>
          <cell r="CZ179">
            <v>2000</v>
          </cell>
          <cell r="DB179">
            <v>3000</v>
          </cell>
          <cell r="DC179">
            <v>3000</v>
          </cell>
          <cell r="DE179">
            <v>3000</v>
          </cell>
          <cell r="DF179">
            <v>2000</v>
          </cell>
          <cell r="DG179">
            <v>2000</v>
          </cell>
          <cell r="DJ179">
            <v>2000</v>
          </cell>
          <cell r="DK179">
            <v>4000</v>
          </cell>
          <cell r="DL179">
            <v>2000</v>
          </cell>
          <cell r="DN179">
            <v>2000</v>
          </cell>
          <cell r="DO179">
            <v>2000</v>
          </cell>
          <cell r="DQ179">
            <v>2000</v>
          </cell>
          <cell r="DR179">
            <v>2000</v>
          </cell>
          <cell r="DS179">
            <v>2000</v>
          </cell>
          <cell r="DT179">
            <v>2000</v>
          </cell>
          <cell r="DU179">
            <v>3000</v>
          </cell>
          <cell r="DV179">
            <v>2000</v>
          </cell>
          <cell r="DW179">
            <v>2000</v>
          </cell>
          <cell r="DX179">
            <v>2000</v>
          </cell>
          <cell r="DY179">
            <v>3000</v>
          </cell>
          <cell r="DZ179">
            <v>3000</v>
          </cell>
          <cell r="EB179">
            <v>5000</v>
          </cell>
          <cell r="EC179">
            <v>3000</v>
          </cell>
          <cell r="ED179">
            <v>3000</v>
          </cell>
          <cell r="EE179" t="str">
            <v>ACTIVO</v>
          </cell>
          <cell r="EF179" t="str">
            <v>C</v>
          </cell>
          <cell r="EG179">
            <v>10000</v>
          </cell>
          <cell r="EH179">
            <v>2333.3333333333335</v>
          </cell>
          <cell r="EI179">
            <v>388.88888888888891</v>
          </cell>
          <cell r="EJ179">
            <v>1607.5086575456082</v>
          </cell>
          <cell r="EK179">
            <v>9000</v>
          </cell>
          <cell r="EL179">
            <v>264600</v>
          </cell>
          <cell r="EM179">
            <v>3.8571428571428568</v>
          </cell>
          <cell r="EN179">
            <v>2333.3333333333335</v>
          </cell>
          <cell r="EO179">
            <v>777.77777777777783</v>
          </cell>
          <cell r="EP179">
            <v>3111.1111111111113</v>
          </cell>
        </row>
        <row r="180">
          <cell r="F180">
            <v>405205</v>
          </cell>
          <cell r="G180" t="str">
            <v>ETIQ.CIRCULAR 9cm IMPR. TORTA SAN JORGE LÚCUMA ARTESANAL JUMBO</v>
          </cell>
          <cell r="I180">
            <v>2000</v>
          </cell>
          <cell r="J180">
            <v>2000</v>
          </cell>
          <cell r="K180">
            <v>2000</v>
          </cell>
          <cell r="M180">
            <v>1000</v>
          </cell>
          <cell r="N180">
            <v>1000</v>
          </cell>
          <cell r="O180">
            <v>4000</v>
          </cell>
          <cell r="P180">
            <v>3000</v>
          </cell>
          <cell r="Q180">
            <v>1</v>
          </cell>
          <cell r="R180">
            <v>2000</v>
          </cell>
          <cell r="S180">
            <v>3000</v>
          </cell>
          <cell r="T180">
            <v>4000</v>
          </cell>
          <cell r="U180">
            <v>4000</v>
          </cell>
          <cell r="V180">
            <v>4000</v>
          </cell>
          <cell r="W180">
            <v>4000</v>
          </cell>
          <cell r="X180">
            <v>9000</v>
          </cell>
          <cell r="Z180">
            <v>2000</v>
          </cell>
          <cell r="AA180">
            <v>4000</v>
          </cell>
          <cell r="AB180">
            <v>7000</v>
          </cell>
          <cell r="AC180">
            <v>4000</v>
          </cell>
          <cell r="AE180">
            <v>11000</v>
          </cell>
          <cell r="AF180">
            <v>3000</v>
          </cell>
          <cell r="AG180">
            <v>3000</v>
          </cell>
          <cell r="AH180">
            <v>4000</v>
          </cell>
          <cell r="AI180">
            <v>5000</v>
          </cell>
          <cell r="AJ180">
            <v>4000</v>
          </cell>
          <cell r="AK180">
            <v>5000</v>
          </cell>
          <cell r="AL180">
            <v>6000</v>
          </cell>
          <cell r="AM180">
            <v>6000</v>
          </cell>
          <cell r="AN180">
            <v>6000</v>
          </cell>
          <cell r="AO180">
            <v>6000</v>
          </cell>
          <cell r="AP180">
            <v>6000</v>
          </cell>
          <cell r="AQ180">
            <v>6000</v>
          </cell>
          <cell r="AS180">
            <v>5000</v>
          </cell>
          <cell r="AT180">
            <v>6000</v>
          </cell>
          <cell r="AU180">
            <v>1000</v>
          </cell>
          <cell r="AV180">
            <v>8000</v>
          </cell>
          <cell r="AW180">
            <v>6000</v>
          </cell>
          <cell r="AX180">
            <v>11000</v>
          </cell>
          <cell r="AY180">
            <v>7000</v>
          </cell>
          <cell r="BA180">
            <v>13000</v>
          </cell>
          <cell r="BB180">
            <v>7000</v>
          </cell>
          <cell r="BD180">
            <v>5000</v>
          </cell>
          <cell r="BE180">
            <v>7000</v>
          </cell>
          <cell r="BF180">
            <v>7</v>
          </cell>
          <cell r="BG180">
            <v>22993</v>
          </cell>
          <cell r="BH180">
            <v>12000</v>
          </cell>
          <cell r="BJ180">
            <v>5000</v>
          </cell>
          <cell r="BK180">
            <v>18000</v>
          </cell>
          <cell r="BM180">
            <v>2000</v>
          </cell>
          <cell r="BN180">
            <v>8000</v>
          </cell>
          <cell r="BO180">
            <v>15000</v>
          </cell>
          <cell r="BQ180">
            <v>8000</v>
          </cell>
          <cell r="BR180">
            <v>8000</v>
          </cell>
          <cell r="BS180">
            <v>2000</v>
          </cell>
          <cell r="BT180">
            <v>17000</v>
          </cell>
          <cell r="BU180">
            <v>1000</v>
          </cell>
          <cell r="BV180">
            <v>1000</v>
          </cell>
          <cell r="BW180">
            <v>14000</v>
          </cell>
          <cell r="BX180">
            <v>7000</v>
          </cell>
          <cell r="BY180">
            <v>17000</v>
          </cell>
          <cell r="CA180">
            <v>16000</v>
          </cell>
          <cell r="CB180">
            <v>8000</v>
          </cell>
          <cell r="CD180">
            <v>8000</v>
          </cell>
          <cell r="CE180">
            <v>12000</v>
          </cell>
          <cell r="CF180">
            <v>15000</v>
          </cell>
          <cell r="CG180">
            <v>7000</v>
          </cell>
          <cell r="CI180">
            <v>14000</v>
          </cell>
          <cell r="CJ180">
            <v>7000</v>
          </cell>
          <cell r="CL180">
            <v>7000</v>
          </cell>
          <cell r="CM180">
            <v>7000</v>
          </cell>
          <cell r="CN180">
            <v>14000</v>
          </cell>
          <cell r="CO180">
            <v>7000</v>
          </cell>
          <cell r="CP180">
            <v>7000</v>
          </cell>
          <cell r="CR180">
            <v>5000</v>
          </cell>
          <cell r="CT180">
            <v>13000</v>
          </cell>
          <cell r="CU180">
            <v>7000</v>
          </cell>
          <cell r="CV180">
            <v>6000</v>
          </cell>
          <cell r="CW180">
            <v>7000</v>
          </cell>
          <cell r="CX180">
            <v>3000</v>
          </cell>
          <cell r="CY180">
            <v>8000</v>
          </cell>
          <cell r="CZ180">
            <v>9000</v>
          </cell>
          <cell r="DB180">
            <v>10000</v>
          </cell>
          <cell r="DC180">
            <v>6000</v>
          </cell>
          <cell r="DE180">
            <v>9000</v>
          </cell>
          <cell r="DF180">
            <v>6000</v>
          </cell>
          <cell r="DG180">
            <v>10000</v>
          </cell>
          <cell r="DK180">
            <v>12000</v>
          </cell>
          <cell r="DL180">
            <v>3000</v>
          </cell>
          <cell r="DN180">
            <v>7000</v>
          </cell>
          <cell r="DO180">
            <v>9000</v>
          </cell>
          <cell r="DP180">
            <v>6000</v>
          </cell>
          <cell r="DQ180">
            <v>6000</v>
          </cell>
          <cell r="DR180">
            <v>6000</v>
          </cell>
          <cell r="DS180">
            <v>6000</v>
          </cell>
          <cell r="DT180">
            <v>12000</v>
          </cell>
          <cell r="DU180">
            <v>6000</v>
          </cell>
          <cell r="DV180">
            <v>6000</v>
          </cell>
          <cell r="DW180">
            <v>6000</v>
          </cell>
          <cell r="DX180">
            <v>6000</v>
          </cell>
          <cell r="DY180">
            <v>16000</v>
          </cell>
          <cell r="DZ180">
            <v>5000</v>
          </cell>
          <cell r="EB180">
            <v>12000</v>
          </cell>
          <cell r="EC180">
            <v>6000</v>
          </cell>
          <cell r="ED180">
            <v>6000</v>
          </cell>
          <cell r="EE180" t="str">
            <v>ACTIVO</v>
          </cell>
          <cell r="EF180" t="str">
            <v>C</v>
          </cell>
          <cell r="EG180">
            <v>10000</v>
          </cell>
          <cell r="EH180">
            <v>7466.666666666667</v>
          </cell>
          <cell r="EI180">
            <v>1244.4444444444446</v>
          </cell>
          <cell r="EJ180">
            <v>4480.8535772202822</v>
          </cell>
          <cell r="EK180">
            <v>12000</v>
          </cell>
          <cell r="EL180">
            <v>352800</v>
          </cell>
          <cell r="EM180">
            <v>1.607142857142857</v>
          </cell>
          <cell r="EN180">
            <v>7466.6666666666679</v>
          </cell>
          <cell r="EO180">
            <v>2488.8888888888891</v>
          </cell>
          <cell r="EP180">
            <v>9955.5555555555566</v>
          </cell>
        </row>
        <row r="181">
          <cell r="F181">
            <v>393423</v>
          </cell>
          <cell r="G181" t="str">
            <v>ETIQUETA CIRCULAR 9cm TORTA PANQUEQUE CHOCOLATE GUINDA</v>
          </cell>
          <cell r="AA181">
            <v>2000</v>
          </cell>
          <cell r="AC181">
            <v>1000</v>
          </cell>
          <cell r="AE181">
            <v>2000</v>
          </cell>
          <cell r="AF181">
            <v>1000</v>
          </cell>
          <cell r="AH181">
            <v>1000</v>
          </cell>
          <cell r="AI181">
            <v>1000</v>
          </cell>
          <cell r="AJ181">
            <v>1000</v>
          </cell>
          <cell r="AK181">
            <v>1000</v>
          </cell>
          <cell r="AL181">
            <v>1000</v>
          </cell>
          <cell r="AM181">
            <v>1000</v>
          </cell>
          <cell r="AN181">
            <v>1000</v>
          </cell>
          <cell r="AP181">
            <v>1000</v>
          </cell>
          <cell r="AQ181">
            <v>1000</v>
          </cell>
          <cell r="AS181">
            <v>1000</v>
          </cell>
          <cell r="AT181">
            <v>1000</v>
          </cell>
          <cell r="AV181">
            <v>1000</v>
          </cell>
          <cell r="AW181">
            <v>1000</v>
          </cell>
          <cell r="AX181">
            <v>5000</v>
          </cell>
          <cell r="BA181">
            <v>2000</v>
          </cell>
          <cell r="BD181">
            <v>1000</v>
          </cell>
          <cell r="BE181">
            <v>1000</v>
          </cell>
          <cell r="BF181">
            <v>1</v>
          </cell>
          <cell r="BG181">
            <v>1999</v>
          </cell>
          <cell r="BH181">
            <v>1000</v>
          </cell>
          <cell r="BK181">
            <v>2000</v>
          </cell>
          <cell r="BL181">
            <v>1000</v>
          </cell>
          <cell r="BM181">
            <v>3000</v>
          </cell>
          <cell r="BN181">
            <v>1000</v>
          </cell>
          <cell r="BO181">
            <v>3000</v>
          </cell>
          <cell r="BP181">
            <v>1000</v>
          </cell>
          <cell r="BQ181">
            <v>1000</v>
          </cell>
          <cell r="BR181">
            <v>2000</v>
          </cell>
          <cell r="BT181">
            <v>3000</v>
          </cell>
          <cell r="BW181">
            <v>2000</v>
          </cell>
          <cell r="BX181">
            <v>1000</v>
          </cell>
          <cell r="BY181">
            <v>1000</v>
          </cell>
          <cell r="BZ181">
            <v>2000</v>
          </cell>
          <cell r="CA181">
            <v>4000</v>
          </cell>
          <cell r="CB181">
            <v>1000</v>
          </cell>
          <cell r="CD181">
            <v>3000</v>
          </cell>
          <cell r="CE181">
            <v>1000</v>
          </cell>
          <cell r="CF181">
            <v>4000</v>
          </cell>
          <cell r="CG181">
            <v>1000</v>
          </cell>
          <cell r="CI181">
            <v>2000</v>
          </cell>
          <cell r="CJ181">
            <v>1000</v>
          </cell>
          <cell r="CL181">
            <v>1000</v>
          </cell>
          <cell r="CM181">
            <v>1000</v>
          </cell>
          <cell r="CN181">
            <v>2000</v>
          </cell>
          <cell r="CO181">
            <v>2000</v>
          </cell>
          <cell r="CP181">
            <v>3000</v>
          </cell>
          <cell r="CQ181">
            <v>1000</v>
          </cell>
          <cell r="CR181">
            <v>1000</v>
          </cell>
          <cell r="CT181">
            <v>2000</v>
          </cell>
          <cell r="CU181">
            <v>1000</v>
          </cell>
          <cell r="CV181">
            <v>2000</v>
          </cell>
          <cell r="CW181">
            <v>1000</v>
          </cell>
          <cell r="CY181">
            <v>2000</v>
          </cell>
          <cell r="DB181">
            <v>4000</v>
          </cell>
          <cell r="DC181">
            <v>3000</v>
          </cell>
          <cell r="DD181">
            <v>1000</v>
          </cell>
          <cell r="DE181">
            <v>1000</v>
          </cell>
          <cell r="DL181">
            <v>1000</v>
          </cell>
          <cell r="DO181">
            <v>1000</v>
          </cell>
          <cell r="DQ181">
            <v>1000</v>
          </cell>
          <cell r="DR181">
            <v>1000</v>
          </cell>
          <cell r="DS181">
            <v>1000</v>
          </cell>
          <cell r="DT181">
            <v>3000</v>
          </cell>
          <cell r="DU181">
            <v>3000</v>
          </cell>
          <cell r="DW181">
            <v>3000</v>
          </cell>
          <cell r="DX181">
            <v>2000</v>
          </cell>
          <cell r="DY181">
            <v>1000</v>
          </cell>
          <cell r="DZ181">
            <v>1000</v>
          </cell>
          <cell r="EB181">
            <v>2000</v>
          </cell>
          <cell r="EC181">
            <v>2000</v>
          </cell>
          <cell r="ED181">
            <v>2000</v>
          </cell>
          <cell r="EE181" t="str">
            <v>ACTIVO</v>
          </cell>
          <cell r="EF181" t="str">
            <v>C</v>
          </cell>
          <cell r="EG181">
            <v>10000</v>
          </cell>
          <cell r="EH181">
            <v>1636.3636363636363</v>
          </cell>
          <cell r="EI181">
            <v>272.72727272727269</v>
          </cell>
          <cell r="EJ181">
            <v>982.42015445846891</v>
          </cell>
          <cell r="EK181">
            <v>9000</v>
          </cell>
          <cell r="EL181">
            <v>204300</v>
          </cell>
          <cell r="EM181">
            <v>5.5</v>
          </cell>
          <cell r="EN181">
            <v>1636.363636363636</v>
          </cell>
          <cell r="EO181">
            <v>545.45454545454538</v>
          </cell>
          <cell r="EP181">
            <v>2181.8181818181815</v>
          </cell>
        </row>
        <row r="182">
          <cell r="F182">
            <v>393421</v>
          </cell>
          <cell r="G182" t="str">
            <v>ETIQUETA CIRCULAR 9cm TORTA CHOCOLATE REAL</v>
          </cell>
          <cell r="AA182">
            <v>2000</v>
          </cell>
          <cell r="AC182">
            <v>1000</v>
          </cell>
          <cell r="AE182">
            <v>2000</v>
          </cell>
          <cell r="AF182">
            <v>1000</v>
          </cell>
          <cell r="AG182">
            <v>1000</v>
          </cell>
          <cell r="AH182">
            <v>1000</v>
          </cell>
          <cell r="AI182">
            <v>1000</v>
          </cell>
          <cell r="AJ182">
            <v>1000</v>
          </cell>
          <cell r="AK182">
            <v>1000</v>
          </cell>
          <cell r="AL182">
            <v>1000</v>
          </cell>
          <cell r="AM182">
            <v>1000</v>
          </cell>
          <cell r="AN182">
            <v>1000</v>
          </cell>
          <cell r="AP182">
            <v>1000</v>
          </cell>
          <cell r="AQ182">
            <v>1000</v>
          </cell>
          <cell r="AS182">
            <v>1000</v>
          </cell>
          <cell r="AT182">
            <v>1000</v>
          </cell>
          <cell r="AV182">
            <v>1000</v>
          </cell>
          <cell r="AW182">
            <v>3000</v>
          </cell>
          <cell r="AX182">
            <v>2000</v>
          </cell>
          <cell r="BA182">
            <v>1000</v>
          </cell>
          <cell r="BD182">
            <v>1000</v>
          </cell>
          <cell r="BG182">
            <v>1000</v>
          </cell>
          <cell r="BH182">
            <v>1000</v>
          </cell>
          <cell r="BK182">
            <v>2000</v>
          </cell>
          <cell r="BM182">
            <v>1000</v>
          </cell>
          <cell r="BN182">
            <v>1000</v>
          </cell>
          <cell r="BO182">
            <v>2000</v>
          </cell>
          <cell r="BQ182">
            <v>1000</v>
          </cell>
          <cell r="BR182">
            <v>1000</v>
          </cell>
          <cell r="BT182">
            <v>2000</v>
          </cell>
          <cell r="BV182">
            <v>1000</v>
          </cell>
          <cell r="BW182">
            <v>1000</v>
          </cell>
          <cell r="BX182">
            <v>1000</v>
          </cell>
          <cell r="CA182">
            <v>2000</v>
          </cell>
          <cell r="CB182">
            <v>2000</v>
          </cell>
          <cell r="CD182">
            <v>1000</v>
          </cell>
          <cell r="CF182">
            <v>2000</v>
          </cell>
          <cell r="CG182">
            <v>1000</v>
          </cell>
          <cell r="CI182">
            <v>2000</v>
          </cell>
          <cell r="CJ182">
            <v>1000</v>
          </cell>
          <cell r="CL182">
            <v>1000</v>
          </cell>
          <cell r="CM182">
            <v>1000</v>
          </cell>
          <cell r="CN182">
            <v>2000</v>
          </cell>
          <cell r="CO182">
            <v>1000</v>
          </cell>
          <cell r="CP182">
            <v>1000</v>
          </cell>
          <cell r="CT182">
            <v>2000</v>
          </cell>
          <cell r="CV182">
            <v>1000</v>
          </cell>
          <cell r="CW182">
            <v>1000</v>
          </cell>
          <cell r="CY182">
            <v>1000</v>
          </cell>
          <cell r="CZ182">
            <v>1000</v>
          </cell>
          <cell r="DB182">
            <v>1000</v>
          </cell>
          <cell r="DC182">
            <v>1000</v>
          </cell>
          <cell r="DE182">
            <v>1000</v>
          </cell>
          <cell r="DF182">
            <v>1000</v>
          </cell>
          <cell r="DG182">
            <v>1000</v>
          </cell>
          <cell r="DJ182">
            <v>1000</v>
          </cell>
          <cell r="DK182">
            <v>2000</v>
          </cell>
          <cell r="DL182">
            <v>1000</v>
          </cell>
          <cell r="DN182">
            <v>1000</v>
          </cell>
          <cell r="DO182">
            <v>1000</v>
          </cell>
          <cell r="DQ182">
            <v>1000</v>
          </cell>
          <cell r="DR182">
            <v>1000</v>
          </cell>
          <cell r="DS182">
            <v>1000</v>
          </cell>
          <cell r="DU182">
            <v>1000</v>
          </cell>
          <cell r="DW182">
            <v>1000</v>
          </cell>
          <cell r="DX182">
            <v>1000</v>
          </cell>
          <cell r="DY182">
            <v>2000</v>
          </cell>
          <cell r="EB182">
            <v>2000</v>
          </cell>
          <cell r="ED182">
            <v>1000</v>
          </cell>
          <cell r="EE182" t="str">
            <v>ACTIVO</v>
          </cell>
          <cell r="EF182" t="str">
            <v>C</v>
          </cell>
          <cell r="EG182">
            <v>10000</v>
          </cell>
          <cell r="EH182">
            <v>1166.6666666666667</v>
          </cell>
          <cell r="EI182">
            <v>194.44444444444446</v>
          </cell>
          <cell r="EJ182">
            <v>452.26701686664546</v>
          </cell>
          <cell r="EK182">
            <v>6000</v>
          </cell>
          <cell r="EL182">
            <v>135720</v>
          </cell>
          <cell r="EM182">
            <v>5.1428571428571423</v>
          </cell>
          <cell r="EN182">
            <v>1166.6666666666667</v>
          </cell>
          <cell r="EO182">
            <v>388.88888888888891</v>
          </cell>
          <cell r="EP182">
            <v>1555.5555555555557</v>
          </cell>
        </row>
        <row r="183">
          <cell r="F183">
            <v>393425</v>
          </cell>
          <cell r="G183" t="str">
            <v>ETIQUETA CIRCULAR 9cm TORTA SELVA NEGRA VEGANA</v>
          </cell>
          <cell r="AA183">
            <v>1000</v>
          </cell>
          <cell r="AB183">
            <v>1000</v>
          </cell>
          <cell r="AC183">
            <v>1000</v>
          </cell>
          <cell r="AE183">
            <v>2000</v>
          </cell>
          <cell r="AF183">
            <v>1000</v>
          </cell>
          <cell r="AH183">
            <v>2000</v>
          </cell>
          <cell r="AI183">
            <v>1000</v>
          </cell>
          <cell r="AJ183">
            <v>1000</v>
          </cell>
          <cell r="AK183">
            <v>1000</v>
          </cell>
          <cell r="AL183">
            <v>1000</v>
          </cell>
          <cell r="AM183">
            <v>1000</v>
          </cell>
          <cell r="AN183">
            <v>1000</v>
          </cell>
          <cell r="AO183">
            <v>1000</v>
          </cell>
          <cell r="AP183">
            <v>2000</v>
          </cell>
          <cell r="AQ183">
            <v>1000</v>
          </cell>
          <cell r="AS183">
            <v>1000</v>
          </cell>
          <cell r="AT183">
            <v>1000</v>
          </cell>
          <cell r="AV183">
            <v>1000</v>
          </cell>
          <cell r="AW183">
            <v>1000</v>
          </cell>
          <cell r="AX183">
            <v>1000</v>
          </cell>
          <cell r="BC183">
            <v>1000</v>
          </cell>
          <cell r="BF183">
            <v>2</v>
          </cell>
          <cell r="BG183">
            <v>2998</v>
          </cell>
          <cell r="BH183">
            <v>1000</v>
          </cell>
          <cell r="BK183">
            <v>2000</v>
          </cell>
          <cell r="BM183">
            <v>1000</v>
          </cell>
          <cell r="BN183">
            <v>1000</v>
          </cell>
          <cell r="BO183">
            <v>2000</v>
          </cell>
          <cell r="BQ183">
            <v>1000</v>
          </cell>
          <cell r="BR183">
            <v>1000</v>
          </cell>
          <cell r="BT183">
            <v>2000</v>
          </cell>
          <cell r="BV183">
            <v>1000</v>
          </cell>
          <cell r="BW183">
            <v>2000</v>
          </cell>
          <cell r="BX183">
            <v>2000</v>
          </cell>
          <cell r="CA183">
            <v>1000</v>
          </cell>
          <cell r="CG183">
            <v>1000</v>
          </cell>
          <cell r="CI183">
            <v>1000</v>
          </cell>
          <cell r="CJ183">
            <v>1000</v>
          </cell>
          <cell r="CN183">
            <v>2000</v>
          </cell>
          <cell r="CO183">
            <v>1000</v>
          </cell>
          <cell r="CT183">
            <v>1000</v>
          </cell>
          <cell r="CU183">
            <v>1000</v>
          </cell>
          <cell r="CV183">
            <v>1000</v>
          </cell>
          <cell r="CW183">
            <v>1000</v>
          </cell>
          <cell r="DB183">
            <v>1000</v>
          </cell>
          <cell r="DC183">
            <v>1000</v>
          </cell>
          <cell r="DE183">
            <v>1000</v>
          </cell>
          <cell r="DF183">
            <v>1000</v>
          </cell>
          <cell r="DJ183">
            <v>1000</v>
          </cell>
          <cell r="DK183">
            <v>2000</v>
          </cell>
          <cell r="DL183">
            <v>1000</v>
          </cell>
          <cell r="DN183">
            <v>1000</v>
          </cell>
          <cell r="DO183">
            <v>1000</v>
          </cell>
          <cell r="DU183">
            <v>1000</v>
          </cell>
          <cell r="DW183">
            <v>1000</v>
          </cell>
          <cell r="DY183">
            <v>2000</v>
          </cell>
          <cell r="EB183">
            <v>2000</v>
          </cell>
          <cell r="ED183">
            <v>1000</v>
          </cell>
          <cell r="EE183" t="str">
            <v>ACTIVO</v>
          </cell>
          <cell r="EF183" t="str">
            <v>C</v>
          </cell>
          <cell r="EG183">
            <v>10000</v>
          </cell>
          <cell r="EH183">
            <v>1250</v>
          </cell>
          <cell r="EI183">
            <v>208.33333333333334</v>
          </cell>
          <cell r="EJ183">
            <v>435.88989435406734</v>
          </cell>
          <cell r="EK183">
            <v>3000</v>
          </cell>
          <cell r="EL183">
            <v>66810</v>
          </cell>
          <cell r="EM183">
            <v>2.4</v>
          </cell>
          <cell r="EN183">
            <v>1250</v>
          </cell>
          <cell r="EO183">
            <v>416.66666666666669</v>
          </cell>
          <cell r="EP183">
            <v>1666.6666666666667</v>
          </cell>
        </row>
        <row r="184">
          <cell r="F184">
            <v>393424</v>
          </cell>
          <cell r="G184" t="str">
            <v>ETIQUETA CIRCULAR 9cm TORTA PIÑA VEGANA</v>
          </cell>
          <cell r="AA184">
            <v>1000</v>
          </cell>
          <cell r="AC184">
            <v>2000</v>
          </cell>
          <cell r="AE184">
            <v>1000</v>
          </cell>
          <cell r="AF184">
            <v>1000</v>
          </cell>
          <cell r="AG184">
            <v>1000</v>
          </cell>
          <cell r="AH184">
            <v>2000</v>
          </cell>
          <cell r="AI184">
            <v>1000</v>
          </cell>
          <cell r="AJ184">
            <v>1000</v>
          </cell>
          <cell r="AK184">
            <v>1000</v>
          </cell>
          <cell r="AL184">
            <v>1000</v>
          </cell>
          <cell r="AQ184">
            <v>1000</v>
          </cell>
          <cell r="AS184">
            <v>1000</v>
          </cell>
          <cell r="AV184">
            <v>1000</v>
          </cell>
          <cell r="AW184">
            <v>1000</v>
          </cell>
          <cell r="AX184">
            <v>2000</v>
          </cell>
          <cell r="BF184">
            <v>1</v>
          </cell>
          <cell r="BG184">
            <v>1999</v>
          </cell>
          <cell r="BH184">
            <v>1000</v>
          </cell>
          <cell r="BK184">
            <v>2000</v>
          </cell>
          <cell r="BM184">
            <v>1000</v>
          </cell>
          <cell r="BN184">
            <v>1000</v>
          </cell>
          <cell r="BO184">
            <v>2000</v>
          </cell>
          <cell r="BS184">
            <v>1000</v>
          </cell>
          <cell r="EE184" t="str">
            <v>SIN USO</v>
          </cell>
          <cell r="EF184" t="str">
            <v>C</v>
          </cell>
          <cell r="EG184">
            <v>10000</v>
          </cell>
          <cell r="EH184">
            <v>0</v>
          </cell>
          <cell r="EI184">
            <v>0</v>
          </cell>
          <cell r="EJ184">
            <v>516.39777949432244</v>
          </cell>
          <cell r="EK184">
            <v>0</v>
          </cell>
          <cell r="EL184">
            <v>0</v>
          </cell>
          <cell r="EM184">
            <v>0</v>
          </cell>
          <cell r="EN184">
            <v>0</v>
          </cell>
          <cell r="EO184">
            <v>0</v>
          </cell>
          <cell r="EP184">
            <v>0</v>
          </cell>
        </row>
        <row r="185">
          <cell r="F185">
            <v>393422</v>
          </cell>
          <cell r="G185" t="str">
            <v>ETIQUETA CIRCULAR 9cm TORTA CALUGA</v>
          </cell>
          <cell r="AA185">
            <v>1000</v>
          </cell>
          <cell r="AC185">
            <v>1000</v>
          </cell>
          <cell r="AE185">
            <v>1000</v>
          </cell>
          <cell r="AF185">
            <v>1000</v>
          </cell>
          <cell r="AH185">
            <v>1000</v>
          </cell>
          <cell r="AJ185">
            <v>1000</v>
          </cell>
          <cell r="AK185">
            <v>1000</v>
          </cell>
          <cell r="AL185">
            <v>1000</v>
          </cell>
          <cell r="AM185">
            <v>1000</v>
          </cell>
          <cell r="BO185">
            <v>2000</v>
          </cell>
          <cell r="BQ185">
            <v>1000</v>
          </cell>
          <cell r="BR185">
            <v>1000</v>
          </cell>
          <cell r="BT185">
            <v>2000</v>
          </cell>
          <cell r="BV185">
            <v>1000</v>
          </cell>
          <cell r="BW185">
            <v>1000</v>
          </cell>
          <cell r="CA185">
            <v>2000</v>
          </cell>
          <cell r="CB185">
            <v>1000</v>
          </cell>
          <cell r="CD185">
            <v>1000</v>
          </cell>
          <cell r="CF185">
            <v>2000</v>
          </cell>
          <cell r="CG185">
            <v>1000</v>
          </cell>
          <cell r="CI185">
            <v>2000</v>
          </cell>
          <cell r="CM185">
            <v>1000</v>
          </cell>
          <cell r="CN185">
            <v>1000</v>
          </cell>
          <cell r="CO185">
            <v>1000</v>
          </cell>
          <cell r="CP185">
            <v>1000</v>
          </cell>
          <cell r="CQ185">
            <v>1000</v>
          </cell>
          <cell r="CT185">
            <v>2000</v>
          </cell>
          <cell r="CV185">
            <v>1000</v>
          </cell>
          <cell r="CY185">
            <v>1000</v>
          </cell>
          <cell r="CZ185">
            <v>1000</v>
          </cell>
          <cell r="DB185">
            <v>1000</v>
          </cell>
          <cell r="DC185">
            <v>1000</v>
          </cell>
          <cell r="DE185">
            <v>1000</v>
          </cell>
          <cell r="DG185">
            <v>1000</v>
          </cell>
          <cell r="DJ185">
            <v>1000</v>
          </cell>
          <cell r="DK185">
            <v>2000</v>
          </cell>
          <cell r="DL185">
            <v>1000</v>
          </cell>
          <cell r="DN185">
            <v>1000</v>
          </cell>
          <cell r="DO185">
            <v>1000</v>
          </cell>
          <cell r="DV185">
            <v>1000</v>
          </cell>
          <cell r="DW185">
            <v>1000</v>
          </cell>
          <cell r="DX185">
            <v>1000</v>
          </cell>
          <cell r="DY185">
            <v>2000</v>
          </cell>
          <cell r="EE185" t="str">
            <v>SIN USO</v>
          </cell>
          <cell r="EF185" t="str">
            <v>C</v>
          </cell>
          <cell r="EG185">
            <v>10000</v>
          </cell>
          <cell r="EH185">
            <v>1222.2222222222222</v>
          </cell>
          <cell r="EI185">
            <v>203.7037037037037</v>
          </cell>
          <cell r="EJ185">
            <v>435.88989435406734</v>
          </cell>
          <cell r="EK185">
            <v>8000</v>
          </cell>
          <cell r="EL185">
            <v>179440</v>
          </cell>
          <cell r="EM185">
            <v>6.5454545454545459</v>
          </cell>
          <cell r="EN185">
            <v>1222.2222222222222</v>
          </cell>
          <cell r="EO185">
            <v>407.40740740740739</v>
          </cell>
          <cell r="EP185">
            <v>1629.6296296296296</v>
          </cell>
        </row>
        <row r="186">
          <cell r="F186">
            <v>405302</v>
          </cell>
          <cell r="G186" t="str">
            <v>ETIQ. CIRCULAR 9cm IMPR. PIE DE MARACUYÁ ESPECIAL JUMBO</v>
          </cell>
          <cell r="AB186">
            <v>1000</v>
          </cell>
          <cell r="AE186">
            <v>1000</v>
          </cell>
          <cell r="AF186">
            <v>1000</v>
          </cell>
          <cell r="AG186">
            <v>1000</v>
          </cell>
          <cell r="AH186">
            <v>1000</v>
          </cell>
          <cell r="AI186">
            <v>1000</v>
          </cell>
          <cell r="AJ186">
            <v>1000</v>
          </cell>
          <cell r="AK186">
            <v>1000</v>
          </cell>
          <cell r="AL186">
            <v>1000</v>
          </cell>
          <cell r="AM186">
            <v>1000</v>
          </cell>
          <cell r="AN186">
            <v>1000</v>
          </cell>
          <cell r="AQ186">
            <v>1000</v>
          </cell>
          <cell r="AS186">
            <v>1000</v>
          </cell>
          <cell r="AT186">
            <v>1000</v>
          </cell>
          <cell r="AV186">
            <v>1000</v>
          </cell>
          <cell r="AW186">
            <v>1000</v>
          </cell>
          <cell r="AX186">
            <v>1000</v>
          </cell>
          <cell r="BA186">
            <v>2000</v>
          </cell>
          <cell r="BB186">
            <v>1000</v>
          </cell>
          <cell r="BD186">
            <v>1000</v>
          </cell>
          <cell r="BE186">
            <v>1000</v>
          </cell>
          <cell r="BF186">
            <v>1</v>
          </cell>
          <cell r="BG186">
            <v>1999</v>
          </cell>
          <cell r="BH186">
            <v>1000</v>
          </cell>
          <cell r="BJ186">
            <v>1000</v>
          </cell>
          <cell r="BK186">
            <v>2000</v>
          </cell>
          <cell r="BM186">
            <v>3000</v>
          </cell>
          <cell r="BN186">
            <v>1000</v>
          </cell>
          <cell r="BO186">
            <v>2000</v>
          </cell>
          <cell r="BQ186">
            <v>1000</v>
          </cell>
          <cell r="BR186">
            <v>1000</v>
          </cell>
          <cell r="BT186">
            <v>2000</v>
          </cell>
          <cell r="BV186">
            <v>1000</v>
          </cell>
          <cell r="BW186">
            <v>1000</v>
          </cell>
          <cell r="BX186">
            <v>1000</v>
          </cell>
          <cell r="CA186">
            <v>2000</v>
          </cell>
          <cell r="CB186">
            <v>1000</v>
          </cell>
          <cell r="CD186">
            <v>1000</v>
          </cell>
          <cell r="CF186">
            <v>1000</v>
          </cell>
          <cell r="CI186">
            <v>2000</v>
          </cell>
          <cell r="CJ186">
            <v>1000</v>
          </cell>
          <cell r="CL186">
            <v>1000</v>
          </cell>
          <cell r="CM186">
            <v>1000</v>
          </cell>
          <cell r="CN186">
            <v>2000</v>
          </cell>
          <cell r="CO186">
            <v>1000</v>
          </cell>
          <cell r="CP186">
            <v>1000</v>
          </cell>
          <cell r="CT186">
            <v>2000</v>
          </cell>
          <cell r="CV186">
            <v>1000</v>
          </cell>
          <cell r="CW186">
            <v>1000</v>
          </cell>
          <cell r="CY186">
            <v>1000</v>
          </cell>
          <cell r="CZ186">
            <v>1000</v>
          </cell>
          <cell r="DB186">
            <v>1000</v>
          </cell>
          <cell r="DC186">
            <v>1000</v>
          </cell>
          <cell r="DE186">
            <v>1000</v>
          </cell>
          <cell r="DF186">
            <v>1000</v>
          </cell>
          <cell r="DG186">
            <v>1000</v>
          </cell>
          <cell r="DJ186">
            <v>1000</v>
          </cell>
          <cell r="DK186">
            <v>2000</v>
          </cell>
          <cell r="DL186">
            <v>1000</v>
          </cell>
          <cell r="DN186">
            <v>1000</v>
          </cell>
          <cell r="DO186">
            <v>1000</v>
          </cell>
          <cell r="DQ186">
            <v>1000</v>
          </cell>
          <cell r="DR186">
            <v>1000</v>
          </cell>
          <cell r="DS186">
            <v>1000</v>
          </cell>
          <cell r="DT186">
            <v>1000</v>
          </cell>
          <cell r="DU186">
            <v>1000</v>
          </cell>
          <cell r="DW186">
            <v>1000</v>
          </cell>
          <cell r="DX186">
            <v>1000</v>
          </cell>
          <cell r="DY186">
            <v>1000</v>
          </cell>
          <cell r="DZ186">
            <v>1000</v>
          </cell>
          <cell r="EB186">
            <v>2000</v>
          </cell>
          <cell r="ED186">
            <v>2000</v>
          </cell>
          <cell r="EE186" t="str">
            <v>ACTIVO</v>
          </cell>
          <cell r="EF186" t="str">
            <v>C</v>
          </cell>
          <cell r="EG186">
            <v>10000</v>
          </cell>
          <cell r="EH186">
            <v>1071.4285714285713</v>
          </cell>
          <cell r="EI186">
            <v>178.57142857142856</v>
          </cell>
          <cell r="EJ186">
            <v>516.76440913191243</v>
          </cell>
          <cell r="EK186">
            <v>6000</v>
          </cell>
          <cell r="EL186">
            <v>103020</v>
          </cell>
          <cell r="EM186">
            <v>5.6000000000000005</v>
          </cell>
          <cell r="EN186">
            <v>1071.4285714285713</v>
          </cell>
          <cell r="EO186">
            <v>357.14285714285711</v>
          </cell>
          <cell r="EP186">
            <v>1428.5714285714284</v>
          </cell>
        </row>
        <row r="187">
          <cell r="F187">
            <v>405301</v>
          </cell>
          <cell r="G187" t="str">
            <v>ETIQ. CIRCULAR 9cm IMPR. PIE DE FRAMBUESA ESPECIAL JUMBO</v>
          </cell>
          <cell r="AB187">
            <v>1000</v>
          </cell>
          <cell r="AE187">
            <v>1000</v>
          </cell>
          <cell r="AF187">
            <v>1000</v>
          </cell>
          <cell r="AG187">
            <v>1000</v>
          </cell>
          <cell r="AH187">
            <v>1000</v>
          </cell>
          <cell r="AI187">
            <v>1000</v>
          </cell>
          <cell r="AJ187">
            <v>1000</v>
          </cell>
          <cell r="AK187">
            <v>2000</v>
          </cell>
          <cell r="AL187">
            <v>1000</v>
          </cell>
          <cell r="AM187">
            <v>1000</v>
          </cell>
          <cell r="AN187">
            <v>1000</v>
          </cell>
          <cell r="AP187">
            <v>1000</v>
          </cell>
          <cell r="AQ187">
            <v>1000</v>
          </cell>
          <cell r="AS187">
            <v>1000</v>
          </cell>
          <cell r="AT187">
            <v>1000</v>
          </cell>
          <cell r="BE187">
            <v>1000</v>
          </cell>
          <cell r="BL187">
            <v>2000</v>
          </cell>
          <cell r="BU187">
            <v>1000</v>
          </cell>
          <cell r="BV187">
            <v>1000</v>
          </cell>
          <cell r="BX187">
            <v>2000</v>
          </cell>
          <cell r="CA187">
            <v>2000</v>
          </cell>
          <cell r="CB187">
            <v>1000</v>
          </cell>
          <cell r="CD187">
            <v>1000</v>
          </cell>
          <cell r="CE187">
            <v>1000</v>
          </cell>
          <cell r="CF187">
            <v>2000</v>
          </cell>
          <cell r="CG187">
            <v>1000</v>
          </cell>
          <cell r="CI187">
            <v>2000</v>
          </cell>
          <cell r="CJ187">
            <v>1000</v>
          </cell>
          <cell r="CL187">
            <v>1000</v>
          </cell>
          <cell r="CM187">
            <v>1000</v>
          </cell>
          <cell r="CN187">
            <v>2000</v>
          </cell>
          <cell r="CO187">
            <v>1000</v>
          </cell>
          <cell r="CP187">
            <v>1000</v>
          </cell>
          <cell r="CQ187">
            <v>1000</v>
          </cell>
          <cell r="CT187">
            <v>2000</v>
          </cell>
          <cell r="CU187">
            <v>2000</v>
          </cell>
          <cell r="CV187">
            <v>1000</v>
          </cell>
          <cell r="CW187">
            <v>1000</v>
          </cell>
          <cell r="CY187">
            <v>1000</v>
          </cell>
          <cell r="CZ187">
            <v>1000</v>
          </cell>
          <cell r="DB187">
            <v>1000</v>
          </cell>
          <cell r="DC187">
            <v>1000</v>
          </cell>
          <cell r="DE187">
            <v>1000</v>
          </cell>
          <cell r="DF187">
            <v>1000</v>
          </cell>
          <cell r="DG187">
            <v>1000</v>
          </cell>
          <cell r="DJ187">
            <v>1000</v>
          </cell>
          <cell r="DK187">
            <v>2000</v>
          </cell>
          <cell r="DL187">
            <v>1000</v>
          </cell>
          <cell r="DM187">
            <v>1000</v>
          </cell>
          <cell r="DN187">
            <v>1000</v>
          </cell>
          <cell r="DO187">
            <v>1000</v>
          </cell>
          <cell r="DQ187">
            <v>1000</v>
          </cell>
          <cell r="DR187">
            <v>1000</v>
          </cell>
          <cell r="DS187">
            <v>1000</v>
          </cell>
          <cell r="DU187">
            <v>1000</v>
          </cell>
          <cell r="DW187">
            <v>1000</v>
          </cell>
          <cell r="DX187">
            <v>1000</v>
          </cell>
          <cell r="DY187">
            <v>1000</v>
          </cell>
          <cell r="DZ187">
            <v>1000</v>
          </cell>
          <cell r="EB187">
            <v>2000</v>
          </cell>
          <cell r="ED187">
            <v>1000</v>
          </cell>
          <cell r="EE187" t="str">
            <v>ACTIVO</v>
          </cell>
          <cell r="EF187" t="str">
            <v>C</v>
          </cell>
          <cell r="EG187">
            <v>10000</v>
          </cell>
          <cell r="EH187">
            <v>1071.4285714285713</v>
          </cell>
          <cell r="EI187">
            <v>178.57142857142856</v>
          </cell>
          <cell r="EJ187">
            <v>454.85882614734214</v>
          </cell>
          <cell r="EK187">
            <v>4000</v>
          </cell>
          <cell r="EL187">
            <v>68680</v>
          </cell>
          <cell r="EM187">
            <v>3.7333333333333338</v>
          </cell>
          <cell r="EN187">
            <v>1071.4285714285713</v>
          </cell>
          <cell r="EO187">
            <v>357.14285714285711</v>
          </cell>
          <cell r="EP187">
            <v>1428.5714285714284</v>
          </cell>
        </row>
        <row r="188">
          <cell r="F188">
            <v>405034</v>
          </cell>
          <cell r="G188" t="str">
            <v>ETIQUETAS CIRCULAR 9cm IMPR. TORTA HOJA MANJAR</v>
          </cell>
          <cell r="I188">
            <v>5000</v>
          </cell>
          <cell r="J188">
            <v>5000</v>
          </cell>
          <cell r="L188">
            <v>5000</v>
          </cell>
          <cell r="M188">
            <v>6000</v>
          </cell>
          <cell r="P188">
            <v>5000</v>
          </cell>
          <cell r="R188">
            <v>5000</v>
          </cell>
          <cell r="T188">
            <v>5000</v>
          </cell>
          <cell r="V188">
            <v>5000</v>
          </cell>
          <cell r="W188">
            <v>2000</v>
          </cell>
          <cell r="X188">
            <v>10000</v>
          </cell>
          <cell r="Z188">
            <v>2000</v>
          </cell>
          <cell r="AB188">
            <v>15000</v>
          </cell>
          <cell r="AC188">
            <v>10000</v>
          </cell>
          <cell r="AG188">
            <v>5000</v>
          </cell>
          <cell r="AI188">
            <v>5000</v>
          </cell>
          <cell r="AJ188">
            <v>5000</v>
          </cell>
          <cell r="AK188">
            <v>5000</v>
          </cell>
          <cell r="AL188">
            <v>10000</v>
          </cell>
          <cell r="AP188">
            <v>5000</v>
          </cell>
          <cell r="AQ188">
            <v>7000</v>
          </cell>
          <cell r="AR188">
            <v>5000</v>
          </cell>
          <cell r="AV188">
            <v>5000</v>
          </cell>
          <cell r="AX188">
            <v>7000</v>
          </cell>
          <cell r="AZ188">
            <v>5000</v>
          </cell>
          <cell r="BB188">
            <v>5000</v>
          </cell>
          <cell r="BD188">
            <v>4000</v>
          </cell>
          <cell r="BF188">
            <v>3000</v>
          </cell>
          <cell r="BG188">
            <v>5000</v>
          </cell>
          <cell r="BI188">
            <v>5000</v>
          </cell>
          <cell r="BK188">
            <v>5000</v>
          </cell>
          <cell r="BM188">
            <v>5000</v>
          </cell>
          <cell r="BO188">
            <v>3000</v>
          </cell>
          <cell r="BP188">
            <v>5000</v>
          </cell>
          <cell r="BR188">
            <v>3000</v>
          </cell>
          <cell r="BT188">
            <v>5000</v>
          </cell>
          <cell r="BV188">
            <v>5000</v>
          </cell>
          <cell r="BW188">
            <v>5000</v>
          </cell>
          <cell r="BX188">
            <v>7000</v>
          </cell>
          <cell r="BZ188">
            <v>7000</v>
          </cell>
          <cell r="CC188">
            <v>10000</v>
          </cell>
          <cell r="CD188">
            <v>10000</v>
          </cell>
          <cell r="CK188">
            <v>5000</v>
          </cell>
          <cell r="CM188">
            <v>5000</v>
          </cell>
          <cell r="CO188">
            <v>5000</v>
          </cell>
          <cell r="CQ188">
            <v>5000</v>
          </cell>
          <cell r="CR188">
            <v>5000</v>
          </cell>
          <cell r="CU188">
            <v>5000</v>
          </cell>
          <cell r="CV188">
            <v>5000</v>
          </cell>
          <cell r="CX188">
            <v>5000</v>
          </cell>
          <cell r="CZ188">
            <v>9000</v>
          </cell>
          <cell r="DC188">
            <v>5000</v>
          </cell>
          <cell r="DE188">
            <v>5000</v>
          </cell>
          <cell r="DG188">
            <v>4000</v>
          </cell>
          <cell r="DJ188">
            <v>6000</v>
          </cell>
          <cell r="DK188">
            <v>5000</v>
          </cell>
          <cell r="DN188">
            <v>5000</v>
          </cell>
          <cell r="DO188">
            <v>5000</v>
          </cell>
          <cell r="DR188">
            <v>5000</v>
          </cell>
          <cell r="DT188">
            <v>5000</v>
          </cell>
          <cell r="DV188">
            <v>5000</v>
          </cell>
          <cell r="DY188">
            <v>5000</v>
          </cell>
          <cell r="EA188">
            <v>5000</v>
          </cell>
          <cell r="EB188">
            <v>10000</v>
          </cell>
          <cell r="EE188" t="str">
            <v>ACTIVO</v>
          </cell>
          <cell r="EF188" t="str">
            <v>C</v>
          </cell>
          <cell r="EG188">
            <v>10000</v>
          </cell>
          <cell r="EH188">
            <v>5125</v>
          </cell>
          <cell r="EI188">
            <v>854.16666666666663</v>
          </cell>
          <cell r="EJ188">
            <v>1782.3205847059801</v>
          </cell>
          <cell r="EK188">
            <v>10000</v>
          </cell>
          <cell r="EL188">
            <v>171700</v>
          </cell>
          <cell r="EM188">
            <v>1.9512195121951219</v>
          </cell>
          <cell r="EN188">
            <v>5125</v>
          </cell>
          <cell r="EO188">
            <v>1708.3333333333333</v>
          </cell>
          <cell r="EP188">
            <v>6833.333333333333</v>
          </cell>
        </row>
        <row r="189">
          <cell r="F189">
            <v>405128</v>
          </cell>
          <cell r="G189" t="str">
            <v>ETIQUETA CIRCULAR 9cm TORTA HOJA MANJAR JUMBO</v>
          </cell>
          <cell r="I189">
            <v>3000</v>
          </cell>
          <cell r="J189">
            <v>5000</v>
          </cell>
          <cell r="R189">
            <v>2000</v>
          </cell>
          <cell r="T189">
            <v>3000</v>
          </cell>
          <cell r="X189">
            <v>5000</v>
          </cell>
          <cell r="AB189">
            <v>5000</v>
          </cell>
          <cell r="AC189">
            <v>5000</v>
          </cell>
          <cell r="AE189">
            <v>5000</v>
          </cell>
          <cell r="AL189">
            <v>5000</v>
          </cell>
          <cell r="AQ189">
            <v>1000</v>
          </cell>
          <cell r="AR189">
            <v>5000</v>
          </cell>
          <cell r="AZ189">
            <v>5000</v>
          </cell>
          <cell r="BI189">
            <v>5000</v>
          </cell>
          <cell r="BM189">
            <v>5000</v>
          </cell>
          <cell r="BT189">
            <v>5000</v>
          </cell>
          <cell r="BZ189">
            <v>5000</v>
          </cell>
          <cell r="CD189">
            <v>5000</v>
          </cell>
          <cell r="CI189">
            <v>5000</v>
          </cell>
          <cell r="CT189">
            <v>5000</v>
          </cell>
          <cell r="DA189">
            <v>5000</v>
          </cell>
          <cell r="DG189">
            <v>5000</v>
          </cell>
          <cell r="DO189">
            <v>5000</v>
          </cell>
          <cell r="DR189">
            <v>5000</v>
          </cell>
          <cell r="DZ189">
            <v>14000</v>
          </cell>
          <cell r="EC189">
            <v>5000</v>
          </cell>
          <cell r="EE189" t="str">
            <v>ACTIVO</v>
          </cell>
          <cell r="EF189" t="str">
            <v>C</v>
          </cell>
          <cell r="EG189">
            <v>10000</v>
          </cell>
          <cell r="EH189">
            <v>8000</v>
          </cell>
          <cell r="EI189">
            <v>1333.3333333333333</v>
          </cell>
          <cell r="EJ189">
            <v>0</v>
          </cell>
          <cell r="EK189">
            <v>15000</v>
          </cell>
          <cell r="EL189">
            <v>310500</v>
          </cell>
          <cell r="EM189">
            <v>1.875</v>
          </cell>
          <cell r="EN189">
            <v>8000</v>
          </cell>
          <cell r="EO189">
            <v>2666.6666666666665</v>
          </cell>
          <cell r="EP189">
            <v>10666.666666666666</v>
          </cell>
        </row>
        <row r="190">
          <cell r="F190">
            <v>405129</v>
          </cell>
          <cell r="G190" t="str">
            <v>ETIQ.CIRCULAR 9cm IMPR. TORTA HOJA PASTELERA JUMBO</v>
          </cell>
          <cell r="H190">
            <v>10000</v>
          </cell>
          <cell r="J190">
            <v>5000</v>
          </cell>
          <cell r="N190">
            <v>2000</v>
          </cell>
          <cell r="O190">
            <v>2000</v>
          </cell>
          <cell r="R190">
            <v>2000</v>
          </cell>
          <cell r="S190">
            <v>2000</v>
          </cell>
          <cell r="T190">
            <v>3000</v>
          </cell>
          <cell r="V190">
            <v>3000</v>
          </cell>
          <cell r="X190">
            <v>5000</v>
          </cell>
          <cell r="Z190">
            <v>4000</v>
          </cell>
          <cell r="AB190">
            <v>5000</v>
          </cell>
          <cell r="AC190">
            <v>5000</v>
          </cell>
          <cell r="AE190">
            <v>5000</v>
          </cell>
          <cell r="AK190">
            <v>5000</v>
          </cell>
          <cell r="AL190">
            <v>5000</v>
          </cell>
          <cell r="AO190">
            <v>1000</v>
          </cell>
          <cell r="AR190">
            <v>5000</v>
          </cell>
          <cell r="AV190">
            <v>10000</v>
          </cell>
          <cell r="AY190">
            <v>1000</v>
          </cell>
          <cell r="BD190">
            <v>5000</v>
          </cell>
          <cell r="BF190">
            <v>3000</v>
          </cell>
          <cell r="BK190">
            <v>2000</v>
          </cell>
          <cell r="BM190">
            <v>5000</v>
          </cell>
          <cell r="BR190">
            <v>3000</v>
          </cell>
          <cell r="BT190">
            <v>5000</v>
          </cell>
          <cell r="BZ190">
            <v>5000</v>
          </cell>
          <cell r="CB190">
            <v>2000</v>
          </cell>
          <cell r="CD190">
            <v>5000</v>
          </cell>
          <cell r="CE190">
            <v>2000</v>
          </cell>
          <cell r="CI190">
            <v>5000</v>
          </cell>
          <cell r="CK190">
            <v>5000</v>
          </cell>
          <cell r="CQ190">
            <v>5000</v>
          </cell>
          <cell r="CT190">
            <v>5000</v>
          </cell>
          <cell r="DA190">
            <v>2000</v>
          </cell>
          <cell r="DC190">
            <v>2000</v>
          </cell>
          <cell r="DD190">
            <v>5000</v>
          </cell>
          <cell r="DE190">
            <v>1000</v>
          </cell>
          <cell r="DP190">
            <v>4000</v>
          </cell>
          <cell r="DR190">
            <v>5000</v>
          </cell>
          <cell r="DX190">
            <v>5000</v>
          </cell>
          <cell r="DZ190">
            <v>10000</v>
          </cell>
          <cell r="EE190" t="str">
            <v>ACTIVO</v>
          </cell>
          <cell r="EF190" t="str">
            <v>C</v>
          </cell>
          <cell r="EG190">
            <v>10000</v>
          </cell>
          <cell r="EH190">
            <v>6000</v>
          </cell>
          <cell r="EI190">
            <v>1000</v>
          </cell>
          <cell r="EJ190">
            <v>1579.8206649279321</v>
          </cell>
          <cell r="EK190">
            <v>20000</v>
          </cell>
          <cell r="EL190">
            <v>414000</v>
          </cell>
          <cell r="EM190">
            <v>3.3333333333333335</v>
          </cell>
          <cell r="EN190">
            <v>6000</v>
          </cell>
          <cell r="EO190">
            <v>2000</v>
          </cell>
          <cell r="EP190">
            <v>8000</v>
          </cell>
        </row>
        <row r="191">
          <cell r="F191">
            <v>405200</v>
          </cell>
          <cell r="G191" t="str">
            <v>ETIQUETA CIRCULAR 9cm IMPR. TORTA 3 LECHES CONGELADA</v>
          </cell>
          <cell r="N191">
            <v>3000</v>
          </cell>
          <cell r="EE191" t="str">
            <v>SIN USO</v>
          </cell>
          <cell r="EF191" t="str">
            <v/>
          </cell>
          <cell r="EG191">
            <v>10000</v>
          </cell>
          <cell r="EH191">
            <v>0</v>
          </cell>
          <cell r="EI191">
            <v>0</v>
          </cell>
          <cell r="EJ191">
            <v>0</v>
          </cell>
          <cell r="EK191">
            <v>0</v>
          </cell>
          <cell r="EL191">
            <v>0</v>
          </cell>
          <cell r="EM191">
            <v>0</v>
          </cell>
          <cell r="EN191">
            <v>0</v>
          </cell>
          <cell r="EO191">
            <v>0</v>
          </cell>
          <cell r="EP191">
            <v>0</v>
          </cell>
        </row>
        <row r="192">
          <cell r="F192">
            <v>107227</v>
          </cell>
          <cell r="G192" t="str">
            <v>ETIQUETA CIRCULAR 90 IMPRESA TORTA MERENGUE FRAMBUESA ESPECIAL JUMBO</v>
          </cell>
          <cell r="I192">
            <v>1000</v>
          </cell>
          <cell r="K192">
            <v>1000</v>
          </cell>
          <cell r="L192">
            <v>1000</v>
          </cell>
          <cell r="M192">
            <v>1000</v>
          </cell>
          <cell r="N192">
            <v>1000</v>
          </cell>
          <cell r="R192">
            <v>2000</v>
          </cell>
          <cell r="T192">
            <v>1000</v>
          </cell>
          <cell r="U192">
            <v>2000</v>
          </cell>
          <cell r="W192">
            <v>1000</v>
          </cell>
          <cell r="X192">
            <v>3000</v>
          </cell>
          <cell r="AB192">
            <v>3000</v>
          </cell>
          <cell r="AC192">
            <v>1000</v>
          </cell>
          <cell r="AD192">
            <v>2000</v>
          </cell>
          <cell r="AF192">
            <v>1000</v>
          </cell>
          <cell r="AJ192">
            <v>1000</v>
          </cell>
          <cell r="AK192">
            <v>1000</v>
          </cell>
          <cell r="AO192">
            <v>2000</v>
          </cell>
          <cell r="BB192">
            <v>1000</v>
          </cell>
          <cell r="BC192">
            <v>4000</v>
          </cell>
          <cell r="BD192">
            <v>6000</v>
          </cell>
          <cell r="BF192">
            <v>4000</v>
          </cell>
          <cell r="BK192">
            <v>5000</v>
          </cell>
          <cell r="BL192">
            <v>1000</v>
          </cell>
          <cell r="BM192">
            <v>2000</v>
          </cell>
          <cell r="BO192">
            <v>1000</v>
          </cell>
          <cell r="BQ192">
            <v>4000</v>
          </cell>
          <cell r="BR192">
            <v>2000</v>
          </cell>
          <cell r="BT192">
            <v>1000</v>
          </cell>
          <cell r="BU192">
            <v>1000</v>
          </cell>
          <cell r="BV192">
            <v>3000</v>
          </cell>
          <cell r="BW192">
            <v>3000</v>
          </cell>
          <cell r="BX192">
            <v>1000</v>
          </cell>
          <cell r="CA192">
            <v>6000</v>
          </cell>
          <cell r="CD192">
            <v>2000</v>
          </cell>
          <cell r="CG192">
            <v>1000</v>
          </cell>
          <cell r="CI192">
            <v>2000</v>
          </cell>
          <cell r="CJ192">
            <v>1000</v>
          </cell>
          <cell r="CL192">
            <v>1000</v>
          </cell>
          <cell r="CQ192">
            <v>2000</v>
          </cell>
          <cell r="CT192">
            <v>1000</v>
          </cell>
          <cell r="CU192">
            <v>2000</v>
          </cell>
          <cell r="CV192">
            <v>2000</v>
          </cell>
          <cell r="CW192">
            <v>2000</v>
          </cell>
          <cell r="CY192">
            <v>3000</v>
          </cell>
          <cell r="CZ192">
            <v>2000</v>
          </cell>
          <cell r="DB192">
            <v>4000</v>
          </cell>
          <cell r="DC192">
            <v>1000</v>
          </cell>
          <cell r="DD192">
            <v>1000</v>
          </cell>
          <cell r="DE192">
            <v>4000</v>
          </cell>
          <cell r="DF192">
            <v>5000</v>
          </cell>
          <cell r="DG192">
            <v>3000</v>
          </cell>
          <cell r="DJ192">
            <v>2000</v>
          </cell>
          <cell r="DK192">
            <v>7000</v>
          </cell>
          <cell r="DL192">
            <v>1000</v>
          </cell>
          <cell r="DO192">
            <v>2000</v>
          </cell>
          <cell r="DQ192">
            <v>2000</v>
          </cell>
          <cell r="DS192">
            <v>1000</v>
          </cell>
          <cell r="DT192">
            <v>3000</v>
          </cell>
          <cell r="DU192">
            <v>2000</v>
          </cell>
          <cell r="DV192">
            <v>2000</v>
          </cell>
          <cell r="DW192">
            <v>2000</v>
          </cell>
          <cell r="DX192">
            <v>2000</v>
          </cell>
          <cell r="DY192">
            <v>2000</v>
          </cell>
          <cell r="EB192">
            <v>3000</v>
          </cell>
          <cell r="EC192">
            <v>2000</v>
          </cell>
          <cell r="ED192">
            <v>1000</v>
          </cell>
          <cell r="EE192" t="str">
            <v>ACTIVO</v>
          </cell>
          <cell r="EF192" t="str">
            <v>C</v>
          </cell>
          <cell r="EG192">
            <v>10000</v>
          </cell>
          <cell r="EH192">
            <v>2333.3333333333335</v>
          </cell>
          <cell r="EI192">
            <v>388.88888888888891</v>
          </cell>
          <cell r="EJ192">
            <v>1417.8662939735209</v>
          </cell>
          <cell r="EK192">
            <v>5000</v>
          </cell>
          <cell r="EL192">
            <v>113500</v>
          </cell>
          <cell r="EM192">
            <v>2.1428571428571428</v>
          </cell>
          <cell r="EN192">
            <v>2333.3333333333335</v>
          </cell>
          <cell r="EO192">
            <v>777.77777777777783</v>
          </cell>
          <cell r="EP192">
            <v>3111.1111111111113</v>
          </cell>
        </row>
        <row r="193">
          <cell r="F193">
            <v>107228</v>
          </cell>
          <cell r="G193" t="str">
            <v>ETIQUETA CIRCULAR 90 IMPRESA TORTA MERENGUE LÚCUMA ESPECIAL JUMBO</v>
          </cell>
          <cell r="H193">
            <v>1000</v>
          </cell>
          <cell r="K193">
            <v>2000</v>
          </cell>
          <cell r="L193">
            <v>1000</v>
          </cell>
          <cell r="M193">
            <v>1000</v>
          </cell>
          <cell r="N193">
            <v>2000</v>
          </cell>
          <cell r="R193">
            <v>5000</v>
          </cell>
          <cell r="W193">
            <v>1000</v>
          </cell>
          <cell r="X193">
            <v>2000</v>
          </cell>
          <cell r="AA193">
            <v>2000</v>
          </cell>
          <cell r="AE193">
            <v>1000</v>
          </cell>
          <cell r="AK193">
            <v>2000</v>
          </cell>
          <cell r="AN193">
            <v>1000</v>
          </cell>
          <cell r="AO193">
            <v>4000</v>
          </cell>
          <cell r="AU193">
            <v>1000</v>
          </cell>
          <cell r="AV193">
            <v>2000</v>
          </cell>
          <cell r="AZ193">
            <v>1000</v>
          </cell>
          <cell r="BA193">
            <v>1000</v>
          </cell>
          <cell r="BB193">
            <v>5000</v>
          </cell>
          <cell r="BC193">
            <v>2000</v>
          </cell>
          <cell r="BE193">
            <v>4000</v>
          </cell>
          <cell r="BJ193">
            <v>2000</v>
          </cell>
          <cell r="BK193">
            <v>1000</v>
          </cell>
          <cell r="BN193">
            <v>1000</v>
          </cell>
          <cell r="BO193">
            <v>1000</v>
          </cell>
          <cell r="BR193">
            <v>1000</v>
          </cell>
          <cell r="BT193">
            <v>1000</v>
          </cell>
          <cell r="BU193">
            <v>1000</v>
          </cell>
          <cell r="BV193">
            <v>2000</v>
          </cell>
          <cell r="BW193">
            <v>2000</v>
          </cell>
          <cell r="BX193">
            <v>2000</v>
          </cell>
          <cell r="CA193">
            <v>3000</v>
          </cell>
          <cell r="CD193">
            <v>2000</v>
          </cell>
          <cell r="CF193">
            <v>1000</v>
          </cell>
          <cell r="CG193">
            <v>1000</v>
          </cell>
          <cell r="CI193">
            <v>1000</v>
          </cell>
          <cell r="CJ193">
            <v>1000</v>
          </cell>
          <cell r="CL193">
            <v>1000</v>
          </cell>
          <cell r="CN193">
            <v>2000</v>
          </cell>
          <cell r="CO193">
            <v>1000</v>
          </cell>
          <cell r="CP193">
            <v>1000</v>
          </cell>
          <cell r="CQ193">
            <v>1000</v>
          </cell>
          <cell r="CT193">
            <v>2000</v>
          </cell>
          <cell r="CU193">
            <v>1000</v>
          </cell>
          <cell r="CV193">
            <v>1000</v>
          </cell>
          <cell r="CW193">
            <v>1000</v>
          </cell>
          <cell r="CY193">
            <v>2000</v>
          </cell>
          <cell r="CZ193">
            <v>2000</v>
          </cell>
          <cell r="DB193">
            <v>1000</v>
          </cell>
          <cell r="DC193">
            <v>1000</v>
          </cell>
          <cell r="DE193">
            <v>3000</v>
          </cell>
          <cell r="DF193">
            <v>1000</v>
          </cell>
          <cell r="DG193">
            <v>1000</v>
          </cell>
          <cell r="DJ193">
            <v>1000</v>
          </cell>
          <cell r="DK193">
            <v>4000</v>
          </cell>
          <cell r="DL193">
            <v>1000</v>
          </cell>
          <cell r="DO193">
            <v>1000</v>
          </cell>
          <cell r="DQ193">
            <v>1000</v>
          </cell>
          <cell r="DT193">
            <v>2000</v>
          </cell>
          <cell r="DU193">
            <v>2000</v>
          </cell>
          <cell r="DV193">
            <v>2000</v>
          </cell>
          <cell r="DW193">
            <v>2000</v>
          </cell>
          <cell r="DX193">
            <v>2000</v>
          </cell>
          <cell r="EB193">
            <v>2000</v>
          </cell>
          <cell r="EE193" t="str">
            <v>ACTIVO</v>
          </cell>
          <cell r="EF193" t="str">
            <v>C</v>
          </cell>
          <cell r="EG193">
            <v>10000</v>
          </cell>
          <cell r="EH193">
            <v>1800</v>
          </cell>
          <cell r="EI193">
            <v>300</v>
          </cell>
          <cell r="EJ193">
            <v>614.83672104745585</v>
          </cell>
          <cell r="EK193">
            <v>12000</v>
          </cell>
          <cell r="EL193">
            <v>272400</v>
          </cell>
          <cell r="EM193">
            <v>6.666666666666667</v>
          </cell>
          <cell r="EN193">
            <v>1800</v>
          </cell>
          <cell r="EO193">
            <v>600</v>
          </cell>
          <cell r="EP193">
            <v>2400</v>
          </cell>
        </row>
        <row r="194">
          <cell r="F194">
            <v>405124</v>
          </cell>
          <cell r="G194" t="str">
            <v>ETIQUETAS CIRCULAR 9cm IMPR. TORTA BEATRIZ JUMBO</v>
          </cell>
          <cell r="I194">
            <v>4000</v>
          </cell>
          <cell r="J194">
            <v>4000</v>
          </cell>
          <cell r="K194">
            <v>3000</v>
          </cell>
          <cell r="M194">
            <v>4000</v>
          </cell>
          <cell r="O194">
            <v>6000</v>
          </cell>
          <cell r="P194">
            <v>3000</v>
          </cell>
          <cell r="Q194">
            <v>3000</v>
          </cell>
          <cell r="S194">
            <v>4000</v>
          </cell>
          <cell r="T194">
            <v>3000</v>
          </cell>
          <cell r="U194">
            <v>3000</v>
          </cell>
          <cell r="V194">
            <v>3000</v>
          </cell>
          <cell r="W194">
            <v>3000</v>
          </cell>
          <cell r="X194">
            <v>4000</v>
          </cell>
          <cell r="Y194">
            <v>1000</v>
          </cell>
          <cell r="Z194">
            <v>8000</v>
          </cell>
          <cell r="AA194">
            <v>8000</v>
          </cell>
          <cell r="AB194">
            <v>11000</v>
          </cell>
          <cell r="AE194">
            <v>10000</v>
          </cell>
          <cell r="AG194">
            <v>5000</v>
          </cell>
          <cell r="AI194">
            <v>5000</v>
          </cell>
          <cell r="AJ194">
            <v>8000</v>
          </cell>
          <cell r="AK194">
            <v>2000</v>
          </cell>
          <cell r="AL194">
            <v>6000</v>
          </cell>
          <cell r="AM194">
            <v>3000</v>
          </cell>
          <cell r="AQ194">
            <v>3000</v>
          </cell>
          <cell r="AS194">
            <v>3000</v>
          </cell>
          <cell r="AT194">
            <v>3000</v>
          </cell>
          <cell r="AV194">
            <v>4000</v>
          </cell>
          <cell r="AW194">
            <v>3000</v>
          </cell>
          <cell r="AX194">
            <v>6000</v>
          </cell>
          <cell r="AY194">
            <v>1000</v>
          </cell>
          <cell r="BA194">
            <v>6000</v>
          </cell>
          <cell r="BB194">
            <v>3000</v>
          </cell>
          <cell r="BD194">
            <v>3000</v>
          </cell>
          <cell r="BE194">
            <v>3000</v>
          </cell>
          <cell r="BF194">
            <v>3</v>
          </cell>
          <cell r="BG194">
            <v>8997</v>
          </cell>
          <cell r="BH194">
            <v>3000</v>
          </cell>
          <cell r="BJ194">
            <v>1000</v>
          </cell>
          <cell r="BK194">
            <v>6000</v>
          </cell>
          <cell r="BM194">
            <v>3000</v>
          </cell>
          <cell r="BN194">
            <v>3000</v>
          </cell>
          <cell r="BO194">
            <v>6000</v>
          </cell>
          <cell r="BQ194">
            <v>3000</v>
          </cell>
          <cell r="BR194">
            <v>3000</v>
          </cell>
          <cell r="BS194">
            <v>1000</v>
          </cell>
          <cell r="BT194">
            <v>6000</v>
          </cell>
          <cell r="BV194">
            <v>3000</v>
          </cell>
          <cell r="BW194">
            <v>4000</v>
          </cell>
          <cell r="BX194">
            <v>3000</v>
          </cell>
          <cell r="BY194">
            <v>9000</v>
          </cell>
          <cell r="CA194">
            <v>6000</v>
          </cell>
          <cell r="CB194">
            <v>3000</v>
          </cell>
          <cell r="CD194">
            <v>3000</v>
          </cell>
          <cell r="CE194">
            <v>6000</v>
          </cell>
          <cell r="CF194">
            <v>6000</v>
          </cell>
          <cell r="CG194">
            <v>3000</v>
          </cell>
          <cell r="CI194">
            <v>7000</v>
          </cell>
          <cell r="CJ194">
            <v>4000</v>
          </cell>
          <cell r="CL194">
            <v>3000</v>
          </cell>
          <cell r="CM194">
            <v>3000</v>
          </cell>
          <cell r="CN194">
            <v>6000</v>
          </cell>
          <cell r="CO194">
            <v>3000</v>
          </cell>
          <cell r="CP194">
            <v>3000</v>
          </cell>
          <cell r="CR194">
            <v>2000</v>
          </cell>
          <cell r="CT194">
            <v>6000</v>
          </cell>
          <cell r="CU194">
            <v>4000</v>
          </cell>
          <cell r="CV194">
            <v>4000</v>
          </cell>
          <cell r="CW194">
            <v>2000</v>
          </cell>
          <cell r="CX194">
            <v>4000</v>
          </cell>
          <cell r="CY194">
            <v>4000</v>
          </cell>
          <cell r="CZ194">
            <v>3000</v>
          </cell>
          <cell r="DB194">
            <v>3000</v>
          </cell>
          <cell r="DC194">
            <v>3000</v>
          </cell>
          <cell r="DE194">
            <v>5000</v>
          </cell>
          <cell r="DF194">
            <v>3000</v>
          </cell>
          <cell r="DG194">
            <v>5000</v>
          </cell>
          <cell r="DJ194">
            <v>3000</v>
          </cell>
          <cell r="DK194">
            <v>6000</v>
          </cell>
          <cell r="DL194">
            <v>3000</v>
          </cell>
          <cell r="DN194">
            <v>3000</v>
          </cell>
          <cell r="DO194">
            <v>4000</v>
          </cell>
          <cell r="DP194">
            <v>3000</v>
          </cell>
          <cell r="DQ194">
            <v>3000</v>
          </cell>
          <cell r="DR194">
            <v>3000</v>
          </cell>
          <cell r="DS194">
            <v>3000</v>
          </cell>
          <cell r="DT194">
            <v>6000</v>
          </cell>
          <cell r="DU194">
            <v>3000</v>
          </cell>
          <cell r="DV194">
            <v>3000</v>
          </cell>
          <cell r="DW194">
            <v>3000</v>
          </cell>
          <cell r="DX194">
            <v>3000</v>
          </cell>
          <cell r="DY194">
            <v>7000</v>
          </cell>
          <cell r="DZ194">
            <v>7000</v>
          </cell>
          <cell r="EB194">
            <v>6000</v>
          </cell>
          <cell r="EC194">
            <v>3000</v>
          </cell>
          <cell r="ED194">
            <v>3000</v>
          </cell>
          <cell r="EE194" t="str">
            <v>ACTIVO</v>
          </cell>
          <cell r="EF194" t="str">
            <v>C</v>
          </cell>
          <cell r="EG194">
            <v>10000</v>
          </cell>
          <cell r="EH194">
            <v>3937.5</v>
          </cell>
          <cell r="EI194">
            <v>656.25</v>
          </cell>
          <cell r="EJ194">
            <v>1693.8803881120914</v>
          </cell>
          <cell r="EK194">
            <v>11000</v>
          </cell>
          <cell r="EL194">
            <v>188870</v>
          </cell>
          <cell r="EM194">
            <v>2.7936507936507935</v>
          </cell>
          <cell r="EN194">
            <v>3937.5</v>
          </cell>
          <cell r="EO194">
            <v>1312.5</v>
          </cell>
          <cell r="EP194">
            <v>5250</v>
          </cell>
        </row>
        <row r="195">
          <cell r="F195">
            <v>405207</v>
          </cell>
          <cell r="G195" t="str">
            <v>ETIQ.CIRCULAR 9cm IMPR. TORTA SAN JORGE CHOCOLATE ARTESANAL JUMBO</v>
          </cell>
          <cell r="O195">
            <v>1000</v>
          </cell>
          <cell r="P195">
            <v>2000</v>
          </cell>
          <cell r="Q195">
            <v>2000</v>
          </cell>
          <cell r="T195">
            <v>1000</v>
          </cell>
          <cell r="U195">
            <v>1000</v>
          </cell>
          <cell r="V195">
            <v>1000</v>
          </cell>
          <cell r="W195">
            <v>1000</v>
          </cell>
          <cell r="X195">
            <v>1000</v>
          </cell>
          <cell r="AA195">
            <v>1000</v>
          </cell>
          <cell r="AB195">
            <v>2000</v>
          </cell>
          <cell r="AC195">
            <v>1000</v>
          </cell>
          <cell r="AE195">
            <v>1000</v>
          </cell>
          <cell r="AG195">
            <v>1000</v>
          </cell>
          <cell r="AH195">
            <v>1000</v>
          </cell>
          <cell r="AI195">
            <v>2000</v>
          </cell>
          <cell r="AJ195">
            <v>2000</v>
          </cell>
          <cell r="AK195">
            <v>2000</v>
          </cell>
          <cell r="AL195">
            <v>2000</v>
          </cell>
          <cell r="AM195">
            <v>2000</v>
          </cell>
          <cell r="AN195">
            <v>2000</v>
          </cell>
          <cell r="AQ195">
            <v>2000</v>
          </cell>
          <cell r="AS195">
            <v>2000</v>
          </cell>
          <cell r="AT195">
            <v>2000</v>
          </cell>
          <cell r="AV195">
            <v>2000</v>
          </cell>
          <cell r="AW195">
            <v>2000</v>
          </cell>
          <cell r="AX195">
            <v>2000</v>
          </cell>
          <cell r="AY195">
            <v>2000</v>
          </cell>
          <cell r="BA195">
            <v>4000</v>
          </cell>
          <cell r="BD195">
            <v>2000</v>
          </cell>
          <cell r="BE195">
            <v>2000</v>
          </cell>
          <cell r="BF195">
            <v>2</v>
          </cell>
          <cell r="BG195">
            <v>3998</v>
          </cell>
          <cell r="BH195">
            <v>2000</v>
          </cell>
          <cell r="BK195">
            <v>4000</v>
          </cell>
          <cell r="BM195">
            <v>3000</v>
          </cell>
          <cell r="BN195">
            <v>2000</v>
          </cell>
          <cell r="BO195">
            <v>3000</v>
          </cell>
          <cell r="BQ195">
            <v>1000</v>
          </cell>
          <cell r="BR195">
            <v>2000</v>
          </cell>
          <cell r="BT195">
            <v>4000</v>
          </cell>
          <cell r="BV195">
            <v>2000</v>
          </cell>
          <cell r="BW195">
            <v>3000</v>
          </cell>
          <cell r="BX195">
            <v>2000</v>
          </cell>
          <cell r="BY195">
            <v>2000</v>
          </cell>
          <cell r="CA195">
            <v>4000</v>
          </cell>
          <cell r="CB195">
            <v>2000</v>
          </cell>
          <cell r="CD195">
            <v>2000</v>
          </cell>
          <cell r="CE195">
            <v>2000</v>
          </cell>
          <cell r="CF195">
            <v>4000</v>
          </cell>
          <cell r="CG195">
            <v>2000</v>
          </cell>
          <cell r="CI195">
            <v>4000</v>
          </cell>
          <cell r="CJ195">
            <v>2000</v>
          </cell>
          <cell r="CL195">
            <v>2000</v>
          </cell>
          <cell r="CM195">
            <v>2000</v>
          </cell>
          <cell r="CN195">
            <v>4000</v>
          </cell>
          <cell r="CO195">
            <v>1000</v>
          </cell>
          <cell r="CP195">
            <v>1000</v>
          </cell>
          <cell r="CT195">
            <v>2000</v>
          </cell>
          <cell r="CU195">
            <v>1000</v>
          </cell>
          <cell r="CV195">
            <v>1000</v>
          </cell>
          <cell r="CW195">
            <v>1000</v>
          </cell>
          <cell r="CY195">
            <v>1000</v>
          </cell>
          <cell r="CZ195">
            <v>1000</v>
          </cell>
          <cell r="DB195">
            <v>1000</v>
          </cell>
          <cell r="DC195">
            <v>1000</v>
          </cell>
          <cell r="DE195">
            <v>1000</v>
          </cell>
          <cell r="DF195">
            <v>1000</v>
          </cell>
          <cell r="DG195">
            <v>1000</v>
          </cell>
          <cell r="DJ195">
            <v>1000</v>
          </cell>
          <cell r="DK195">
            <v>2000</v>
          </cell>
          <cell r="DL195">
            <v>1000</v>
          </cell>
          <cell r="DM195">
            <v>1000</v>
          </cell>
          <cell r="DN195">
            <v>1000</v>
          </cell>
          <cell r="DO195">
            <v>1000</v>
          </cell>
          <cell r="DQ195">
            <v>1000</v>
          </cell>
          <cell r="DR195">
            <v>1000</v>
          </cell>
          <cell r="DS195">
            <v>1000</v>
          </cell>
          <cell r="DT195">
            <v>1000</v>
          </cell>
          <cell r="DU195">
            <v>1000</v>
          </cell>
          <cell r="DV195">
            <v>1000</v>
          </cell>
          <cell r="DW195">
            <v>1000</v>
          </cell>
          <cell r="DX195">
            <v>1000</v>
          </cell>
          <cell r="DY195">
            <v>2000</v>
          </cell>
          <cell r="EB195">
            <v>2000</v>
          </cell>
          <cell r="ED195">
            <v>1000</v>
          </cell>
          <cell r="EE195" t="str">
            <v>ACTIVO</v>
          </cell>
          <cell r="EF195" t="str">
            <v>C</v>
          </cell>
          <cell r="EG195">
            <v>10000</v>
          </cell>
          <cell r="EH195">
            <v>1133.3333333333333</v>
          </cell>
          <cell r="EI195">
            <v>188.88888888888889</v>
          </cell>
          <cell r="EJ195">
            <v>1067.559150437361</v>
          </cell>
          <cell r="EK195">
            <v>18000</v>
          </cell>
          <cell r="EL195">
            <v>529200</v>
          </cell>
          <cell r="EM195">
            <v>15.882352941176471</v>
          </cell>
          <cell r="EN195">
            <v>1133.3333333333333</v>
          </cell>
          <cell r="EO195">
            <v>377.77777777777777</v>
          </cell>
          <cell r="EP195">
            <v>1511.1111111111111</v>
          </cell>
        </row>
        <row r="196">
          <cell r="F196">
            <v>405310</v>
          </cell>
          <cell r="G196" t="str">
            <v>ETIQUETA OPP TRANSPARENTE 22X32 CRISME</v>
          </cell>
          <cell r="AL196">
            <v>10000</v>
          </cell>
          <cell r="BD196">
            <v>10000</v>
          </cell>
          <cell r="BG196">
            <v>15000</v>
          </cell>
          <cell r="BH196">
            <v>20000</v>
          </cell>
          <cell r="BM196">
            <v>5000</v>
          </cell>
          <cell r="CW196">
            <v>5000</v>
          </cell>
          <cell r="CZ196">
            <v>1000</v>
          </cell>
          <cell r="DA196">
            <v>2000</v>
          </cell>
          <cell r="DB196">
            <v>1000</v>
          </cell>
          <cell r="DC196">
            <v>1000</v>
          </cell>
          <cell r="DD196">
            <v>1000</v>
          </cell>
          <cell r="DG196">
            <v>1000</v>
          </cell>
          <cell r="DJ196">
            <v>1000</v>
          </cell>
          <cell r="DK196">
            <v>2000</v>
          </cell>
          <cell r="DL196">
            <v>1000</v>
          </cell>
          <cell r="DM196">
            <v>1000</v>
          </cell>
          <cell r="DN196">
            <v>1000</v>
          </cell>
          <cell r="DO196">
            <v>1000</v>
          </cell>
          <cell r="EE196" t="str">
            <v>SIN USO</v>
          </cell>
          <cell r="EF196" t="str">
            <v>C</v>
          </cell>
          <cell r="EG196">
            <v>10000</v>
          </cell>
          <cell r="EH196">
            <v>1166.6666666666667</v>
          </cell>
          <cell r="EI196">
            <v>194.44444444444446</v>
          </cell>
          <cell r="EJ196">
            <v>6193.6347253540152</v>
          </cell>
          <cell r="EK196">
            <v>110000</v>
          </cell>
          <cell r="EL196">
            <v>880000</v>
          </cell>
          <cell r="EM196">
            <v>94.285714285714278</v>
          </cell>
          <cell r="EN196">
            <v>1166.6666666666667</v>
          </cell>
          <cell r="EO196">
            <v>388.88888888888891</v>
          </cell>
          <cell r="EP196">
            <v>1555.5555555555557</v>
          </cell>
        </row>
        <row r="197">
          <cell r="F197">
            <v>107266</v>
          </cell>
          <cell r="G197" t="str">
            <v>ETIQUETA CIRCULAR OPCIÓN VEGANA CRISME</v>
          </cell>
          <cell r="Q197">
            <v>7000</v>
          </cell>
          <cell r="U197">
            <v>8000</v>
          </cell>
          <cell r="AG197">
            <v>3000</v>
          </cell>
          <cell r="AI197">
            <v>3000</v>
          </cell>
          <cell r="AQ197">
            <v>6000</v>
          </cell>
          <cell r="AY197">
            <v>3000</v>
          </cell>
          <cell r="AZ197">
            <v>1000</v>
          </cell>
          <cell r="BL197">
            <v>3000</v>
          </cell>
          <cell r="BO197">
            <v>6000</v>
          </cell>
          <cell r="BY197">
            <v>3000</v>
          </cell>
          <cell r="CK197">
            <v>4000</v>
          </cell>
          <cell r="CW197">
            <v>3000</v>
          </cell>
          <cell r="DO197">
            <v>3000</v>
          </cell>
          <cell r="DQ197">
            <v>3000</v>
          </cell>
          <cell r="EE197" t="str">
            <v>ACTIVO</v>
          </cell>
          <cell r="EF197" t="str">
            <v>C</v>
          </cell>
          <cell r="EG197">
            <v>3000</v>
          </cell>
          <cell r="EH197">
            <v>3000</v>
          </cell>
          <cell r="EI197">
            <v>500</v>
          </cell>
          <cell r="EJ197">
            <v>1303.8404810405298</v>
          </cell>
          <cell r="EK197">
            <v>9000</v>
          </cell>
          <cell r="EL197">
            <v>122850</v>
          </cell>
          <cell r="EM197">
            <v>3</v>
          </cell>
          <cell r="EN197">
            <v>3000</v>
          </cell>
          <cell r="EO197">
            <v>1000</v>
          </cell>
          <cell r="EP197">
            <v>4000</v>
          </cell>
        </row>
        <row r="198">
          <cell r="F198">
            <v>405352</v>
          </cell>
          <cell r="G198" t="str">
            <v>ETIQ. CIRCULAR 90cm IMPR. TORTA CUSINE &amp; CO SISA CONFETTI</v>
          </cell>
          <cell r="AL198">
            <v>1000</v>
          </cell>
          <cell r="AM198">
            <v>2000</v>
          </cell>
          <cell r="BN198">
            <v>1000</v>
          </cell>
          <cell r="EE198" t="str">
            <v>SIN USO</v>
          </cell>
          <cell r="EF198" t="str">
            <v>C</v>
          </cell>
          <cell r="EG198">
            <v>10000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</row>
        <row r="199">
          <cell r="F199">
            <v>405359</v>
          </cell>
          <cell r="G199" t="str">
            <v>ETIQ. CIRCULAR 90cm IMPR. TORTA CUSINE &amp; CO SISA TORTA CARAMEL</v>
          </cell>
          <cell r="AO199">
            <v>1000</v>
          </cell>
          <cell r="AP199">
            <v>1000</v>
          </cell>
          <cell r="AQ199">
            <v>2000</v>
          </cell>
          <cell r="AR199">
            <v>1000</v>
          </cell>
          <cell r="AS199">
            <v>1000</v>
          </cell>
          <cell r="AV199">
            <v>1000</v>
          </cell>
          <cell r="AX199">
            <v>1000</v>
          </cell>
          <cell r="AY199">
            <v>2000</v>
          </cell>
          <cell r="BB199">
            <v>2000</v>
          </cell>
          <cell r="BC199">
            <v>1000</v>
          </cell>
          <cell r="BD199">
            <v>1000</v>
          </cell>
          <cell r="BG199">
            <v>1000</v>
          </cell>
          <cell r="BI199">
            <v>1000</v>
          </cell>
          <cell r="BJ199">
            <v>1000</v>
          </cell>
          <cell r="BK199">
            <v>1000</v>
          </cell>
          <cell r="BL199">
            <v>1000</v>
          </cell>
          <cell r="BM199">
            <v>1000</v>
          </cell>
          <cell r="BO199">
            <v>5000</v>
          </cell>
          <cell r="BQ199">
            <v>3000</v>
          </cell>
          <cell r="BR199">
            <v>2000</v>
          </cell>
          <cell r="BS199">
            <v>1000</v>
          </cell>
          <cell r="BT199">
            <v>5000</v>
          </cell>
          <cell r="BV199">
            <v>2000</v>
          </cell>
          <cell r="BW199">
            <v>3000</v>
          </cell>
          <cell r="BX199">
            <v>5000</v>
          </cell>
          <cell r="CA199">
            <v>2000</v>
          </cell>
          <cell r="CD199">
            <v>1000</v>
          </cell>
          <cell r="CE199">
            <v>2000</v>
          </cell>
          <cell r="CF199">
            <v>4000</v>
          </cell>
          <cell r="CG199">
            <v>1000</v>
          </cell>
          <cell r="CH199">
            <v>2000</v>
          </cell>
          <cell r="CI199">
            <v>3000</v>
          </cell>
          <cell r="CJ199">
            <v>2000</v>
          </cell>
          <cell r="CL199">
            <v>2000</v>
          </cell>
          <cell r="CM199">
            <v>1000</v>
          </cell>
          <cell r="CN199">
            <v>4000</v>
          </cell>
          <cell r="CO199">
            <v>2000</v>
          </cell>
          <cell r="CP199">
            <v>2000</v>
          </cell>
          <cell r="EE199" t="str">
            <v>SIN USO</v>
          </cell>
          <cell r="EF199" t="str">
            <v>C</v>
          </cell>
          <cell r="EG199">
            <v>10000</v>
          </cell>
          <cell r="EH199">
            <v>0</v>
          </cell>
          <cell r="EI199">
            <v>0</v>
          </cell>
          <cell r="EJ199">
            <v>1343.3597376039615</v>
          </cell>
          <cell r="EK199">
            <v>0</v>
          </cell>
          <cell r="EL199">
            <v>0</v>
          </cell>
          <cell r="EM199">
            <v>0</v>
          </cell>
          <cell r="EN199">
            <v>0</v>
          </cell>
          <cell r="EO199">
            <v>0</v>
          </cell>
          <cell r="EP199">
            <v>0</v>
          </cell>
        </row>
        <row r="200">
          <cell r="F200">
            <v>405358</v>
          </cell>
          <cell r="G200" t="str">
            <v>ETIQ. CIRCULAR 90cm IMPR. JUMBO TARTA FRUTA MIXTA SURTIDA</v>
          </cell>
          <cell r="AP200">
            <v>1000</v>
          </cell>
          <cell r="AR200">
            <v>1000</v>
          </cell>
          <cell r="AS200">
            <v>1000</v>
          </cell>
          <cell r="AT200">
            <v>1000</v>
          </cell>
          <cell r="AU200">
            <v>1000</v>
          </cell>
          <cell r="AV200">
            <v>1000</v>
          </cell>
          <cell r="AW200">
            <v>2000</v>
          </cell>
          <cell r="AX200">
            <v>2000</v>
          </cell>
          <cell r="AY200">
            <v>2000</v>
          </cell>
          <cell r="BA200">
            <v>2000</v>
          </cell>
          <cell r="BB200">
            <v>3000</v>
          </cell>
          <cell r="BD200">
            <v>2000</v>
          </cell>
          <cell r="BE200">
            <v>1000</v>
          </cell>
          <cell r="BF200">
            <v>1001</v>
          </cell>
          <cell r="BG200">
            <v>3999</v>
          </cell>
          <cell r="BH200">
            <v>1000</v>
          </cell>
          <cell r="BK200">
            <v>3000</v>
          </cell>
          <cell r="BL200">
            <v>1000</v>
          </cell>
          <cell r="BM200">
            <v>1001</v>
          </cell>
          <cell r="BN200">
            <v>1000</v>
          </cell>
          <cell r="BO200">
            <v>6000</v>
          </cell>
          <cell r="BQ200">
            <v>3000</v>
          </cell>
          <cell r="BR200">
            <v>2000</v>
          </cell>
          <cell r="BT200">
            <v>4000</v>
          </cell>
          <cell r="BU200">
            <v>1000</v>
          </cell>
          <cell r="BV200">
            <v>2000</v>
          </cell>
          <cell r="BW200">
            <v>2000</v>
          </cell>
          <cell r="BX200">
            <v>3000</v>
          </cell>
          <cell r="CA200">
            <v>4000</v>
          </cell>
          <cell r="CB200">
            <v>2000</v>
          </cell>
          <cell r="CD200">
            <v>2000</v>
          </cell>
          <cell r="CF200">
            <v>2000</v>
          </cell>
          <cell r="CI200">
            <v>2000</v>
          </cell>
          <cell r="CJ200">
            <v>1000</v>
          </cell>
          <cell r="CL200">
            <v>1000</v>
          </cell>
          <cell r="CM200">
            <v>1000</v>
          </cell>
          <cell r="CN200">
            <v>3000</v>
          </cell>
          <cell r="CO200">
            <v>1000</v>
          </cell>
          <cell r="CP200">
            <v>2000</v>
          </cell>
          <cell r="CQ200">
            <v>1000</v>
          </cell>
          <cell r="CR200">
            <v>1000</v>
          </cell>
          <cell r="CT200">
            <v>2000</v>
          </cell>
          <cell r="CU200">
            <v>4000</v>
          </cell>
          <cell r="CV200">
            <v>2000</v>
          </cell>
          <cell r="CW200">
            <v>1000</v>
          </cell>
          <cell r="CX200">
            <v>2000</v>
          </cell>
          <cell r="CY200">
            <v>1000</v>
          </cell>
          <cell r="CZ200">
            <v>2000</v>
          </cell>
          <cell r="DA200">
            <v>1000</v>
          </cell>
          <cell r="DB200">
            <v>2000</v>
          </cell>
          <cell r="DC200">
            <v>2000</v>
          </cell>
          <cell r="DE200">
            <v>3000</v>
          </cell>
          <cell r="DF200">
            <v>2000</v>
          </cell>
          <cell r="DG200">
            <v>2000</v>
          </cell>
          <cell r="DJ200">
            <v>2000</v>
          </cell>
          <cell r="DK200">
            <v>4000</v>
          </cell>
          <cell r="DL200">
            <v>2000</v>
          </cell>
          <cell r="DN200">
            <v>2000</v>
          </cell>
          <cell r="DO200">
            <v>2000</v>
          </cell>
          <cell r="DQ200">
            <v>2000</v>
          </cell>
          <cell r="DR200">
            <v>2000</v>
          </cell>
          <cell r="DS200">
            <v>2000</v>
          </cell>
          <cell r="DT200">
            <v>2000</v>
          </cell>
          <cell r="DU200">
            <v>2000</v>
          </cell>
          <cell r="DV200">
            <v>2000</v>
          </cell>
          <cell r="DW200">
            <v>2000</v>
          </cell>
          <cell r="DX200">
            <v>2000</v>
          </cell>
          <cell r="DY200">
            <v>3000</v>
          </cell>
          <cell r="DZ200">
            <v>1000</v>
          </cell>
          <cell r="EB200">
            <v>4000</v>
          </cell>
          <cell r="EC200">
            <v>2000</v>
          </cell>
          <cell r="ED200">
            <v>2000</v>
          </cell>
          <cell r="EE200" t="str">
            <v>ACTIVO</v>
          </cell>
          <cell r="EF200" t="str">
            <v>C</v>
          </cell>
          <cell r="EG200">
            <v>10000</v>
          </cell>
          <cell r="EH200">
            <v>2133.3333333333335</v>
          </cell>
          <cell r="EI200">
            <v>355.5555555555556</v>
          </cell>
          <cell r="EJ200">
            <v>1111.8063617217308</v>
          </cell>
          <cell r="EK200">
            <v>2000</v>
          </cell>
          <cell r="EL200">
            <v>36980</v>
          </cell>
          <cell r="EM200">
            <v>0.93749999999999989</v>
          </cell>
          <cell r="EN200">
            <v>2133.3333333333335</v>
          </cell>
          <cell r="EO200">
            <v>711.1111111111112</v>
          </cell>
          <cell r="EP200">
            <v>2844.4444444444448</v>
          </cell>
        </row>
        <row r="201">
          <cell r="F201">
            <v>405351</v>
          </cell>
          <cell r="G201" t="str">
            <v>ETIQ. CIRCULAR 90cm IMPR. CUSINE &amp; CO JUMBO PIE DE LIMON ESPECIAL</v>
          </cell>
          <cell r="AK201">
            <v>1000</v>
          </cell>
          <cell r="AS201">
            <v>1000</v>
          </cell>
          <cell r="AT201">
            <v>3000</v>
          </cell>
          <cell r="AY201">
            <v>3000</v>
          </cell>
          <cell r="DZ201">
            <v>2000</v>
          </cell>
          <cell r="EE201" t="str">
            <v>SIN USO</v>
          </cell>
          <cell r="EF201" t="str">
            <v/>
          </cell>
          <cell r="EG201">
            <v>10000</v>
          </cell>
          <cell r="EH201">
            <v>2000</v>
          </cell>
          <cell r="EI201">
            <v>333.33333333333331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2000</v>
          </cell>
          <cell r="EO201">
            <v>666.66666666666663</v>
          </cell>
          <cell r="EP201">
            <v>2666.6666666666665</v>
          </cell>
        </row>
        <row r="202">
          <cell r="F202">
            <v>405540</v>
          </cell>
          <cell r="G202" t="str">
            <v>ETIQ. CIRCULAR 90cm IMPR. TORTA PISTACHO FRAMBUESA ESPECIAL JUMBO</v>
          </cell>
          <cell r="BY202">
            <v>3000</v>
          </cell>
          <cell r="EE202" t="str">
            <v>SIN USO</v>
          </cell>
          <cell r="EF202" t="str">
            <v>C</v>
          </cell>
          <cell r="EG202" t="str">
            <v/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</row>
        <row r="203">
          <cell r="F203">
            <v>405448</v>
          </cell>
          <cell r="G203" t="str">
            <v>ETIQ. CIRCULAR 90cm IMPR. TORTA MERENGUE NOUGAT ESPECIAL JUMBO</v>
          </cell>
          <cell r="CA203">
            <v>1000</v>
          </cell>
          <cell r="CF203">
            <v>1000</v>
          </cell>
          <cell r="CK203">
            <v>1000</v>
          </cell>
          <cell r="CV203">
            <v>1000</v>
          </cell>
          <cell r="DH203">
            <v>2000</v>
          </cell>
          <cell r="DU203">
            <v>1000</v>
          </cell>
          <cell r="DY203">
            <v>1000</v>
          </cell>
          <cell r="EE203" t="str">
            <v>ACTIVO</v>
          </cell>
          <cell r="EF203" t="str">
            <v>C</v>
          </cell>
          <cell r="EG203" t="str">
            <v/>
          </cell>
          <cell r="EH203">
            <v>1000</v>
          </cell>
          <cell r="EI203">
            <v>166.66666666666666</v>
          </cell>
          <cell r="EJ203">
            <v>447.21359549995793</v>
          </cell>
          <cell r="EK203">
            <v>6000</v>
          </cell>
          <cell r="EL203">
            <v>131700</v>
          </cell>
          <cell r="EM203">
            <v>6</v>
          </cell>
          <cell r="EN203">
            <v>1000</v>
          </cell>
          <cell r="EO203">
            <v>333.33333333333331</v>
          </cell>
          <cell r="EP203">
            <v>1333.3333333333333</v>
          </cell>
        </row>
        <row r="204">
          <cell r="F204">
            <v>405535</v>
          </cell>
          <cell r="G204" t="str">
            <v>ETIQ. CIRCULAR 9cm IMPR. TORTA CALUGA NUEZ JUMBO</v>
          </cell>
          <cell r="CC204">
            <v>1000</v>
          </cell>
          <cell r="CD204">
            <v>1000</v>
          </cell>
          <cell r="CF204">
            <v>1000</v>
          </cell>
          <cell r="CM204">
            <v>1000</v>
          </cell>
          <cell r="CN204">
            <v>1000</v>
          </cell>
          <cell r="CQ204">
            <v>1000</v>
          </cell>
          <cell r="CT204">
            <v>2000</v>
          </cell>
          <cell r="CV204">
            <v>1000</v>
          </cell>
          <cell r="CY204">
            <v>2000</v>
          </cell>
          <cell r="CZ204">
            <v>1000</v>
          </cell>
          <cell r="EE204" t="str">
            <v>ACTIVO</v>
          </cell>
          <cell r="EF204" t="str">
            <v>C</v>
          </cell>
          <cell r="EG204" t="str">
            <v/>
          </cell>
          <cell r="EH204">
            <v>0</v>
          </cell>
          <cell r="EI204">
            <v>0</v>
          </cell>
          <cell r="EJ204">
            <v>421.63702135578393</v>
          </cell>
          <cell r="EK204">
            <v>12000</v>
          </cell>
          <cell r="EL204">
            <v>312000</v>
          </cell>
          <cell r="EM204">
            <v>0</v>
          </cell>
          <cell r="EN204">
            <v>0</v>
          </cell>
          <cell r="EO204">
            <v>0</v>
          </cell>
          <cell r="EP204">
            <v>0</v>
          </cell>
        </row>
        <row r="205">
          <cell r="F205">
            <v>405553</v>
          </cell>
          <cell r="G205" t="str">
            <v>ETIQUETA CIRCULAR 9cm TORTA CREMA CHOCOLATE</v>
          </cell>
          <cell r="CD205">
            <v>3000</v>
          </cell>
          <cell r="CE205">
            <v>1000</v>
          </cell>
          <cell r="CF205">
            <v>3000</v>
          </cell>
          <cell r="CG205">
            <v>1000</v>
          </cell>
          <cell r="CM205">
            <v>2000</v>
          </cell>
          <cell r="CN205">
            <v>2000</v>
          </cell>
          <cell r="CO205">
            <v>2000</v>
          </cell>
          <cell r="CP205">
            <v>3000</v>
          </cell>
          <cell r="CT205">
            <v>2000</v>
          </cell>
          <cell r="CV205">
            <v>1000</v>
          </cell>
          <cell r="CX205">
            <v>2000</v>
          </cell>
          <cell r="CZ205">
            <v>2000</v>
          </cell>
          <cell r="DB205">
            <v>2000</v>
          </cell>
          <cell r="DJ205">
            <v>2000</v>
          </cell>
          <cell r="DK205">
            <v>2000</v>
          </cell>
          <cell r="DL205">
            <v>2000</v>
          </cell>
          <cell r="DN205">
            <v>2000</v>
          </cell>
          <cell r="DR205">
            <v>2000</v>
          </cell>
          <cell r="DS205">
            <v>2000</v>
          </cell>
          <cell r="DT205">
            <v>3000</v>
          </cell>
          <cell r="DU205">
            <v>3000</v>
          </cell>
          <cell r="DV205">
            <v>5000</v>
          </cell>
          <cell r="DX205">
            <v>3000</v>
          </cell>
          <cell r="DY205">
            <v>4000</v>
          </cell>
          <cell r="ED205">
            <v>4000</v>
          </cell>
          <cell r="EE205" t="str">
            <v>ACTIVO</v>
          </cell>
          <cell r="EF205" t="str">
            <v>C</v>
          </cell>
          <cell r="EG205" t="str">
            <v/>
          </cell>
          <cell r="EH205">
            <v>2727.2727272727275</v>
          </cell>
          <cell r="EI205">
            <v>454.54545454545456</v>
          </cell>
          <cell r="EJ205">
            <v>707.10678118654755</v>
          </cell>
          <cell r="EK205">
            <v>6000</v>
          </cell>
          <cell r="EL205">
            <v>152040</v>
          </cell>
          <cell r="EM205">
            <v>2.1999999999999997</v>
          </cell>
          <cell r="EN205">
            <v>2727.2727272727275</v>
          </cell>
          <cell r="EO205">
            <v>909.09090909090912</v>
          </cell>
          <cell r="EP205">
            <v>3636.3636363636365</v>
          </cell>
        </row>
        <row r="206">
          <cell r="F206">
            <v>405492</v>
          </cell>
          <cell r="G206" t="str">
            <v>ETIQUETA GENERICA TORTA MIL HOJAS MANJAR ESPECIAL WALMART</v>
          </cell>
          <cell r="CG206">
            <v>10000</v>
          </cell>
          <cell r="CL206">
            <v>10000</v>
          </cell>
          <cell r="CM206">
            <v>20000</v>
          </cell>
          <cell r="CQ206">
            <v>20000</v>
          </cell>
          <cell r="CR206">
            <v>10000</v>
          </cell>
          <cell r="CS206">
            <v>10000</v>
          </cell>
          <cell r="CT206">
            <v>50000</v>
          </cell>
          <cell r="CV206">
            <v>15000</v>
          </cell>
          <cell r="CW206">
            <v>8500</v>
          </cell>
          <cell r="DA206">
            <v>20000</v>
          </cell>
          <cell r="DD206">
            <v>20000</v>
          </cell>
          <cell r="DG206">
            <v>19500</v>
          </cell>
          <cell r="DN206">
            <v>20000</v>
          </cell>
          <cell r="DP206">
            <v>15000</v>
          </cell>
          <cell r="DQ206">
            <v>5000</v>
          </cell>
          <cell r="DS206">
            <v>5000</v>
          </cell>
          <cell r="DU206">
            <v>33000</v>
          </cell>
          <cell r="EE206" t="str">
            <v>SIN USO</v>
          </cell>
          <cell r="EF206" t="str">
            <v>C</v>
          </cell>
          <cell r="EG206" t="str">
            <v/>
          </cell>
          <cell r="EH206">
            <v>15600</v>
          </cell>
          <cell r="EI206">
            <v>2600</v>
          </cell>
          <cell r="EJ206">
            <v>11268.419264798091</v>
          </cell>
          <cell r="EK206">
            <v>0</v>
          </cell>
          <cell r="EL206">
            <v>0</v>
          </cell>
          <cell r="EM206">
            <v>0</v>
          </cell>
          <cell r="EN206">
            <v>15600</v>
          </cell>
          <cell r="EO206">
            <v>5200</v>
          </cell>
          <cell r="EP206">
            <v>20800</v>
          </cell>
        </row>
        <row r="207">
          <cell r="F207">
            <v>405033</v>
          </cell>
          <cell r="G207" t="str">
            <v>ETIQ. CIRCULAR 9cm IMPR. TORTA HOJA MANJAR PASTELERA</v>
          </cell>
          <cell r="CX207">
            <v>3000</v>
          </cell>
          <cell r="EE207" t="str">
            <v>SIN USO</v>
          </cell>
          <cell r="EF207" t="str">
            <v>C</v>
          </cell>
          <cell r="EG207" t="str">
            <v/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</row>
        <row r="208">
          <cell r="F208">
            <v>405463</v>
          </cell>
          <cell r="G208" t="str">
            <v>ETIQUETAS CIRCULAR 9cm IMPR. TORTA PQQ. CHOCOLATE MANJAR GUINDA SISA</v>
          </cell>
          <cell r="CX208">
            <v>1000</v>
          </cell>
          <cell r="DJ208">
            <v>2000</v>
          </cell>
          <cell r="EE208" t="str">
            <v>ACTIVO</v>
          </cell>
          <cell r="EF208" t="str">
            <v>C</v>
          </cell>
          <cell r="EG208" t="str">
            <v/>
          </cell>
          <cell r="EH208">
            <v>2000</v>
          </cell>
          <cell r="EI208">
            <v>333.33333333333331</v>
          </cell>
          <cell r="EJ208">
            <v>0</v>
          </cell>
          <cell r="EK208">
            <v>21000</v>
          </cell>
          <cell r="EL208">
            <v>425040</v>
          </cell>
          <cell r="EM208">
            <v>10.5</v>
          </cell>
          <cell r="EN208">
            <v>2000</v>
          </cell>
          <cell r="EO208">
            <v>666.66666666666663</v>
          </cell>
          <cell r="EP208">
            <v>2666.6666666666665</v>
          </cell>
        </row>
        <row r="209">
          <cell r="F209">
            <v>405223</v>
          </cell>
          <cell r="G209" t="str">
            <v>ETIQ.CIRCULAR 9cm IMPR. TORTA MERENGUE LUCUMA JUMBO</v>
          </cell>
          <cell r="CY209">
            <v>1000</v>
          </cell>
          <cell r="DC209">
            <v>1000</v>
          </cell>
          <cell r="EE209" t="str">
            <v>ACTIVO</v>
          </cell>
          <cell r="EF209" t="str">
            <v>C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</row>
        <row r="210">
          <cell r="F210">
            <v>405400</v>
          </cell>
          <cell r="G210" t="str">
            <v>ETIQ.CIRCULAR 9cm IMPR. TORTA ROGEL</v>
          </cell>
          <cell r="AR210">
            <v>1000</v>
          </cell>
          <cell r="AT210">
            <v>1000</v>
          </cell>
          <cell r="AX210">
            <v>1000</v>
          </cell>
          <cell r="BA210">
            <v>1000</v>
          </cell>
          <cell r="BB210">
            <v>1000</v>
          </cell>
          <cell r="EE210" t="str">
            <v>SIN USO</v>
          </cell>
          <cell r="EF210" t="str">
            <v/>
          </cell>
          <cell r="EG210">
            <v>10000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</row>
        <row r="211">
          <cell r="F211">
            <v>404742</v>
          </cell>
          <cell r="G211" t="str">
            <v>ETIQUETA CIRCULAR 9cm IMPR. TORTA PIÑA COLADA</v>
          </cell>
          <cell r="AW211">
            <v>1000</v>
          </cell>
          <cell r="AX211">
            <v>4000</v>
          </cell>
          <cell r="BB211">
            <v>2000</v>
          </cell>
          <cell r="BF211">
            <v>2000</v>
          </cell>
          <cell r="BK211">
            <v>5000</v>
          </cell>
          <cell r="BN211">
            <v>4000</v>
          </cell>
          <cell r="BP211">
            <v>2000</v>
          </cell>
          <cell r="BR211">
            <v>5000</v>
          </cell>
          <cell r="BT211">
            <v>7000</v>
          </cell>
          <cell r="BU211">
            <v>4000</v>
          </cell>
          <cell r="BX211">
            <v>4000</v>
          </cell>
          <cell r="CA211">
            <v>4000</v>
          </cell>
          <cell r="CB211">
            <v>1000</v>
          </cell>
          <cell r="CF211">
            <v>3000</v>
          </cell>
          <cell r="CI211">
            <v>1000</v>
          </cell>
          <cell r="CJ211">
            <v>2000</v>
          </cell>
          <cell r="CL211">
            <v>1000</v>
          </cell>
          <cell r="CM211">
            <v>1000</v>
          </cell>
          <cell r="CN211">
            <v>4000</v>
          </cell>
          <cell r="CO211">
            <v>2000</v>
          </cell>
          <cell r="CP211">
            <v>1000</v>
          </cell>
          <cell r="EE211" t="str">
            <v>SIN USO</v>
          </cell>
          <cell r="EF211" t="str">
            <v>C</v>
          </cell>
          <cell r="EG211">
            <v>10000</v>
          </cell>
          <cell r="EH211">
            <v>0</v>
          </cell>
          <cell r="EI211">
            <v>0</v>
          </cell>
          <cell r="EJ211">
            <v>1802.7756377319947</v>
          </cell>
          <cell r="EK211">
            <v>0</v>
          </cell>
          <cell r="EL211">
            <v>0</v>
          </cell>
          <cell r="EM211">
            <v>0</v>
          </cell>
          <cell r="EN211">
            <v>0</v>
          </cell>
          <cell r="EO211">
            <v>0</v>
          </cell>
          <cell r="EP211">
            <v>0</v>
          </cell>
        </row>
        <row r="212">
          <cell r="F212">
            <v>405401</v>
          </cell>
          <cell r="G212" t="str">
            <v>ETIQ.CIRCULAR 9cm IMPR. TORTA MERENGUE NOUGAT</v>
          </cell>
          <cell r="AW212">
            <v>1000</v>
          </cell>
          <cell r="AZ212">
            <v>1000</v>
          </cell>
          <cell r="BB212">
            <v>1000</v>
          </cell>
          <cell r="BE212">
            <v>1000</v>
          </cell>
          <cell r="BI212">
            <v>1000</v>
          </cell>
          <cell r="BK212">
            <v>1000</v>
          </cell>
          <cell r="BS212">
            <v>1000</v>
          </cell>
          <cell r="BT212">
            <v>1000</v>
          </cell>
          <cell r="CU212">
            <v>1000</v>
          </cell>
          <cell r="DA212">
            <v>1000</v>
          </cell>
          <cell r="EE212" t="str">
            <v>SIN USO</v>
          </cell>
          <cell r="EF212" t="str">
            <v>C</v>
          </cell>
          <cell r="EG212">
            <v>10000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</row>
        <row r="213">
          <cell r="F213">
            <v>405049</v>
          </cell>
          <cell r="G213" t="str">
            <v>ETIQUETA AUTOADHESIVA 22X32 POLIPROPILENO (OPP)</v>
          </cell>
          <cell r="H213">
            <v>10000</v>
          </cell>
          <cell r="AZ213">
            <v>10000</v>
          </cell>
          <cell r="BA213">
            <v>40000</v>
          </cell>
          <cell r="BC213">
            <v>10000</v>
          </cell>
          <cell r="BF213">
            <v>30000</v>
          </cell>
          <cell r="BG213">
            <v>20000</v>
          </cell>
          <cell r="BI213">
            <v>30000</v>
          </cell>
          <cell r="BJ213">
            <v>30000</v>
          </cell>
          <cell r="BN213">
            <v>80000</v>
          </cell>
          <cell r="BT213">
            <v>50000</v>
          </cell>
          <cell r="BV213">
            <v>40000</v>
          </cell>
          <cell r="BW213">
            <v>60000</v>
          </cell>
          <cell r="BX213">
            <v>60000</v>
          </cell>
          <cell r="BZ213">
            <v>60000</v>
          </cell>
          <cell r="CA213">
            <v>80000</v>
          </cell>
          <cell r="CB213">
            <v>30000</v>
          </cell>
          <cell r="CC213">
            <v>120000</v>
          </cell>
          <cell r="CE213">
            <v>70000</v>
          </cell>
          <cell r="CF213">
            <v>100000</v>
          </cell>
          <cell r="CH213">
            <v>40000</v>
          </cell>
          <cell r="CI213">
            <v>10000</v>
          </cell>
          <cell r="CJ213">
            <v>60000</v>
          </cell>
          <cell r="CK213">
            <v>80000</v>
          </cell>
          <cell r="CL213">
            <v>50000</v>
          </cell>
          <cell r="CM213">
            <v>50000</v>
          </cell>
          <cell r="CO213">
            <v>90000</v>
          </cell>
          <cell r="CP213">
            <v>30000</v>
          </cell>
          <cell r="CR213">
            <v>60000</v>
          </cell>
          <cell r="CU213">
            <v>60000</v>
          </cell>
          <cell r="CW213">
            <v>80000</v>
          </cell>
          <cell r="CX213">
            <v>60000</v>
          </cell>
          <cell r="CZ213">
            <v>60000</v>
          </cell>
          <cell r="DA213">
            <v>50000</v>
          </cell>
          <cell r="DC213">
            <v>50000</v>
          </cell>
          <cell r="DE213">
            <v>50000</v>
          </cell>
          <cell r="DF213">
            <v>60000</v>
          </cell>
          <cell r="DH213">
            <v>20000</v>
          </cell>
          <cell r="DI213">
            <v>20000</v>
          </cell>
          <cell r="DJ213">
            <v>60000</v>
          </cell>
          <cell r="DK213">
            <v>50000</v>
          </cell>
          <cell r="DM213">
            <v>50000</v>
          </cell>
          <cell r="DO213">
            <v>60000</v>
          </cell>
          <cell r="DP213">
            <v>50000</v>
          </cell>
          <cell r="DR213">
            <v>60000</v>
          </cell>
          <cell r="DS213">
            <v>50000</v>
          </cell>
          <cell r="DU213">
            <v>80000</v>
          </cell>
          <cell r="DV213">
            <v>50000</v>
          </cell>
          <cell r="DW213">
            <v>100000</v>
          </cell>
          <cell r="DX213">
            <v>30000</v>
          </cell>
          <cell r="DY213">
            <v>20000</v>
          </cell>
          <cell r="DZ213">
            <v>20000</v>
          </cell>
          <cell r="EB213">
            <v>20000</v>
          </cell>
          <cell r="EC213">
            <v>20000</v>
          </cell>
          <cell r="ED213">
            <v>10000</v>
          </cell>
          <cell r="EE213" t="str">
            <v>ACTIVO</v>
          </cell>
          <cell r="EF213" t="str">
            <v>C</v>
          </cell>
          <cell r="EG213">
            <v>10000</v>
          </cell>
          <cell r="EH213">
            <v>50000</v>
          </cell>
          <cell r="EI213">
            <v>8333.3333333333339</v>
          </cell>
          <cell r="EJ213">
            <v>23550.449165864728</v>
          </cell>
          <cell r="EK213">
            <v>160000</v>
          </cell>
          <cell r="EL213">
            <v>248000</v>
          </cell>
          <cell r="EM213">
            <v>3.2</v>
          </cell>
          <cell r="EN213">
            <v>50000</v>
          </cell>
          <cell r="EO213">
            <v>16666.666666666668</v>
          </cell>
          <cell r="EP213">
            <v>66666.666666666672</v>
          </cell>
        </row>
        <row r="214">
          <cell r="F214">
            <v>405449</v>
          </cell>
          <cell r="G214" t="str">
            <v>ETIQ. CIRCULAR 90cm IMPR. TORTA MERENGUE MANZANA FRAMBUESA ESPECIAL JUMBO</v>
          </cell>
          <cell r="BB214">
            <v>1000</v>
          </cell>
          <cell r="BD214">
            <v>1000</v>
          </cell>
          <cell r="BK214">
            <v>1000</v>
          </cell>
          <cell r="BL214">
            <v>1000</v>
          </cell>
          <cell r="BN214">
            <v>1000</v>
          </cell>
          <cell r="BV214">
            <v>1000</v>
          </cell>
          <cell r="CI214">
            <v>1000</v>
          </cell>
          <cell r="CK214">
            <v>1000</v>
          </cell>
          <cell r="CN214">
            <v>2000</v>
          </cell>
          <cell r="CQ214">
            <v>1000</v>
          </cell>
          <cell r="CT214">
            <v>1000</v>
          </cell>
          <cell r="CY214">
            <v>1000</v>
          </cell>
          <cell r="CZ214">
            <v>1000</v>
          </cell>
          <cell r="DE214">
            <v>2000</v>
          </cell>
          <cell r="DF214">
            <v>1000</v>
          </cell>
          <cell r="DG214">
            <v>1000</v>
          </cell>
          <cell r="DJ214">
            <v>1000</v>
          </cell>
          <cell r="DK214">
            <v>2000</v>
          </cell>
          <cell r="DL214">
            <v>1000</v>
          </cell>
          <cell r="DT214">
            <v>1000</v>
          </cell>
          <cell r="DX214">
            <v>1000</v>
          </cell>
          <cell r="EE214" t="str">
            <v>ACTIVO</v>
          </cell>
          <cell r="EF214" t="str">
            <v>C</v>
          </cell>
          <cell r="EG214" t="str">
            <v/>
          </cell>
          <cell r="EH214">
            <v>1200</v>
          </cell>
          <cell r="EI214">
            <v>200</v>
          </cell>
          <cell r="EJ214">
            <v>363.13651960128129</v>
          </cell>
          <cell r="EK214">
            <v>15000</v>
          </cell>
          <cell r="EL214">
            <v>340500</v>
          </cell>
          <cell r="EM214">
            <v>12.5</v>
          </cell>
          <cell r="EN214">
            <v>1200</v>
          </cell>
          <cell r="EO214">
            <v>400</v>
          </cell>
          <cell r="EP214">
            <v>1600</v>
          </cell>
        </row>
        <row r="215">
          <cell r="F215">
            <v>404733</v>
          </cell>
          <cell r="G215" t="str">
            <v>ETIQUETA CIRCULAR 9,8cm IMPR. KUCHEN  5 COL +UV</v>
          </cell>
          <cell r="BV215">
            <v>10000</v>
          </cell>
          <cell r="EE215" t="str">
            <v>SIN USO</v>
          </cell>
          <cell r="EF215" t="str">
            <v>C</v>
          </cell>
          <cell r="EG215" t="str">
            <v/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</row>
        <row r="216">
          <cell r="F216">
            <v>405450</v>
          </cell>
          <cell r="G216" t="str">
            <v>ETIQ. CIRCULAR 90cm IMPR. FRANGIPANE CLÁSICO ESPECIAL JUMBO</v>
          </cell>
          <cell r="BF216">
            <v>5000</v>
          </cell>
          <cell r="EE216" t="str">
            <v>SIN USO</v>
          </cell>
          <cell r="EF216" t="str">
            <v/>
          </cell>
          <cell r="EG216" t="str">
            <v/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</row>
        <row r="217">
          <cell r="F217">
            <v>405451</v>
          </cell>
          <cell r="G217" t="str">
            <v>ETIQ. CIRCULAR 90cm IMPR. FRANGIPANE CROCANTE ESPECIAL JUMBO</v>
          </cell>
          <cell r="BF217">
            <v>5000</v>
          </cell>
          <cell r="EE217" t="str">
            <v>SIN USO</v>
          </cell>
          <cell r="EF217" t="str">
            <v/>
          </cell>
          <cell r="EG217" t="str">
            <v/>
          </cell>
          <cell r="EH217">
            <v>0</v>
          </cell>
          <cell r="EI217">
            <v>0</v>
          </cell>
          <cell r="EJ217">
            <v>0</v>
          </cell>
          <cell r="EK217">
            <v>0</v>
          </cell>
          <cell r="EL217">
            <v>0</v>
          </cell>
          <cell r="EM217">
            <v>0</v>
          </cell>
          <cell r="EN217">
            <v>0</v>
          </cell>
          <cell r="EO217">
            <v>0</v>
          </cell>
          <cell r="EP217">
            <v>0</v>
          </cell>
        </row>
        <row r="218">
          <cell r="F218">
            <v>405453</v>
          </cell>
          <cell r="G218" t="str">
            <v>ETIQ. CIRCULAR 90cm IMPR. TARTA MANJAR NUEZ ESPECIAL JUMBO</v>
          </cell>
          <cell r="BU218">
            <v>1000</v>
          </cell>
          <cell r="BV218">
            <v>1000</v>
          </cell>
          <cell r="CF218">
            <v>1000</v>
          </cell>
          <cell r="CK218">
            <v>1000</v>
          </cell>
          <cell r="CN218">
            <v>1000</v>
          </cell>
          <cell r="CP218">
            <v>1000</v>
          </cell>
          <cell r="CQ218">
            <v>2000</v>
          </cell>
          <cell r="CV218">
            <v>1000</v>
          </cell>
          <cell r="CW218">
            <v>1000</v>
          </cell>
          <cell r="DA218">
            <v>1000</v>
          </cell>
          <cell r="DE218">
            <v>1000</v>
          </cell>
          <cell r="DJ218">
            <v>1000</v>
          </cell>
          <cell r="DM218">
            <v>1000</v>
          </cell>
          <cell r="DP218">
            <v>1000</v>
          </cell>
          <cell r="DR218">
            <v>1000</v>
          </cell>
          <cell r="DU218">
            <v>1000</v>
          </cell>
          <cell r="DZ218">
            <v>1000</v>
          </cell>
          <cell r="ED218">
            <v>1000</v>
          </cell>
          <cell r="EE218" t="str">
            <v>ACTIVO</v>
          </cell>
          <cell r="EF218" t="str">
            <v>C</v>
          </cell>
          <cell r="EH218">
            <v>1000</v>
          </cell>
          <cell r="EI218">
            <v>166.66666666666666</v>
          </cell>
          <cell r="EJ218">
            <v>301.51134457776351</v>
          </cell>
          <cell r="EK218">
            <v>3000</v>
          </cell>
          <cell r="EL218">
            <v>62100</v>
          </cell>
          <cell r="EM218">
            <v>3</v>
          </cell>
          <cell r="EN218">
            <v>1000</v>
          </cell>
          <cell r="EO218">
            <v>333.33333333333331</v>
          </cell>
          <cell r="EP218">
            <v>1333.3333333333333</v>
          </cell>
        </row>
        <row r="219">
          <cell r="F219">
            <v>405464</v>
          </cell>
          <cell r="G219" t="str">
            <v>ETIQUETA CIRCULAR 9cm IMPR. CHEESECAKE SISA</v>
          </cell>
          <cell r="BV219">
            <v>9000</v>
          </cell>
          <cell r="EE219" t="str">
            <v>SIN USO</v>
          </cell>
          <cell r="EF219" t="str">
            <v>C</v>
          </cell>
          <cell r="EG219" t="str">
            <v/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</row>
        <row r="220">
          <cell r="F220">
            <v>405615</v>
          </cell>
          <cell r="G220" t="str">
            <v>ETIQUETA CIRCULAR 9cm TORTA CHOCOTORTA JUMBO</v>
          </cell>
          <cell r="CZ220">
            <v>2000</v>
          </cell>
          <cell r="DB220">
            <v>1000</v>
          </cell>
          <cell r="DC220">
            <v>1000</v>
          </cell>
          <cell r="DG220">
            <v>1000</v>
          </cell>
          <cell r="DJ220">
            <v>1000</v>
          </cell>
          <cell r="DK220">
            <v>2000</v>
          </cell>
          <cell r="DL220">
            <v>1000</v>
          </cell>
          <cell r="DN220">
            <v>1000</v>
          </cell>
          <cell r="DO220">
            <v>1000</v>
          </cell>
          <cell r="EE220" t="str">
            <v>ACTIVO</v>
          </cell>
          <cell r="EF220" t="str">
            <v>C</v>
          </cell>
          <cell r="EG220" t="str">
            <v/>
          </cell>
          <cell r="EH220">
            <v>1200</v>
          </cell>
          <cell r="EI220">
            <v>200</v>
          </cell>
          <cell r="EJ220">
            <v>500</v>
          </cell>
          <cell r="EK220">
            <v>10000</v>
          </cell>
          <cell r="EL220">
            <v>227000</v>
          </cell>
          <cell r="EM220">
            <v>8.3333333333333339</v>
          </cell>
          <cell r="EN220">
            <v>1200</v>
          </cell>
          <cell r="EO220">
            <v>400</v>
          </cell>
          <cell r="EP220">
            <v>1600</v>
          </cell>
        </row>
        <row r="221">
          <cell r="F221">
            <v>405614</v>
          </cell>
          <cell r="G221" t="str">
            <v>ETIQUETA CIRCULAR 9cm TORTA TENTACIÓN DE CHOCOLATE JUMBO</v>
          </cell>
          <cell r="DB221">
            <v>4000</v>
          </cell>
          <cell r="DJ221">
            <v>1000</v>
          </cell>
          <cell r="DL221">
            <v>1000</v>
          </cell>
          <cell r="DN221">
            <v>2000</v>
          </cell>
          <cell r="DR221">
            <v>1000</v>
          </cell>
          <cell r="DT221">
            <v>2000</v>
          </cell>
          <cell r="DU221">
            <v>2000</v>
          </cell>
          <cell r="DX221">
            <v>2000</v>
          </cell>
          <cell r="EC221">
            <v>3000</v>
          </cell>
          <cell r="EE221" t="str">
            <v>ACTIVO</v>
          </cell>
          <cell r="EF221" t="str">
            <v>C</v>
          </cell>
          <cell r="EG221" t="str">
            <v/>
          </cell>
          <cell r="EH221">
            <v>1571.4285714285713</v>
          </cell>
          <cell r="EI221">
            <v>261.90476190476187</v>
          </cell>
          <cell r="EJ221">
            <v>0</v>
          </cell>
          <cell r="EK221">
            <v>0</v>
          </cell>
          <cell r="EL221">
            <v>0</v>
          </cell>
          <cell r="EM221">
            <v>0</v>
          </cell>
          <cell r="EN221">
            <v>1571.4285714285711</v>
          </cell>
          <cell r="EO221">
            <v>523.80952380952374</v>
          </cell>
          <cell r="EP221">
            <v>2095.238095238095</v>
          </cell>
        </row>
        <row r="222">
          <cell r="F222">
            <v>405554</v>
          </cell>
          <cell r="G222" t="str">
            <v>ETIQUETA CIRCULAR 9cm TORTA SABOR MANJAR NUEZ</v>
          </cell>
          <cell r="DD222">
            <v>0</v>
          </cell>
          <cell r="DX222">
            <v>1000</v>
          </cell>
          <cell r="EC222">
            <v>1000</v>
          </cell>
          <cell r="EE222" t="str">
            <v>ACTIVO</v>
          </cell>
          <cell r="EF222" t="str">
            <v>C</v>
          </cell>
          <cell r="EG222" t="str">
            <v/>
          </cell>
          <cell r="EH222">
            <v>1000</v>
          </cell>
          <cell r="EI222">
            <v>166.66666666666666</v>
          </cell>
          <cell r="EJ222">
            <v>0</v>
          </cell>
          <cell r="EK222">
            <v>10000</v>
          </cell>
          <cell r="EL222">
            <v>260000</v>
          </cell>
          <cell r="EM222">
            <v>10</v>
          </cell>
          <cell r="EN222">
            <v>1000</v>
          </cell>
          <cell r="EO222">
            <v>333.33333333333331</v>
          </cell>
          <cell r="EP222">
            <v>1333.3333333333333</v>
          </cell>
        </row>
        <row r="223">
          <cell r="F223">
            <v>405552</v>
          </cell>
          <cell r="G223" t="str">
            <v>ETIQUETA CIRCULAR 9cm TORTA GALLETA FRAMBUESA</v>
          </cell>
          <cell r="DD223">
            <v>0</v>
          </cell>
          <cell r="EE223" t="str">
            <v>ACTIVO</v>
          </cell>
          <cell r="EF223" t="str">
            <v>C</v>
          </cell>
          <cell r="EG223" t="str">
            <v/>
          </cell>
          <cell r="EH223">
            <v>0</v>
          </cell>
          <cell r="EI223">
            <v>0</v>
          </cell>
          <cell r="EJ223">
            <v>0</v>
          </cell>
          <cell r="EK223">
            <v>9000</v>
          </cell>
          <cell r="EL223">
            <v>204300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</row>
        <row r="224">
          <cell r="F224">
            <v>405644</v>
          </cell>
          <cell r="G224" t="str">
            <v>ETIQUETA TORTA MERENGUE COOKIES</v>
          </cell>
          <cell r="DD224">
            <v>0</v>
          </cell>
          <cell r="DE224">
            <v>1000</v>
          </cell>
          <cell r="DF224">
            <v>1000</v>
          </cell>
          <cell r="DG224">
            <v>1000</v>
          </cell>
          <cell r="DJ224">
            <v>1000</v>
          </cell>
          <cell r="DK224">
            <v>2000</v>
          </cell>
          <cell r="DN224">
            <v>1000</v>
          </cell>
          <cell r="DO224">
            <v>1000</v>
          </cell>
          <cell r="DV224">
            <v>2000</v>
          </cell>
          <cell r="DX224">
            <v>1000</v>
          </cell>
          <cell r="DY224">
            <v>1000</v>
          </cell>
          <cell r="EE224" t="str">
            <v>ACTIVO</v>
          </cell>
          <cell r="EF224" t="str">
            <v>C</v>
          </cell>
          <cell r="EH224">
            <v>1285.7142857142858</v>
          </cell>
          <cell r="EI224">
            <v>214.28571428571431</v>
          </cell>
          <cell r="EJ224">
            <v>500</v>
          </cell>
          <cell r="EK224">
            <v>4000</v>
          </cell>
          <cell r="EL224">
            <v>90800</v>
          </cell>
          <cell r="EM224">
            <v>3.1111111111111112</v>
          </cell>
          <cell r="EN224">
            <v>1285.7142857142858</v>
          </cell>
          <cell r="EO224">
            <v>428.57142857142861</v>
          </cell>
          <cell r="EP224">
            <v>1714.2857142857144</v>
          </cell>
        </row>
        <row r="225">
          <cell r="F225">
            <v>405643</v>
          </cell>
          <cell r="G225" t="str">
            <v>ETIQUETA TORTA MERENGUE LEMON PIE</v>
          </cell>
          <cell r="DD225">
            <v>0</v>
          </cell>
          <cell r="DE225">
            <v>3000</v>
          </cell>
          <cell r="DF225">
            <v>1000</v>
          </cell>
          <cell r="DG225">
            <v>1000</v>
          </cell>
          <cell r="DJ225">
            <v>1000</v>
          </cell>
          <cell r="DK225">
            <v>2000</v>
          </cell>
          <cell r="DW225">
            <v>1000</v>
          </cell>
          <cell r="EE225" t="str">
            <v>ACTIVO</v>
          </cell>
          <cell r="EF225" t="str">
            <v>C</v>
          </cell>
          <cell r="EG225" t="str">
            <v/>
          </cell>
          <cell r="EH225">
            <v>1333.3333333333333</v>
          </cell>
          <cell r="EI225">
            <v>222.2222222222222</v>
          </cell>
          <cell r="EJ225">
            <v>1258.3057392117917</v>
          </cell>
          <cell r="EK225">
            <v>5000</v>
          </cell>
          <cell r="EL225">
            <v>113500</v>
          </cell>
          <cell r="EM225">
            <v>3.75</v>
          </cell>
          <cell r="EN225">
            <v>1333.3333333333333</v>
          </cell>
          <cell r="EO225">
            <v>444.4444444444444</v>
          </cell>
          <cell r="EP225">
            <v>1777.7777777777776</v>
          </cell>
        </row>
        <row r="226">
          <cell r="F226">
            <v>405687</v>
          </cell>
          <cell r="G226" t="str">
            <v>ETIQ. CIRCULAR 90cm IMPR. TORTA CARROT CAKE ARTESANAL JUMBO</v>
          </cell>
          <cell r="DF226">
            <v>0</v>
          </cell>
          <cell r="DR226">
            <v>1500</v>
          </cell>
          <cell r="DS226">
            <v>1000</v>
          </cell>
          <cell r="DT226">
            <v>500</v>
          </cell>
          <cell r="DU226">
            <v>1000</v>
          </cell>
          <cell r="DW226">
            <v>1000</v>
          </cell>
          <cell r="DX226">
            <v>1000</v>
          </cell>
          <cell r="DY226">
            <v>1000</v>
          </cell>
          <cell r="DZ226">
            <v>1000</v>
          </cell>
          <cell r="EB226">
            <v>2000</v>
          </cell>
          <cell r="ED226">
            <v>1000</v>
          </cell>
          <cell r="EE226" t="str">
            <v>ACTIVO</v>
          </cell>
          <cell r="EF226" t="str">
            <v>C</v>
          </cell>
          <cell r="EG226" t="str">
            <v/>
          </cell>
          <cell r="EH226">
            <v>1000</v>
          </cell>
          <cell r="EI226">
            <v>166.66666666666666</v>
          </cell>
          <cell r="EJ226">
            <v>0</v>
          </cell>
          <cell r="EK226">
            <v>4000</v>
          </cell>
          <cell r="EL226">
            <v>180000</v>
          </cell>
          <cell r="EM226">
            <v>4</v>
          </cell>
          <cell r="EN226">
            <v>1000</v>
          </cell>
          <cell r="EO226">
            <v>333.33333333333331</v>
          </cell>
          <cell r="EP226">
            <v>1333.3333333333333</v>
          </cell>
        </row>
        <row r="227">
          <cell r="F227">
            <v>405688</v>
          </cell>
          <cell r="G227" t="str">
            <v>ETIQ. CIRCULAR 90cm IMPR. TORTA IGNACIA ARTESANAL JUMBO</v>
          </cell>
          <cell r="DF227">
            <v>0</v>
          </cell>
          <cell r="DR227">
            <v>1500</v>
          </cell>
          <cell r="DS227">
            <v>1000</v>
          </cell>
          <cell r="DT227">
            <v>500</v>
          </cell>
          <cell r="DU227">
            <v>1000</v>
          </cell>
          <cell r="DW227">
            <v>1000</v>
          </cell>
          <cell r="DX227">
            <v>1000</v>
          </cell>
          <cell r="DY227">
            <v>1000</v>
          </cell>
          <cell r="DZ227">
            <v>1000</v>
          </cell>
          <cell r="EB227">
            <v>2000</v>
          </cell>
          <cell r="ED227">
            <v>1000</v>
          </cell>
          <cell r="EE227" t="str">
            <v>ACTIVO</v>
          </cell>
          <cell r="EF227" t="str">
            <v>C</v>
          </cell>
          <cell r="EG227" t="str">
            <v/>
          </cell>
          <cell r="EH227">
            <v>1000</v>
          </cell>
          <cell r="EI227">
            <v>166.66666666666666</v>
          </cell>
          <cell r="EJ227">
            <v>0</v>
          </cell>
          <cell r="EK227">
            <v>6000</v>
          </cell>
          <cell r="EL227">
            <v>270000</v>
          </cell>
          <cell r="EM227">
            <v>6</v>
          </cell>
          <cell r="EN227">
            <v>1000</v>
          </cell>
          <cell r="EO227">
            <v>333.33333333333331</v>
          </cell>
          <cell r="EP227">
            <v>1333.3333333333333</v>
          </cell>
        </row>
        <row r="228">
          <cell r="F228">
            <v>405686</v>
          </cell>
          <cell r="G228" t="str">
            <v>ETIQ. CIRCULAR 90cm IMPR. TORTA RED VELVET ARTESANAL JUMBO</v>
          </cell>
          <cell r="DF228">
            <v>0</v>
          </cell>
          <cell r="DR228">
            <v>1500</v>
          </cell>
          <cell r="DS228">
            <v>1000</v>
          </cell>
          <cell r="DT228">
            <v>500</v>
          </cell>
          <cell r="DU228">
            <v>1000</v>
          </cell>
          <cell r="DW228">
            <v>1000</v>
          </cell>
          <cell r="DX228">
            <v>1000</v>
          </cell>
          <cell r="DY228">
            <v>1000</v>
          </cell>
          <cell r="DZ228">
            <v>1000</v>
          </cell>
          <cell r="EA228">
            <v>1000</v>
          </cell>
          <cell r="EB228">
            <v>2000</v>
          </cell>
          <cell r="ED228">
            <v>1000</v>
          </cell>
          <cell r="EE228" t="str">
            <v>ACTIVO</v>
          </cell>
          <cell r="EF228" t="str">
            <v>C</v>
          </cell>
          <cell r="EG228" t="str">
            <v/>
          </cell>
          <cell r="EH228">
            <v>1000</v>
          </cell>
          <cell r="EI228">
            <v>166.66666666666666</v>
          </cell>
          <cell r="EJ228">
            <v>0</v>
          </cell>
          <cell r="EK228">
            <v>6000</v>
          </cell>
          <cell r="EL228">
            <v>270000</v>
          </cell>
          <cell r="EM228">
            <v>6</v>
          </cell>
          <cell r="EN228">
            <v>1000</v>
          </cell>
          <cell r="EO228">
            <v>333.33333333333331</v>
          </cell>
          <cell r="EP228">
            <v>1333.3333333333333</v>
          </cell>
        </row>
        <row r="229">
          <cell r="F229">
            <v>405698</v>
          </cell>
          <cell r="G229" t="str">
            <v>ETIQ. CIRCULAR 90cm IMPR. TORTA LEMON CAKE ESPECIAL JUMBO</v>
          </cell>
          <cell r="DK229">
            <v>1000</v>
          </cell>
          <cell r="DM229">
            <v>1000</v>
          </cell>
          <cell r="DS229">
            <v>1000</v>
          </cell>
          <cell r="DW229">
            <v>1000</v>
          </cell>
          <cell r="DX229">
            <v>1000</v>
          </cell>
          <cell r="DY229">
            <v>1000</v>
          </cell>
          <cell r="EC229">
            <v>3000</v>
          </cell>
          <cell r="EE229" t="str">
            <v>ACTIVO</v>
          </cell>
          <cell r="EF229" t="str">
            <v/>
          </cell>
          <cell r="EG229" t="str">
            <v/>
          </cell>
          <cell r="EH229">
            <v>1000</v>
          </cell>
          <cell r="EI229">
            <v>166.66666666666666</v>
          </cell>
          <cell r="EJ229">
            <v>0</v>
          </cell>
          <cell r="EK229">
            <v>3000</v>
          </cell>
          <cell r="EL229">
            <v>78000</v>
          </cell>
          <cell r="EM229">
            <v>3</v>
          </cell>
          <cell r="EN229">
            <v>1000</v>
          </cell>
          <cell r="EO229">
            <v>333.33333333333331</v>
          </cell>
          <cell r="EP229">
            <v>1333.3333333333333</v>
          </cell>
        </row>
        <row r="230">
          <cell r="F230">
            <v>405712</v>
          </cell>
          <cell r="G230" t="str">
            <v>ETIQ. CIRCULAR 90cm IMPR. OPP TORTA MIL HOJAS MANJAR ARTESANAL WALMART</v>
          </cell>
          <cell r="DV230">
            <v>10000</v>
          </cell>
          <cell r="DX230">
            <v>10000</v>
          </cell>
          <cell r="DZ230">
            <v>10000</v>
          </cell>
          <cell r="EE230" t="str">
            <v>ACTIVO</v>
          </cell>
          <cell r="EF230" t="str">
            <v/>
          </cell>
          <cell r="EG230" t="str">
            <v/>
          </cell>
          <cell r="EH230">
            <v>10000</v>
          </cell>
          <cell r="EI230">
            <v>1666.6666666666667</v>
          </cell>
          <cell r="EJ230">
            <v>0</v>
          </cell>
          <cell r="EK230">
            <v>10000</v>
          </cell>
          <cell r="EL230">
            <v>227000</v>
          </cell>
          <cell r="EM230">
            <v>1</v>
          </cell>
          <cell r="EN230">
            <v>10000</v>
          </cell>
          <cell r="EO230">
            <v>3333.3333333333335</v>
          </cell>
          <cell r="EP230">
            <v>13333.333333333334</v>
          </cell>
        </row>
        <row r="231">
          <cell r="F231">
            <v>405751</v>
          </cell>
          <cell r="G231" t="str">
            <v>ETIQ. CIRCULAR 90cm IMPR. TORTA VIENA VAINILLA</v>
          </cell>
          <cell r="DZ231">
            <v>4000</v>
          </cell>
          <cell r="EA231">
            <v>1000</v>
          </cell>
          <cell r="EE231" t="str">
            <v>SIN USO</v>
          </cell>
          <cell r="EF231" t="str">
            <v/>
          </cell>
          <cell r="EG231" t="str">
            <v/>
          </cell>
          <cell r="EH231">
            <v>4000</v>
          </cell>
          <cell r="EI231">
            <v>666.66666666666663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4000</v>
          </cell>
          <cell r="EO231">
            <v>1333.3333333333333</v>
          </cell>
          <cell r="EP231">
            <v>5333.333333333333</v>
          </cell>
        </row>
        <row r="232">
          <cell r="F232">
            <v>405787</v>
          </cell>
          <cell r="G232" t="str">
            <v>ETIQ. CIRCULAR 90cm IMPR. TORTA HOJA FRAMBUESA ESPECIAL JUMBO</v>
          </cell>
          <cell r="ED232">
            <v>1000</v>
          </cell>
          <cell r="EE232" t="str">
            <v>ACTIVO</v>
          </cell>
          <cell r="EF232" t="str">
            <v/>
          </cell>
          <cell r="EG232" t="str">
            <v/>
          </cell>
          <cell r="EH232">
            <v>0</v>
          </cell>
          <cell r="EI232">
            <v>0</v>
          </cell>
          <cell r="EJ232">
            <v>0</v>
          </cell>
          <cell r="EK232">
            <v>9000</v>
          </cell>
          <cell r="EL232">
            <v>204300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</row>
        <row r="233">
          <cell r="H233">
            <v>54000</v>
          </cell>
          <cell r="I233">
            <v>183500</v>
          </cell>
          <cell r="J233">
            <v>332500</v>
          </cell>
          <cell r="K233">
            <v>141000</v>
          </cell>
          <cell r="L233">
            <v>116500</v>
          </cell>
          <cell r="M233">
            <v>135000</v>
          </cell>
          <cell r="N233">
            <v>109000</v>
          </cell>
          <cell r="O233">
            <v>236000</v>
          </cell>
          <cell r="P233">
            <v>257500</v>
          </cell>
          <cell r="Q233">
            <v>142001</v>
          </cell>
          <cell r="R233">
            <v>50000</v>
          </cell>
          <cell r="S233">
            <v>171000</v>
          </cell>
          <cell r="T233">
            <v>209000</v>
          </cell>
          <cell r="U233">
            <v>206000</v>
          </cell>
          <cell r="V233">
            <v>153000</v>
          </cell>
          <cell r="W233">
            <v>115000</v>
          </cell>
          <cell r="X233">
            <v>320000</v>
          </cell>
          <cell r="Y233">
            <v>96000</v>
          </cell>
          <cell r="Z233">
            <v>166001</v>
          </cell>
          <cell r="AA233">
            <v>159000</v>
          </cell>
          <cell r="AB233">
            <v>341999</v>
          </cell>
          <cell r="AC233">
            <v>205000</v>
          </cell>
          <cell r="AD233">
            <v>77000</v>
          </cell>
          <cell r="AE233">
            <v>357000</v>
          </cell>
          <cell r="AF233">
            <v>156000</v>
          </cell>
          <cell r="AG233">
            <v>188500</v>
          </cell>
          <cell r="AH233">
            <v>165000</v>
          </cell>
          <cell r="AI233">
            <v>278000</v>
          </cell>
          <cell r="AJ233">
            <v>194000</v>
          </cell>
          <cell r="AK233">
            <v>210500</v>
          </cell>
          <cell r="AL233">
            <v>261000</v>
          </cell>
          <cell r="AM233">
            <v>219500</v>
          </cell>
          <cell r="AN233">
            <v>179500</v>
          </cell>
          <cell r="AO233">
            <v>241000</v>
          </cell>
          <cell r="AP233">
            <v>189000</v>
          </cell>
          <cell r="AQ233">
            <v>198500</v>
          </cell>
          <cell r="AR233">
            <v>110000</v>
          </cell>
          <cell r="AS233">
            <v>192500</v>
          </cell>
          <cell r="AT233">
            <v>269500</v>
          </cell>
          <cell r="AU233">
            <v>13000</v>
          </cell>
          <cell r="AV233">
            <v>256500</v>
          </cell>
          <cell r="AW233">
            <v>225500</v>
          </cell>
          <cell r="AX233">
            <v>315000</v>
          </cell>
          <cell r="AY233">
            <v>125500</v>
          </cell>
          <cell r="AZ233">
            <v>110000</v>
          </cell>
          <cell r="BA233">
            <v>305000</v>
          </cell>
          <cell r="BB233">
            <v>257000</v>
          </cell>
          <cell r="BC233">
            <v>56000</v>
          </cell>
          <cell r="BD233">
            <v>333500</v>
          </cell>
          <cell r="BE233">
            <v>235500</v>
          </cell>
          <cell r="BF233">
            <v>63154</v>
          </cell>
          <cell r="BG233">
            <v>390246</v>
          </cell>
          <cell r="BH233">
            <v>185500</v>
          </cell>
          <cell r="BI233">
            <v>59000</v>
          </cell>
          <cell r="BJ233">
            <v>162000</v>
          </cell>
          <cell r="BK233">
            <v>363000</v>
          </cell>
          <cell r="BL233">
            <v>80000</v>
          </cell>
          <cell r="BM233">
            <v>198501</v>
          </cell>
          <cell r="BN233">
            <v>312501</v>
          </cell>
          <cell r="BO233">
            <v>381000</v>
          </cell>
          <cell r="BP233">
            <v>60000</v>
          </cell>
          <cell r="BQ233">
            <v>336500</v>
          </cell>
          <cell r="BR233">
            <v>287500</v>
          </cell>
          <cell r="BS233">
            <v>60000</v>
          </cell>
          <cell r="BT233">
            <v>484000</v>
          </cell>
          <cell r="BU233">
            <v>47000</v>
          </cell>
          <cell r="BV233">
            <v>306500</v>
          </cell>
          <cell r="BW233">
            <v>353500</v>
          </cell>
          <cell r="BX233">
            <v>309000</v>
          </cell>
          <cell r="BY233">
            <v>251000</v>
          </cell>
          <cell r="BZ233">
            <v>128000</v>
          </cell>
          <cell r="CA233">
            <v>459000</v>
          </cell>
          <cell r="CB233">
            <v>318500</v>
          </cell>
          <cell r="CC233">
            <v>154000</v>
          </cell>
          <cell r="CD233">
            <v>248500</v>
          </cell>
          <cell r="CE233">
            <v>335000</v>
          </cell>
          <cell r="CF233">
            <v>516000</v>
          </cell>
          <cell r="CG233">
            <v>202500</v>
          </cell>
          <cell r="CH233">
            <v>114000</v>
          </cell>
          <cell r="CI233">
            <v>343000</v>
          </cell>
          <cell r="CJ233">
            <v>266500</v>
          </cell>
          <cell r="CK233">
            <v>246000</v>
          </cell>
          <cell r="CL233">
            <v>226500</v>
          </cell>
          <cell r="CM233">
            <v>275000</v>
          </cell>
          <cell r="CN233">
            <v>351000</v>
          </cell>
          <cell r="CO233">
            <v>301000</v>
          </cell>
          <cell r="CP233">
            <v>375500</v>
          </cell>
          <cell r="CQ233">
            <v>181000</v>
          </cell>
          <cell r="CR233">
            <v>122000</v>
          </cell>
          <cell r="CS233">
            <v>10000</v>
          </cell>
          <cell r="CT233">
            <v>406000</v>
          </cell>
          <cell r="CU233">
            <v>555500</v>
          </cell>
          <cell r="CV233">
            <v>224500</v>
          </cell>
          <cell r="CW233">
            <v>324000</v>
          </cell>
          <cell r="CX233">
            <v>160010</v>
          </cell>
          <cell r="CY233">
            <v>438500</v>
          </cell>
          <cell r="CZ233">
            <v>237000</v>
          </cell>
          <cell r="DA233">
            <v>102000</v>
          </cell>
          <cell r="DB233">
            <v>290490</v>
          </cell>
          <cell r="DC233">
            <v>258500</v>
          </cell>
          <cell r="DD233">
            <v>186000</v>
          </cell>
          <cell r="DE233">
            <v>267500</v>
          </cell>
          <cell r="DF233">
            <v>221000</v>
          </cell>
          <cell r="DG233">
            <v>180000</v>
          </cell>
          <cell r="DH233">
            <v>31000</v>
          </cell>
          <cell r="DI233">
            <v>20000</v>
          </cell>
          <cell r="DJ233">
            <v>242500</v>
          </cell>
          <cell r="DK233">
            <v>397000</v>
          </cell>
          <cell r="DL233">
            <v>360500</v>
          </cell>
          <cell r="DM233">
            <v>189000</v>
          </cell>
          <cell r="DN233">
            <v>239000</v>
          </cell>
          <cell r="DO233">
            <v>259500</v>
          </cell>
          <cell r="DP233">
            <v>324000</v>
          </cell>
          <cell r="DQ233">
            <v>154500</v>
          </cell>
          <cell r="DR233">
            <v>306000</v>
          </cell>
          <cell r="DS233">
            <v>236500</v>
          </cell>
          <cell r="DT233">
            <v>274000</v>
          </cell>
          <cell r="DU233">
            <v>308000</v>
          </cell>
          <cell r="DV233">
            <v>237000</v>
          </cell>
          <cell r="DW233">
            <v>406000</v>
          </cell>
          <cell r="DX233">
            <v>249500</v>
          </cell>
          <cell r="DY233">
            <v>291500</v>
          </cell>
          <cell r="DZ233">
            <v>199500</v>
          </cell>
          <cell r="EA233">
            <v>44000</v>
          </cell>
          <cell r="EB233">
            <v>346500</v>
          </cell>
          <cell r="EC233">
            <v>194000</v>
          </cell>
          <cell r="ED233">
            <v>457500</v>
          </cell>
          <cell r="EE233" t="str">
            <v>ACTIVO</v>
          </cell>
          <cell r="EF233" t="str">
            <v/>
          </cell>
          <cell r="EG233" t="str">
            <v/>
          </cell>
          <cell r="EH233">
            <v>260777.77777777778</v>
          </cell>
          <cell r="EI233">
            <v>43462.962962962964</v>
          </cell>
          <cell r="EJ233">
            <v>127559.46304090964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86925.925925925927</v>
          </cell>
          <cell r="EP233">
            <v>86925.925925925927</v>
          </cell>
        </row>
        <row r="234">
          <cell r="F234">
            <v>401010</v>
          </cell>
          <cell r="G234" t="str">
            <v>STRECH FILM BLANCO</v>
          </cell>
          <cell r="H234">
            <v>50</v>
          </cell>
          <cell r="S234">
            <v>4</v>
          </cell>
          <cell r="V234">
            <v>10</v>
          </cell>
          <cell r="AN234">
            <v>12</v>
          </cell>
          <cell r="AX234">
            <v>6</v>
          </cell>
          <cell r="AZ234">
            <v>6</v>
          </cell>
          <cell r="BB234">
            <v>30</v>
          </cell>
          <cell r="BC234">
            <v>36</v>
          </cell>
          <cell r="BD234">
            <v>36</v>
          </cell>
          <cell r="BE234">
            <v>60</v>
          </cell>
          <cell r="BG234">
            <v>18</v>
          </cell>
          <cell r="BI234">
            <v>30</v>
          </cell>
          <cell r="BJ234">
            <v>24</v>
          </cell>
          <cell r="BK234">
            <v>37</v>
          </cell>
          <cell r="BL234">
            <v>18</v>
          </cell>
          <cell r="BM234">
            <v>10</v>
          </cell>
          <cell r="BN234">
            <v>30</v>
          </cell>
          <cell r="BO234">
            <v>60</v>
          </cell>
          <cell r="BP234">
            <v>60</v>
          </cell>
          <cell r="BR234">
            <v>36</v>
          </cell>
          <cell r="BS234">
            <v>36</v>
          </cell>
          <cell r="BT234">
            <v>37</v>
          </cell>
          <cell r="BU234">
            <v>30</v>
          </cell>
          <cell r="BV234">
            <v>12</v>
          </cell>
          <cell r="BW234">
            <v>48</v>
          </cell>
          <cell r="BX234">
            <v>60</v>
          </cell>
          <cell r="BY234">
            <v>60</v>
          </cell>
          <cell r="BZ234">
            <v>66</v>
          </cell>
          <cell r="CA234">
            <v>6</v>
          </cell>
          <cell r="CB234">
            <v>48</v>
          </cell>
          <cell r="CC234">
            <v>36</v>
          </cell>
          <cell r="CD234">
            <v>60</v>
          </cell>
          <cell r="CE234">
            <v>60</v>
          </cell>
          <cell r="CF234">
            <v>36</v>
          </cell>
          <cell r="CG234">
            <v>60</v>
          </cell>
          <cell r="CH234">
            <v>42</v>
          </cell>
          <cell r="CI234">
            <v>36</v>
          </cell>
          <cell r="CK234">
            <v>90</v>
          </cell>
          <cell r="CM234">
            <v>114</v>
          </cell>
          <cell r="CO234">
            <v>36</v>
          </cell>
          <cell r="CP234">
            <v>36</v>
          </cell>
          <cell r="CQ234">
            <v>40</v>
          </cell>
          <cell r="CR234">
            <v>96</v>
          </cell>
          <cell r="CT234">
            <v>36</v>
          </cell>
          <cell r="CV234">
            <v>36</v>
          </cell>
          <cell r="CW234">
            <v>60</v>
          </cell>
          <cell r="CX234">
            <v>48</v>
          </cell>
          <cell r="CY234">
            <v>28</v>
          </cell>
          <cell r="CZ234">
            <v>24</v>
          </cell>
          <cell r="DD234">
            <v>15</v>
          </cell>
          <cell r="DE234">
            <v>10</v>
          </cell>
          <cell r="DK234">
            <v>6</v>
          </cell>
          <cell r="DN234">
            <v>6</v>
          </cell>
          <cell r="DR234">
            <v>9</v>
          </cell>
          <cell r="DT234">
            <v>6</v>
          </cell>
          <cell r="DU234">
            <v>6</v>
          </cell>
          <cell r="DX234">
            <v>12</v>
          </cell>
          <cell r="EA234">
            <v>12</v>
          </cell>
          <cell r="EE234" t="str">
            <v>ACTIVO</v>
          </cell>
          <cell r="EF234" t="str">
            <v>C</v>
          </cell>
          <cell r="EG234">
            <v>120</v>
          </cell>
          <cell r="EH234">
            <v>7.5</v>
          </cell>
          <cell r="EI234">
            <v>1.25</v>
          </cell>
          <cell r="EJ234">
            <v>23.129942299306123</v>
          </cell>
          <cell r="EK234">
            <v>45</v>
          </cell>
          <cell r="EL234">
            <v>176157.9</v>
          </cell>
          <cell r="EM234">
            <v>6</v>
          </cell>
          <cell r="EN234">
            <v>5</v>
          </cell>
          <cell r="EO234">
            <v>2.5</v>
          </cell>
          <cell r="EP234">
            <v>7.5</v>
          </cell>
        </row>
        <row r="235">
          <cell r="F235">
            <v>401011</v>
          </cell>
          <cell r="G235" t="str">
            <v>STRECH FILM NEGRO</v>
          </cell>
          <cell r="H235">
            <v>12</v>
          </cell>
          <cell r="M235">
            <v>6</v>
          </cell>
          <cell r="T235">
            <v>1</v>
          </cell>
          <cell r="W235">
            <v>10</v>
          </cell>
          <cell r="X235">
            <v>3</v>
          </cell>
          <cell r="Y235">
            <v>3</v>
          </cell>
          <cell r="AK235">
            <v>3</v>
          </cell>
          <cell r="AX235">
            <v>1</v>
          </cell>
          <cell r="BC235">
            <v>6</v>
          </cell>
          <cell r="BD235">
            <v>0</v>
          </cell>
          <cell r="BG235">
            <v>6</v>
          </cell>
          <cell r="BI235">
            <v>24</v>
          </cell>
          <cell r="BN235">
            <v>42</v>
          </cell>
          <cell r="BO235">
            <v>6</v>
          </cell>
          <cell r="BT235">
            <v>6</v>
          </cell>
          <cell r="BW235">
            <v>12</v>
          </cell>
          <cell r="BY235">
            <v>1</v>
          </cell>
          <cell r="CG235">
            <v>6</v>
          </cell>
          <cell r="CH235">
            <v>12</v>
          </cell>
          <cell r="CJ235">
            <v>6</v>
          </cell>
          <cell r="CK235">
            <v>6</v>
          </cell>
          <cell r="CO235">
            <v>12</v>
          </cell>
          <cell r="CR235">
            <v>12</v>
          </cell>
          <cell r="CU235">
            <v>6</v>
          </cell>
          <cell r="CW235">
            <v>6</v>
          </cell>
          <cell r="CY235">
            <v>6</v>
          </cell>
          <cell r="CZ235">
            <v>5</v>
          </cell>
          <cell r="DG235">
            <v>6</v>
          </cell>
          <cell r="DJ235">
            <v>6</v>
          </cell>
          <cell r="DN235">
            <v>6</v>
          </cell>
          <cell r="DR235">
            <v>6</v>
          </cell>
          <cell r="DU235">
            <v>6</v>
          </cell>
          <cell r="DZ235">
            <v>6</v>
          </cell>
          <cell r="EB235">
            <v>12</v>
          </cell>
          <cell r="EE235" t="str">
            <v>ACTIVO</v>
          </cell>
          <cell r="EF235" t="str">
            <v>C</v>
          </cell>
          <cell r="EG235">
            <v>120</v>
          </cell>
          <cell r="EH235">
            <v>6</v>
          </cell>
          <cell r="EI235">
            <v>1</v>
          </cell>
          <cell r="EJ235">
            <v>9.6341152406740616</v>
          </cell>
          <cell r="EK235">
            <v>137</v>
          </cell>
          <cell r="EL235">
            <v>530706.49</v>
          </cell>
          <cell r="EM235">
            <v>22.833333333333332</v>
          </cell>
          <cell r="EN235">
            <v>4</v>
          </cell>
          <cell r="EO235">
            <v>2</v>
          </cell>
          <cell r="EP235">
            <v>6</v>
          </cell>
        </row>
        <row r="236">
          <cell r="F236">
            <v>401012</v>
          </cell>
          <cell r="G236" t="str">
            <v>STRECH FILM VERDE</v>
          </cell>
          <cell r="H236">
            <v>19</v>
          </cell>
          <cell r="J236">
            <v>8</v>
          </cell>
          <cell r="K236">
            <v>1</v>
          </cell>
          <cell r="M236">
            <v>3</v>
          </cell>
          <cell r="N236">
            <v>6</v>
          </cell>
          <cell r="O236">
            <v>2</v>
          </cell>
          <cell r="P236">
            <v>3</v>
          </cell>
          <cell r="Q236">
            <v>1</v>
          </cell>
          <cell r="R236">
            <v>1</v>
          </cell>
          <cell r="T236">
            <v>2</v>
          </cell>
          <cell r="W236">
            <v>10</v>
          </cell>
          <cell r="Y236">
            <v>5</v>
          </cell>
          <cell r="Z236">
            <v>19</v>
          </cell>
          <cell r="AA236">
            <v>5</v>
          </cell>
          <cell r="AB236">
            <v>12</v>
          </cell>
          <cell r="AC236">
            <v>14</v>
          </cell>
          <cell r="AD236">
            <v>21</v>
          </cell>
          <cell r="AE236">
            <v>0</v>
          </cell>
          <cell r="AI236">
            <v>9</v>
          </cell>
          <cell r="AJ236">
            <v>16</v>
          </cell>
          <cell r="AK236">
            <v>8</v>
          </cell>
          <cell r="AN236">
            <v>9</v>
          </cell>
          <cell r="AO236">
            <v>3</v>
          </cell>
          <cell r="AX236">
            <v>12</v>
          </cell>
          <cell r="BC236">
            <v>6</v>
          </cell>
          <cell r="BD236">
            <v>0</v>
          </cell>
          <cell r="BE236">
            <v>6</v>
          </cell>
          <cell r="BF236">
            <v>30</v>
          </cell>
          <cell r="BK236">
            <v>6</v>
          </cell>
          <cell r="BO236">
            <v>6</v>
          </cell>
          <cell r="BS236">
            <v>6</v>
          </cell>
          <cell r="BT236">
            <v>6</v>
          </cell>
          <cell r="BW236">
            <v>12</v>
          </cell>
          <cell r="BZ236">
            <v>1</v>
          </cell>
          <cell r="CB236">
            <v>6</v>
          </cell>
          <cell r="CF236">
            <v>6</v>
          </cell>
          <cell r="CH236">
            <v>12</v>
          </cell>
          <cell r="CJ236">
            <v>6</v>
          </cell>
          <cell r="CK236">
            <v>30</v>
          </cell>
          <cell r="CT236">
            <v>12</v>
          </cell>
          <cell r="CY236">
            <v>6</v>
          </cell>
          <cell r="DC236">
            <v>12</v>
          </cell>
          <cell r="DK236">
            <v>6</v>
          </cell>
          <cell r="DN236">
            <v>6</v>
          </cell>
          <cell r="DR236">
            <v>6</v>
          </cell>
          <cell r="DU236">
            <v>12</v>
          </cell>
          <cell r="DW236">
            <v>6</v>
          </cell>
          <cell r="DX236">
            <v>12</v>
          </cell>
          <cell r="EB236">
            <v>6</v>
          </cell>
          <cell r="EC236">
            <v>12</v>
          </cell>
          <cell r="EE236" t="str">
            <v>ACTIVO</v>
          </cell>
          <cell r="EF236" t="str">
            <v>C</v>
          </cell>
          <cell r="EG236">
            <v>120</v>
          </cell>
          <cell r="EH236">
            <v>8</v>
          </cell>
          <cell r="EI236">
            <v>1.3333333333333333</v>
          </cell>
          <cell r="EJ236">
            <v>6.8664657319724274</v>
          </cell>
          <cell r="EK236">
            <v>21</v>
          </cell>
          <cell r="EL236">
            <v>82258.05</v>
          </cell>
          <cell r="EM236">
            <v>2.625</v>
          </cell>
          <cell r="EN236">
            <v>5.333333333333333</v>
          </cell>
          <cell r="EO236">
            <v>2.6666666666666665</v>
          </cell>
          <cell r="EP236">
            <v>8</v>
          </cell>
        </row>
        <row r="237">
          <cell r="F237">
            <v>401013</v>
          </cell>
          <cell r="G237" t="str">
            <v>STRECH FILM AZUL</v>
          </cell>
          <cell r="H237">
            <v>20</v>
          </cell>
          <cell r="I237">
            <v>6</v>
          </cell>
          <cell r="J237">
            <v>4</v>
          </cell>
          <cell r="K237">
            <v>13</v>
          </cell>
          <cell r="L237">
            <v>3</v>
          </cell>
          <cell r="M237">
            <v>4</v>
          </cell>
          <cell r="P237">
            <v>5</v>
          </cell>
          <cell r="Q237">
            <v>1</v>
          </cell>
          <cell r="R237">
            <v>8</v>
          </cell>
          <cell r="S237">
            <v>5</v>
          </cell>
          <cell r="T237">
            <v>4</v>
          </cell>
          <cell r="U237">
            <v>16</v>
          </cell>
          <cell r="V237">
            <v>26</v>
          </cell>
          <cell r="W237">
            <v>33</v>
          </cell>
          <cell r="X237">
            <v>41</v>
          </cell>
          <cell r="Y237">
            <v>26</v>
          </cell>
          <cell r="Z237">
            <v>24</v>
          </cell>
          <cell r="AA237">
            <v>22</v>
          </cell>
          <cell r="AB237">
            <v>54</v>
          </cell>
          <cell r="AC237">
            <v>12</v>
          </cell>
          <cell r="AD237">
            <v>12</v>
          </cell>
          <cell r="AE237">
            <v>36</v>
          </cell>
          <cell r="AF237">
            <v>33.6</v>
          </cell>
          <cell r="AG237">
            <v>28.4</v>
          </cell>
          <cell r="AH237">
            <v>26</v>
          </cell>
          <cell r="AI237">
            <v>30</v>
          </cell>
          <cell r="AK237">
            <v>12</v>
          </cell>
          <cell r="AL237">
            <v>29</v>
          </cell>
          <cell r="AM237">
            <v>34</v>
          </cell>
          <cell r="AN237">
            <v>21</v>
          </cell>
          <cell r="AO237">
            <v>15</v>
          </cell>
          <cell r="AP237">
            <v>16</v>
          </cell>
          <cell r="AQ237">
            <v>28</v>
          </cell>
          <cell r="AR237">
            <v>14</v>
          </cell>
          <cell r="AS237">
            <v>0</v>
          </cell>
          <cell r="AT237">
            <v>16</v>
          </cell>
          <cell r="AU237">
            <v>11</v>
          </cell>
          <cell r="AV237">
            <v>14</v>
          </cell>
          <cell r="AW237">
            <v>21</v>
          </cell>
          <cell r="AX237">
            <v>20</v>
          </cell>
          <cell r="AY237">
            <v>9</v>
          </cell>
          <cell r="AZ237">
            <v>19</v>
          </cell>
          <cell r="BA237">
            <v>19</v>
          </cell>
          <cell r="BB237">
            <v>22</v>
          </cell>
          <cell r="BC237">
            <v>12</v>
          </cell>
          <cell r="BD237">
            <v>13</v>
          </cell>
          <cell r="BE237">
            <v>21</v>
          </cell>
          <cell r="BF237">
            <v>18</v>
          </cell>
          <cell r="BG237">
            <v>18</v>
          </cell>
          <cell r="BH237">
            <v>11</v>
          </cell>
          <cell r="BI237">
            <v>29</v>
          </cell>
          <cell r="BJ237">
            <v>10</v>
          </cell>
          <cell r="BK237">
            <v>28</v>
          </cell>
          <cell r="BL237">
            <v>14</v>
          </cell>
          <cell r="BM237">
            <v>20</v>
          </cell>
          <cell r="BN237">
            <v>96</v>
          </cell>
          <cell r="BO237">
            <v>26</v>
          </cell>
          <cell r="BP237">
            <v>9</v>
          </cell>
          <cell r="BQ237">
            <v>9</v>
          </cell>
          <cell r="BR237">
            <v>18</v>
          </cell>
          <cell r="BS237">
            <v>12</v>
          </cell>
          <cell r="BT237">
            <v>14</v>
          </cell>
          <cell r="BU237">
            <v>11</v>
          </cell>
          <cell r="BV237">
            <v>12</v>
          </cell>
          <cell r="BW237">
            <v>30</v>
          </cell>
          <cell r="BX237">
            <v>19</v>
          </cell>
          <cell r="BY237">
            <v>16</v>
          </cell>
          <cell r="BZ237">
            <v>22</v>
          </cell>
          <cell r="CA237">
            <v>23</v>
          </cell>
          <cell r="CB237">
            <v>32</v>
          </cell>
          <cell r="CC237">
            <v>7</v>
          </cell>
          <cell r="CD237">
            <v>26</v>
          </cell>
          <cell r="CE237">
            <v>18</v>
          </cell>
          <cell r="CF237">
            <v>16</v>
          </cell>
          <cell r="CG237">
            <v>12</v>
          </cell>
          <cell r="CH237">
            <v>34</v>
          </cell>
          <cell r="CI237">
            <v>16</v>
          </cell>
          <cell r="CJ237">
            <v>18</v>
          </cell>
          <cell r="CK237">
            <v>18</v>
          </cell>
          <cell r="CL237">
            <v>6</v>
          </cell>
          <cell r="CM237">
            <v>23</v>
          </cell>
          <cell r="CN237">
            <v>22</v>
          </cell>
          <cell r="CO237">
            <v>30</v>
          </cell>
          <cell r="CP237">
            <v>9</v>
          </cell>
          <cell r="CQ237">
            <v>22</v>
          </cell>
          <cell r="CR237">
            <v>21</v>
          </cell>
          <cell r="CS237">
            <v>10</v>
          </cell>
          <cell r="CT237">
            <v>6</v>
          </cell>
          <cell r="CU237">
            <v>8</v>
          </cell>
          <cell r="CV237">
            <v>18</v>
          </cell>
          <cell r="CW237">
            <v>18</v>
          </cell>
          <cell r="CX237">
            <v>20</v>
          </cell>
          <cell r="CZ237">
            <v>16</v>
          </cell>
          <cell r="DA237">
            <v>15</v>
          </cell>
          <cell r="DC237">
            <v>24</v>
          </cell>
          <cell r="DD237">
            <v>6</v>
          </cell>
          <cell r="DE237">
            <v>4</v>
          </cell>
          <cell r="DF237">
            <v>11</v>
          </cell>
          <cell r="DG237">
            <v>10</v>
          </cell>
          <cell r="DH237">
            <v>6</v>
          </cell>
          <cell r="DJ237">
            <v>13</v>
          </cell>
          <cell r="DK237">
            <v>20</v>
          </cell>
          <cell r="DL237">
            <v>32</v>
          </cell>
          <cell r="DM237">
            <v>18</v>
          </cell>
          <cell r="DN237">
            <v>26</v>
          </cell>
          <cell r="DO237">
            <v>10</v>
          </cell>
          <cell r="DP237">
            <v>14</v>
          </cell>
          <cell r="DQ237">
            <v>12</v>
          </cell>
          <cell r="DR237">
            <v>14</v>
          </cell>
          <cell r="DS237">
            <v>5</v>
          </cell>
          <cell r="DT237">
            <v>44</v>
          </cell>
          <cell r="DU237">
            <v>17</v>
          </cell>
          <cell r="DV237">
            <v>9</v>
          </cell>
          <cell r="DW237">
            <v>16</v>
          </cell>
          <cell r="DX237">
            <v>12</v>
          </cell>
          <cell r="DY237">
            <v>16</v>
          </cell>
          <cell r="DZ237">
            <v>16</v>
          </cell>
          <cell r="EA237">
            <v>6</v>
          </cell>
          <cell r="EC237">
            <v>8</v>
          </cell>
          <cell r="ED237">
            <v>22</v>
          </cell>
          <cell r="EE237" t="str">
            <v>ACTIVO</v>
          </cell>
          <cell r="EF237" t="str">
            <v>C</v>
          </cell>
          <cell r="EG237">
            <v>120</v>
          </cell>
          <cell r="EH237">
            <v>17.294117647058822</v>
          </cell>
          <cell r="EI237">
            <v>2.8823529411764706</v>
          </cell>
          <cell r="EJ237">
            <v>13.462307584147529</v>
          </cell>
          <cell r="EK237">
            <v>30</v>
          </cell>
          <cell r="EL237">
            <v>118770.9</v>
          </cell>
          <cell r="EM237">
            <v>1.7346938775510206</v>
          </cell>
          <cell r="EN237">
            <v>11.529411764705882</v>
          </cell>
          <cell r="EO237">
            <v>5.7647058823529411</v>
          </cell>
          <cell r="EP237">
            <v>17.294117647058822</v>
          </cell>
        </row>
        <row r="238">
          <cell r="F238">
            <v>401014</v>
          </cell>
          <cell r="G238" t="str">
            <v>STRECH FILM ANARANJADO</v>
          </cell>
          <cell r="H238">
            <v>12</v>
          </cell>
          <cell r="I238">
            <v>3</v>
          </cell>
          <cell r="L238">
            <v>1</v>
          </cell>
          <cell r="M238">
            <v>3</v>
          </cell>
          <cell r="N238">
            <v>1</v>
          </cell>
          <cell r="Q238">
            <v>4</v>
          </cell>
          <cell r="R238">
            <v>2</v>
          </cell>
          <cell r="S238">
            <v>1</v>
          </cell>
          <cell r="T238">
            <v>2</v>
          </cell>
          <cell r="V238">
            <v>5</v>
          </cell>
          <cell r="W238">
            <v>2</v>
          </cell>
          <cell r="AB238">
            <v>12</v>
          </cell>
          <cell r="AD238">
            <v>12</v>
          </cell>
          <cell r="AF238">
            <v>1</v>
          </cell>
          <cell r="AI238">
            <v>4</v>
          </cell>
          <cell r="AK238">
            <v>3</v>
          </cell>
          <cell r="AS238">
            <v>0</v>
          </cell>
          <cell r="AX238">
            <v>2</v>
          </cell>
          <cell r="BC238">
            <v>6</v>
          </cell>
          <cell r="BE238">
            <v>4</v>
          </cell>
          <cell r="BF238">
            <v>6</v>
          </cell>
          <cell r="BN238">
            <v>18</v>
          </cell>
          <cell r="BR238">
            <v>6</v>
          </cell>
          <cell r="BT238">
            <v>6</v>
          </cell>
          <cell r="BZ238">
            <v>74</v>
          </cell>
          <cell r="CR238">
            <v>24</v>
          </cell>
          <cell r="CW238">
            <v>12</v>
          </cell>
          <cell r="DE238">
            <v>6</v>
          </cell>
          <cell r="DJ238">
            <v>6</v>
          </cell>
          <cell r="DK238">
            <v>6</v>
          </cell>
          <cell r="DN238">
            <v>6</v>
          </cell>
          <cell r="DR238">
            <v>6</v>
          </cell>
          <cell r="DU238">
            <v>6</v>
          </cell>
          <cell r="DW238">
            <v>6</v>
          </cell>
          <cell r="EB238">
            <v>6</v>
          </cell>
          <cell r="EE238" t="str">
            <v>ACTIVO</v>
          </cell>
          <cell r="EF238" t="str">
            <v>C</v>
          </cell>
          <cell r="EG238">
            <v>120</v>
          </cell>
          <cell r="EH238">
            <v>6</v>
          </cell>
          <cell r="EI238">
            <v>1</v>
          </cell>
          <cell r="EJ238">
            <v>24.43650664769531</v>
          </cell>
          <cell r="EK238">
            <v>18</v>
          </cell>
          <cell r="EL238">
            <v>71280</v>
          </cell>
          <cell r="EM238">
            <v>3</v>
          </cell>
          <cell r="EN238">
            <v>4</v>
          </cell>
          <cell r="EO238">
            <v>2</v>
          </cell>
          <cell r="EP238">
            <v>6</v>
          </cell>
        </row>
        <row r="239">
          <cell r="F239">
            <v>401015</v>
          </cell>
          <cell r="G239" t="str">
            <v>STRECH FILM AMARILLO</v>
          </cell>
          <cell r="H239">
            <v>13</v>
          </cell>
          <cell r="J239">
            <v>1</v>
          </cell>
          <cell r="M239">
            <v>7</v>
          </cell>
          <cell r="O239">
            <v>2</v>
          </cell>
          <cell r="Q239">
            <v>6</v>
          </cell>
          <cell r="R239">
            <v>2</v>
          </cell>
          <cell r="T239">
            <v>10</v>
          </cell>
          <cell r="U239">
            <v>22</v>
          </cell>
          <cell r="V239">
            <v>10</v>
          </cell>
          <cell r="W239">
            <v>1</v>
          </cell>
          <cell r="X239">
            <v>4</v>
          </cell>
          <cell r="Z239">
            <v>5</v>
          </cell>
          <cell r="AD239">
            <v>12</v>
          </cell>
          <cell r="AX239">
            <v>12</v>
          </cell>
          <cell r="BC239">
            <v>6</v>
          </cell>
          <cell r="BD239">
            <v>0</v>
          </cell>
          <cell r="BK239">
            <v>12</v>
          </cell>
          <cell r="BN239">
            <v>12</v>
          </cell>
          <cell r="BR239">
            <v>6</v>
          </cell>
          <cell r="BT239">
            <v>6</v>
          </cell>
          <cell r="BW239">
            <v>12</v>
          </cell>
          <cell r="CH239">
            <v>12</v>
          </cell>
          <cell r="CK239">
            <v>6</v>
          </cell>
          <cell r="CR239">
            <v>18</v>
          </cell>
          <cell r="CY239">
            <v>6</v>
          </cell>
          <cell r="DC239">
            <v>12</v>
          </cell>
          <cell r="DJ239">
            <v>6</v>
          </cell>
          <cell r="DN239">
            <v>6</v>
          </cell>
          <cell r="DR239">
            <v>6</v>
          </cell>
          <cell r="DU239">
            <v>12</v>
          </cell>
          <cell r="DZ239">
            <v>6</v>
          </cell>
          <cell r="EB239">
            <v>6</v>
          </cell>
          <cell r="EE239" t="str">
            <v>ACTIVO</v>
          </cell>
          <cell r="EF239" t="str">
            <v>C</v>
          </cell>
          <cell r="EG239">
            <v>120</v>
          </cell>
          <cell r="EH239">
            <v>7.2</v>
          </cell>
          <cell r="EI239">
            <v>1.2</v>
          </cell>
          <cell r="EJ239">
            <v>4.0496913462633159</v>
          </cell>
          <cell r="EK239">
            <v>14</v>
          </cell>
          <cell r="EL239">
            <v>54910.94</v>
          </cell>
          <cell r="EM239">
            <v>1.9444444444444444</v>
          </cell>
          <cell r="EN239">
            <v>4.8</v>
          </cell>
          <cell r="EO239">
            <v>2.4</v>
          </cell>
          <cell r="EP239">
            <v>7.1999999999999993</v>
          </cell>
        </row>
        <row r="240">
          <cell r="F240">
            <v>401019</v>
          </cell>
          <cell r="G240" t="str">
            <v>STRECH FILM ROJO</v>
          </cell>
          <cell r="P240">
            <v>1</v>
          </cell>
          <cell r="AE240">
            <v>2</v>
          </cell>
          <cell r="AF240">
            <v>2</v>
          </cell>
          <cell r="AK240">
            <v>1</v>
          </cell>
          <cell r="AO240">
            <v>1</v>
          </cell>
          <cell r="BC240">
            <v>6</v>
          </cell>
          <cell r="BD240">
            <v>0</v>
          </cell>
          <cell r="CB240">
            <v>12</v>
          </cell>
          <cell r="CG240">
            <v>6</v>
          </cell>
          <cell r="CH240">
            <v>12</v>
          </cell>
          <cell r="DS240">
            <v>6</v>
          </cell>
          <cell r="EE240" t="str">
            <v>ACTIVO</v>
          </cell>
          <cell r="EF240" t="str">
            <v>C</v>
          </cell>
          <cell r="EG240">
            <v>120</v>
          </cell>
          <cell r="EH240">
            <v>6</v>
          </cell>
          <cell r="EI240">
            <v>1</v>
          </cell>
          <cell r="EJ240">
            <v>3.4641016151377544</v>
          </cell>
          <cell r="EK240">
            <v>86</v>
          </cell>
          <cell r="EL240">
            <v>329244.98</v>
          </cell>
          <cell r="EM240">
            <v>14.333333333333334</v>
          </cell>
          <cell r="EN240">
            <v>4</v>
          </cell>
          <cell r="EO240">
            <v>2</v>
          </cell>
          <cell r="EP240">
            <v>6</v>
          </cell>
        </row>
        <row r="241">
          <cell r="F241">
            <v>402111</v>
          </cell>
          <cell r="G241" t="str">
            <v>FILM TRANSPARENTE  685 MM (23CM) BATTISTA</v>
          </cell>
          <cell r="AW241">
            <v>6</v>
          </cell>
          <cell r="AY241">
            <v>1</v>
          </cell>
          <cell r="EE241" t="str">
            <v>ACTIVO</v>
          </cell>
          <cell r="EF241" t="str">
            <v/>
          </cell>
          <cell r="EG241">
            <v>120</v>
          </cell>
          <cell r="EH241">
            <v>0</v>
          </cell>
          <cell r="EI241">
            <v>0</v>
          </cell>
          <cell r="EJ241">
            <v>0</v>
          </cell>
          <cell r="EK241">
            <v>285</v>
          </cell>
          <cell r="EL241">
            <v>926560.65</v>
          </cell>
          <cell r="EM241">
            <v>0</v>
          </cell>
          <cell r="EN241">
            <v>0</v>
          </cell>
          <cell r="EO241">
            <v>0</v>
          </cell>
          <cell r="EP241">
            <v>0</v>
          </cell>
        </row>
        <row r="242">
          <cell r="H242">
            <v>126</v>
          </cell>
          <cell r="I242">
            <v>9</v>
          </cell>
          <cell r="J242">
            <v>13</v>
          </cell>
          <cell r="K242">
            <v>14</v>
          </cell>
          <cell r="L242">
            <v>4</v>
          </cell>
          <cell r="M242">
            <v>23</v>
          </cell>
          <cell r="N242">
            <v>7</v>
          </cell>
          <cell r="O242">
            <v>4</v>
          </cell>
          <cell r="P242">
            <v>9</v>
          </cell>
          <cell r="Q242">
            <v>12</v>
          </cell>
          <cell r="R242">
            <v>13</v>
          </cell>
          <cell r="S242">
            <v>10</v>
          </cell>
          <cell r="T242">
            <v>19</v>
          </cell>
          <cell r="U242">
            <v>38</v>
          </cell>
          <cell r="V242">
            <v>51</v>
          </cell>
          <cell r="W242">
            <v>56</v>
          </cell>
          <cell r="X242">
            <v>48</v>
          </cell>
          <cell r="Y242">
            <v>34</v>
          </cell>
          <cell r="Z242">
            <v>48</v>
          </cell>
          <cell r="AA242">
            <v>27</v>
          </cell>
          <cell r="AB242">
            <v>78</v>
          </cell>
          <cell r="AC242">
            <v>26</v>
          </cell>
          <cell r="AD242">
            <v>57</v>
          </cell>
          <cell r="AE242">
            <v>38</v>
          </cell>
          <cell r="AF242">
            <v>36.6</v>
          </cell>
          <cell r="AG242">
            <v>28.4</v>
          </cell>
          <cell r="AH242">
            <v>26</v>
          </cell>
          <cell r="AI242">
            <v>43</v>
          </cell>
          <cell r="AJ242">
            <v>16</v>
          </cell>
          <cell r="AK242">
            <v>27</v>
          </cell>
          <cell r="AL242">
            <v>29</v>
          </cell>
          <cell r="AM242">
            <v>34</v>
          </cell>
          <cell r="AN242">
            <v>42</v>
          </cell>
          <cell r="AO242">
            <v>19</v>
          </cell>
          <cell r="AP242">
            <v>16</v>
          </cell>
          <cell r="AQ242">
            <v>28</v>
          </cell>
          <cell r="AR242">
            <v>14</v>
          </cell>
          <cell r="AS242">
            <v>0</v>
          </cell>
          <cell r="AT242">
            <v>16</v>
          </cell>
          <cell r="AU242">
            <v>11</v>
          </cell>
          <cell r="AV242">
            <v>14</v>
          </cell>
          <cell r="AW242">
            <v>27</v>
          </cell>
          <cell r="AX242">
            <v>53</v>
          </cell>
          <cell r="AY242">
            <v>10</v>
          </cell>
          <cell r="AZ242">
            <v>25</v>
          </cell>
          <cell r="BA242">
            <v>19</v>
          </cell>
          <cell r="BB242">
            <v>52</v>
          </cell>
          <cell r="BC242">
            <v>78</v>
          </cell>
          <cell r="BD242">
            <v>49</v>
          </cell>
          <cell r="BE242">
            <v>91</v>
          </cell>
          <cell r="BF242">
            <v>54</v>
          </cell>
          <cell r="BG242">
            <v>42</v>
          </cell>
          <cell r="BH242">
            <v>11</v>
          </cell>
          <cell r="BI242">
            <v>83</v>
          </cell>
          <cell r="BJ242">
            <v>34</v>
          </cell>
          <cell r="BK242">
            <v>83</v>
          </cell>
          <cell r="BL242">
            <v>32</v>
          </cell>
          <cell r="BM242">
            <v>30</v>
          </cell>
          <cell r="BN242">
            <v>198</v>
          </cell>
          <cell r="BO242">
            <v>98</v>
          </cell>
          <cell r="BP242">
            <v>69</v>
          </cell>
          <cell r="BQ242">
            <v>9</v>
          </cell>
          <cell r="BR242">
            <v>66</v>
          </cell>
          <cell r="BS242">
            <v>54</v>
          </cell>
          <cell r="BT242">
            <v>75</v>
          </cell>
          <cell r="BU242">
            <v>41</v>
          </cell>
          <cell r="BV242">
            <v>24</v>
          </cell>
          <cell r="BW242">
            <v>114</v>
          </cell>
          <cell r="BX242">
            <v>79</v>
          </cell>
          <cell r="BY242">
            <v>77</v>
          </cell>
          <cell r="BZ242">
            <v>163</v>
          </cell>
          <cell r="CA242">
            <v>29</v>
          </cell>
          <cell r="CB242">
            <v>98</v>
          </cell>
          <cell r="CC242">
            <v>43</v>
          </cell>
          <cell r="CD242">
            <v>86</v>
          </cell>
          <cell r="CE242">
            <v>78</v>
          </cell>
          <cell r="CF242">
            <v>58</v>
          </cell>
          <cell r="CG242">
            <v>84</v>
          </cell>
          <cell r="CH242">
            <v>124</v>
          </cell>
          <cell r="CI242">
            <v>52</v>
          </cell>
          <cell r="CJ242">
            <v>30</v>
          </cell>
          <cell r="CK242">
            <v>150</v>
          </cell>
          <cell r="CL242">
            <v>6</v>
          </cell>
          <cell r="CM242">
            <v>137</v>
          </cell>
          <cell r="CN242">
            <v>22</v>
          </cell>
          <cell r="CO242">
            <v>78</v>
          </cell>
          <cell r="CP242">
            <v>45</v>
          </cell>
          <cell r="CQ242">
            <v>62</v>
          </cell>
          <cell r="CR242">
            <v>171</v>
          </cell>
          <cell r="CS242">
            <v>10</v>
          </cell>
          <cell r="CT242">
            <v>54</v>
          </cell>
          <cell r="CU242">
            <v>14</v>
          </cell>
          <cell r="CV242">
            <v>54</v>
          </cell>
          <cell r="CW242">
            <v>96</v>
          </cell>
          <cell r="CX242">
            <v>68</v>
          </cell>
          <cell r="CY242">
            <v>46</v>
          </cell>
          <cell r="CZ242">
            <v>45</v>
          </cell>
          <cell r="DA242">
            <v>15</v>
          </cell>
          <cell r="DC242">
            <v>48</v>
          </cell>
          <cell r="DD242">
            <v>21</v>
          </cell>
          <cell r="DE242">
            <v>20</v>
          </cell>
          <cell r="DF242">
            <v>11</v>
          </cell>
          <cell r="DG242">
            <v>16</v>
          </cell>
          <cell r="DH242">
            <v>6</v>
          </cell>
          <cell r="DJ242">
            <v>31</v>
          </cell>
          <cell r="DK242">
            <v>38</v>
          </cell>
          <cell r="DL242">
            <v>32</v>
          </cell>
          <cell r="DM242">
            <v>18</v>
          </cell>
          <cell r="DN242">
            <v>56</v>
          </cell>
          <cell r="DO242">
            <v>10</v>
          </cell>
          <cell r="DP242">
            <v>14</v>
          </cell>
          <cell r="DQ242">
            <v>12</v>
          </cell>
          <cell r="DR242">
            <v>47</v>
          </cell>
          <cell r="DS242">
            <v>11</v>
          </cell>
          <cell r="DT242">
            <v>50</v>
          </cell>
          <cell r="DU242">
            <v>59</v>
          </cell>
          <cell r="DV242">
            <v>9</v>
          </cell>
          <cell r="DW242">
            <v>28</v>
          </cell>
          <cell r="DX242">
            <v>36</v>
          </cell>
          <cell r="DY242">
            <v>16</v>
          </cell>
          <cell r="DZ242">
            <v>28</v>
          </cell>
          <cell r="EA242">
            <v>18</v>
          </cell>
          <cell r="EB242">
            <v>30</v>
          </cell>
          <cell r="EC242">
            <v>20</v>
          </cell>
          <cell r="ED242">
            <v>22</v>
          </cell>
          <cell r="EE242" t="str">
            <v>ACTIVO</v>
          </cell>
          <cell r="EF242" t="str">
            <v/>
          </cell>
          <cell r="EG242" t="str">
            <v/>
          </cell>
          <cell r="EH242">
            <v>29.117647058823529</v>
          </cell>
          <cell r="EI242">
            <v>4.8529411764705879</v>
          </cell>
          <cell r="EJ242">
            <v>45.27607204527763</v>
          </cell>
          <cell r="EK242">
            <v>0</v>
          </cell>
          <cell r="EL242">
            <v>0</v>
          </cell>
          <cell r="EM242">
            <v>0</v>
          </cell>
          <cell r="EN242">
            <v>0</v>
          </cell>
          <cell r="EO242">
            <v>9.7058823529411757</v>
          </cell>
          <cell r="EP242">
            <v>9.7058823529411757</v>
          </cell>
        </row>
        <row r="243">
          <cell r="F243">
            <v>402132</v>
          </cell>
          <cell r="G243" t="str">
            <v>FRAMBUESA CONGELADA ALTA FRUTA</v>
          </cell>
          <cell r="W243">
            <v>1400</v>
          </cell>
          <cell r="X243">
            <v>1400</v>
          </cell>
          <cell r="AA243">
            <v>400</v>
          </cell>
          <cell r="AC243">
            <v>500</v>
          </cell>
          <cell r="AD243">
            <v>300</v>
          </cell>
          <cell r="AF243">
            <v>400</v>
          </cell>
          <cell r="AL243">
            <v>400</v>
          </cell>
          <cell r="AP243">
            <v>500</v>
          </cell>
          <cell r="BL243">
            <v>200</v>
          </cell>
          <cell r="CB243">
            <v>416</v>
          </cell>
          <cell r="CG243">
            <v>266.7</v>
          </cell>
          <cell r="CM243">
            <v>57.5</v>
          </cell>
          <cell r="CN243">
            <v>573.5</v>
          </cell>
          <cell r="CO243">
            <v>458</v>
          </cell>
          <cell r="CP243">
            <v>277.5</v>
          </cell>
          <cell r="CQ243">
            <v>615</v>
          </cell>
          <cell r="DE243">
            <v>420</v>
          </cell>
          <cell r="DF243">
            <v>969</v>
          </cell>
          <cell r="DG243">
            <v>1203</v>
          </cell>
          <cell r="DH243">
            <v>1056</v>
          </cell>
          <cell r="DI243">
            <v>200</v>
          </cell>
          <cell r="DJ243">
            <v>1152</v>
          </cell>
          <cell r="DK243">
            <v>1700</v>
          </cell>
          <cell r="DL243">
            <v>1052</v>
          </cell>
          <cell r="DM243">
            <v>272</v>
          </cell>
          <cell r="DN243">
            <v>24</v>
          </cell>
          <cell r="DO243">
            <v>388</v>
          </cell>
          <cell r="DP243">
            <v>596</v>
          </cell>
          <cell r="DR243">
            <v>656</v>
          </cell>
          <cell r="DS243">
            <v>832</v>
          </cell>
          <cell r="DT243">
            <v>368</v>
          </cell>
          <cell r="DW243">
            <v>294</v>
          </cell>
          <cell r="DX243">
            <v>274</v>
          </cell>
          <cell r="DY243">
            <v>1040</v>
          </cell>
          <cell r="DZ243">
            <v>619</v>
          </cell>
          <cell r="EA243">
            <v>400</v>
          </cell>
          <cell r="EB243">
            <v>288</v>
          </cell>
          <cell r="EC243">
            <v>144</v>
          </cell>
          <cell r="ED243">
            <v>660</v>
          </cell>
          <cell r="EE243" t="str">
            <v>ACTIVO</v>
          </cell>
          <cell r="EF243" t="str">
            <v>B</v>
          </cell>
          <cell r="EG243" t="str">
            <v/>
          </cell>
          <cell r="EH243">
            <v>631.13333333333333</v>
          </cell>
          <cell r="EI243">
            <v>105.18888888888888</v>
          </cell>
          <cell r="EJ243">
            <v>359.92830557142247</v>
          </cell>
          <cell r="EK243">
            <v>1581</v>
          </cell>
          <cell r="EL243">
            <v>9280470</v>
          </cell>
          <cell r="EM243">
            <v>2.505017428963769</v>
          </cell>
          <cell r="EN243">
            <v>315.56666666666666</v>
          </cell>
          <cell r="EO243">
            <v>210.37777777777777</v>
          </cell>
          <cell r="EP243">
            <v>525.94444444444446</v>
          </cell>
        </row>
        <row r="244">
          <cell r="F244">
            <v>107354</v>
          </cell>
          <cell r="G244" t="str">
            <v>FRUTILLA CONGELADA ALTA FRUTA</v>
          </cell>
          <cell r="DD244">
            <v>0</v>
          </cell>
          <cell r="EE244" t="str">
            <v>SIN USO</v>
          </cell>
          <cell r="EF244" t="str">
            <v>C</v>
          </cell>
          <cell r="EH244">
            <v>0</v>
          </cell>
          <cell r="EI244">
            <v>0</v>
          </cell>
          <cell r="EJ244">
            <v>0</v>
          </cell>
          <cell r="EK244">
            <v>0</v>
          </cell>
          <cell r="EL244">
            <v>0</v>
          </cell>
          <cell r="EM244">
            <v>0</v>
          </cell>
          <cell r="EN244">
            <v>0</v>
          </cell>
          <cell r="EO244">
            <v>0</v>
          </cell>
          <cell r="EP244">
            <v>0</v>
          </cell>
        </row>
        <row r="245">
          <cell r="F245">
            <v>107306</v>
          </cell>
          <cell r="G245" t="str">
            <v>FRAMBUESA CONGELADA FRUTOS DEL MAIPO</v>
          </cell>
          <cell r="AG245">
            <v>1800</v>
          </cell>
          <cell r="AK245">
            <v>396</v>
          </cell>
          <cell r="AN245">
            <v>204</v>
          </cell>
          <cell r="AO245">
            <v>408</v>
          </cell>
          <cell r="AP245">
            <v>204</v>
          </cell>
          <cell r="BN245">
            <v>600</v>
          </cell>
          <cell r="BO245">
            <v>300</v>
          </cell>
          <cell r="BP245">
            <v>600</v>
          </cell>
          <cell r="CG245">
            <v>237.3</v>
          </cell>
          <cell r="CI245">
            <v>408</v>
          </cell>
          <cell r="CJ245">
            <v>236.5</v>
          </cell>
          <cell r="CK245">
            <v>504</v>
          </cell>
          <cell r="CL245">
            <v>124</v>
          </cell>
          <cell r="CM245">
            <v>530</v>
          </cell>
          <cell r="CQ245">
            <v>270</v>
          </cell>
          <cell r="CR245">
            <v>562</v>
          </cell>
          <cell r="CS245">
            <v>162</v>
          </cell>
          <cell r="CT245">
            <v>468</v>
          </cell>
          <cell r="CU245">
            <v>554</v>
          </cell>
          <cell r="CV245">
            <v>588</v>
          </cell>
          <cell r="CW245">
            <v>674</v>
          </cell>
          <cell r="CX245">
            <v>512</v>
          </cell>
          <cell r="CY245">
            <v>982</v>
          </cell>
          <cell r="CZ245">
            <v>708</v>
          </cell>
          <cell r="DA245">
            <v>832</v>
          </cell>
          <cell r="DB245">
            <v>850</v>
          </cell>
          <cell r="DC245">
            <v>562</v>
          </cell>
          <cell r="DD245">
            <v>479</v>
          </cell>
          <cell r="DF245">
            <v>5</v>
          </cell>
          <cell r="DT245">
            <v>144</v>
          </cell>
          <cell r="DU245">
            <v>466</v>
          </cell>
          <cell r="DV245">
            <v>434</v>
          </cell>
          <cell r="DW245">
            <v>466</v>
          </cell>
          <cell r="DX245">
            <v>368</v>
          </cell>
          <cell r="DY245">
            <v>728</v>
          </cell>
          <cell r="EE245" t="str">
            <v>ACTIVO</v>
          </cell>
          <cell r="EF245" t="str">
            <v>B</v>
          </cell>
          <cell r="EG245" t="str">
            <v/>
          </cell>
          <cell r="EH245">
            <v>434.33333333333331</v>
          </cell>
          <cell r="EI245">
            <v>72.388888888888886</v>
          </cell>
          <cell r="EJ245">
            <v>239.31635768992282</v>
          </cell>
          <cell r="EK245">
            <v>0</v>
          </cell>
          <cell r="EL245">
            <v>0</v>
          </cell>
          <cell r="EM245">
            <v>0</v>
          </cell>
          <cell r="EN245">
            <v>217.16666666666666</v>
          </cell>
          <cell r="EO245">
            <v>144.77777777777777</v>
          </cell>
          <cell r="EP245">
            <v>361.94444444444446</v>
          </cell>
        </row>
        <row r="246">
          <cell r="F246">
            <v>107368</v>
          </cell>
          <cell r="G246" t="str">
            <v>FRAMBUESA MITAD CONGELADA MEL</v>
          </cell>
          <cell r="AO246">
            <v>200</v>
          </cell>
          <cell r="EE246" t="str">
            <v>SIN USO</v>
          </cell>
          <cell r="EF246" t="str">
            <v/>
          </cell>
          <cell r="EG246" t="str">
            <v/>
          </cell>
          <cell r="EH246">
            <v>0</v>
          </cell>
          <cell r="EI246">
            <v>0</v>
          </cell>
          <cell r="EJ246">
            <v>0</v>
          </cell>
          <cell r="EK246">
            <v>0</v>
          </cell>
          <cell r="EL246">
            <v>0</v>
          </cell>
          <cell r="EM246">
            <v>0</v>
          </cell>
          <cell r="EN246">
            <v>0</v>
          </cell>
          <cell r="EO246">
            <v>0</v>
          </cell>
          <cell r="EP246">
            <v>0</v>
          </cell>
        </row>
        <row r="247">
          <cell r="F247">
            <v>405285</v>
          </cell>
          <cell r="G247" t="str">
            <v>FRUTILLA PICADILLO CONGELADA ALTA FRUTA</v>
          </cell>
          <cell r="CT247">
            <v>133</v>
          </cell>
          <cell r="EE247" t="str">
            <v>SIN USO</v>
          </cell>
          <cell r="EF247" t="str">
            <v>C</v>
          </cell>
          <cell r="EG247" t="str">
            <v/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</row>
        <row r="248">
          <cell r="F248">
            <v>107277</v>
          </cell>
          <cell r="G248" t="str">
            <v>PULPA MARACUYÁ CON PEPAS ALTA FRUTA</v>
          </cell>
          <cell r="DA248">
            <v>10</v>
          </cell>
          <cell r="DB248">
            <v>35</v>
          </cell>
          <cell r="EE248" t="str">
            <v>SIN USO</v>
          </cell>
          <cell r="EF248" t="str">
            <v>C</v>
          </cell>
          <cell r="EH248">
            <v>0</v>
          </cell>
          <cell r="EI248">
            <v>0</v>
          </cell>
          <cell r="EJ248">
            <v>17.677669529663689</v>
          </cell>
          <cell r="EK248">
            <v>0</v>
          </cell>
          <cell r="EL248">
            <v>0</v>
          </cell>
          <cell r="EM248">
            <v>0</v>
          </cell>
          <cell r="EN248">
            <v>0</v>
          </cell>
          <cell r="EO248">
            <v>0</v>
          </cell>
          <cell r="EP248">
            <v>0</v>
          </cell>
        </row>
        <row r="249">
          <cell r="W249">
            <v>1400</v>
          </cell>
          <cell r="X249">
            <v>1400</v>
          </cell>
          <cell r="AA249">
            <v>400</v>
          </cell>
          <cell r="AC249">
            <v>500</v>
          </cell>
          <cell r="AD249">
            <v>300</v>
          </cell>
          <cell r="AF249">
            <v>400</v>
          </cell>
          <cell r="AG249">
            <v>1800</v>
          </cell>
          <cell r="AK249">
            <v>396</v>
          </cell>
          <cell r="AL249">
            <v>400</v>
          </cell>
          <cell r="AN249">
            <v>204</v>
          </cell>
          <cell r="AO249">
            <v>608</v>
          </cell>
          <cell r="AP249">
            <v>704</v>
          </cell>
          <cell r="BL249">
            <v>200</v>
          </cell>
          <cell r="BN249">
            <v>600</v>
          </cell>
          <cell r="BO249">
            <v>300</v>
          </cell>
          <cell r="BP249">
            <v>600</v>
          </cell>
          <cell r="CB249">
            <v>416</v>
          </cell>
          <cell r="CG249">
            <v>504</v>
          </cell>
          <cell r="CI249">
            <v>408</v>
          </cell>
          <cell r="CJ249">
            <v>236.5</v>
          </cell>
          <cell r="CK249">
            <v>504</v>
          </cell>
          <cell r="CL249">
            <v>124</v>
          </cell>
          <cell r="CM249">
            <v>587.5</v>
          </cell>
          <cell r="CN249">
            <v>573.5</v>
          </cell>
          <cell r="CO249">
            <v>458</v>
          </cell>
          <cell r="CP249">
            <v>277.5</v>
          </cell>
          <cell r="CQ249">
            <v>885</v>
          </cell>
          <cell r="CR249">
            <v>562</v>
          </cell>
          <cell r="CS249">
            <v>162</v>
          </cell>
          <cell r="CT249">
            <v>601</v>
          </cell>
          <cell r="CU249">
            <v>554</v>
          </cell>
          <cell r="CV249">
            <v>588</v>
          </cell>
          <cell r="CW249">
            <v>674</v>
          </cell>
          <cell r="CX249">
            <v>512</v>
          </cell>
          <cell r="CY249">
            <v>982</v>
          </cell>
          <cell r="CZ249">
            <v>708</v>
          </cell>
          <cell r="DA249">
            <v>842</v>
          </cell>
          <cell r="DB249">
            <v>885</v>
          </cell>
          <cell r="DC249">
            <v>562</v>
          </cell>
          <cell r="DD249">
            <v>479</v>
          </cell>
          <cell r="DE249">
            <v>420</v>
          </cell>
          <cell r="DF249">
            <v>974</v>
          </cell>
          <cell r="DG249">
            <v>1203</v>
          </cell>
          <cell r="DH249">
            <v>1056</v>
          </cell>
          <cell r="DI249">
            <v>200</v>
          </cell>
          <cell r="DJ249">
            <v>1152</v>
          </cell>
          <cell r="DK249">
            <v>1700</v>
          </cell>
          <cell r="DL249">
            <v>1052</v>
          </cell>
          <cell r="DM249">
            <v>272</v>
          </cell>
          <cell r="DN249">
            <v>24</v>
          </cell>
          <cell r="DO249">
            <v>388</v>
          </cell>
          <cell r="DP249">
            <v>596</v>
          </cell>
          <cell r="DR249">
            <v>656</v>
          </cell>
          <cell r="DS249">
            <v>832</v>
          </cell>
          <cell r="DT249">
            <v>512</v>
          </cell>
          <cell r="DU249">
            <v>466</v>
          </cell>
          <cell r="DV249">
            <v>434</v>
          </cell>
          <cell r="DW249">
            <v>760</v>
          </cell>
          <cell r="DX249">
            <v>642</v>
          </cell>
          <cell r="DY249">
            <v>1768</v>
          </cell>
          <cell r="DZ249">
            <v>619</v>
          </cell>
          <cell r="EA249">
            <v>400</v>
          </cell>
          <cell r="EB249">
            <v>288</v>
          </cell>
          <cell r="EC249">
            <v>144</v>
          </cell>
          <cell r="ED249">
            <v>660</v>
          </cell>
          <cell r="EE249" t="str">
            <v>ACTIVO</v>
          </cell>
          <cell r="EF249" t="str">
            <v/>
          </cell>
          <cell r="EG249" t="str">
            <v/>
          </cell>
          <cell r="EH249">
            <v>710.17647058823525</v>
          </cell>
          <cell r="EI249">
            <v>118.36274509803921</v>
          </cell>
          <cell r="EJ249">
            <v>263.47680775697592</v>
          </cell>
          <cell r="EK249">
            <v>0</v>
          </cell>
          <cell r="EL249">
            <v>0</v>
          </cell>
          <cell r="EM249">
            <v>0</v>
          </cell>
          <cell r="EN249">
            <v>0</v>
          </cell>
          <cell r="EO249">
            <v>236.72549019607843</v>
          </cell>
          <cell r="EP249">
            <v>236.72549019607843</v>
          </cell>
        </row>
        <row r="250">
          <cell r="F250">
            <v>107319</v>
          </cell>
          <cell r="G250" t="str">
            <v>FILLING DE GUINDA BALDE 4,5 Kg</v>
          </cell>
          <cell r="H250">
            <v>640</v>
          </cell>
          <cell r="I250">
            <v>409.5</v>
          </cell>
          <cell r="J250">
            <v>400.5</v>
          </cell>
          <cell r="K250">
            <v>481.5</v>
          </cell>
          <cell r="L250">
            <v>1035</v>
          </cell>
          <cell r="M250">
            <v>274.5</v>
          </cell>
          <cell r="N250">
            <v>369</v>
          </cell>
          <cell r="O250">
            <v>675</v>
          </cell>
          <cell r="P250">
            <v>441</v>
          </cell>
          <cell r="Q250">
            <v>1251</v>
          </cell>
          <cell r="R250">
            <v>589.5</v>
          </cell>
          <cell r="S250">
            <v>310.5</v>
          </cell>
          <cell r="T250">
            <v>144</v>
          </cell>
          <cell r="U250">
            <v>1368</v>
          </cell>
          <cell r="V250">
            <v>1152.5</v>
          </cell>
          <cell r="W250">
            <v>648</v>
          </cell>
          <cell r="X250">
            <v>841.5</v>
          </cell>
          <cell r="Y250">
            <v>378</v>
          </cell>
          <cell r="Z250">
            <v>369</v>
          </cell>
          <cell r="AA250">
            <v>549</v>
          </cell>
          <cell r="AB250">
            <v>657</v>
          </cell>
          <cell r="AC250">
            <v>574.76</v>
          </cell>
          <cell r="AD250">
            <v>634.5</v>
          </cell>
          <cell r="AE250">
            <v>792</v>
          </cell>
          <cell r="AF250">
            <v>652.5</v>
          </cell>
          <cell r="AG250">
            <v>603</v>
          </cell>
          <cell r="AH250">
            <v>567</v>
          </cell>
          <cell r="AI250">
            <v>576</v>
          </cell>
          <cell r="AJ250">
            <v>571.5</v>
          </cell>
          <cell r="AK250">
            <v>679.5</v>
          </cell>
          <cell r="AL250">
            <v>494</v>
          </cell>
          <cell r="AM250">
            <v>742.5</v>
          </cell>
          <cell r="AN250">
            <v>513</v>
          </cell>
          <cell r="AO250">
            <v>535.5</v>
          </cell>
          <cell r="AP250">
            <v>549</v>
          </cell>
          <cell r="AQ250">
            <v>607.5</v>
          </cell>
          <cell r="AR250">
            <v>562.5</v>
          </cell>
          <cell r="AS250">
            <v>598.5</v>
          </cell>
          <cell r="AT250">
            <v>454.5</v>
          </cell>
          <cell r="AU250">
            <v>629.5</v>
          </cell>
          <cell r="AV250">
            <v>486</v>
          </cell>
          <cell r="AW250">
            <v>396</v>
          </cell>
          <cell r="AX250">
            <v>531</v>
          </cell>
          <cell r="AY250">
            <v>603</v>
          </cell>
          <cell r="AZ250">
            <v>571.5</v>
          </cell>
          <cell r="BA250">
            <v>621</v>
          </cell>
          <cell r="BB250">
            <v>378</v>
          </cell>
          <cell r="BC250">
            <v>549</v>
          </cell>
          <cell r="BD250">
            <v>418.5</v>
          </cell>
          <cell r="BE250">
            <v>436.5</v>
          </cell>
          <cell r="BF250">
            <v>531</v>
          </cell>
          <cell r="BG250">
            <v>463.5</v>
          </cell>
          <cell r="BH250">
            <v>247.5</v>
          </cell>
          <cell r="BI250">
            <v>463.5</v>
          </cell>
          <cell r="BJ250">
            <v>459</v>
          </cell>
          <cell r="BK250">
            <v>441</v>
          </cell>
          <cell r="BL250">
            <v>549</v>
          </cell>
          <cell r="BM250">
            <v>432</v>
          </cell>
          <cell r="BN250">
            <v>405</v>
          </cell>
          <cell r="BO250">
            <v>900</v>
          </cell>
          <cell r="BP250">
            <v>490.5</v>
          </cell>
          <cell r="BQ250">
            <v>229.5</v>
          </cell>
          <cell r="BR250">
            <v>562.5</v>
          </cell>
          <cell r="BS250">
            <v>1192.5</v>
          </cell>
          <cell r="BT250">
            <v>459</v>
          </cell>
          <cell r="BU250">
            <v>454.5</v>
          </cell>
          <cell r="BV250">
            <v>792</v>
          </cell>
          <cell r="BW250">
            <v>427.5</v>
          </cell>
          <cell r="BX250">
            <v>918</v>
          </cell>
          <cell r="BY250">
            <v>954</v>
          </cell>
          <cell r="BZ250">
            <v>531</v>
          </cell>
          <cell r="CA250">
            <v>1017</v>
          </cell>
          <cell r="CC250">
            <v>364.5</v>
          </cell>
          <cell r="CD250">
            <v>486</v>
          </cell>
          <cell r="CE250">
            <v>324</v>
          </cell>
          <cell r="CF250">
            <v>594</v>
          </cell>
          <cell r="CG250">
            <v>567</v>
          </cell>
          <cell r="CH250">
            <v>418.5</v>
          </cell>
          <cell r="CI250">
            <v>166.5</v>
          </cell>
          <cell r="CJ250">
            <v>814.5</v>
          </cell>
          <cell r="CK250">
            <v>589.5</v>
          </cell>
          <cell r="CL250">
            <v>1053</v>
          </cell>
          <cell r="CM250">
            <v>63</v>
          </cell>
          <cell r="CN250">
            <v>468</v>
          </cell>
          <cell r="CO250">
            <v>477</v>
          </cell>
          <cell r="CP250">
            <v>1228.5</v>
          </cell>
          <cell r="CQ250">
            <v>243</v>
          </cell>
          <cell r="CR250">
            <v>463.5</v>
          </cell>
          <cell r="CS250">
            <v>486</v>
          </cell>
          <cell r="CT250">
            <v>535.5</v>
          </cell>
          <cell r="CU250">
            <v>729</v>
          </cell>
          <cell r="CV250">
            <v>841.5</v>
          </cell>
          <cell r="CW250">
            <v>837</v>
          </cell>
          <cell r="CX250">
            <v>81</v>
          </cell>
          <cell r="CY250">
            <v>360</v>
          </cell>
          <cell r="CZ250">
            <v>1116</v>
          </cell>
          <cell r="DA250">
            <v>364.5</v>
          </cell>
          <cell r="DC250">
            <v>517.5</v>
          </cell>
          <cell r="DD250">
            <v>360</v>
          </cell>
          <cell r="DE250">
            <v>252</v>
          </cell>
          <cell r="DF250">
            <v>432</v>
          </cell>
          <cell r="DG250">
            <v>144</v>
          </cell>
          <cell r="DH250">
            <v>234</v>
          </cell>
          <cell r="DI250">
            <v>117</v>
          </cell>
          <cell r="DJ250">
            <v>792</v>
          </cell>
          <cell r="DK250">
            <v>252</v>
          </cell>
          <cell r="DL250">
            <v>634.5</v>
          </cell>
          <cell r="DM250">
            <v>792</v>
          </cell>
          <cell r="DN250">
            <v>310.5</v>
          </cell>
          <cell r="DO250">
            <v>1120.5</v>
          </cell>
          <cell r="DP250">
            <v>720</v>
          </cell>
          <cell r="DQ250">
            <v>243</v>
          </cell>
          <cell r="DR250">
            <v>121.5</v>
          </cell>
          <cell r="DS250">
            <v>252</v>
          </cell>
          <cell r="DT250">
            <v>607.5</v>
          </cell>
          <cell r="DU250">
            <v>729</v>
          </cell>
          <cell r="DV250">
            <v>229.5</v>
          </cell>
          <cell r="DW250">
            <v>364.5</v>
          </cell>
          <cell r="DX250">
            <v>855</v>
          </cell>
          <cell r="DY250">
            <v>486</v>
          </cell>
          <cell r="DZ250">
            <v>1259</v>
          </cell>
          <cell r="EB250">
            <v>508.5</v>
          </cell>
          <cell r="EC250">
            <v>418.5</v>
          </cell>
          <cell r="ED250">
            <v>598.5</v>
          </cell>
          <cell r="EE250" t="str">
            <v>ACTIVO</v>
          </cell>
          <cell r="EF250" t="str">
            <v>A</v>
          </cell>
          <cell r="EG250">
            <v>540</v>
          </cell>
          <cell r="EH250">
            <v>549.19444444444446</v>
          </cell>
          <cell r="EI250">
            <v>91.532407407407405</v>
          </cell>
          <cell r="EJ250">
            <v>283.18910123594713</v>
          </cell>
          <cell r="EK250">
            <v>1170.5</v>
          </cell>
          <cell r="EL250">
            <v>5103122.49</v>
          </cell>
          <cell r="EM250">
            <v>2.131303424207172</v>
          </cell>
          <cell r="EN250">
            <v>183.06481481481481</v>
          </cell>
          <cell r="EO250">
            <v>183.06481481481481</v>
          </cell>
          <cell r="EP250">
            <v>366.12962962962962</v>
          </cell>
        </row>
        <row r="251">
          <cell r="F251">
            <v>107312</v>
          </cell>
          <cell r="G251" t="str">
            <v>CEREZAS AL JUGO CAMPOS</v>
          </cell>
          <cell r="H251">
            <v>37.4</v>
          </cell>
          <cell r="I251">
            <v>4.8</v>
          </cell>
          <cell r="J251">
            <v>4.8</v>
          </cell>
          <cell r="AO251">
            <v>31</v>
          </cell>
          <cell r="AP251">
            <v>54.199999999999996</v>
          </cell>
          <cell r="AQ251">
            <v>141.4</v>
          </cell>
          <cell r="AR251">
            <v>158.1</v>
          </cell>
          <cell r="AT251">
            <v>130.89999999999998</v>
          </cell>
          <cell r="AU251">
            <v>139.29999999999998</v>
          </cell>
          <cell r="AV251">
            <v>139.39999999999998</v>
          </cell>
          <cell r="AW251">
            <v>162.79999999999998</v>
          </cell>
          <cell r="AX251">
            <v>173.4</v>
          </cell>
          <cell r="AY251">
            <v>170.70000000000002</v>
          </cell>
          <cell r="AZ251">
            <v>185.29999999999998</v>
          </cell>
          <cell r="BA251">
            <v>187</v>
          </cell>
          <cell r="BB251">
            <v>154.80000000000001</v>
          </cell>
          <cell r="BC251">
            <v>185.29999999999998</v>
          </cell>
          <cell r="BD251">
            <v>176.79999999999998</v>
          </cell>
          <cell r="BE251">
            <v>173.4</v>
          </cell>
          <cell r="BF251">
            <v>180.20000000000002</v>
          </cell>
          <cell r="BG251">
            <v>110.5</v>
          </cell>
          <cell r="BH251">
            <v>90.1</v>
          </cell>
          <cell r="BI251">
            <v>197.20000000000002</v>
          </cell>
          <cell r="BJ251">
            <v>107.10000000000001</v>
          </cell>
          <cell r="BK251">
            <v>232.42100000000002</v>
          </cell>
          <cell r="BL251">
            <v>195.5</v>
          </cell>
          <cell r="BM251">
            <v>179.5</v>
          </cell>
          <cell r="BN251">
            <v>195.5</v>
          </cell>
          <cell r="BO251">
            <v>200.6</v>
          </cell>
          <cell r="BP251">
            <v>207.4</v>
          </cell>
          <cell r="BQ251">
            <v>195.5</v>
          </cell>
          <cell r="BR251">
            <v>270.89999999999998</v>
          </cell>
          <cell r="BS251">
            <v>204.00000000000003</v>
          </cell>
          <cell r="BT251">
            <v>200.60000000000002</v>
          </cell>
          <cell r="BU251">
            <v>229.9</v>
          </cell>
          <cell r="BV251">
            <v>249.89999999999998</v>
          </cell>
          <cell r="BW251">
            <v>243.1</v>
          </cell>
          <cell r="BX251">
            <v>230.3</v>
          </cell>
          <cell r="BY251">
            <v>178.5</v>
          </cell>
          <cell r="BZ251">
            <v>6.8</v>
          </cell>
          <cell r="CA251">
            <v>13.6</v>
          </cell>
          <cell r="CB251">
            <v>9</v>
          </cell>
          <cell r="CC251">
            <v>39.1</v>
          </cell>
          <cell r="CD251">
            <v>32.300000000000004</v>
          </cell>
          <cell r="CE251">
            <v>39.099999999999994</v>
          </cell>
          <cell r="CF251">
            <v>27.199999999999996</v>
          </cell>
          <cell r="CG251">
            <v>27.199999999999996</v>
          </cell>
          <cell r="CH251">
            <v>62.900000000000006</v>
          </cell>
          <cell r="CI251">
            <v>183.6</v>
          </cell>
          <cell r="CJ251">
            <v>185.3</v>
          </cell>
          <cell r="CK251">
            <v>178.8</v>
          </cell>
          <cell r="CL251">
            <v>129.19999999999999</v>
          </cell>
          <cell r="CM251">
            <v>132.6</v>
          </cell>
          <cell r="CN251">
            <v>200.78</v>
          </cell>
          <cell r="CO251">
            <v>207.4</v>
          </cell>
          <cell r="CP251">
            <v>192.1</v>
          </cell>
          <cell r="CQ251">
            <v>176.79999999999998</v>
          </cell>
          <cell r="CR251">
            <v>212.49999999999997</v>
          </cell>
          <cell r="CS251">
            <v>41.2</v>
          </cell>
          <cell r="CT251">
            <v>195.49999999999997</v>
          </cell>
          <cell r="CU251">
            <v>210.8</v>
          </cell>
          <cell r="CV251">
            <v>231.2</v>
          </cell>
          <cell r="CW251">
            <v>183.6</v>
          </cell>
          <cell r="CX251">
            <v>168.3</v>
          </cell>
          <cell r="CY251">
            <v>181.9</v>
          </cell>
          <cell r="CZ251">
            <v>181.89999999999998</v>
          </cell>
          <cell r="DA251">
            <v>170</v>
          </cell>
          <cell r="DB251">
            <v>154.69999999999999</v>
          </cell>
          <cell r="DC251">
            <v>86.7</v>
          </cell>
          <cell r="DO251">
            <v>144.5</v>
          </cell>
          <cell r="DP251">
            <v>165.8</v>
          </cell>
          <cell r="DQ251">
            <v>130.9</v>
          </cell>
          <cell r="DR251">
            <v>177</v>
          </cell>
          <cell r="DS251">
            <v>181.9</v>
          </cell>
          <cell r="DT251">
            <v>178.50000000000003</v>
          </cell>
          <cell r="DU251">
            <v>202.3</v>
          </cell>
          <cell r="DV251">
            <v>225.1</v>
          </cell>
          <cell r="DW251">
            <v>158.70000000000002</v>
          </cell>
          <cell r="DX251">
            <v>193</v>
          </cell>
          <cell r="DY251">
            <v>215</v>
          </cell>
          <cell r="DZ251">
            <v>200.6</v>
          </cell>
          <cell r="EA251">
            <v>200.6</v>
          </cell>
          <cell r="EB251">
            <v>265.39999999999998</v>
          </cell>
          <cell r="EC251">
            <v>170.89999999999998</v>
          </cell>
          <cell r="ED251">
            <v>254.19999999999996</v>
          </cell>
          <cell r="EE251" t="str">
            <v>ACTIVO</v>
          </cell>
          <cell r="EF251" t="str">
            <v>B</v>
          </cell>
          <cell r="EG251">
            <v>540</v>
          </cell>
          <cell r="EH251">
            <v>181.10833333333335</v>
          </cell>
          <cell r="EI251">
            <v>30.184722222222224</v>
          </cell>
          <cell r="EJ251">
            <v>74.630441735156964</v>
          </cell>
          <cell r="EK251">
            <v>565.9</v>
          </cell>
          <cell r="EL251">
            <v>3384082</v>
          </cell>
          <cell r="EM251">
            <v>3.1246491510605985</v>
          </cell>
          <cell r="EN251">
            <v>90.554166666666674</v>
          </cell>
          <cell r="EO251">
            <v>60.369444444444447</v>
          </cell>
          <cell r="EP251">
            <v>150.92361111111111</v>
          </cell>
        </row>
        <row r="252">
          <cell r="F252">
            <v>107000</v>
          </cell>
          <cell r="G252" t="str">
            <v>CEREZAS AL JUGO DESCAROZADAS FRUCOL</v>
          </cell>
          <cell r="AC252">
            <v>32</v>
          </cell>
          <cell r="AD252">
            <v>43.199999999999996</v>
          </cell>
          <cell r="AF252">
            <v>22.4</v>
          </cell>
          <cell r="AL252">
            <v>209.59999999999997</v>
          </cell>
          <cell r="CB252">
            <v>17</v>
          </cell>
          <cell r="EE252" t="str">
            <v>SIN USO</v>
          </cell>
          <cell r="EF252" t="str">
            <v>C</v>
          </cell>
          <cell r="EG252" t="str">
            <v/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</row>
        <row r="253">
          <cell r="F253">
            <v>403336</v>
          </cell>
          <cell r="G253" t="str">
            <v>CEREZAS AL JUGO DESCAROZADAS TRES ERRES</v>
          </cell>
          <cell r="H253">
            <v>113.60000000000001</v>
          </cell>
          <cell r="I253">
            <v>272</v>
          </cell>
          <cell r="J253">
            <v>336</v>
          </cell>
          <cell r="K253">
            <v>217.6</v>
          </cell>
          <cell r="L253">
            <v>168.00000000000003</v>
          </cell>
          <cell r="M253">
            <v>100.79999999999998</v>
          </cell>
          <cell r="N253">
            <v>273.60000000000002</v>
          </cell>
          <cell r="O253">
            <v>419.19999999999993</v>
          </cell>
          <cell r="P253">
            <v>160</v>
          </cell>
          <cell r="Q253">
            <v>168</v>
          </cell>
          <cell r="R253">
            <v>160</v>
          </cell>
          <cell r="S253">
            <v>59.2</v>
          </cell>
          <cell r="T253">
            <v>227.20000000000002</v>
          </cell>
          <cell r="U253">
            <v>174.4</v>
          </cell>
          <cell r="V253">
            <v>144</v>
          </cell>
          <cell r="W253">
            <v>160.00000000000003</v>
          </cell>
          <cell r="X253">
            <v>195.2</v>
          </cell>
          <cell r="Y253">
            <v>88</v>
          </cell>
          <cell r="Z253">
            <v>9.6</v>
          </cell>
          <cell r="AA253">
            <v>75.2</v>
          </cell>
          <cell r="AB253">
            <v>48</v>
          </cell>
          <cell r="AC253">
            <v>14.4</v>
          </cell>
          <cell r="AD253">
            <v>3.2</v>
          </cell>
          <cell r="AE253">
            <v>25.6</v>
          </cell>
          <cell r="AF253">
            <v>32</v>
          </cell>
          <cell r="AG253">
            <v>54.4</v>
          </cell>
          <cell r="AH253">
            <v>64</v>
          </cell>
          <cell r="AI253">
            <v>64</v>
          </cell>
          <cell r="AJ253">
            <v>57.599999999999994</v>
          </cell>
          <cell r="AK253">
            <v>60.800000000000004</v>
          </cell>
          <cell r="BM253">
            <v>16</v>
          </cell>
          <cell r="CA253">
            <v>17</v>
          </cell>
          <cell r="CB253">
            <v>8</v>
          </cell>
          <cell r="DC253">
            <v>91.800000000000011</v>
          </cell>
          <cell r="DD253">
            <v>185.3</v>
          </cell>
          <cell r="DE253">
            <v>167.99999999999997</v>
          </cell>
          <cell r="DF253">
            <v>185.3</v>
          </cell>
          <cell r="DG253">
            <v>113.9</v>
          </cell>
          <cell r="DH253">
            <v>79.599999999999994</v>
          </cell>
          <cell r="DI253">
            <v>56.1</v>
          </cell>
          <cell r="DJ253">
            <v>203.10000000000002</v>
          </cell>
          <cell r="DK253">
            <v>344.6</v>
          </cell>
          <cell r="DL253">
            <v>212.00000000000003</v>
          </cell>
          <cell r="DM253">
            <v>184.70000000000002</v>
          </cell>
          <cell r="DN253">
            <v>203.39999999999998</v>
          </cell>
          <cell r="DO253">
            <v>89</v>
          </cell>
          <cell r="DQ253">
            <v>62.9</v>
          </cell>
          <cell r="DR253">
            <v>6.4</v>
          </cell>
          <cell r="DW253">
            <v>38.5</v>
          </cell>
          <cell r="DX253">
            <v>32.700000000000003</v>
          </cell>
          <cell r="DY253">
            <v>2.8</v>
          </cell>
          <cell r="DZ253">
            <v>51.1</v>
          </cell>
          <cell r="EC253">
            <v>40.799999999999997</v>
          </cell>
          <cell r="EE253" t="str">
            <v>ACTIVO</v>
          </cell>
          <cell r="EF253" t="str">
            <v>C</v>
          </cell>
          <cell r="EG253" t="str">
            <v/>
          </cell>
          <cell r="EH253">
            <v>114.40769230769232</v>
          </cell>
          <cell r="EI253">
            <v>19.06794871794872</v>
          </cell>
          <cell r="EJ253">
            <v>72.564540238328505</v>
          </cell>
          <cell r="EK253">
            <v>91.9</v>
          </cell>
          <cell r="EL253">
            <v>464662.94199999998</v>
          </cell>
          <cell r="EM253">
            <v>0.80326766624083912</v>
          </cell>
          <cell r="EN253">
            <v>38.135897435897441</v>
          </cell>
          <cell r="EO253">
            <v>38.135897435897441</v>
          </cell>
          <cell r="EP253">
            <v>76.271794871794881</v>
          </cell>
        </row>
        <row r="254">
          <cell r="F254">
            <v>107102</v>
          </cell>
          <cell r="G254" t="str">
            <v>TRUFA CHOCOLATE PURATOS</v>
          </cell>
          <cell r="H254">
            <v>1420</v>
          </cell>
          <cell r="I254">
            <v>1492</v>
          </cell>
          <cell r="J254">
            <v>1284</v>
          </cell>
          <cell r="K254">
            <v>1400</v>
          </cell>
          <cell r="L254">
            <v>1428</v>
          </cell>
          <cell r="M254">
            <v>1892</v>
          </cell>
          <cell r="N254">
            <v>1015</v>
          </cell>
          <cell r="O254">
            <v>1212</v>
          </cell>
          <cell r="P254">
            <v>1156</v>
          </cell>
          <cell r="Q254">
            <v>1252</v>
          </cell>
          <cell r="R254">
            <v>2212</v>
          </cell>
          <cell r="S254">
            <v>1092</v>
          </cell>
          <cell r="T254">
            <v>264</v>
          </cell>
          <cell r="U254">
            <v>996</v>
          </cell>
          <cell r="V254">
            <v>1688</v>
          </cell>
          <cell r="W254">
            <v>3380</v>
          </cell>
          <cell r="X254">
            <v>1156</v>
          </cell>
          <cell r="Y254">
            <v>664</v>
          </cell>
          <cell r="AA254">
            <v>800</v>
          </cell>
          <cell r="AB254">
            <v>1153.5</v>
          </cell>
          <cell r="AC254">
            <v>1041</v>
          </cell>
          <cell r="AD254">
            <v>1844</v>
          </cell>
          <cell r="AE254">
            <v>1440</v>
          </cell>
          <cell r="AF254">
            <v>928</v>
          </cell>
          <cell r="AG254">
            <v>1128</v>
          </cell>
          <cell r="AH254">
            <v>1152</v>
          </cell>
          <cell r="AI254">
            <v>1252</v>
          </cell>
          <cell r="AJ254">
            <v>1224</v>
          </cell>
          <cell r="AK254">
            <v>1180</v>
          </cell>
          <cell r="AL254">
            <v>1616</v>
          </cell>
          <cell r="AM254">
            <v>948</v>
          </cell>
          <cell r="AN254">
            <v>988</v>
          </cell>
          <cell r="AO254">
            <v>884</v>
          </cell>
          <cell r="AP254">
            <v>972</v>
          </cell>
          <cell r="AQ254">
            <v>984</v>
          </cell>
          <cell r="AR254">
            <v>1004</v>
          </cell>
          <cell r="AS254">
            <v>1232</v>
          </cell>
          <cell r="AT254">
            <v>1036</v>
          </cell>
          <cell r="AU254">
            <v>952</v>
          </cell>
          <cell r="AV254">
            <v>820</v>
          </cell>
          <cell r="AW254">
            <v>1796</v>
          </cell>
          <cell r="AX254">
            <v>2220</v>
          </cell>
          <cell r="AY254">
            <v>732</v>
          </cell>
          <cell r="AZ254">
            <v>708</v>
          </cell>
          <cell r="BA254">
            <v>448</v>
          </cell>
          <cell r="BB254">
            <v>684</v>
          </cell>
          <cell r="BC254">
            <v>596</v>
          </cell>
          <cell r="BE254">
            <v>120</v>
          </cell>
          <cell r="BF254">
            <v>556</v>
          </cell>
          <cell r="BG254">
            <v>884</v>
          </cell>
          <cell r="BH254">
            <v>145.5</v>
          </cell>
          <cell r="BI254">
            <v>568</v>
          </cell>
          <cell r="BJ254">
            <v>544</v>
          </cell>
          <cell r="BK254">
            <v>1140</v>
          </cell>
          <cell r="BL254">
            <v>588</v>
          </cell>
          <cell r="BM254">
            <v>412</v>
          </cell>
          <cell r="BN254">
            <v>804</v>
          </cell>
          <cell r="BO254">
            <v>784</v>
          </cell>
          <cell r="BP254">
            <v>412</v>
          </cell>
          <cell r="BQ254">
            <v>1924</v>
          </cell>
          <cell r="BR254">
            <v>552</v>
          </cell>
          <cell r="BS254">
            <v>32</v>
          </cell>
          <cell r="BT254">
            <v>4</v>
          </cell>
          <cell r="BU254">
            <v>1480</v>
          </cell>
          <cell r="BV254">
            <v>124</v>
          </cell>
          <cell r="BW254">
            <v>1554</v>
          </cell>
          <cell r="BX254">
            <v>1068</v>
          </cell>
          <cell r="BY254">
            <v>932</v>
          </cell>
          <cell r="BZ254">
            <v>152</v>
          </cell>
          <cell r="CA254">
            <v>2048</v>
          </cell>
          <cell r="CF254">
            <v>1852</v>
          </cell>
          <cell r="CH254">
            <v>2068</v>
          </cell>
          <cell r="CK254">
            <v>620</v>
          </cell>
          <cell r="CM254">
            <v>744</v>
          </cell>
          <cell r="CN254">
            <v>1556</v>
          </cell>
          <cell r="CO254">
            <v>424</v>
          </cell>
          <cell r="CP254">
            <v>992</v>
          </cell>
          <cell r="CR254">
            <v>372</v>
          </cell>
          <cell r="CS254">
            <v>492</v>
          </cell>
          <cell r="CT254">
            <v>392</v>
          </cell>
          <cell r="CU254">
            <v>1408</v>
          </cell>
          <cell r="CV254">
            <v>1276</v>
          </cell>
          <cell r="CW254">
            <v>620</v>
          </cell>
          <cell r="CY254">
            <v>984</v>
          </cell>
          <cell r="DB254">
            <v>1476</v>
          </cell>
          <cell r="DE254">
            <v>984</v>
          </cell>
          <cell r="DF254">
            <v>492</v>
          </cell>
          <cell r="DJ254">
            <v>184</v>
          </cell>
          <cell r="DK254">
            <v>404</v>
          </cell>
          <cell r="DL254">
            <v>328</v>
          </cell>
          <cell r="DM254">
            <v>1552</v>
          </cell>
          <cell r="DN254">
            <v>372</v>
          </cell>
          <cell r="DO254">
            <v>1244</v>
          </cell>
          <cell r="DR254">
            <v>1404</v>
          </cell>
          <cell r="DS254">
            <v>1008</v>
          </cell>
          <cell r="DU254">
            <v>616</v>
          </cell>
          <cell r="DV254">
            <v>660</v>
          </cell>
          <cell r="DW254">
            <v>620</v>
          </cell>
          <cell r="DX254">
            <v>1292</v>
          </cell>
          <cell r="DY254">
            <v>1940</v>
          </cell>
          <cell r="EB254">
            <v>732</v>
          </cell>
          <cell r="EC254">
            <v>1264</v>
          </cell>
          <cell r="EE254" t="str">
            <v>ACTIVO</v>
          </cell>
          <cell r="EF254" t="str">
            <v>A</v>
          </cell>
          <cell r="EG254">
            <v>480</v>
          </cell>
          <cell r="EH254">
            <v>894.15384615384619</v>
          </cell>
          <cell r="EI254">
            <v>149.02564102564102</v>
          </cell>
          <cell r="EJ254">
            <v>580.87172440239351</v>
          </cell>
          <cell r="EK254">
            <v>2540</v>
          </cell>
          <cell r="EL254">
            <v>7924800</v>
          </cell>
          <cell r="EM254">
            <v>2.8406744666207846</v>
          </cell>
          <cell r="EN254">
            <v>447.07692307692309</v>
          </cell>
          <cell r="EO254">
            <v>298.05128205128204</v>
          </cell>
          <cell r="EP254">
            <v>745.12820512820508</v>
          </cell>
        </row>
        <row r="255">
          <cell r="F255">
            <v>107124</v>
          </cell>
          <cell r="G255" t="str">
            <v>DURAZNO EN MITADES ALTO LA CRUZ</v>
          </cell>
          <cell r="H255">
            <v>228.60000000000002</v>
          </cell>
          <cell r="I255">
            <v>284.40000000000003</v>
          </cell>
          <cell r="J255">
            <v>307.79999999999995</v>
          </cell>
          <cell r="K255">
            <v>315.00000000000006</v>
          </cell>
          <cell r="L255">
            <v>298.8</v>
          </cell>
          <cell r="M255">
            <v>309.59999999999997</v>
          </cell>
          <cell r="N255">
            <v>306</v>
          </cell>
          <cell r="O255">
            <v>331.20000000000005</v>
          </cell>
          <cell r="P255">
            <v>368.99999999999994</v>
          </cell>
          <cell r="Q255">
            <v>318.59999999999997</v>
          </cell>
          <cell r="R255">
            <v>334.8</v>
          </cell>
          <cell r="S255">
            <v>140.4</v>
          </cell>
          <cell r="T255">
            <v>84.6</v>
          </cell>
          <cell r="U255">
            <v>345.79999999999995</v>
          </cell>
          <cell r="V255">
            <v>338.40000000000003</v>
          </cell>
          <cell r="W255">
            <v>367.2</v>
          </cell>
          <cell r="X255">
            <v>313.19999999999993</v>
          </cell>
          <cell r="Y255">
            <v>239.4</v>
          </cell>
          <cell r="Z255">
            <v>84.6</v>
          </cell>
          <cell r="AA255">
            <v>397.8</v>
          </cell>
          <cell r="AB255">
            <v>394.19999999999993</v>
          </cell>
          <cell r="AC255">
            <v>392.4</v>
          </cell>
          <cell r="AD255">
            <v>322.2</v>
          </cell>
          <cell r="AE255">
            <v>97.199999999999989</v>
          </cell>
          <cell r="AF255">
            <v>387</v>
          </cell>
          <cell r="AG255">
            <v>435.59999999999997</v>
          </cell>
          <cell r="AH255">
            <v>489.6</v>
          </cell>
          <cell r="AI255">
            <v>529.20000000000005</v>
          </cell>
          <cell r="AJ255">
            <v>419.4</v>
          </cell>
          <cell r="AK255">
            <v>441</v>
          </cell>
          <cell r="AL255">
            <v>411</v>
          </cell>
          <cell r="AM255">
            <v>394.2</v>
          </cell>
          <cell r="AN255">
            <v>392.40000000000003</v>
          </cell>
          <cell r="AO255">
            <v>333</v>
          </cell>
          <cell r="AP255">
            <v>424.79999999999995</v>
          </cell>
          <cell r="AQ255">
            <v>593.99999999999989</v>
          </cell>
          <cell r="AR255">
            <v>572.39999999999986</v>
          </cell>
          <cell r="AS255">
            <v>187.2</v>
          </cell>
          <cell r="AT255">
            <v>628.20000000000005</v>
          </cell>
          <cell r="AU255">
            <v>649.80000000000007</v>
          </cell>
          <cell r="AV255">
            <v>459</v>
          </cell>
          <cell r="AW255">
            <v>486</v>
          </cell>
          <cell r="AX255">
            <v>563.4</v>
          </cell>
          <cell r="AY255">
            <v>507.59999999999997</v>
          </cell>
          <cell r="AZ255">
            <v>577.80000000000007</v>
          </cell>
          <cell r="BA255">
            <v>675</v>
          </cell>
          <cell r="BB255">
            <v>610.19999999999993</v>
          </cell>
          <cell r="BC255">
            <v>606.59999999999991</v>
          </cell>
          <cell r="BD255">
            <v>549</v>
          </cell>
          <cell r="BO255">
            <v>540</v>
          </cell>
          <cell r="BR255">
            <v>88.2</v>
          </cell>
          <cell r="BS255">
            <v>129.60000000000002</v>
          </cell>
          <cell r="BT255">
            <v>423</v>
          </cell>
          <cell r="BW255">
            <v>174.6</v>
          </cell>
          <cell r="BX255">
            <v>532.79999999999995</v>
          </cell>
          <cell r="BY255">
            <v>349.8</v>
          </cell>
          <cell r="BZ255">
            <v>25.5</v>
          </cell>
          <cell r="CA255">
            <v>286.2</v>
          </cell>
          <cell r="CB255">
            <v>334.79999999999995</v>
          </cell>
          <cell r="CC255">
            <v>379.8</v>
          </cell>
          <cell r="CD255">
            <v>300.91999999999996</v>
          </cell>
          <cell r="CE255">
            <v>452.8</v>
          </cell>
          <cell r="CF255">
            <v>221.4</v>
          </cell>
          <cell r="CG255">
            <v>295.20000000000005</v>
          </cell>
          <cell r="CH255">
            <v>329.4</v>
          </cell>
          <cell r="CI255">
            <v>675</v>
          </cell>
          <cell r="CJ255">
            <v>415.79999999999995</v>
          </cell>
          <cell r="EE255" t="str">
            <v>ACTIVO</v>
          </cell>
          <cell r="EF255" t="str">
            <v>C</v>
          </cell>
          <cell r="EG255">
            <v>540</v>
          </cell>
          <cell r="EH255">
            <v>0</v>
          </cell>
          <cell r="EI255">
            <v>0</v>
          </cell>
          <cell r="EJ255">
            <v>166.18425185530029</v>
          </cell>
          <cell r="EK255">
            <v>0</v>
          </cell>
          <cell r="EL255">
            <v>0</v>
          </cell>
          <cell r="EM255">
            <v>0</v>
          </cell>
          <cell r="EN255">
            <v>0</v>
          </cell>
          <cell r="EO255">
            <v>0</v>
          </cell>
          <cell r="EP255">
            <v>0</v>
          </cell>
        </row>
        <row r="256">
          <cell r="F256">
            <v>107125</v>
          </cell>
          <cell r="G256" t="str">
            <v>DURAZNO EN CUBOS ALTO LA CRUZ</v>
          </cell>
          <cell r="DF256">
            <v>0</v>
          </cell>
          <cell r="DX256">
            <v>36.799999999999997</v>
          </cell>
          <cell r="EE256" t="str">
            <v>ACTIVO</v>
          </cell>
          <cell r="EF256" t="str">
            <v>C</v>
          </cell>
          <cell r="EG256" t="str">
            <v/>
          </cell>
          <cell r="EH256">
            <v>36.799999999999997</v>
          </cell>
          <cell r="EI256">
            <v>6.1333333333333329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18.399999999999999</v>
          </cell>
          <cell r="EO256">
            <v>12.266666666666666</v>
          </cell>
          <cell r="EP256">
            <v>30.666666666666664</v>
          </cell>
        </row>
        <row r="257">
          <cell r="F257">
            <v>107401</v>
          </cell>
          <cell r="G257" t="str">
            <v>DURAZNO EN SLICE LAS PERDICES</v>
          </cell>
          <cell r="H257">
            <v>104.4</v>
          </cell>
          <cell r="BE257">
            <v>1004.4</v>
          </cell>
          <cell r="BF257">
            <v>577.79999999999995</v>
          </cell>
          <cell r="BG257">
            <v>414</v>
          </cell>
          <cell r="BH257">
            <v>293.39999999999998</v>
          </cell>
          <cell r="BI257">
            <v>1364.4</v>
          </cell>
          <cell r="BJ257">
            <v>369</v>
          </cell>
          <cell r="BK257">
            <v>621</v>
          </cell>
          <cell r="BL257">
            <v>536.4</v>
          </cell>
          <cell r="BM257">
            <v>176.39999999999998</v>
          </cell>
          <cell r="BN257">
            <v>565.20000000000005</v>
          </cell>
          <cell r="BO257">
            <v>509.40000000000003</v>
          </cell>
          <cell r="BP257">
            <v>635.4</v>
          </cell>
          <cell r="BQ257">
            <v>572.4</v>
          </cell>
          <cell r="BR257">
            <v>676.8</v>
          </cell>
          <cell r="BS257">
            <v>54.2</v>
          </cell>
          <cell r="BT257">
            <v>160.19999999999999</v>
          </cell>
          <cell r="BU257">
            <v>624.60000000000014</v>
          </cell>
          <cell r="BV257">
            <v>519.6</v>
          </cell>
          <cell r="BW257">
            <v>142.19999999999999</v>
          </cell>
          <cell r="BX257">
            <v>30.6</v>
          </cell>
          <cell r="BY257">
            <v>87.6</v>
          </cell>
          <cell r="CJ257">
            <v>93.6</v>
          </cell>
          <cell r="CK257">
            <v>577.80000000000007</v>
          </cell>
          <cell r="CL257">
            <v>394.20000000000005</v>
          </cell>
          <cell r="CM257">
            <v>1501.2</v>
          </cell>
          <cell r="CN257">
            <v>617.4</v>
          </cell>
          <cell r="CO257">
            <v>693</v>
          </cell>
          <cell r="CP257">
            <v>604.80000000000007</v>
          </cell>
          <cell r="CQ257">
            <v>514.79999999999995</v>
          </cell>
          <cell r="CR257">
            <v>590.4</v>
          </cell>
          <cell r="CS257">
            <v>124.2</v>
          </cell>
          <cell r="CT257">
            <v>599.40000000000009</v>
          </cell>
          <cell r="CU257">
            <v>630</v>
          </cell>
          <cell r="CV257">
            <v>610.19999999999993</v>
          </cell>
          <cell r="CW257">
            <v>527.40000000000009</v>
          </cell>
          <cell r="CX257">
            <v>538.20000000000005</v>
          </cell>
          <cell r="CY257">
            <v>583.20000000000005</v>
          </cell>
          <cell r="CZ257">
            <v>549</v>
          </cell>
          <cell r="DA257">
            <v>532.79999999999995</v>
          </cell>
          <cell r="DB257">
            <v>451.8</v>
          </cell>
          <cell r="DC257">
            <v>505.8</v>
          </cell>
          <cell r="DD257">
            <v>523.79999999999995</v>
          </cell>
          <cell r="DE257">
            <v>444.6</v>
          </cell>
          <cell r="DF257">
            <v>567</v>
          </cell>
          <cell r="DG257">
            <v>399.59999999999997</v>
          </cell>
          <cell r="DH257">
            <v>266.39999999999998</v>
          </cell>
          <cell r="DI257">
            <v>165.60000000000002</v>
          </cell>
          <cell r="DJ257">
            <v>541.79999999999995</v>
          </cell>
          <cell r="DK257">
            <v>520.19999999999993</v>
          </cell>
          <cell r="DL257">
            <v>496.8</v>
          </cell>
          <cell r="DM257">
            <v>523.80000000000007</v>
          </cell>
          <cell r="DN257">
            <v>484.20000000000005</v>
          </cell>
          <cell r="DO257">
            <v>511.2</v>
          </cell>
          <cell r="DP257">
            <v>476.99999999999994</v>
          </cell>
          <cell r="DQ257">
            <v>534.6</v>
          </cell>
          <cell r="DR257">
            <v>538.19999999999993</v>
          </cell>
          <cell r="DS257">
            <v>576</v>
          </cell>
          <cell r="DT257">
            <v>540</v>
          </cell>
          <cell r="DU257">
            <v>653.40000000000009</v>
          </cell>
          <cell r="DV257">
            <v>640.80000000000007</v>
          </cell>
          <cell r="DW257">
            <v>624.6</v>
          </cell>
          <cell r="DX257">
            <v>615.6</v>
          </cell>
          <cell r="DY257">
            <v>601.20000000000005</v>
          </cell>
          <cell r="DZ257">
            <v>648</v>
          </cell>
          <cell r="EA257">
            <v>572.4</v>
          </cell>
          <cell r="EB257">
            <v>700.19999999999993</v>
          </cell>
          <cell r="EC257">
            <v>586.80000000000007</v>
          </cell>
          <cell r="ED257">
            <v>667.80000000000007</v>
          </cell>
          <cell r="EE257" t="str">
            <v>ACTIVO</v>
          </cell>
          <cell r="EF257" t="str">
            <v>A</v>
          </cell>
          <cell r="EG257" t="str">
            <v/>
          </cell>
          <cell r="EH257">
            <v>538.5</v>
          </cell>
          <cell r="EI257">
            <v>89.75</v>
          </cell>
          <cell r="EJ257">
            <v>282.76676065307367</v>
          </cell>
          <cell r="EK257">
            <v>1641.6</v>
          </cell>
          <cell r="EL257">
            <v>3982702.176</v>
          </cell>
          <cell r="EM257">
            <v>3.0484679665738161</v>
          </cell>
          <cell r="EN257">
            <v>179.5</v>
          </cell>
          <cell r="EO257">
            <v>179.5</v>
          </cell>
          <cell r="EP257">
            <v>359</v>
          </cell>
        </row>
        <row r="258">
          <cell r="F258">
            <v>107240</v>
          </cell>
          <cell r="G258" t="str">
            <v>CRUSHED DE FRAMBUESA ALTO LA CRUZ</v>
          </cell>
          <cell r="H258">
            <v>18.600000000000001</v>
          </cell>
          <cell r="I258">
            <v>21.700000000000003</v>
          </cell>
          <cell r="J258">
            <v>21.700000000000003</v>
          </cell>
          <cell r="K258">
            <v>747.1</v>
          </cell>
          <cell r="AT258">
            <v>514.6</v>
          </cell>
          <cell r="BC258">
            <v>489.8</v>
          </cell>
          <cell r="EE258" t="str">
            <v>SIN USO</v>
          </cell>
          <cell r="EF258" t="str">
            <v/>
          </cell>
          <cell r="EG258">
            <v>930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</row>
        <row r="259">
          <cell r="F259">
            <v>107324</v>
          </cell>
          <cell r="G259" t="str">
            <v>MARRASQUINO FRUCOL</v>
          </cell>
          <cell r="H259">
            <v>151.80000000000001</v>
          </cell>
          <cell r="I259">
            <v>140.80000000000001</v>
          </cell>
          <cell r="J259">
            <v>132</v>
          </cell>
          <cell r="K259">
            <v>195.8</v>
          </cell>
          <cell r="L259">
            <v>253.00000000000006</v>
          </cell>
          <cell r="M259">
            <v>116.60000000000001</v>
          </cell>
          <cell r="N259">
            <v>734.8</v>
          </cell>
          <cell r="O259">
            <v>114.4</v>
          </cell>
          <cell r="P259">
            <v>129.80000000000001</v>
          </cell>
          <cell r="Q259">
            <v>228.8</v>
          </cell>
          <cell r="R259">
            <v>216.6</v>
          </cell>
          <cell r="S259">
            <v>70.400000000000006</v>
          </cell>
          <cell r="T259">
            <v>74.800000000000011</v>
          </cell>
          <cell r="U259">
            <v>211.2</v>
          </cell>
          <cell r="V259">
            <v>299.19999999999987</v>
          </cell>
          <cell r="W259">
            <v>186.99999999999997</v>
          </cell>
          <cell r="X259">
            <v>165</v>
          </cell>
          <cell r="Y259">
            <v>127.6</v>
          </cell>
          <cell r="Z259">
            <v>193.60000000000002</v>
          </cell>
          <cell r="AA259">
            <v>129.80000000000001</v>
          </cell>
          <cell r="AB259">
            <v>283.8</v>
          </cell>
          <cell r="AC259">
            <v>189.2</v>
          </cell>
          <cell r="AD259">
            <v>277.2</v>
          </cell>
          <cell r="AE259">
            <v>272.79999999999995</v>
          </cell>
          <cell r="AF259">
            <v>231</v>
          </cell>
          <cell r="AG259">
            <v>283.8</v>
          </cell>
          <cell r="AH259">
            <v>180.39999999999998</v>
          </cell>
          <cell r="AI259">
            <v>222.20000000000002</v>
          </cell>
          <cell r="AJ259">
            <v>220.29999999999998</v>
          </cell>
          <cell r="AK259">
            <v>191.4</v>
          </cell>
          <cell r="AL259">
            <v>342</v>
          </cell>
          <cell r="AM259">
            <v>222.2</v>
          </cell>
          <cell r="AN259">
            <v>237.6</v>
          </cell>
          <cell r="AO259">
            <v>156.19999999999999</v>
          </cell>
          <cell r="AP259">
            <v>182.6</v>
          </cell>
          <cell r="AQ259">
            <v>195.8</v>
          </cell>
          <cell r="AR259">
            <v>254.19999999999996</v>
          </cell>
          <cell r="AS259">
            <v>228.8</v>
          </cell>
          <cell r="AT259">
            <v>178.00000000000003</v>
          </cell>
          <cell r="AU259">
            <v>171.8</v>
          </cell>
          <cell r="AV259">
            <v>344.4</v>
          </cell>
          <cell r="AW259">
            <v>158.4</v>
          </cell>
          <cell r="AX259">
            <v>147.4</v>
          </cell>
          <cell r="AY259">
            <v>125.00000000000001</v>
          </cell>
          <cell r="AZ259">
            <v>342</v>
          </cell>
          <cell r="BA259">
            <v>111.8</v>
          </cell>
          <cell r="BB259">
            <v>202.99999999999997</v>
          </cell>
          <cell r="BC259">
            <v>271.19999999999993</v>
          </cell>
          <cell r="BD259">
            <v>117.39999999999999</v>
          </cell>
          <cell r="BE259">
            <v>136.4</v>
          </cell>
          <cell r="BF259">
            <v>250.6</v>
          </cell>
          <cell r="BG259">
            <v>123</v>
          </cell>
          <cell r="BH259">
            <v>91</v>
          </cell>
          <cell r="BI259">
            <v>264.60000000000002</v>
          </cell>
          <cell r="BJ259">
            <v>140.79999999999998</v>
          </cell>
          <cell r="BK259">
            <v>256.99999999999994</v>
          </cell>
          <cell r="BL259">
            <v>263.2</v>
          </cell>
          <cell r="BM259">
            <v>147.19999999999999</v>
          </cell>
          <cell r="BN259">
            <v>207.99999999999997</v>
          </cell>
          <cell r="BO259">
            <v>232.40000000000009</v>
          </cell>
          <cell r="BP259">
            <v>188.59999999999997</v>
          </cell>
          <cell r="BQ259">
            <v>230.39999999999998</v>
          </cell>
          <cell r="BR259">
            <v>147.4</v>
          </cell>
          <cell r="BS259">
            <v>273.01999999999992</v>
          </cell>
          <cell r="BT259">
            <v>214.16</v>
          </cell>
          <cell r="BU259">
            <v>241.60000000000002</v>
          </cell>
          <cell r="BV259">
            <v>183.6</v>
          </cell>
          <cell r="BW259">
            <v>138.4</v>
          </cell>
          <cell r="BX259">
            <v>157.6</v>
          </cell>
          <cell r="BY259">
            <v>181.79999999999998</v>
          </cell>
          <cell r="BZ259">
            <v>110.318</v>
          </cell>
          <cell r="CA259">
            <v>284.8</v>
          </cell>
          <cell r="CB259">
            <v>122.8</v>
          </cell>
          <cell r="CC259">
            <v>168.6</v>
          </cell>
          <cell r="CD259">
            <v>214.39999999999998</v>
          </cell>
          <cell r="CE259">
            <v>110.60000000000001</v>
          </cell>
          <cell r="CF259">
            <v>188.19999999999996</v>
          </cell>
          <cell r="CG259">
            <v>316.39999999999998</v>
          </cell>
          <cell r="CH259">
            <v>143.6</v>
          </cell>
          <cell r="CI259">
            <v>66.600000000000009</v>
          </cell>
          <cell r="CJ259">
            <v>357.99999999999989</v>
          </cell>
          <cell r="CK259">
            <v>249.2</v>
          </cell>
          <cell r="CL259">
            <v>333.8</v>
          </cell>
          <cell r="CM259">
            <v>182.2</v>
          </cell>
          <cell r="CN259">
            <v>268.79999999999995</v>
          </cell>
          <cell r="CO259">
            <v>202.40000000000003</v>
          </cell>
          <cell r="CP259">
            <v>305.00000000000011</v>
          </cell>
          <cell r="CQ259">
            <v>262.59999999999997</v>
          </cell>
          <cell r="CR259">
            <v>126.99999999999999</v>
          </cell>
          <cell r="CS259">
            <v>102.6</v>
          </cell>
          <cell r="CT259">
            <v>143.70000000000002</v>
          </cell>
          <cell r="CU259">
            <v>250.19999999999996</v>
          </cell>
          <cell r="CV259">
            <v>232.79999999999998</v>
          </cell>
          <cell r="CW259">
            <v>255.4</v>
          </cell>
          <cell r="CX259">
            <v>266.40000000000003</v>
          </cell>
          <cell r="CY259">
            <v>91.4</v>
          </cell>
          <cell r="CZ259">
            <v>307.20000000000005</v>
          </cell>
          <cell r="DA259">
            <v>123.39999999999998</v>
          </cell>
          <cell r="DB259">
            <v>226.29999999999995</v>
          </cell>
          <cell r="DC259">
            <v>141.79999999999998</v>
          </cell>
          <cell r="DD259">
            <v>169.59999999999997</v>
          </cell>
          <cell r="DE259">
            <v>164.79999999999998</v>
          </cell>
          <cell r="DF259">
            <v>112.00000000000003</v>
          </cell>
          <cell r="DG259">
            <v>129.20000000000002</v>
          </cell>
          <cell r="DH259">
            <v>39.4</v>
          </cell>
          <cell r="DI259">
            <v>32.6</v>
          </cell>
          <cell r="DJ259">
            <v>174.2</v>
          </cell>
          <cell r="DK259">
            <v>158.19999999999999</v>
          </cell>
          <cell r="DL259">
            <v>225.79999999999993</v>
          </cell>
          <cell r="DM259">
            <v>244.39999999999998</v>
          </cell>
          <cell r="DN259">
            <v>202.59999999999997</v>
          </cell>
          <cell r="DO259">
            <v>242.99999999999997</v>
          </cell>
          <cell r="DP259">
            <v>203.4</v>
          </cell>
          <cell r="DQ259">
            <v>179.59999999999997</v>
          </cell>
          <cell r="DR259">
            <v>130.6</v>
          </cell>
          <cell r="DS259">
            <v>18.600000000000001</v>
          </cell>
          <cell r="DV259">
            <v>14.600000000000001</v>
          </cell>
          <cell r="DW259">
            <v>180.99999999999997</v>
          </cell>
          <cell r="DX259">
            <v>166.59999999999991</v>
          </cell>
          <cell r="DY259">
            <v>218.39999999999995</v>
          </cell>
          <cell r="DZ259">
            <v>292.79999999999995</v>
          </cell>
          <cell r="EA259">
            <v>28.6</v>
          </cell>
          <cell r="EB259">
            <v>229.2</v>
          </cell>
          <cell r="EC259">
            <v>170.19999999999993</v>
          </cell>
          <cell r="ED259">
            <v>148.91200000000001</v>
          </cell>
          <cell r="EE259" t="str">
            <v>ACTIVO</v>
          </cell>
          <cell r="EF259" t="str">
            <v>B</v>
          </cell>
          <cell r="EG259">
            <v>660</v>
          </cell>
          <cell r="EH259">
            <v>167.89999999999998</v>
          </cell>
          <cell r="EI259">
            <v>27.983333333333331</v>
          </cell>
          <cell r="EJ259">
            <v>73.375067733290976</v>
          </cell>
          <cell r="EK259">
            <v>0</v>
          </cell>
          <cell r="EL259">
            <v>0</v>
          </cell>
          <cell r="EM259">
            <v>0</v>
          </cell>
          <cell r="EN259">
            <v>139.91666666666666</v>
          </cell>
          <cell r="EO259">
            <v>55.966666666666661</v>
          </cell>
          <cell r="EP259">
            <v>195.88333333333333</v>
          </cell>
        </row>
        <row r="260">
          <cell r="F260">
            <v>107001</v>
          </cell>
          <cell r="G260" t="str">
            <v>MARRASQUINO ALTO LA CRUZ</v>
          </cell>
          <cell r="BX260">
            <v>34.799999999999997</v>
          </cell>
          <cell r="BY260">
            <v>37.6</v>
          </cell>
          <cell r="BZ260">
            <v>40.682000000000002</v>
          </cell>
          <cell r="CB260">
            <v>1.8</v>
          </cell>
          <cell r="CC260">
            <v>10.8</v>
          </cell>
          <cell r="DS260">
            <v>92.399999999999991</v>
          </cell>
          <cell r="DT260">
            <v>305.79999999999995</v>
          </cell>
          <cell r="DU260">
            <v>296.59999999999997</v>
          </cell>
          <cell r="DV260">
            <v>139.19999999999996</v>
          </cell>
          <cell r="DW260">
            <v>10.8</v>
          </cell>
          <cell r="ED260">
            <v>66.923999999999992</v>
          </cell>
          <cell r="EE260" t="str">
            <v>ACTIVO</v>
          </cell>
          <cell r="EF260" t="str">
            <v>C</v>
          </cell>
          <cell r="EG260" t="str">
            <v/>
          </cell>
          <cell r="EH260">
            <v>168.95999999999998</v>
          </cell>
          <cell r="EI260">
            <v>28.159999999999997</v>
          </cell>
          <cell r="EJ260">
            <v>17.610452146381714</v>
          </cell>
          <cell r="EK260">
            <v>599.07600000000002</v>
          </cell>
          <cell r="EL260">
            <v>3356928.3568000002</v>
          </cell>
          <cell r="EM260">
            <v>3.5456676136363643</v>
          </cell>
          <cell r="EN260">
            <v>56.319999999999993</v>
          </cell>
          <cell r="EO260">
            <v>56.319999999999993</v>
          </cell>
          <cell r="EP260">
            <v>112.63999999999999</v>
          </cell>
        </row>
        <row r="261">
          <cell r="F261">
            <v>107282</v>
          </cell>
          <cell r="G261" t="str">
            <v>PIÑA EN CUBOS</v>
          </cell>
          <cell r="H261">
            <v>399.28</v>
          </cell>
          <cell r="I261">
            <v>1131.6000000000001</v>
          </cell>
          <cell r="J261">
            <v>2498.7200000000007</v>
          </cell>
          <cell r="K261">
            <v>2941.7600000000007</v>
          </cell>
          <cell r="L261">
            <v>1963.2799999999997</v>
          </cell>
          <cell r="M261">
            <v>899.75999999999988</v>
          </cell>
          <cell r="N261">
            <v>1681.7600000000002</v>
          </cell>
          <cell r="O261">
            <v>1760.8800000000006</v>
          </cell>
          <cell r="P261">
            <v>1346.88</v>
          </cell>
          <cell r="Q261">
            <v>1155.52</v>
          </cell>
          <cell r="R261">
            <v>1667.04</v>
          </cell>
          <cell r="S261">
            <v>660.56000000000006</v>
          </cell>
          <cell r="T261">
            <v>664.2399999999999</v>
          </cell>
          <cell r="U261">
            <v>2318.4</v>
          </cell>
          <cell r="V261">
            <v>894.24000000000012</v>
          </cell>
          <cell r="W261">
            <v>1418.64</v>
          </cell>
          <cell r="X261">
            <v>1597.12</v>
          </cell>
          <cell r="Y261">
            <v>1700.16</v>
          </cell>
          <cell r="Z261">
            <v>1157.3599999999999</v>
          </cell>
          <cell r="AA261">
            <v>1948.96</v>
          </cell>
          <cell r="AB261">
            <v>1889.6800000000003</v>
          </cell>
          <cell r="AC261">
            <v>1801.36</v>
          </cell>
          <cell r="AD261">
            <v>1385.52</v>
          </cell>
          <cell r="AE261">
            <v>1391.0399999999997</v>
          </cell>
          <cell r="AF261">
            <v>1267.76</v>
          </cell>
          <cell r="AG261">
            <v>1514.3199999999997</v>
          </cell>
          <cell r="AH261">
            <v>1674.4000000000003</v>
          </cell>
          <cell r="AI261">
            <v>1124.24</v>
          </cell>
          <cell r="AJ261">
            <v>1672.56</v>
          </cell>
          <cell r="AK261">
            <v>2084.7200000000003</v>
          </cell>
          <cell r="AL261">
            <v>1979.8600000000001</v>
          </cell>
          <cell r="AM261">
            <v>815.12</v>
          </cell>
          <cell r="AN261">
            <v>1512.48</v>
          </cell>
          <cell r="AO261">
            <v>1330.32</v>
          </cell>
          <cell r="AP261">
            <v>1181.2000000000003</v>
          </cell>
          <cell r="AQ261">
            <v>1793.6</v>
          </cell>
          <cell r="AR261">
            <v>1197.8399999999999</v>
          </cell>
          <cell r="AS261">
            <v>412.16</v>
          </cell>
          <cell r="AT261">
            <v>1407.6</v>
          </cell>
          <cell r="AU261">
            <v>1992.7199999999996</v>
          </cell>
          <cell r="AV261">
            <v>2277.9200000000005</v>
          </cell>
          <cell r="AW261">
            <v>307.27999999999997</v>
          </cell>
          <cell r="AX261">
            <v>629.28</v>
          </cell>
          <cell r="AY261">
            <v>2645.7599999999998</v>
          </cell>
          <cell r="AZ261">
            <v>414</v>
          </cell>
          <cell r="BA261">
            <v>923.68000000000006</v>
          </cell>
          <cell r="BB261">
            <v>1992.6800000000003</v>
          </cell>
          <cell r="BC261">
            <v>754.92000000000007</v>
          </cell>
          <cell r="EE261" t="str">
            <v>SIN USO</v>
          </cell>
          <cell r="EF261" t="str">
            <v/>
          </cell>
          <cell r="EG261">
            <v>552</v>
          </cell>
          <cell r="EH261">
            <v>0</v>
          </cell>
          <cell r="EI261">
            <v>0</v>
          </cell>
          <cell r="EJ261">
            <v>0</v>
          </cell>
          <cell r="EK261">
            <v>0</v>
          </cell>
          <cell r="EL261">
            <v>0</v>
          </cell>
          <cell r="EM261">
            <v>0</v>
          </cell>
          <cell r="EN261">
            <v>0</v>
          </cell>
          <cell r="EO261">
            <v>0</v>
          </cell>
          <cell r="EP261">
            <v>0</v>
          </cell>
        </row>
        <row r="262">
          <cell r="F262">
            <v>107123</v>
          </cell>
          <cell r="G262" t="str">
            <v>PIÑA EN CUBOS ALTO LA CRUZ</v>
          </cell>
          <cell r="H262">
            <v>130.63999999999999</v>
          </cell>
          <cell r="AT262">
            <v>31.28</v>
          </cell>
          <cell r="BG262">
            <v>754.33999999999992</v>
          </cell>
          <cell r="BH262">
            <v>298.08000000000004</v>
          </cell>
          <cell r="BI262">
            <v>1470.1399999999999</v>
          </cell>
          <cell r="BJ262">
            <v>441.6</v>
          </cell>
          <cell r="BK262">
            <v>2352.96</v>
          </cell>
          <cell r="BL262">
            <v>618.24</v>
          </cell>
          <cell r="BM262">
            <v>516.80000000000007</v>
          </cell>
          <cell r="CB262">
            <v>570.4</v>
          </cell>
          <cell r="CC262">
            <v>53.36</v>
          </cell>
          <cell r="CD262">
            <v>404.76</v>
          </cell>
          <cell r="CE262">
            <v>978.92</v>
          </cell>
          <cell r="CG262">
            <v>379.04</v>
          </cell>
          <cell r="CU262">
            <v>220.8</v>
          </cell>
          <cell r="CV262">
            <v>1275.1200000000001</v>
          </cell>
          <cell r="CW262">
            <v>513.3599999999999</v>
          </cell>
          <cell r="CX262">
            <v>1214.3999999999999</v>
          </cell>
          <cell r="CY262">
            <v>1280.6400000000001</v>
          </cell>
          <cell r="CZ262">
            <v>500.48</v>
          </cell>
          <cell r="DA262">
            <v>497.4</v>
          </cell>
          <cell r="DB262">
            <v>463.68000000000006</v>
          </cell>
          <cell r="DC262">
            <v>124.52000000000001</v>
          </cell>
          <cell r="EE262" t="str">
            <v>ACTIVO</v>
          </cell>
          <cell r="EF262" t="str">
            <v>B</v>
          </cell>
          <cell r="EG262" t="str">
            <v/>
          </cell>
          <cell r="EH262">
            <v>0</v>
          </cell>
          <cell r="EI262">
            <v>0</v>
          </cell>
          <cell r="EJ262">
            <v>560.08462860065788</v>
          </cell>
          <cell r="EK262">
            <v>0</v>
          </cell>
          <cell r="EL262">
            <v>0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</row>
        <row r="263">
          <cell r="F263">
            <v>107329</v>
          </cell>
          <cell r="G263" t="str">
            <v>PIÑA EN CUBOS</v>
          </cell>
          <cell r="AW263">
            <v>84.64</v>
          </cell>
          <cell r="BB263">
            <v>3.68</v>
          </cell>
          <cell r="EE263" t="str">
            <v>SIN USO</v>
          </cell>
          <cell r="EF263" t="str">
            <v/>
          </cell>
          <cell r="EG263">
            <v>540.96</v>
          </cell>
          <cell r="EH263">
            <v>0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</row>
        <row r="264">
          <cell r="F264">
            <v>107346</v>
          </cell>
          <cell r="G264" t="str">
            <v>PIÑA EN CUBOS LAS PERDICES</v>
          </cell>
          <cell r="BA264">
            <v>342.24</v>
          </cell>
          <cell r="BC264">
            <v>1178.92</v>
          </cell>
          <cell r="BD264">
            <v>1624.64</v>
          </cell>
          <cell r="BE264">
            <v>978.88</v>
          </cell>
          <cell r="BF264">
            <v>1166.5200000000002</v>
          </cell>
          <cell r="BG264">
            <v>1713.6200000000001</v>
          </cell>
          <cell r="BM264">
            <v>0.24</v>
          </cell>
          <cell r="BN264">
            <v>1871.2800000000002</v>
          </cell>
          <cell r="BO264">
            <v>245.65000000000003</v>
          </cell>
          <cell r="BP264">
            <v>962.31999999999994</v>
          </cell>
          <cell r="BQ264">
            <v>2472.96</v>
          </cell>
          <cell r="BR264">
            <v>1372.6399999999999</v>
          </cell>
          <cell r="BS264">
            <v>502.32000000000005</v>
          </cell>
          <cell r="BT264">
            <v>2460.08</v>
          </cell>
          <cell r="BU264">
            <v>1065.3599999999999</v>
          </cell>
          <cell r="BV264">
            <v>110.4</v>
          </cell>
          <cell r="BY264">
            <v>1547.44</v>
          </cell>
          <cell r="BZ264">
            <v>1236.48</v>
          </cell>
          <cell r="CA264">
            <v>1869.44</v>
          </cell>
          <cell r="CB264">
            <v>1705.6799999999996</v>
          </cell>
          <cell r="CC264">
            <v>1102.1200000000001</v>
          </cell>
          <cell r="CD264">
            <v>57.080000000000005</v>
          </cell>
          <cell r="CE264">
            <v>666.04000000000008</v>
          </cell>
          <cell r="CF264">
            <v>505.99999999999994</v>
          </cell>
          <cell r="CG264">
            <v>3179.52</v>
          </cell>
          <cell r="CH264">
            <v>579.6</v>
          </cell>
          <cell r="CI264">
            <v>618.24</v>
          </cell>
          <cell r="CJ264">
            <v>577.76</v>
          </cell>
          <cell r="CK264">
            <v>2719.9</v>
          </cell>
          <cell r="CL264">
            <v>574.07999999999993</v>
          </cell>
          <cell r="CM264">
            <v>2612.8000000000006</v>
          </cell>
          <cell r="CN264">
            <v>1247.5200000000004</v>
          </cell>
          <cell r="CO264">
            <v>566.72</v>
          </cell>
          <cell r="CP264">
            <v>572.24</v>
          </cell>
          <cell r="CQ264">
            <v>1633.4200000000005</v>
          </cell>
          <cell r="CR264">
            <v>2147.73</v>
          </cell>
          <cell r="CS264">
            <v>235.52</v>
          </cell>
          <cell r="CT264">
            <v>1913.5999999999995</v>
          </cell>
          <cell r="CU264">
            <v>439.76</v>
          </cell>
          <cell r="DC264">
            <v>1943.6399999999999</v>
          </cell>
          <cell r="DD264">
            <v>842.72</v>
          </cell>
          <cell r="DE264">
            <v>1494.08</v>
          </cell>
          <cell r="DF264">
            <v>719.43999999999994</v>
          </cell>
          <cell r="DG264">
            <v>931.04</v>
          </cell>
          <cell r="DH264">
            <v>1302.72</v>
          </cell>
          <cell r="DI264">
            <v>833.5200000000001</v>
          </cell>
          <cell r="DJ264">
            <v>537.28000000000009</v>
          </cell>
          <cell r="DK264">
            <v>2436.12</v>
          </cell>
          <cell r="DL264">
            <v>1098.44</v>
          </cell>
          <cell r="DM264">
            <v>1718.5600000000002</v>
          </cell>
          <cell r="DN264">
            <v>2130.7200000000003</v>
          </cell>
          <cell r="DO264">
            <v>1192.32</v>
          </cell>
          <cell r="DP264">
            <v>1072.7199999999998</v>
          </cell>
          <cell r="DQ264">
            <v>1078.2400000000002</v>
          </cell>
          <cell r="DR264">
            <v>1045.1200000000001</v>
          </cell>
          <cell r="DS264">
            <v>1690.9599999999998</v>
          </cell>
          <cell r="DT264">
            <v>450.8</v>
          </cell>
          <cell r="DU264">
            <v>513.36</v>
          </cell>
          <cell r="DV264">
            <v>1718.56</v>
          </cell>
          <cell r="DW264">
            <v>1519.8400000000001</v>
          </cell>
          <cell r="DX264">
            <v>2012.96</v>
          </cell>
          <cell r="DY264">
            <v>1638.48</v>
          </cell>
          <cell r="DZ264">
            <v>1227.2800000000002</v>
          </cell>
          <cell r="EA264">
            <v>2235.6000000000004</v>
          </cell>
          <cell r="EB264">
            <v>507.84000000000003</v>
          </cell>
          <cell r="EC264">
            <v>1065.3800000000001</v>
          </cell>
          <cell r="ED264">
            <v>1380.0000000000002</v>
          </cell>
          <cell r="EE264" t="str">
            <v>ACTIVO</v>
          </cell>
          <cell r="EF264" t="str">
            <v>A</v>
          </cell>
          <cell r="EG264">
            <v>540.96</v>
          </cell>
          <cell r="EH264">
            <v>1328.6266666666666</v>
          </cell>
          <cell r="EI264">
            <v>221.43777777777777</v>
          </cell>
          <cell r="EJ264">
            <v>817.62973182715484</v>
          </cell>
          <cell r="EK264">
            <v>3109.6</v>
          </cell>
          <cell r="EL264">
            <v>9469478.3039999995</v>
          </cell>
          <cell r="EM264">
            <v>2.3404618302608209</v>
          </cell>
          <cell r="EN264">
            <v>442.87555555555554</v>
          </cell>
          <cell r="EO264">
            <v>442.87555555555554</v>
          </cell>
          <cell r="EP264">
            <v>885.75111111111107</v>
          </cell>
        </row>
        <row r="265">
          <cell r="F265">
            <v>107348</v>
          </cell>
          <cell r="G265" t="str">
            <v>PIÑA EN RODAJA LAS PERDICES</v>
          </cell>
          <cell r="H265">
            <v>100.24000000000001</v>
          </cell>
          <cell r="AR265">
            <v>400.91999999999996</v>
          </cell>
          <cell r="AS265">
            <v>213.01</v>
          </cell>
          <cell r="AT265">
            <v>676.40000000000009</v>
          </cell>
          <cell r="AU265">
            <v>1228.67</v>
          </cell>
          <cell r="AV265">
            <v>540.57999999999993</v>
          </cell>
          <cell r="AW265">
            <v>395.59</v>
          </cell>
          <cell r="AX265">
            <v>637.24</v>
          </cell>
          <cell r="AY265">
            <v>494.04</v>
          </cell>
          <cell r="AZ265">
            <v>562.06000000000006</v>
          </cell>
          <cell r="BA265">
            <v>492.25</v>
          </cell>
          <cell r="BB265">
            <v>449.31999999999994</v>
          </cell>
          <cell r="BC265">
            <v>977.33999999999992</v>
          </cell>
          <cell r="BD265">
            <v>499.34999999999997</v>
          </cell>
          <cell r="BE265">
            <v>372.32</v>
          </cell>
          <cell r="BF265">
            <v>433.18000000000006</v>
          </cell>
          <cell r="BG265">
            <v>308.19000000000005</v>
          </cell>
          <cell r="BH265">
            <v>198.69</v>
          </cell>
          <cell r="BI265">
            <v>454.65999999999997</v>
          </cell>
          <cell r="BJ265">
            <v>322.2</v>
          </cell>
          <cell r="BK265">
            <v>451.08</v>
          </cell>
          <cell r="BL265">
            <v>506.56999999999994</v>
          </cell>
          <cell r="BM265">
            <v>4.47</v>
          </cell>
          <cell r="CN265">
            <v>35.799999999999997</v>
          </cell>
          <cell r="CT265">
            <v>25.5</v>
          </cell>
          <cell r="DO265">
            <v>3.58</v>
          </cell>
          <cell r="DP265">
            <v>325.77999999999997</v>
          </cell>
          <cell r="DQ265">
            <v>370.53</v>
          </cell>
          <cell r="DR265">
            <v>1483.8999999999999</v>
          </cell>
          <cell r="DS265">
            <v>978.71</v>
          </cell>
          <cell r="DT265">
            <v>415.28</v>
          </cell>
          <cell r="DU265">
            <v>481.50999999999993</v>
          </cell>
          <cell r="DV265">
            <v>549.53</v>
          </cell>
          <cell r="DW265">
            <v>424.23</v>
          </cell>
          <cell r="DX265">
            <v>1005.9800000000001</v>
          </cell>
          <cell r="DY265">
            <v>850.03000000000009</v>
          </cell>
          <cell r="DZ265">
            <v>460.03</v>
          </cell>
          <cell r="EA265">
            <v>1557.3000000000002</v>
          </cell>
          <cell r="EB265">
            <v>567.43000000000006</v>
          </cell>
          <cell r="EC265">
            <v>467.17000000000007</v>
          </cell>
          <cell r="ED265">
            <v>486.88</v>
          </cell>
          <cell r="EE265" t="str">
            <v>ACTIVO</v>
          </cell>
          <cell r="EF265" t="str">
            <v>C</v>
          </cell>
          <cell r="EG265">
            <v>540</v>
          </cell>
          <cell r="EH265">
            <v>612.42416666666657</v>
          </cell>
          <cell r="EI265">
            <v>102.07069444444443</v>
          </cell>
          <cell r="EJ265">
            <v>211.30862374650698</v>
          </cell>
          <cell r="EK265">
            <v>397.38</v>
          </cell>
          <cell r="EL265">
            <v>1239090.4469999999</v>
          </cell>
          <cell r="EM265">
            <v>0.64886400901336094</v>
          </cell>
          <cell r="EN265">
            <v>204.14138888888886</v>
          </cell>
          <cell r="EO265">
            <v>204.14138888888886</v>
          </cell>
          <cell r="EP265">
            <v>408.28277777777771</v>
          </cell>
        </row>
        <row r="266">
          <cell r="F266">
            <v>107117</v>
          </cell>
          <cell r="G266" t="str">
            <v>PIÑA EN RODAJAS ALTO LA CRUZ</v>
          </cell>
          <cell r="H266">
            <v>207.64000000000001</v>
          </cell>
          <cell r="I266">
            <v>230.91</v>
          </cell>
          <cell r="J266">
            <v>227.33000000000004</v>
          </cell>
          <cell r="K266">
            <v>775.06999999999994</v>
          </cell>
          <cell r="L266">
            <v>248.81</v>
          </cell>
          <cell r="M266">
            <v>279.24</v>
          </cell>
          <cell r="N266">
            <v>254.18</v>
          </cell>
          <cell r="O266">
            <v>315.89</v>
          </cell>
          <cell r="P266">
            <v>275.66000000000003</v>
          </cell>
          <cell r="Q266">
            <v>268.5</v>
          </cell>
          <cell r="R266">
            <v>277.45</v>
          </cell>
          <cell r="S266">
            <v>175.42</v>
          </cell>
          <cell r="T266">
            <v>191.53</v>
          </cell>
          <cell r="U266">
            <v>273.87</v>
          </cell>
          <cell r="V266">
            <v>298.93</v>
          </cell>
          <cell r="W266">
            <v>307.88</v>
          </cell>
          <cell r="X266">
            <v>339.77000000000004</v>
          </cell>
          <cell r="Y266">
            <v>300.72000000000003</v>
          </cell>
          <cell r="Z266">
            <v>307.88</v>
          </cell>
          <cell r="AA266">
            <v>289.98</v>
          </cell>
          <cell r="AB266">
            <v>315.04000000000002</v>
          </cell>
          <cell r="AC266">
            <v>291.77</v>
          </cell>
          <cell r="AD266">
            <v>284.60999999999996</v>
          </cell>
          <cell r="AE266">
            <v>286.39999999999998</v>
          </cell>
          <cell r="AF266">
            <v>316.83</v>
          </cell>
          <cell r="AG266">
            <v>318.62</v>
          </cell>
          <cell r="AH266">
            <v>350.84000000000003</v>
          </cell>
          <cell r="AI266">
            <v>366.95</v>
          </cell>
          <cell r="AJ266">
            <v>334.72999999999996</v>
          </cell>
          <cell r="AK266">
            <v>347.26</v>
          </cell>
          <cell r="AL266">
            <v>384.43</v>
          </cell>
          <cell r="AM266">
            <v>329.36</v>
          </cell>
          <cell r="AN266">
            <v>293.56</v>
          </cell>
          <cell r="AO266">
            <v>248.81</v>
          </cell>
          <cell r="AP266">
            <v>306.05</v>
          </cell>
          <cell r="AQ266">
            <v>486.88</v>
          </cell>
          <cell r="AR266">
            <v>96.699999999999989</v>
          </cell>
          <cell r="BK266">
            <v>537</v>
          </cell>
          <cell r="BM266">
            <v>473.46000000000004</v>
          </cell>
          <cell r="BN266">
            <v>492.25000000000006</v>
          </cell>
          <cell r="BO266">
            <v>420.65000000000003</v>
          </cell>
          <cell r="BP266">
            <v>442.13</v>
          </cell>
          <cell r="BQ266">
            <v>390.22</v>
          </cell>
          <cell r="BR266">
            <v>546.21</v>
          </cell>
          <cell r="BS266">
            <v>426.02</v>
          </cell>
          <cell r="BT266">
            <v>442.13</v>
          </cell>
          <cell r="BU266">
            <v>692.73</v>
          </cell>
          <cell r="BV266">
            <v>472.56</v>
          </cell>
          <cell r="BW266">
            <v>479.72</v>
          </cell>
          <cell r="BX266">
            <v>452.86999999999989</v>
          </cell>
          <cell r="BY266">
            <v>307.88</v>
          </cell>
          <cell r="BZ266">
            <v>12.53</v>
          </cell>
          <cell r="CA266">
            <v>116.35000000000001</v>
          </cell>
          <cell r="CB266">
            <v>128.88</v>
          </cell>
          <cell r="CC266">
            <v>155.72999999999999</v>
          </cell>
          <cell r="CD266">
            <v>141.41000000000003</v>
          </cell>
          <cell r="CE266">
            <v>211.22</v>
          </cell>
          <cell r="CF266">
            <v>116.35</v>
          </cell>
          <cell r="CG266">
            <v>121.72</v>
          </cell>
          <cell r="CH266">
            <v>182.58000000000004</v>
          </cell>
          <cell r="CI266">
            <v>399.16999999999996</v>
          </cell>
          <cell r="CJ266">
            <v>406.33</v>
          </cell>
          <cell r="CK266">
            <v>347.21999999999997</v>
          </cell>
          <cell r="CL266">
            <v>279.24</v>
          </cell>
          <cell r="CM266">
            <v>306.08999999999997</v>
          </cell>
          <cell r="CN266">
            <v>203.96999999999997</v>
          </cell>
          <cell r="CR266">
            <v>139.62</v>
          </cell>
          <cell r="CS266">
            <v>78.760000000000005</v>
          </cell>
          <cell r="CT266">
            <v>387.99</v>
          </cell>
          <cell r="CU266">
            <v>431.39</v>
          </cell>
          <cell r="CV266">
            <v>426.02000000000004</v>
          </cell>
          <cell r="CW266">
            <v>418.86</v>
          </cell>
          <cell r="CX266">
            <v>263.13</v>
          </cell>
          <cell r="CY266">
            <v>130.85999999999999</v>
          </cell>
          <cell r="CZ266">
            <v>392.01</v>
          </cell>
          <cell r="DA266">
            <v>148.57</v>
          </cell>
          <cell r="DB266">
            <v>345.47</v>
          </cell>
          <cell r="DC266">
            <v>370.53000000000003</v>
          </cell>
          <cell r="DD266">
            <v>365.15999999999997</v>
          </cell>
          <cell r="DE266">
            <v>322.2</v>
          </cell>
          <cell r="DF266">
            <v>402.75</v>
          </cell>
          <cell r="DG266">
            <v>255.97000000000003</v>
          </cell>
          <cell r="DH266">
            <v>173.63</v>
          </cell>
          <cell r="DI266">
            <v>116.35</v>
          </cell>
          <cell r="DJ266">
            <v>374.11</v>
          </cell>
          <cell r="DK266">
            <v>354.41999999999996</v>
          </cell>
          <cell r="DL266">
            <v>340.09999999999997</v>
          </cell>
          <cell r="DM266">
            <v>236.27999999999997</v>
          </cell>
          <cell r="DN266">
            <v>322.3</v>
          </cell>
          <cell r="DO266">
            <v>325.78000000000003</v>
          </cell>
          <cell r="EE266" t="str">
            <v>ACTIVO</v>
          </cell>
          <cell r="EF266" t="str">
            <v>B</v>
          </cell>
          <cell r="EG266" t="str">
            <v/>
          </cell>
          <cell r="EH266">
            <v>295.62</v>
          </cell>
          <cell r="EI266">
            <v>49.27</v>
          </cell>
          <cell r="EJ266">
            <v>150.98018739009373</v>
          </cell>
          <cell r="EK266">
            <v>0</v>
          </cell>
          <cell r="EL266">
            <v>0</v>
          </cell>
          <cell r="EM266">
            <v>0</v>
          </cell>
          <cell r="EN266">
            <v>147.81</v>
          </cell>
          <cell r="EO266">
            <v>98.54</v>
          </cell>
          <cell r="EP266">
            <v>246.35000000000002</v>
          </cell>
        </row>
        <row r="267">
          <cell r="F267">
            <v>405574</v>
          </cell>
          <cell r="G267" t="str">
            <v>PIÑA EN RODAJAS CAMPOS</v>
          </cell>
          <cell r="CN267">
            <v>168.35</v>
          </cell>
          <cell r="CO267">
            <v>456.45000000000005</v>
          </cell>
          <cell r="CP267">
            <v>492.25</v>
          </cell>
          <cell r="CQ267">
            <v>377.69</v>
          </cell>
          <cell r="CR267">
            <v>300.22000000000003</v>
          </cell>
          <cell r="CX267">
            <v>114.56</v>
          </cell>
          <cell r="CY267">
            <v>279.05</v>
          </cell>
          <cell r="DA267">
            <v>238.07</v>
          </cell>
          <cell r="DM267">
            <v>119.93</v>
          </cell>
          <cell r="DN267">
            <v>17.8</v>
          </cell>
          <cell r="EE267" t="str">
            <v>ACTIVO</v>
          </cell>
          <cell r="EF267" t="str">
            <v>C</v>
          </cell>
          <cell r="EG267" t="str">
            <v/>
          </cell>
          <cell r="EH267">
            <v>68.865000000000009</v>
          </cell>
          <cell r="EI267">
            <v>11.477500000000001</v>
          </cell>
          <cell r="EJ267">
            <v>132.76062335755162</v>
          </cell>
          <cell r="EK267">
            <v>0</v>
          </cell>
          <cell r="EL267">
            <v>0</v>
          </cell>
          <cell r="EM267">
            <v>0</v>
          </cell>
          <cell r="EN267">
            <v>22.955000000000002</v>
          </cell>
          <cell r="EO267">
            <v>22.955000000000002</v>
          </cell>
          <cell r="EP267">
            <v>45.910000000000004</v>
          </cell>
        </row>
        <row r="268">
          <cell r="F268">
            <v>107144</v>
          </cell>
          <cell r="G268" t="str">
            <v>MANZANAS SLICE MEL</v>
          </cell>
          <cell r="BC268">
            <v>32.299999999999997</v>
          </cell>
          <cell r="BF268">
            <v>15.2</v>
          </cell>
          <cell r="BG268">
            <v>3.8</v>
          </cell>
          <cell r="BK268">
            <v>13.3</v>
          </cell>
          <cell r="BN268">
            <v>13.3</v>
          </cell>
          <cell r="BO268">
            <v>17.100000000000001</v>
          </cell>
          <cell r="BR268">
            <v>176.7</v>
          </cell>
          <cell r="BT268">
            <v>7.6</v>
          </cell>
          <cell r="BU268">
            <v>3.8</v>
          </cell>
          <cell r="BV268">
            <v>15.2</v>
          </cell>
          <cell r="CF268">
            <v>1081.0999999999999</v>
          </cell>
          <cell r="CG268">
            <v>3.8</v>
          </cell>
          <cell r="CI268">
            <v>9.5</v>
          </cell>
          <cell r="EE268" t="str">
            <v>ACTIVO</v>
          </cell>
          <cell r="EF268" t="str">
            <v>C</v>
          </cell>
          <cell r="EG268" t="str">
            <v/>
          </cell>
          <cell r="EH268">
            <v>0</v>
          </cell>
          <cell r="EI268">
            <v>0</v>
          </cell>
          <cell r="EJ268">
            <v>336.83474748177491</v>
          </cell>
          <cell r="EK268">
            <v>188.1</v>
          </cell>
          <cell r="EL268">
            <v>559003.10400000005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</row>
        <row r="269">
          <cell r="F269">
            <v>107415</v>
          </cell>
          <cell r="G269" t="str">
            <v>FILLING DE FRAMBUESA MEL</v>
          </cell>
          <cell r="BC269">
            <v>387</v>
          </cell>
          <cell r="BD269">
            <v>2799</v>
          </cell>
          <cell r="BE269">
            <v>544.5</v>
          </cell>
          <cell r="BF269">
            <v>1152</v>
          </cell>
          <cell r="BI269">
            <v>657</v>
          </cell>
          <cell r="BJ269">
            <v>310.5</v>
          </cell>
          <cell r="BK269">
            <v>576</v>
          </cell>
          <cell r="BL269">
            <v>229.5</v>
          </cell>
          <cell r="BM269">
            <v>607.5</v>
          </cell>
          <cell r="BN269">
            <v>54</v>
          </cell>
          <cell r="BO269">
            <v>504</v>
          </cell>
          <cell r="BP269">
            <v>55.5</v>
          </cell>
          <cell r="BQ269">
            <v>444</v>
          </cell>
          <cell r="BR269">
            <v>364.5</v>
          </cell>
          <cell r="BS269">
            <v>612</v>
          </cell>
          <cell r="BT269">
            <v>337.5</v>
          </cell>
          <cell r="BU269">
            <v>496.5</v>
          </cell>
          <cell r="BV269">
            <v>1039.77</v>
          </cell>
          <cell r="BW269">
            <v>580.5</v>
          </cell>
          <cell r="BX269">
            <v>40.5</v>
          </cell>
          <cell r="BY269">
            <v>526.5</v>
          </cell>
          <cell r="BZ269">
            <v>18</v>
          </cell>
          <cell r="CA269">
            <v>922.5</v>
          </cell>
          <cell r="CB269">
            <v>931.5</v>
          </cell>
          <cell r="CC269">
            <v>162</v>
          </cell>
          <cell r="CD269">
            <v>517.5</v>
          </cell>
          <cell r="CE269">
            <v>135</v>
          </cell>
          <cell r="CF269">
            <v>148.5</v>
          </cell>
          <cell r="CG269">
            <v>391.5</v>
          </cell>
          <cell r="CH269">
            <v>342</v>
          </cell>
          <cell r="CI269">
            <v>247.5</v>
          </cell>
          <cell r="CJ269">
            <v>270</v>
          </cell>
          <cell r="CK269">
            <v>360</v>
          </cell>
          <cell r="CL269">
            <v>130.5</v>
          </cell>
          <cell r="CM269">
            <v>117</v>
          </cell>
          <cell r="CN269">
            <v>139.5</v>
          </cell>
          <cell r="CO269">
            <v>126</v>
          </cell>
          <cell r="CP269">
            <v>139.5</v>
          </cell>
          <cell r="CQ269">
            <v>157.5</v>
          </cell>
          <cell r="CR269">
            <v>139.5</v>
          </cell>
          <cell r="CS269">
            <v>67.5</v>
          </cell>
          <cell r="CT269">
            <v>112.5</v>
          </cell>
          <cell r="CU269">
            <v>139.5</v>
          </cell>
          <cell r="CV269">
            <v>207</v>
          </cell>
          <cell r="CW269">
            <v>121.5</v>
          </cell>
          <cell r="CX269">
            <v>76.5</v>
          </cell>
          <cell r="CY269">
            <v>135</v>
          </cell>
          <cell r="CZ269">
            <v>117</v>
          </cell>
          <cell r="DA269">
            <v>121.5</v>
          </cell>
          <cell r="DB269">
            <v>108</v>
          </cell>
          <cell r="DC269">
            <v>139.5</v>
          </cell>
          <cell r="DD269">
            <v>144</v>
          </cell>
          <cell r="DE269">
            <v>85.5</v>
          </cell>
          <cell r="DF269">
            <v>76.5</v>
          </cell>
          <cell r="DG269">
            <v>58.5</v>
          </cell>
          <cell r="DH269">
            <v>31.5</v>
          </cell>
          <cell r="DI269">
            <v>27</v>
          </cell>
          <cell r="DJ269">
            <v>72</v>
          </cell>
          <cell r="DK269">
            <v>99</v>
          </cell>
          <cell r="DL269">
            <v>67.5</v>
          </cell>
          <cell r="DM269">
            <v>94.5</v>
          </cell>
          <cell r="DN269">
            <v>76.5</v>
          </cell>
          <cell r="DO269">
            <v>76.5</v>
          </cell>
          <cell r="DP269">
            <v>72</v>
          </cell>
          <cell r="DQ269">
            <v>67.5</v>
          </cell>
          <cell r="DR269">
            <v>67.5</v>
          </cell>
          <cell r="DS269">
            <v>63</v>
          </cell>
          <cell r="DT269">
            <v>63</v>
          </cell>
          <cell r="DU269">
            <v>72</v>
          </cell>
          <cell r="DV269">
            <v>63</v>
          </cell>
          <cell r="DW269">
            <v>63</v>
          </cell>
          <cell r="DX269">
            <v>72</v>
          </cell>
          <cell r="DY269">
            <v>67.5</v>
          </cell>
          <cell r="DZ269">
            <v>76.5</v>
          </cell>
          <cell r="EA269">
            <v>40.5</v>
          </cell>
          <cell r="EB269">
            <v>72</v>
          </cell>
          <cell r="EC269">
            <v>63</v>
          </cell>
          <cell r="ED269">
            <v>76.5</v>
          </cell>
          <cell r="EE269" t="str">
            <v>ACTIVO</v>
          </cell>
          <cell r="EF269" t="str">
            <v>B</v>
          </cell>
          <cell r="EG269" t="str">
            <v/>
          </cell>
          <cell r="EH269">
            <v>70</v>
          </cell>
          <cell r="EI269">
            <v>11.666666666666666</v>
          </cell>
          <cell r="EJ269">
            <v>248.63932918447898</v>
          </cell>
          <cell r="EK269">
            <v>328.5</v>
          </cell>
          <cell r="EL269">
            <v>1737558.0449999999</v>
          </cell>
          <cell r="EM269">
            <v>4.6928571428571431</v>
          </cell>
          <cell r="EN269">
            <v>23.333333333333332</v>
          </cell>
          <cell r="EO269">
            <v>23.333333333333332</v>
          </cell>
          <cell r="EP269">
            <v>46.666666666666664</v>
          </cell>
        </row>
        <row r="270">
          <cell r="F270">
            <v>405647</v>
          </cell>
          <cell r="G270" t="str">
            <v>COCTEL DE FRUTA WATTS</v>
          </cell>
          <cell r="DS270">
            <v>129.60000000000002</v>
          </cell>
          <cell r="EE270" t="str">
            <v>ACTIVO</v>
          </cell>
          <cell r="EF270" t="str">
            <v/>
          </cell>
          <cell r="EG270" t="str">
            <v/>
          </cell>
          <cell r="EH270">
            <v>129.60000000000002</v>
          </cell>
          <cell r="EI270">
            <v>21.600000000000005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64.800000000000011</v>
          </cell>
          <cell r="EO270">
            <v>43.20000000000001</v>
          </cell>
          <cell r="EP270">
            <v>108.00000000000003</v>
          </cell>
        </row>
        <row r="271">
          <cell r="F271">
            <v>405747</v>
          </cell>
          <cell r="G271" t="str">
            <v>COCTEL DE FRUTA CAMPOS</v>
          </cell>
          <cell r="DY271">
            <v>171</v>
          </cell>
          <cell r="DZ271">
            <v>140.4</v>
          </cell>
          <cell r="EA271">
            <v>77.400000000000006</v>
          </cell>
          <cell r="EB271">
            <v>309.59999999999997</v>
          </cell>
          <cell r="EC271">
            <v>241.20000000000002</v>
          </cell>
          <cell r="ED271">
            <v>212.40000000000003</v>
          </cell>
          <cell r="EE271" t="str">
            <v>ACTIVO</v>
          </cell>
          <cell r="EF271" t="str">
            <v/>
          </cell>
          <cell r="EG271" t="str">
            <v/>
          </cell>
          <cell r="EH271">
            <v>155.69999999999999</v>
          </cell>
          <cell r="EI271">
            <v>25.95</v>
          </cell>
          <cell r="EJ271">
            <v>0</v>
          </cell>
          <cell r="EK271">
            <v>378</v>
          </cell>
          <cell r="EL271">
            <v>1399734</v>
          </cell>
          <cell r="EM271">
            <v>2.4277456647398847</v>
          </cell>
          <cell r="EN271">
            <v>51.9</v>
          </cell>
          <cell r="EO271">
            <v>51.9</v>
          </cell>
          <cell r="EP271">
            <v>103.8</v>
          </cell>
        </row>
        <row r="272">
          <cell r="F272">
            <v>405775</v>
          </cell>
          <cell r="G272" t="str">
            <v>ZANAHORIA BABY 454 GR</v>
          </cell>
          <cell r="EB272">
            <v>13</v>
          </cell>
          <cell r="EE272" t="str">
            <v>ACTIVO</v>
          </cell>
          <cell r="EF272" t="str">
            <v/>
          </cell>
          <cell r="EG272" t="str">
            <v/>
          </cell>
          <cell r="EH272">
            <v>0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</row>
        <row r="273">
          <cell r="H273">
            <v>3552.2000000000003</v>
          </cell>
          <cell r="I273">
            <v>3987.71</v>
          </cell>
          <cell r="J273">
            <v>5212.8500000000004</v>
          </cell>
          <cell r="K273">
            <v>7073.83</v>
          </cell>
          <cell r="L273">
            <v>5394.89</v>
          </cell>
          <cell r="M273">
            <v>3872.5</v>
          </cell>
          <cell r="N273">
            <v>4634.34</v>
          </cell>
          <cell r="O273">
            <v>4828.5700000000006</v>
          </cell>
          <cell r="P273">
            <v>3878.34</v>
          </cell>
          <cell r="Q273">
            <v>4642.42</v>
          </cell>
          <cell r="R273">
            <v>5457.39</v>
          </cell>
          <cell r="S273">
            <v>2508.4800000000005</v>
          </cell>
          <cell r="T273">
            <v>1650.3700000000001</v>
          </cell>
          <cell r="U273">
            <v>5687.6699999999992</v>
          </cell>
          <cell r="V273">
            <v>4815.2700000000004</v>
          </cell>
          <cell r="W273">
            <v>6468.72</v>
          </cell>
          <cell r="X273">
            <v>4607.79</v>
          </cell>
          <cell r="Y273">
            <v>3497.88</v>
          </cell>
          <cell r="Z273">
            <v>2122.04</v>
          </cell>
          <cell r="AA273">
            <v>4190.74</v>
          </cell>
          <cell r="AB273">
            <v>4741.22</v>
          </cell>
          <cell r="AC273">
            <v>4336.8899999999994</v>
          </cell>
          <cell r="AD273">
            <v>4794.4299999999994</v>
          </cell>
          <cell r="AE273">
            <v>4305.0399999999991</v>
          </cell>
          <cell r="AF273">
            <v>3837.49</v>
          </cell>
          <cell r="AG273">
            <v>4337.74</v>
          </cell>
          <cell r="AH273">
            <v>4478.2400000000007</v>
          </cell>
          <cell r="AI273">
            <v>4134.5899999999992</v>
          </cell>
          <cell r="AJ273">
            <v>4500.09</v>
          </cell>
          <cell r="AK273">
            <v>4984.68</v>
          </cell>
          <cell r="AL273">
            <v>5436.89</v>
          </cell>
          <cell r="AM273">
            <v>3451.3799999999997</v>
          </cell>
          <cell r="AN273">
            <v>3937.04</v>
          </cell>
          <cell r="AO273">
            <v>3518.83</v>
          </cell>
          <cell r="AP273">
            <v>3669.8500000000004</v>
          </cell>
          <cell r="AQ273">
            <v>4803.18</v>
          </cell>
          <cell r="AR273">
            <v>4246.66</v>
          </cell>
          <cell r="AS273">
            <v>2871.67</v>
          </cell>
          <cell r="AT273">
            <v>5057.4799999999996</v>
          </cell>
          <cell r="AU273">
            <v>5763.79</v>
          </cell>
          <cell r="AV273">
            <v>5067.3000000000011</v>
          </cell>
          <cell r="AW273">
            <v>3786.7100000000005</v>
          </cell>
          <cell r="AX273">
            <v>4901.72</v>
          </cell>
          <cell r="AY273">
            <v>5278.0999999999995</v>
          </cell>
          <cell r="AZ273">
            <v>3360.66</v>
          </cell>
          <cell r="BA273">
            <v>3800.9700000000003</v>
          </cell>
          <cell r="BB273">
            <v>4475.68</v>
          </cell>
          <cell r="BC273">
            <v>6028.38</v>
          </cell>
          <cell r="BD273">
            <v>6184.6900000000005</v>
          </cell>
          <cell r="BE273">
            <v>3766.4</v>
          </cell>
          <cell r="BF273">
            <v>4862.5</v>
          </cell>
          <cell r="BG273">
            <v>4774.95</v>
          </cell>
          <cell r="BH273">
            <v>1364.27</v>
          </cell>
          <cell r="BI273">
            <v>5439.5</v>
          </cell>
          <cell r="BJ273">
            <v>2694.2</v>
          </cell>
          <cell r="BK273">
            <v>6621.7610000000004</v>
          </cell>
          <cell r="BL273">
            <v>3486.41</v>
          </cell>
          <cell r="BM273">
            <v>2965.57</v>
          </cell>
          <cell r="BN273">
            <v>4608.5300000000007</v>
          </cell>
          <cell r="BO273">
            <v>4353.8</v>
          </cell>
          <cell r="BP273">
            <v>3393.8500000000004</v>
          </cell>
          <cell r="BQ273">
            <v>6458.9800000000005</v>
          </cell>
          <cell r="BR273">
            <v>4757.8499999999995</v>
          </cell>
          <cell r="BS273">
            <v>3425.66</v>
          </cell>
          <cell r="BT273">
            <v>4708.2700000000004</v>
          </cell>
          <cell r="BU273">
            <v>5288.9900000000007</v>
          </cell>
          <cell r="BV273">
            <v>3507.0299999999997</v>
          </cell>
          <cell r="BW273">
            <v>3740.0199999999995</v>
          </cell>
          <cell r="BX273">
            <v>3465.4700000000003</v>
          </cell>
          <cell r="BY273">
            <v>5103.12</v>
          </cell>
          <cell r="BZ273">
            <v>2133.31</v>
          </cell>
          <cell r="CA273">
            <v>6574.89</v>
          </cell>
          <cell r="CB273">
            <v>3829.8599999999997</v>
          </cell>
          <cell r="CC273">
            <v>2436.0100000000002</v>
          </cell>
          <cell r="CD273">
            <v>2154.37</v>
          </cell>
          <cell r="CE273">
            <v>2917.68</v>
          </cell>
          <cell r="CF273">
            <v>4734.75</v>
          </cell>
          <cell r="CG273">
            <v>5281.380000000001</v>
          </cell>
          <cell r="CH273">
            <v>4126.58</v>
          </cell>
          <cell r="CI273">
            <v>2366.1099999999997</v>
          </cell>
          <cell r="CJ273">
            <v>3121.29</v>
          </cell>
          <cell r="CK273">
            <v>5642.42</v>
          </cell>
          <cell r="CL273">
            <v>2894.0199999999995</v>
          </cell>
          <cell r="CM273">
            <v>5658.8900000000012</v>
          </cell>
          <cell r="CN273">
            <v>4906.1200000000008</v>
          </cell>
          <cell r="CO273">
            <v>3152.9700000000003</v>
          </cell>
          <cell r="CP273">
            <v>4526.3900000000003</v>
          </cell>
          <cell r="CQ273">
            <v>3365.8100000000004</v>
          </cell>
          <cell r="CR273">
            <v>4492.47</v>
          </cell>
          <cell r="CS273">
            <v>1627.78</v>
          </cell>
          <cell r="CT273">
            <v>4305.6899999999996</v>
          </cell>
          <cell r="CU273">
            <v>4459.4500000000007</v>
          </cell>
          <cell r="CV273">
            <v>5099.84</v>
          </cell>
          <cell r="CW273">
            <v>3477.1200000000003</v>
          </cell>
          <cell r="CX273">
            <v>2722.4900000000002</v>
          </cell>
          <cell r="CY273">
            <v>4026.0500000000006</v>
          </cell>
          <cell r="CZ273">
            <v>3163.59</v>
          </cell>
          <cell r="DA273">
            <v>2196.2399999999998</v>
          </cell>
          <cell r="DB273">
            <v>3225.9500000000007</v>
          </cell>
          <cell r="DC273">
            <v>3921.79</v>
          </cell>
          <cell r="DD273">
            <v>2590.58</v>
          </cell>
          <cell r="DE273">
            <v>3915.1799999999994</v>
          </cell>
          <cell r="DF273">
            <v>2986.99</v>
          </cell>
          <cell r="DG273">
            <v>2032.21</v>
          </cell>
          <cell r="DH273">
            <v>2127.25</v>
          </cell>
          <cell r="DI273">
            <v>1348.17</v>
          </cell>
          <cell r="DJ273">
            <v>2878.4900000000002</v>
          </cell>
          <cell r="DK273">
            <v>4568.54</v>
          </cell>
          <cell r="DL273">
            <v>3403.14</v>
          </cell>
          <cell r="DM273">
            <v>5466.17</v>
          </cell>
          <cell r="DN273">
            <v>4120.0200000000004</v>
          </cell>
          <cell r="DO273">
            <v>4950.3799999999992</v>
          </cell>
          <cell r="DP273">
            <v>3036.7</v>
          </cell>
          <cell r="DQ273">
            <v>2667.2700000000004</v>
          </cell>
          <cell r="DR273">
            <v>4974.2199999999993</v>
          </cell>
          <cell r="DS273">
            <v>4991.17</v>
          </cell>
          <cell r="DT273">
            <v>2560.88</v>
          </cell>
          <cell r="DU273">
            <v>3564.1699999999996</v>
          </cell>
          <cell r="DV273">
            <v>4240.29</v>
          </cell>
          <cell r="DW273">
            <v>4005.1700000000005</v>
          </cell>
          <cell r="DX273">
            <v>6282.64</v>
          </cell>
          <cell r="DY273">
            <v>6190.41</v>
          </cell>
          <cell r="DZ273">
            <v>4355.71</v>
          </cell>
          <cell r="EA273">
            <v>4712.3999999999996</v>
          </cell>
          <cell r="EB273">
            <v>3905.1699999999996</v>
          </cell>
          <cell r="EC273">
            <v>4487.95</v>
          </cell>
          <cell r="ED273">
            <v>3892.1160000000004</v>
          </cell>
          <cell r="EE273" t="str">
            <v>ACTIVO</v>
          </cell>
          <cell r="EF273" t="str">
            <v/>
          </cell>
          <cell r="EG273" t="str">
            <v/>
          </cell>
          <cell r="EH273">
            <v>4089.0855555555559</v>
          </cell>
          <cell r="EI273">
            <v>681.51425925925935</v>
          </cell>
          <cell r="EJ273">
            <v>1275.6387427265327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1363.0285185185187</v>
          </cell>
          <cell r="EP273">
            <v>1363.0285185185187</v>
          </cell>
        </row>
        <row r="274">
          <cell r="F274">
            <v>104013</v>
          </cell>
          <cell r="G274" t="str">
            <v>GELATINA S/SABOR ALFA GROUP</v>
          </cell>
          <cell r="H274">
            <v>50</v>
          </cell>
          <cell r="I274">
            <v>50</v>
          </cell>
          <cell r="J274">
            <v>100</v>
          </cell>
          <cell r="K274">
            <v>50</v>
          </cell>
          <cell r="L274">
            <v>50</v>
          </cell>
          <cell r="M274">
            <v>50</v>
          </cell>
          <cell r="N274">
            <v>75</v>
          </cell>
          <cell r="O274">
            <v>75</v>
          </cell>
          <cell r="P274">
            <v>25</v>
          </cell>
          <cell r="Q274">
            <v>25</v>
          </cell>
          <cell r="R274">
            <v>125</v>
          </cell>
          <cell r="S274">
            <v>100</v>
          </cell>
          <cell r="T274">
            <v>50</v>
          </cell>
          <cell r="U274">
            <v>50</v>
          </cell>
          <cell r="V274">
            <v>50</v>
          </cell>
          <cell r="W274">
            <v>75</v>
          </cell>
          <cell r="X274">
            <v>25</v>
          </cell>
          <cell r="AY274">
            <v>75</v>
          </cell>
          <cell r="AZ274">
            <v>75</v>
          </cell>
          <cell r="BA274">
            <v>75</v>
          </cell>
          <cell r="BB274">
            <v>25</v>
          </cell>
          <cell r="BC274">
            <v>50</v>
          </cell>
          <cell r="BD274">
            <v>50</v>
          </cell>
          <cell r="BE274">
            <v>50</v>
          </cell>
          <cell r="BF274">
            <v>25</v>
          </cell>
          <cell r="BG274">
            <v>50</v>
          </cell>
          <cell r="BH274">
            <v>50</v>
          </cell>
          <cell r="BI274">
            <v>159</v>
          </cell>
          <cell r="BJ274">
            <v>50</v>
          </cell>
          <cell r="BK274">
            <v>60</v>
          </cell>
          <cell r="BL274">
            <v>75</v>
          </cell>
          <cell r="BM274">
            <v>50</v>
          </cell>
          <cell r="BN274">
            <v>50</v>
          </cell>
          <cell r="BP274">
            <v>7</v>
          </cell>
          <cell r="BQ274">
            <v>25</v>
          </cell>
          <cell r="BR274">
            <v>50</v>
          </cell>
          <cell r="BS274">
            <v>25</v>
          </cell>
          <cell r="BV274">
            <v>29</v>
          </cell>
          <cell r="BW274">
            <v>35</v>
          </cell>
          <cell r="BX274">
            <v>123</v>
          </cell>
          <cell r="BY274">
            <v>66</v>
          </cell>
          <cell r="BZ274">
            <v>150</v>
          </cell>
          <cell r="CA274">
            <v>70</v>
          </cell>
          <cell r="CB274">
            <v>50</v>
          </cell>
          <cell r="CC274">
            <v>50</v>
          </cell>
          <cell r="CD274">
            <v>25</v>
          </cell>
          <cell r="CE274">
            <v>75</v>
          </cell>
          <cell r="CF274">
            <v>50</v>
          </cell>
          <cell r="CG274">
            <v>25</v>
          </cell>
          <cell r="CH274">
            <v>75</v>
          </cell>
          <cell r="CI274">
            <v>50</v>
          </cell>
          <cell r="CJ274">
            <v>50</v>
          </cell>
          <cell r="CK274">
            <v>50</v>
          </cell>
          <cell r="CL274">
            <v>50</v>
          </cell>
          <cell r="CM274">
            <v>25</v>
          </cell>
          <cell r="CN274">
            <v>75</v>
          </cell>
          <cell r="CO274">
            <v>50</v>
          </cell>
          <cell r="CP274">
            <v>50</v>
          </cell>
          <cell r="CQ274">
            <v>75</v>
          </cell>
          <cell r="CR274">
            <v>25</v>
          </cell>
          <cell r="CS274">
            <v>25</v>
          </cell>
          <cell r="CT274">
            <v>50</v>
          </cell>
          <cell r="CU274">
            <v>100</v>
          </cell>
          <cell r="CV274">
            <v>75</v>
          </cell>
          <cell r="CW274">
            <v>75</v>
          </cell>
          <cell r="CX274">
            <v>25</v>
          </cell>
          <cell r="CZ274">
            <v>50</v>
          </cell>
          <cell r="DA274">
            <v>35</v>
          </cell>
          <cell r="DB274">
            <v>75</v>
          </cell>
          <cell r="DC274">
            <v>50</v>
          </cell>
          <cell r="DD274">
            <v>50</v>
          </cell>
          <cell r="DE274">
            <v>25</v>
          </cell>
          <cell r="DF274">
            <v>75</v>
          </cell>
          <cell r="DG274">
            <v>50</v>
          </cell>
          <cell r="DI274">
            <v>25</v>
          </cell>
          <cell r="DJ274">
            <v>75</v>
          </cell>
          <cell r="DK274">
            <v>25</v>
          </cell>
          <cell r="DL274">
            <v>50</v>
          </cell>
          <cell r="DM274">
            <v>50</v>
          </cell>
          <cell r="DN274">
            <v>50</v>
          </cell>
          <cell r="DO274">
            <v>50</v>
          </cell>
          <cell r="DP274">
            <v>100</v>
          </cell>
          <cell r="DR274">
            <v>25</v>
          </cell>
          <cell r="DU274">
            <v>98</v>
          </cell>
          <cell r="DV274">
            <v>50</v>
          </cell>
          <cell r="DW274">
            <v>25</v>
          </cell>
          <cell r="DX274">
            <v>75</v>
          </cell>
          <cell r="DY274">
            <v>50</v>
          </cell>
          <cell r="EE274" t="str">
            <v>ACTIVO</v>
          </cell>
          <cell r="EF274" t="str">
            <v>B</v>
          </cell>
          <cell r="EG274">
            <v>0</v>
          </cell>
          <cell r="EH274">
            <v>53.428571428571431</v>
          </cell>
          <cell r="EI274">
            <v>8.9047619047619051</v>
          </cell>
          <cell r="EJ274">
            <v>30.168204576604925</v>
          </cell>
          <cell r="EK274">
            <v>25</v>
          </cell>
          <cell r="EL274">
            <v>190000</v>
          </cell>
          <cell r="EM274">
            <v>0.46791443850267378</v>
          </cell>
          <cell r="EN274">
            <v>17.80952380952381</v>
          </cell>
          <cell r="EO274">
            <v>17.80952380952381</v>
          </cell>
          <cell r="EP274">
            <v>35.61904761904762</v>
          </cell>
        </row>
        <row r="275">
          <cell r="F275">
            <v>107159</v>
          </cell>
          <cell r="G275" t="str">
            <v>GELATINA S/SABOR ALTO LA CRUZ</v>
          </cell>
          <cell r="X275">
            <v>30</v>
          </cell>
          <cell r="Y275">
            <v>40</v>
          </cell>
          <cell r="Z275">
            <v>80</v>
          </cell>
          <cell r="AA275">
            <v>50</v>
          </cell>
          <cell r="AB275">
            <v>70</v>
          </cell>
          <cell r="AC275">
            <v>50</v>
          </cell>
          <cell r="AD275">
            <v>50</v>
          </cell>
          <cell r="AE275">
            <v>100</v>
          </cell>
          <cell r="AF275">
            <v>20</v>
          </cell>
          <cell r="AG275">
            <v>65</v>
          </cell>
          <cell r="AH275">
            <v>60</v>
          </cell>
          <cell r="AI275">
            <v>65</v>
          </cell>
          <cell r="AJ275">
            <v>70</v>
          </cell>
          <cell r="AK275">
            <v>50</v>
          </cell>
          <cell r="AL275">
            <v>41</v>
          </cell>
          <cell r="AM275">
            <v>80</v>
          </cell>
          <cell r="AN275">
            <v>90</v>
          </cell>
          <cell r="AO275">
            <v>70</v>
          </cell>
          <cell r="AP275">
            <v>40</v>
          </cell>
          <cell r="AQ275">
            <v>40</v>
          </cell>
          <cell r="AR275">
            <v>30</v>
          </cell>
          <cell r="AS275">
            <v>10</v>
          </cell>
          <cell r="AT275">
            <v>40</v>
          </cell>
          <cell r="AU275">
            <v>59</v>
          </cell>
          <cell r="AV275">
            <v>37</v>
          </cell>
          <cell r="AW275">
            <v>44</v>
          </cell>
          <cell r="AX275">
            <v>46</v>
          </cell>
          <cell r="AY275">
            <v>19</v>
          </cell>
          <cell r="AZ275">
            <v>6</v>
          </cell>
          <cell r="BR275">
            <v>31</v>
          </cell>
          <cell r="BS275">
            <v>39</v>
          </cell>
          <cell r="BT275">
            <v>70</v>
          </cell>
          <cell r="BU275">
            <v>50</v>
          </cell>
          <cell r="BV275">
            <v>16</v>
          </cell>
          <cell r="CX275">
            <v>23</v>
          </cell>
          <cell r="CY275">
            <v>68</v>
          </cell>
          <cell r="CZ275">
            <v>62</v>
          </cell>
          <cell r="DA275">
            <v>7</v>
          </cell>
          <cell r="DQ275">
            <v>47</v>
          </cell>
          <cell r="DR275">
            <v>60</v>
          </cell>
          <cell r="DS275">
            <v>66</v>
          </cell>
          <cell r="DT275">
            <v>61</v>
          </cell>
          <cell r="DU275">
            <v>13</v>
          </cell>
          <cell r="DZ275">
            <v>81</v>
          </cell>
          <cell r="EA275">
            <v>83</v>
          </cell>
          <cell r="EB275">
            <v>69</v>
          </cell>
          <cell r="EC275">
            <v>55</v>
          </cell>
          <cell r="ED275">
            <v>68.814897999999999</v>
          </cell>
          <cell r="EE275" t="str">
            <v>ACTIVO</v>
          </cell>
          <cell r="EF275" t="str">
            <v>C</v>
          </cell>
          <cell r="EG275" t="str">
            <v/>
          </cell>
          <cell r="EH275">
            <v>54.666666666666664</v>
          </cell>
          <cell r="EI275">
            <v>9.1111111111111107</v>
          </cell>
          <cell r="EJ275">
            <v>23.18404623873926</v>
          </cell>
          <cell r="EK275">
            <v>227</v>
          </cell>
          <cell r="EL275">
            <v>2224600</v>
          </cell>
          <cell r="EM275">
            <v>4.1524390243902438</v>
          </cell>
          <cell r="EN275">
            <v>18.222222222222221</v>
          </cell>
          <cell r="EO275">
            <v>18.222222222222221</v>
          </cell>
          <cell r="EP275">
            <v>36.444444444444443</v>
          </cell>
        </row>
        <row r="276">
          <cell r="F276">
            <v>107160</v>
          </cell>
          <cell r="G276" t="str">
            <v>GELATINA FRAMBUESA ALTO LA CRUZ</v>
          </cell>
          <cell r="H276">
            <v>86</v>
          </cell>
          <cell r="I276">
            <v>63</v>
          </cell>
          <cell r="J276">
            <v>61</v>
          </cell>
          <cell r="K276">
            <v>64</v>
          </cell>
          <cell r="L276">
            <v>67</v>
          </cell>
          <cell r="M276">
            <v>77</v>
          </cell>
          <cell r="N276">
            <v>71</v>
          </cell>
          <cell r="O276">
            <v>66</v>
          </cell>
          <cell r="P276">
            <v>67</v>
          </cell>
          <cell r="Q276">
            <v>76</v>
          </cell>
          <cell r="R276">
            <v>66</v>
          </cell>
          <cell r="S276">
            <v>85</v>
          </cell>
          <cell r="T276">
            <v>64</v>
          </cell>
          <cell r="U276">
            <v>73</v>
          </cell>
          <cell r="V276">
            <v>71</v>
          </cell>
          <cell r="W276">
            <v>57</v>
          </cell>
          <cell r="X276">
            <v>71</v>
          </cell>
          <cell r="Y276">
            <v>78</v>
          </cell>
          <cell r="Z276">
            <v>92</v>
          </cell>
          <cell r="AA276">
            <v>57</v>
          </cell>
          <cell r="AB276">
            <v>69</v>
          </cell>
          <cell r="AC276">
            <v>65</v>
          </cell>
          <cell r="AD276">
            <v>71</v>
          </cell>
          <cell r="AE276">
            <v>63</v>
          </cell>
          <cell r="AF276">
            <v>70</v>
          </cell>
          <cell r="AG276">
            <v>74</v>
          </cell>
          <cell r="AH276">
            <v>69</v>
          </cell>
          <cell r="AI276">
            <v>68</v>
          </cell>
          <cell r="AJ276">
            <v>71</v>
          </cell>
          <cell r="AK276">
            <v>65</v>
          </cell>
          <cell r="AL276">
            <v>136</v>
          </cell>
          <cell r="AM276">
            <v>93</v>
          </cell>
          <cell r="AN276">
            <v>88</v>
          </cell>
          <cell r="AO276">
            <v>59</v>
          </cell>
          <cell r="AP276">
            <v>55</v>
          </cell>
          <cell r="AQ276">
            <v>56</v>
          </cell>
          <cell r="AR276">
            <v>53</v>
          </cell>
          <cell r="AS276">
            <v>18</v>
          </cell>
          <cell r="AT276">
            <v>57</v>
          </cell>
          <cell r="AU276">
            <v>51</v>
          </cell>
          <cell r="AV276">
            <v>46</v>
          </cell>
          <cell r="AW276">
            <v>58</v>
          </cell>
          <cell r="AX276">
            <v>59</v>
          </cell>
          <cell r="AY276">
            <v>41</v>
          </cell>
          <cell r="AZ276">
            <v>64</v>
          </cell>
          <cell r="BA276">
            <v>52</v>
          </cell>
          <cell r="BB276">
            <v>50</v>
          </cell>
          <cell r="BC276">
            <v>65</v>
          </cell>
          <cell r="BD276">
            <v>53</v>
          </cell>
          <cell r="BE276">
            <v>55</v>
          </cell>
          <cell r="BF276">
            <v>56</v>
          </cell>
          <cell r="BG276">
            <v>52</v>
          </cell>
          <cell r="BH276">
            <v>31</v>
          </cell>
          <cell r="BI276">
            <v>48</v>
          </cell>
          <cell r="BJ276">
            <v>36</v>
          </cell>
          <cell r="BK276">
            <v>55</v>
          </cell>
          <cell r="BL276">
            <v>52</v>
          </cell>
          <cell r="BM276">
            <v>65</v>
          </cell>
          <cell r="BN276">
            <v>69</v>
          </cell>
          <cell r="BO276">
            <v>46</v>
          </cell>
          <cell r="BP276">
            <v>45</v>
          </cell>
          <cell r="BQ276">
            <v>41</v>
          </cell>
          <cell r="BR276">
            <v>49</v>
          </cell>
          <cell r="BS276">
            <v>51</v>
          </cell>
          <cell r="BT276">
            <v>60</v>
          </cell>
          <cell r="BU276">
            <v>51</v>
          </cell>
          <cell r="BV276">
            <v>46</v>
          </cell>
          <cell r="BW276">
            <v>51</v>
          </cell>
          <cell r="BX276">
            <v>63</v>
          </cell>
          <cell r="BY276">
            <v>78</v>
          </cell>
          <cell r="BZ276">
            <v>105</v>
          </cell>
          <cell r="CA276">
            <v>52</v>
          </cell>
          <cell r="CB276">
            <v>48</v>
          </cell>
          <cell r="CC276">
            <v>51</v>
          </cell>
          <cell r="CD276">
            <v>54</v>
          </cell>
          <cell r="CE276">
            <v>94</v>
          </cell>
          <cell r="CF276">
            <v>46</v>
          </cell>
          <cell r="CG276">
            <v>54</v>
          </cell>
          <cell r="CH276">
            <v>54</v>
          </cell>
          <cell r="CI276">
            <v>60</v>
          </cell>
          <cell r="CJ276">
            <v>52</v>
          </cell>
          <cell r="CK276">
            <v>58</v>
          </cell>
          <cell r="CL276">
            <v>52</v>
          </cell>
          <cell r="CM276">
            <v>64</v>
          </cell>
          <cell r="CN276">
            <v>72</v>
          </cell>
          <cell r="CO276">
            <v>59</v>
          </cell>
          <cell r="CP276">
            <v>64</v>
          </cell>
          <cell r="CQ276">
            <v>39</v>
          </cell>
          <cell r="CR276">
            <v>53</v>
          </cell>
          <cell r="CS276">
            <v>13</v>
          </cell>
          <cell r="CT276">
            <v>76</v>
          </cell>
          <cell r="CU276">
            <v>94</v>
          </cell>
          <cell r="CV276">
            <v>84</v>
          </cell>
          <cell r="CW276">
            <v>85</v>
          </cell>
          <cell r="CX276">
            <v>75</v>
          </cell>
          <cell r="CY276">
            <v>71</v>
          </cell>
          <cell r="CZ276">
            <v>61</v>
          </cell>
          <cell r="DA276">
            <v>71</v>
          </cell>
          <cell r="DB276">
            <v>59</v>
          </cell>
          <cell r="DC276">
            <v>63</v>
          </cell>
          <cell r="DD276">
            <v>65</v>
          </cell>
          <cell r="DE276">
            <v>52</v>
          </cell>
          <cell r="DF276">
            <v>69</v>
          </cell>
          <cell r="DG276">
            <v>49</v>
          </cell>
          <cell r="DH276">
            <v>28</v>
          </cell>
          <cell r="DI276">
            <v>16</v>
          </cell>
          <cell r="DJ276">
            <v>57</v>
          </cell>
          <cell r="DK276">
            <v>55</v>
          </cell>
          <cell r="DL276">
            <v>57</v>
          </cell>
          <cell r="DM276">
            <v>61</v>
          </cell>
          <cell r="DN276">
            <v>53</v>
          </cell>
          <cell r="DO276">
            <v>65</v>
          </cell>
          <cell r="DP276">
            <v>55</v>
          </cell>
          <cell r="DQ276">
            <v>58</v>
          </cell>
          <cell r="DR276">
            <v>58</v>
          </cell>
          <cell r="DS276">
            <v>60</v>
          </cell>
          <cell r="DT276">
            <v>58</v>
          </cell>
          <cell r="DU276">
            <v>65</v>
          </cell>
          <cell r="DV276">
            <v>64</v>
          </cell>
          <cell r="DW276">
            <v>55</v>
          </cell>
          <cell r="DX276">
            <v>56</v>
          </cell>
          <cell r="DY276">
            <v>57</v>
          </cell>
          <cell r="DZ276">
            <v>78</v>
          </cell>
          <cell r="EA276">
            <v>71</v>
          </cell>
          <cell r="EB276">
            <v>70</v>
          </cell>
          <cell r="EC276">
            <v>51</v>
          </cell>
          <cell r="ED276">
            <v>55</v>
          </cell>
          <cell r="EE276" t="str">
            <v>ACTIVO</v>
          </cell>
          <cell r="EF276" t="str">
            <v>C</v>
          </cell>
          <cell r="EG276">
            <v>200</v>
          </cell>
          <cell r="EH276">
            <v>57.111111111111114</v>
          </cell>
          <cell r="EI276">
            <v>9.518518518518519</v>
          </cell>
          <cell r="EJ276">
            <v>16.664951532455767</v>
          </cell>
          <cell r="EK276">
            <v>200</v>
          </cell>
          <cell r="EL276">
            <v>1070000</v>
          </cell>
          <cell r="EM276">
            <v>3.5019455252918288</v>
          </cell>
          <cell r="EN276">
            <v>19.037037037037038</v>
          </cell>
          <cell r="EO276">
            <v>19.037037037037038</v>
          </cell>
          <cell r="EP276">
            <v>38.074074074074076</v>
          </cell>
        </row>
        <row r="277">
          <cell r="H277">
            <v>136</v>
          </cell>
          <cell r="I277">
            <v>113</v>
          </cell>
          <cell r="J277">
            <v>161</v>
          </cell>
          <cell r="K277">
            <v>114</v>
          </cell>
          <cell r="L277">
            <v>117</v>
          </cell>
          <cell r="M277">
            <v>127</v>
          </cell>
          <cell r="N277">
            <v>146</v>
          </cell>
          <cell r="O277">
            <v>141</v>
          </cell>
          <cell r="P277">
            <v>92</v>
          </cell>
          <cell r="Q277">
            <v>101</v>
          </cell>
          <cell r="R277">
            <v>191</v>
          </cell>
          <cell r="S277">
            <v>185</v>
          </cell>
          <cell r="T277">
            <v>114</v>
          </cell>
          <cell r="U277">
            <v>123</v>
          </cell>
          <cell r="V277">
            <v>121</v>
          </cell>
          <cell r="W277">
            <v>132</v>
          </cell>
          <cell r="X277">
            <v>126</v>
          </cell>
          <cell r="Y277">
            <v>118</v>
          </cell>
          <cell r="Z277">
            <v>172</v>
          </cell>
          <cell r="AA277">
            <v>107</v>
          </cell>
          <cell r="AB277">
            <v>139</v>
          </cell>
          <cell r="AC277">
            <v>115</v>
          </cell>
          <cell r="AD277">
            <v>121</v>
          </cell>
          <cell r="AE277">
            <v>163</v>
          </cell>
          <cell r="AF277">
            <v>90</v>
          </cell>
          <cell r="AG277">
            <v>139</v>
          </cell>
          <cell r="AH277">
            <v>129</v>
          </cell>
          <cell r="AI277">
            <v>133</v>
          </cell>
          <cell r="AJ277">
            <v>141</v>
          </cell>
          <cell r="AK277">
            <v>115</v>
          </cell>
          <cell r="AL277">
            <v>177</v>
          </cell>
          <cell r="AM277">
            <v>173</v>
          </cell>
          <cell r="AN277">
            <v>178</v>
          </cell>
          <cell r="AO277">
            <v>129</v>
          </cell>
          <cell r="AP277">
            <v>95</v>
          </cell>
          <cell r="AQ277">
            <v>96</v>
          </cell>
          <cell r="AR277">
            <v>83</v>
          </cell>
          <cell r="AS277">
            <v>28</v>
          </cell>
          <cell r="AT277">
            <v>97</v>
          </cell>
          <cell r="AU277">
            <v>110</v>
          </cell>
          <cell r="AV277">
            <v>83</v>
          </cell>
          <cell r="AW277">
            <v>102</v>
          </cell>
          <cell r="AX277">
            <v>105</v>
          </cell>
          <cell r="AY277">
            <v>135</v>
          </cell>
          <cell r="AZ277">
            <v>145</v>
          </cell>
          <cell r="BA277">
            <v>127</v>
          </cell>
          <cell r="BB277">
            <v>75</v>
          </cell>
          <cell r="BC277">
            <v>115</v>
          </cell>
          <cell r="BD277">
            <v>103</v>
          </cell>
          <cell r="BE277">
            <v>105</v>
          </cell>
          <cell r="BF277">
            <v>81</v>
          </cell>
          <cell r="BG277">
            <v>102</v>
          </cell>
          <cell r="BH277">
            <v>81</v>
          </cell>
          <cell r="BI277">
            <v>207</v>
          </cell>
          <cell r="BJ277">
            <v>86</v>
          </cell>
          <cell r="BK277">
            <v>115</v>
          </cell>
          <cell r="BL277">
            <v>127</v>
          </cell>
          <cell r="BM277">
            <v>115</v>
          </cell>
          <cell r="BN277">
            <v>119</v>
          </cell>
          <cell r="BO277">
            <v>46</v>
          </cell>
          <cell r="BP277">
            <v>52</v>
          </cell>
          <cell r="BQ277">
            <v>66</v>
          </cell>
          <cell r="BR277">
            <v>130</v>
          </cell>
          <cell r="BS277">
            <v>115</v>
          </cell>
          <cell r="BT277">
            <v>130</v>
          </cell>
          <cell r="BU277">
            <v>101</v>
          </cell>
          <cell r="BV277">
            <v>91</v>
          </cell>
          <cell r="BW277">
            <v>86</v>
          </cell>
          <cell r="BX277">
            <v>186</v>
          </cell>
          <cell r="BY277">
            <v>144</v>
          </cell>
          <cell r="BZ277">
            <v>255</v>
          </cell>
          <cell r="CA277">
            <v>122</v>
          </cell>
          <cell r="CB277">
            <v>98</v>
          </cell>
          <cell r="CC277">
            <v>101</v>
          </cell>
          <cell r="CD277">
            <v>79</v>
          </cell>
          <cell r="CE277">
            <v>169</v>
          </cell>
          <cell r="CF277">
            <v>96</v>
          </cell>
          <cell r="CG277">
            <v>79</v>
          </cell>
          <cell r="CH277">
            <v>129</v>
          </cell>
          <cell r="CI277">
            <v>110</v>
          </cell>
          <cell r="CJ277">
            <v>102</v>
          </cell>
          <cell r="CK277">
            <v>108</v>
          </cell>
          <cell r="CL277">
            <v>102</v>
          </cell>
          <cell r="CM277">
            <v>89</v>
          </cell>
          <cell r="CN277">
            <v>147</v>
          </cell>
          <cell r="CO277">
            <v>109</v>
          </cell>
          <cell r="CP277">
            <v>114</v>
          </cell>
          <cell r="CQ277">
            <v>114</v>
          </cell>
          <cell r="CR277">
            <v>78</v>
          </cell>
          <cell r="CS277">
            <v>38</v>
          </cell>
          <cell r="CT277">
            <v>126</v>
          </cell>
          <cell r="CU277">
            <v>194</v>
          </cell>
          <cell r="CV277">
            <v>159</v>
          </cell>
          <cell r="CW277">
            <v>160</v>
          </cell>
          <cell r="CX277">
            <v>123</v>
          </cell>
          <cell r="CY277">
            <v>139</v>
          </cell>
          <cell r="CZ277">
            <v>173</v>
          </cell>
          <cell r="DA277">
            <v>113</v>
          </cell>
          <cell r="DB277">
            <v>134</v>
          </cell>
          <cell r="DC277">
            <v>113</v>
          </cell>
          <cell r="DD277">
            <v>115</v>
          </cell>
          <cell r="DE277">
            <v>77</v>
          </cell>
          <cell r="DF277">
            <v>144</v>
          </cell>
          <cell r="DG277">
            <v>99</v>
          </cell>
          <cell r="DH277">
            <v>28</v>
          </cell>
          <cell r="DI277">
            <v>41</v>
          </cell>
          <cell r="DJ277">
            <v>132</v>
          </cell>
          <cell r="DK277">
            <v>80</v>
          </cell>
          <cell r="DL277">
            <v>107</v>
          </cell>
          <cell r="DM277">
            <v>111</v>
          </cell>
          <cell r="DN277">
            <v>103</v>
          </cell>
          <cell r="DO277">
            <v>115</v>
          </cell>
          <cell r="DP277">
            <v>155</v>
          </cell>
          <cell r="DQ277">
            <v>105</v>
          </cell>
          <cell r="DR277">
            <v>143</v>
          </cell>
          <cell r="DS277">
            <v>126</v>
          </cell>
          <cell r="DT277">
            <v>119</v>
          </cell>
          <cell r="DU277">
            <v>176</v>
          </cell>
          <cell r="DV277">
            <v>114</v>
          </cell>
          <cell r="DW277">
            <v>80</v>
          </cell>
          <cell r="DX277">
            <v>131</v>
          </cell>
          <cell r="DY277">
            <v>107</v>
          </cell>
          <cell r="DZ277">
            <v>159</v>
          </cell>
          <cell r="EA277">
            <v>154</v>
          </cell>
          <cell r="EB277">
            <v>139</v>
          </cell>
          <cell r="EC277">
            <v>106</v>
          </cell>
          <cell r="ED277">
            <v>123.814898</v>
          </cell>
          <cell r="EE277" t="str">
            <v>ACTIVO</v>
          </cell>
          <cell r="EF277" t="str">
            <v/>
          </cell>
          <cell r="EG277" t="str">
            <v/>
          </cell>
          <cell r="EH277">
            <v>116.88888888888889</v>
          </cell>
          <cell r="EI277">
            <v>19.481481481481481</v>
          </cell>
          <cell r="EJ277">
            <v>41.630876743151617</v>
          </cell>
          <cell r="EK277">
            <v>0</v>
          </cell>
          <cell r="EL277">
            <v>0</v>
          </cell>
          <cell r="EM277">
            <v>0</v>
          </cell>
          <cell r="EN277">
            <v>0</v>
          </cell>
          <cell r="EO277">
            <v>38.962962962962962</v>
          </cell>
          <cell r="EP277">
            <v>38.962962962962962</v>
          </cell>
        </row>
        <row r="278">
          <cell r="F278">
            <v>404316</v>
          </cell>
          <cell r="G278" t="str">
            <v>BASE DE TARTALETA SOFT BLANCA PAVESI</v>
          </cell>
          <cell r="H278">
            <v>54</v>
          </cell>
          <cell r="AU278">
            <v>141</v>
          </cell>
          <cell r="AV278">
            <v>552</v>
          </cell>
          <cell r="AW278">
            <v>411</v>
          </cell>
          <cell r="AX278">
            <v>504</v>
          </cell>
          <cell r="AY278">
            <v>414</v>
          </cell>
          <cell r="AZ278">
            <v>432</v>
          </cell>
          <cell r="BA278">
            <v>492</v>
          </cell>
          <cell r="BB278">
            <v>330</v>
          </cell>
          <cell r="BC278">
            <v>279</v>
          </cell>
          <cell r="BD278">
            <v>351</v>
          </cell>
          <cell r="BE278">
            <v>318</v>
          </cell>
          <cell r="BF278">
            <v>405</v>
          </cell>
          <cell r="BG278">
            <v>165</v>
          </cell>
          <cell r="BH278">
            <v>147</v>
          </cell>
          <cell r="BI278">
            <v>363</v>
          </cell>
          <cell r="BJ278">
            <v>222</v>
          </cell>
          <cell r="BK278">
            <v>357</v>
          </cell>
          <cell r="BL278">
            <v>318</v>
          </cell>
          <cell r="BM278">
            <v>321</v>
          </cell>
          <cell r="BN278">
            <v>387</v>
          </cell>
          <cell r="BO278">
            <v>273</v>
          </cell>
          <cell r="BP278">
            <v>342</v>
          </cell>
          <cell r="BQ278">
            <v>273</v>
          </cell>
          <cell r="BR278">
            <v>387</v>
          </cell>
          <cell r="BS278">
            <v>309</v>
          </cell>
          <cell r="BT278">
            <v>285</v>
          </cell>
          <cell r="BU278">
            <v>330</v>
          </cell>
          <cell r="BV278">
            <v>312</v>
          </cell>
          <cell r="BW278">
            <v>294</v>
          </cell>
          <cell r="BX278">
            <v>414</v>
          </cell>
          <cell r="BY278">
            <v>225</v>
          </cell>
          <cell r="BZ278">
            <v>45</v>
          </cell>
          <cell r="CA278">
            <v>273</v>
          </cell>
          <cell r="CB278">
            <v>501</v>
          </cell>
          <cell r="CC278">
            <v>384</v>
          </cell>
          <cell r="CD278">
            <v>303</v>
          </cell>
          <cell r="CE278">
            <v>438</v>
          </cell>
          <cell r="CF278">
            <v>390</v>
          </cell>
          <cell r="CG278">
            <v>441</v>
          </cell>
          <cell r="CH278">
            <v>372</v>
          </cell>
          <cell r="CI278">
            <v>444</v>
          </cell>
          <cell r="CJ278">
            <v>417</v>
          </cell>
          <cell r="CK278">
            <v>408</v>
          </cell>
          <cell r="CL278">
            <v>327</v>
          </cell>
          <cell r="CM278">
            <v>327</v>
          </cell>
          <cell r="CN278">
            <v>492</v>
          </cell>
          <cell r="CO278">
            <v>450</v>
          </cell>
          <cell r="CP278">
            <v>432</v>
          </cell>
          <cell r="CQ278">
            <v>363</v>
          </cell>
          <cell r="CR278">
            <v>432</v>
          </cell>
          <cell r="CS278">
            <v>72</v>
          </cell>
          <cell r="CT278">
            <v>384</v>
          </cell>
          <cell r="CU278">
            <v>444</v>
          </cell>
          <cell r="CV278">
            <v>369</v>
          </cell>
          <cell r="CW278">
            <v>309</v>
          </cell>
          <cell r="CX278">
            <v>285</v>
          </cell>
          <cell r="CY278">
            <v>300</v>
          </cell>
          <cell r="CZ278">
            <v>336</v>
          </cell>
          <cell r="DA278">
            <v>339</v>
          </cell>
          <cell r="DB278">
            <v>232</v>
          </cell>
          <cell r="DC278">
            <v>395</v>
          </cell>
          <cell r="DD278">
            <v>255</v>
          </cell>
          <cell r="DE278">
            <v>252</v>
          </cell>
          <cell r="DF278">
            <v>309</v>
          </cell>
          <cell r="DG278">
            <v>225</v>
          </cell>
          <cell r="DH278">
            <v>120</v>
          </cell>
          <cell r="DI278">
            <v>99</v>
          </cell>
          <cell r="DJ278">
            <v>348</v>
          </cell>
          <cell r="DK278">
            <v>324</v>
          </cell>
          <cell r="DL278">
            <v>270</v>
          </cell>
          <cell r="DM278">
            <v>321</v>
          </cell>
          <cell r="DN278">
            <v>300</v>
          </cell>
          <cell r="DO278">
            <v>300</v>
          </cell>
          <cell r="DP278">
            <v>318</v>
          </cell>
          <cell r="DQ278">
            <v>297</v>
          </cell>
          <cell r="DR278">
            <v>270</v>
          </cell>
          <cell r="DS278">
            <v>480</v>
          </cell>
          <cell r="DT278">
            <v>257</v>
          </cell>
          <cell r="DU278">
            <v>477</v>
          </cell>
          <cell r="DV278">
            <v>336</v>
          </cell>
          <cell r="DW278">
            <v>375</v>
          </cell>
          <cell r="DX278">
            <v>453</v>
          </cell>
          <cell r="DY278">
            <v>417</v>
          </cell>
          <cell r="DZ278">
            <v>489</v>
          </cell>
          <cell r="EA278">
            <v>171</v>
          </cell>
          <cell r="EB278">
            <v>507</v>
          </cell>
          <cell r="EC278">
            <v>537</v>
          </cell>
          <cell r="ED278">
            <v>504</v>
          </cell>
          <cell r="EE278" t="str">
            <v>ACTIVO</v>
          </cell>
          <cell r="EF278" t="str">
            <v>B</v>
          </cell>
          <cell r="EG278">
            <v>3600</v>
          </cell>
          <cell r="EH278">
            <v>340.61111111111109</v>
          </cell>
          <cell r="EI278">
            <v>56.768518518518512</v>
          </cell>
          <cell r="EJ278">
            <v>96.767148283586366</v>
          </cell>
          <cell r="EK278">
            <v>0</v>
          </cell>
          <cell r="EL278">
            <v>0</v>
          </cell>
          <cell r="EM278">
            <v>0</v>
          </cell>
          <cell r="EN278">
            <v>170.30555555555554</v>
          </cell>
          <cell r="EO278">
            <v>113.53703703703702</v>
          </cell>
          <cell r="EP278">
            <v>283.84259259259255</v>
          </cell>
        </row>
        <row r="279">
          <cell r="F279">
            <v>353003</v>
          </cell>
          <cell r="G279" t="str">
            <v>Porción vainilla  Semi-Elab UND</v>
          </cell>
          <cell r="H279">
            <v>93</v>
          </cell>
          <cell r="I279">
            <v>111</v>
          </cell>
          <cell r="J279">
            <v>120</v>
          </cell>
          <cell r="K279">
            <v>114</v>
          </cell>
          <cell r="L279">
            <v>60</v>
          </cell>
          <cell r="M279">
            <v>102</v>
          </cell>
          <cell r="N279">
            <v>132</v>
          </cell>
          <cell r="O279">
            <v>78</v>
          </cell>
          <cell r="P279">
            <v>27</v>
          </cell>
          <cell r="Q279">
            <v>27</v>
          </cell>
          <cell r="R279">
            <v>33</v>
          </cell>
          <cell r="S279">
            <v>99</v>
          </cell>
          <cell r="U279">
            <v>36</v>
          </cell>
          <cell r="V279">
            <v>30</v>
          </cell>
          <cell r="W279">
            <v>27</v>
          </cell>
          <cell r="X279">
            <v>30</v>
          </cell>
          <cell r="Y279">
            <v>45</v>
          </cell>
          <cell r="Z279">
            <v>30</v>
          </cell>
          <cell r="AA279">
            <v>30</v>
          </cell>
          <cell r="AB279">
            <v>31</v>
          </cell>
          <cell r="AC279">
            <v>39</v>
          </cell>
          <cell r="AD279">
            <v>21</v>
          </cell>
          <cell r="AE279">
            <v>9</v>
          </cell>
          <cell r="AF279">
            <v>39</v>
          </cell>
          <cell r="AG279">
            <v>39</v>
          </cell>
          <cell r="AH279">
            <v>51</v>
          </cell>
          <cell r="AI279">
            <v>24</v>
          </cell>
          <cell r="AJ279">
            <v>24</v>
          </cell>
          <cell r="AK279">
            <v>33</v>
          </cell>
          <cell r="AL279">
            <v>18</v>
          </cell>
          <cell r="AM279">
            <v>3</v>
          </cell>
          <cell r="AN279">
            <v>36</v>
          </cell>
          <cell r="AO279">
            <v>27</v>
          </cell>
          <cell r="AP279">
            <v>30</v>
          </cell>
          <cell r="AQ279">
            <v>27</v>
          </cell>
          <cell r="AR279">
            <v>27</v>
          </cell>
          <cell r="AS279">
            <v>9</v>
          </cell>
          <cell r="AT279">
            <v>29</v>
          </cell>
          <cell r="AU279">
            <v>36</v>
          </cell>
          <cell r="AV279">
            <v>21</v>
          </cell>
          <cell r="AW279">
            <v>24</v>
          </cell>
          <cell r="AX279">
            <v>21</v>
          </cell>
          <cell r="AY279">
            <v>24</v>
          </cell>
          <cell r="AZ279">
            <v>27</v>
          </cell>
          <cell r="BA279">
            <v>33</v>
          </cell>
          <cell r="BB279">
            <v>30</v>
          </cell>
          <cell r="BC279">
            <v>24</v>
          </cell>
          <cell r="BD279">
            <v>27</v>
          </cell>
          <cell r="BE279">
            <v>30</v>
          </cell>
          <cell r="BF279">
            <v>24</v>
          </cell>
          <cell r="BG279">
            <v>24</v>
          </cell>
          <cell r="BH279">
            <v>15</v>
          </cell>
          <cell r="BI279">
            <v>24</v>
          </cell>
          <cell r="BJ279">
            <v>18</v>
          </cell>
          <cell r="BK279">
            <v>39</v>
          </cell>
          <cell r="BL279">
            <v>30</v>
          </cell>
          <cell r="BM279">
            <v>24</v>
          </cell>
          <cell r="BN279">
            <v>27</v>
          </cell>
          <cell r="BO279">
            <v>15</v>
          </cell>
          <cell r="BP279">
            <v>30</v>
          </cell>
          <cell r="BQ279">
            <v>24</v>
          </cell>
          <cell r="BR279">
            <v>33</v>
          </cell>
          <cell r="BS279">
            <v>30</v>
          </cell>
          <cell r="BT279">
            <v>30</v>
          </cell>
          <cell r="BU279">
            <v>33</v>
          </cell>
          <cell r="BV279">
            <v>27</v>
          </cell>
          <cell r="BW279">
            <v>27</v>
          </cell>
          <cell r="BX279">
            <v>31</v>
          </cell>
          <cell r="BY279">
            <v>39</v>
          </cell>
          <cell r="BZ279">
            <v>30</v>
          </cell>
          <cell r="CA279">
            <v>30</v>
          </cell>
          <cell r="CB279">
            <v>30</v>
          </cell>
          <cell r="CC279">
            <v>33</v>
          </cell>
          <cell r="CD279">
            <v>27</v>
          </cell>
          <cell r="CE279">
            <v>21</v>
          </cell>
          <cell r="CF279">
            <v>24</v>
          </cell>
          <cell r="CG279">
            <v>24</v>
          </cell>
          <cell r="CH279">
            <v>15</v>
          </cell>
          <cell r="CI279">
            <v>33</v>
          </cell>
          <cell r="CJ279">
            <v>54</v>
          </cell>
          <cell r="CK279">
            <v>36</v>
          </cell>
          <cell r="CL279">
            <v>35</v>
          </cell>
          <cell r="CM279">
            <v>21</v>
          </cell>
          <cell r="CN279">
            <v>24</v>
          </cell>
          <cell r="CO279">
            <v>42</v>
          </cell>
          <cell r="CP279">
            <v>15</v>
          </cell>
          <cell r="CQ279">
            <v>18</v>
          </cell>
          <cell r="CR279">
            <v>21</v>
          </cell>
          <cell r="CS279">
            <v>6</v>
          </cell>
          <cell r="CT279">
            <v>24</v>
          </cell>
          <cell r="CU279">
            <v>75</v>
          </cell>
          <cell r="CV279">
            <v>30</v>
          </cell>
          <cell r="CW279">
            <v>31</v>
          </cell>
          <cell r="CX279">
            <v>39</v>
          </cell>
          <cell r="CY279">
            <v>30</v>
          </cell>
          <cell r="CZ279">
            <v>21</v>
          </cell>
          <cell r="DA279">
            <v>27</v>
          </cell>
          <cell r="DB279">
            <v>21</v>
          </cell>
          <cell r="DC279">
            <v>39</v>
          </cell>
          <cell r="DD279">
            <v>24</v>
          </cell>
          <cell r="DE279">
            <v>12</v>
          </cell>
          <cell r="DF279">
            <v>18</v>
          </cell>
          <cell r="DG279">
            <v>24</v>
          </cell>
          <cell r="DH279">
            <v>15</v>
          </cell>
          <cell r="DI279">
            <v>2</v>
          </cell>
          <cell r="DJ279">
            <v>27</v>
          </cell>
          <cell r="DK279">
            <v>24</v>
          </cell>
          <cell r="DL279">
            <v>24</v>
          </cell>
          <cell r="DM279">
            <v>21</v>
          </cell>
          <cell r="DN279">
            <v>30</v>
          </cell>
          <cell r="DO279">
            <v>15</v>
          </cell>
          <cell r="DP279">
            <v>25</v>
          </cell>
          <cell r="DQ279">
            <v>21</v>
          </cell>
          <cell r="DR279">
            <v>30</v>
          </cell>
          <cell r="DS279">
            <v>10</v>
          </cell>
          <cell r="DT279">
            <v>24</v>
          </cell>
          <cell r="DU279">
            <v>22</v>
          </cell>
          <cell r="DV279">
            <v>33</v>
          </cell>
          <cell r="DW279">
            <v>33</v>
          </cell>
          <cell r="DX279">
            <v>30</v>
          </cell>
          <cell r="DY279">
            <v>14</v>
          </cell>
          <cell r="DZ279">
            <v>27</v>
          </cell>
          <cell r="EA279">
            <v>21</v>
          </cell>
          <cell r="EB279">
            <v>33</v>
          </cell>
          <cell r="EC279">
            <v>30</v>
          </cell>
          <cell r="ED279">
            <v>30</v>
          </cell>
          <cell r="EE279" t="str">
            <v>ACTIVO</v>
          </cell>
          <cell r="EF279" t="str">
            <v>C</v>
          </cell>
          <cell r="EG279">
            <v>90</v>
          </cell>
          <cell r="EH279">
            <v>22.888888888888889</v>
          </cell>
          <cell r="EI279">
            <v>3.8148148148148149</v>
          </cell>
          <cell r="EJ279">
            <v>10.834585540372096</v>
          </cell>
          <cell r="EK279">
            <v>3</v>
          </cell>
          <cell r="EL279">
            <v>18837.990000000002</v>
          </cell>
          <cell r="EM279">
            <v>0.13106796116504854</v>
          </cell>
          <cell r="EN279">
            <v>7.6296296296296298</v>
          </cell>
          <cell r="EO279">
            <v>7.6296296296296298</v>
          </cell>
          <cell r="EP279">
            <v>15.25925925925926</v>
          </cell>
        </row>
        <row r="280">
          <cell r="F280">
            <v>107211</v>
          </cell>
          <cell r="G280" t="str">
            <v>MERENGUITOS PAVESI</v>
          </cell>
          <cell r="H280">
            <v>15</v>
          </cell>
          <cell r="I280">
            <v>92.5</v>
          </cell>
          <cell r="J280">
            <v>20</v>
          </cell>
          <cell r="K280">
            <v>25</v>
          </cell>
          <cell r="L280">
            <v>50</v>
          </cell>
          <cell r="M280">
            <v>70</v>
          </cell>
          <cell r="N280">
            <v>40</v>
          </cell>
          <cell r="Q280">
            <v>15</v>
          </cell>
          <cell r="R280">
            <v>62.5</v>
          </cell>
          <cell r="S280">
            <v>10</v>
          </cell>
          <cell r="T280">
            <v>52.000002000000002</v>
          </cell>
          <cell r="U280">
            <v>30</v>
          </cell>
          <cell r="V280">
            <v>30</v>
          </cell>
          <cell r="W280">
            <v>25</v>
          </cell>
          <cell r="X280">
            <v>55</v>
          </cell>
          <cell r="Y280">
            <v>10</v>
          </cell>
          <cell r="Z280">
            <v>10</v>
          </cell>
          <cell r="AA280">
            <v>25</v>
          </cell>
          <cell r="AB280">
            <v>45</v>
          </cell>
          <cell r="AC280">
            <v>5</v>
          </cell>
          <cell r="AD280">
            <v>35</v>
          </cell>
          <cell r="AE280">
            <v>30</v>
          </cell>
          <cell r="AF280">
            <v>45</v>
          </cell>
          <cell r="AG280">
            <v>27.5</v>
          </cell>
          <cell r="AH280">
            <v>5</v>
          </cell>
          <cell r="AI280">
            <v>5</v>
          </cell>
          <cell r="AJ280">
            <v>15</v>
          </cell>
          <cell r="AK280">
            <v>65</v>
          </cell>
          <cell r="AN280">
            <v>50</v>
          </cell>
          <cell r="AO280">
            <v>40</v>
          </cell>
          <cell r="AR280">
            <v>10</v>
          </cell>
          <cell r="AS280">
            <v>10</v>
          </cell>
          <cell r="AT280">
            <v>60</v>
          </cell>
          <cell r="AU280">
            <v>22.5</v>
          </cell>
          <cell r="AV280">
            <v>25</v>
          </cell>
          <cell r="AW280">
            <v>70</v>
          </cell>
          <cell r="AX280">
            <v>100</v>
          </cell>
          <cell r="AY280">
            <v>15</v>
          </cell>
          <cell r="AZ280">
            <v>35</v>
          </cell>
          <cell r="BA280">
            <v>40</v>
          </cell>
          <cell r="BB280">
            <v>85</v>
          </cell>
          <cell r="BC280">
            <v>30</v>
          </cell>
          <cell r="BD280">
            <v>22.5</v>
          </cell>
          <cell r="BE280">
            <v>35</v>
          </cell>
          <cell r="BF280">
            <v>25</v>
          </cell>
          <cell r="BG280">
            <v>20</v>
          </cell>
          <cell r="BI280">
            <v>40</v>
          </cell>
          <cell r="BJ280">
            <v>37.5</v>
          </cell>
          <cell r="BK280">
            <v>50</v>
          </cell>
          <cell r="BL280">
            <v>40</v>
          </cell>
          <cell r="BM280">
            <v>25</v>
          </cell>
          <cell r="BO280">
            <v>40</v>
          </cell>
          <cell r="BQ280">
            <v>35</v>
          </cell>
          <cell r="BR280">
            <v>85</v>
          </cell>
          <cell r="BS280">
            <v>32.5</v>
          </cell>
          <cell r="BT280">
            <v>40</v>
          </cell>
          <cell r="BU280">
            <v>5</v>
          </cell>
          <cell r="BV280">
            <v>40</v>
          </cell>
          <cell r="BW280">
            <v>65</v>
          </cell>
          <cell r="BX280">
            <v>17.5</v>
          </cell>
          <cell r="BY280">
            <v>67.5</v>
          </cell>
          <cell r="CB280">
            <v>40</v>
          </cell>
          <cell r="CC280">
            <v>35</v>
          </cell>
          <cell r="CD280">
            <v>17.5</v>
          </cell>
          <cell r="CI280">
            <v>7.5</v>
          </cell>
          <cell r="CJ280">
            <v>35</v>
          </cell>
          <cell r="CK280">
            <v>17.5</v>
          </cell>
          <cell r="CL280">
            <v>5</v>
          </cell>
          <cell r="CM280">
            <v>30</v>
          </cell>
          <cell r="CN280">
            <v>35</v>
          </cell>
          <cell r="CO280">
            <v>5</v>
          </cell>
          <cell r="CP280">
            <v>22.5</v>
          </cell>
          <cell r="CQ280">
            <v>37.5</v>
          </cell>
          <cell r="CR280">
            <v>27.5</v>
          </cell>
          <cell r="CS280">
            <v>12.5</v>
          </cell>
          <cell r="CT280">
            <v>22.5</v>
          </cell>
          <cell r="CU280">
            <v>45</v>
          </cell>
          <cell r="CV280">
            <v>55</v>
          </cell>
          <cell r="CW280">
            <v>30</v>
          </cell>
          <cell r="CX280">
            <v>20</v>
          </cell>
          <cell r="CY280">
            <v>35</v>
          </cell>
          <cell r="CZ280">
            <v>42.5</v>
          </cell>
          <cell r="DA280">
            <v>75</v>
          </cell>
          <cell r="DB280">
            <v>15</v>
          </cell>
          <cell r="DC280">
            <v>40</v>
          </cell>
          <cell r="DD280">
            <v>10</v>
          </cell>
          <cell r="DE280">
            <v>60</v>
          </cell>
          <cell r="DF280">
            <v>32.5</v>
          </cell>
          <cell r="DG280">
            <v>15</v>
          </cell>
          <cell r="DH280">
            <v>22.5</v>
          </cell>
          <cell r="DJ280">
            <v>65</v>
          </cell>
          <cell r="DK280">
            <v>75</v>
          </cell>
          <cell r="DL280">
            <v>75</v>
          </cell>
          <cell r="DP280">
            <v>32.5</v>
          </cell>
          <cell r="DR280">
            <v>15</v>
          </cell>
          <cell r="DS280">
            <v>10</v>
          </cell>
          <cell r="DT280">
            <v>25</v>
          </cell>
          <cell r="DU280">
            <v>20</v>
          </cell>
          <cell r="DV280">
            <v>47.5</v>
          </cell>
          <cell r="DW280">
            <v>45</v>
          </cell>
          <cell r="DX280">
            <v>35</v>
          </cell>
          <cell r="DY280">
            <v>77.5</v>
          </cell>
          <cell r="DZ280">
            <v>22.5</v>
          </cell>
          <cell r="EB280">
            <v>30</v>
          </cell>
          <cell r="EC280">
            <v>15</v>
          </cell>
          <cell r="ED280">
            <v>20</v>
          </cell>
          <cell r="EE280" t="str">
            <v>ACTIVO</v>
          </cell>
          <cell r="EF280" t="str">
            <v>B</v>
          </cell>
          <cell r="EG280">
            <v>90</v>
          </cell>
          <cell r="EH280">
            <v>41.92307692307692</v>
          </cell>
          <cell r="EI280">
            <v>6.9871794871794863</v>
          </cell>
          <cell r="EJ280">
            <v>18.52044110977474</v>
          </cell>
          <cell r="EK280">
            <v>165</v>
          </cell>
          <cell r="EL280">
            <v>2146052.7000000002</v>
          </cell>
          <cell r="EM280">
            <v>3.9357798165137616</v>
          </cell>
          <cell r="EN280">
            <v>20.96153846153846</v>
          </cell>
          <cell r="EO280">
            <v>13.974358974358973</v>
          </cell>
          <cell r="EP280">
            <v>34.935897435897431</v>
          </cell>
        </row>
        <row r="281">
          <cell r="F281">
            <v>353002</v>
          </cell>
          <cell r="G281" t="str">
            <v>INSUMO SEMI-ELABORADO INTERPLANTA BIZCOCHO CHOCOLATE 19cm</v>
          </cell>
          <cell r="H281">
            <v>9316</v>
          </cell>
          <cell r="I281">
            <v>10234</v>
          </cell>
          <cell r="J281">
            <v>9018</v>
          </cell>
          <cell r="K281">
            <v>11340</v>
          </cell>
          <cell r="L281">
            <v>13230</v>
          </cell>
          <cell r="M281">
            <v>9450</v>
          </cell>
          <cell r="N281">
            <v>11682</v>
          </cell>
          <cell r="O281">
            <v>13770</v>
          </cell>
          <cell r="P281">
            <v>9774</v>
          </cell>
          <cell r="Q281">
            <v>12726</v>
          </cell>
          <cell r="R281">
            <v>12816</v>
          </cell>
          <cell r="S281">
            <v>4770</v>
          </cell>
          <cell r="T281">
            <v>5958</v>
          </cell>
          <cell r="U281">
            <v>13482</v>
          </cell>
          <cell r="V281">
            <v>14832</v>
          </cell>
          <cell r="W281">
            <v>8550</v>
          </cell>
          <cell r="X281">
            <v>11646</v>
          </cell>
          <cell r="Y281">
            <v>8802</v>
          </cell>
          <cell r="Z281">
            <v>6264</v>
          </cell>
          <cell r="AA281">
            <v>11016</v>
          </cell>
          <cell r="AB281">
            <v>13213</v>
          </cell>
          <cell r="AC281">
            <v>11160</v>
          </cell>
          <cell r="AD281">
            <v>16344</v>
          </cell>
          <cell r="AE281">
            <v>8334</v>
          </cell>
          <cell r="AF281">
            <v>11916</v>
          </cell>
          <cell r="AG281">
            <v>12006</v>
          </cell>
          <cell r="AH281">
            <v>11466</v>
          </cell>
          <cell r="AI281">
            <v>12402</v>
          </cell>
          <cell r="AJ281">
            <v>9504</v>
          </cell>
          <cell r="AK281">
            <v>12582</v>
          </cell>
          <cell r="AL281">
            <v>11664</v>
          </cell>
          <cell r="AM281">
            <v>13662</v>
          </cell>
          <cell r="AN281">
            <v>11448</v>
          </cell>
          <cell r="AO281">
            <v>8946</v>
          </cell>
          <cell r="AP281">
            <v>11430</v>
          </cell>
          <cell r="AQ281">
            <v>12529</v>
          </cell>
          <cell r="AR281">
            <v>13086</v>
          </cell>
          <cell r="AS281">
            <v>6767</v>
          </cell>
          <cell r="AT281">
            <v>9504</v>
          </cell>
          <cell r="AU281">
            <v>9972</v>
          </cell>
          <cell r="AV281">
            <v>18000</v>
          </cell>
          <cell r="AW281">
            <v>7056</v>
          </cell>
          <cell r="AX281">
            <v>8568</v>
          </cell>
          <cell r="AY281">
            <v>7002</v>
          </cell>
          <cell r="AZ281">
            <v>18580</v>
          </cell>
          <cell r="BA281">
            <v>11034</v>
          </cell>
          <cell r="BB281">
            <v>12870</v>
          </cell>
          <cell r="BC281">
            <v>14994</v>
          </cell>
          <cell r="BD281">
            <v>6300</v>
          </cell>
          <cell r="BE281">
            <v>6660</v>
          </cell>
          <cell r="BF281">
            <v>13896</v>
          </cell>
          <cell r="BG281">
            <v>12204</v>
          </cell>
          <cell r="BH281">
            <v>5814</v>
          </cell>
          <cell r="BI281">
            <v>2124</v>
          </cell>
          <cell r="BJ281">
            <v>5922</v>
          </cell>
          <cell r="BK281">
            <v>11142</v>
          </cell>
          <cell r="BL281">
            <v>14220</v>
          </cell>
          <cell r="BM281">
            <v>9288</v>
          </cell>
          <cell r="BN281">
            <v>12148</v>
          </cell>
          <cell r="BO281">
            <v>13068</v>
          </cell>
          <cell r="BP281">
            <v>11176</v>
          </cell>
          <cell r="BQ281">
            <v>16638</v>
          </cell>
          <cell r="BR281">
            <v>7182</v>
          </cell>
          <cell r="BS281">
            <v>10404</v>
          </cell>
          <cell r="BT281">
            <v>6858</v>
          </cell>
          <cell r="BU281">
            <v>10806</v>
          </cell>
          <cell r="BV281">
            <v>10860</v>
          </cell>
          <cell r="BW281">
            <v>5922</v>
          </cell>
          <cell r="BX281">
            <v>12564</v>
          </cell>
          <cell r="BY281">
            <v>15480</v>
          </cell>
          <cell r="BZ281">
            <v>10224</v>
          </cell>
          <cell r="CA281">
            <v>21096</v>
          </cell>
          <cell r="CB281">
            <v>9372</v>
          </cell>
          <cell r="CC281">
            <v>12726</v>
          </cell>
          <cell r="CD281">
            <v>19044</v>
          </cell>
          <cell r="CE281">
            <v>4068</v>
          </cell>
          <cell r="CF281">
            <v>8100</v>
          </cell>
          <cell r="CG281">
            <v>15012</v>
          </cell>
          <cell r="CH281">
            <v>20106</v>
          </cell>
          <cell r="CI281">
            <v>11952</v>
          </cell>
          <cell r="CJ281">
            <v>15948</v>
          </cell>
          <cell r="CK281">
            <v>13536</v>
          </cell>
          <cell r="CL281">
            <v>19620</v>
          </cell>
          <cell r="CM281">
            <v>14760</v>
          </cell>
          <cell r="CN281">
            <v>10800</v>
          </cell>
          <cell r="CO281">
            <v>17622</v>
          </cell>
          <cell r="CP281">
            <v>21794</v>
          </cell>
          <cell r="CQ281">
            <v>15496</v>
          </cell>
          <cell r="CR281">
            <v>7542</v>
          </cell>
          <cell r="CS281">
            <v>8172</v>
          </cell>
          <cell r="CT281">
            <v>14634</v>
          </cell>
          <cell r="CU281">
            <v>7866</v>
          </cell>
          <cell r="CV281">
            <v>14994</v>
          </cell>
          <cell r="CW281">
            <v>12654</v>
          </cell>
          <cell r="CX281">
            <v>14922</v>
          </cell>
          <cell r="CY281">
            <v>8082</v>
          </cell>
          <cell r="CZ281">
            <v>22896</v>
          </cell>
          <cell r="DA281">
            <v>3888</v>
          </cell>
          <cell r="DB281">
            <v>14040</v>
          </cell>
          <cell r="DC281">
            <v>6300</v>
          </cell>
          <cell r="DD281">
            <v>10890</v>
          </cell>
          <cell r="DE281">
            <v>8766</v>
          </cell>
          <cell r="DF281">
            <v>11628</v>
          </cell>
          <cell r="DG281">
            <v>5904</v>
          </cell>
          <cell r="DH281">
            <v>6948</v>
          </cell>
          <cell r="DI281">
            <v>1566</v>
          </cell>
          <cell r="DJ281">
            <v>6768</v>
          </cell>
          <cell r="DK281">
            <v>7236</v>
          </cell>
          <cell r="DL281">
            <v>13752</v>
          </cell>
          <cell r="DM281">
            <v>13572</v>
          </cell>
          <cell r="DN281">
            <v>14958</v>
          </cell>
          <cell r="DO281">
            <v>18378</v>
          </cell>
          <cell r="DP281">
            <v>15840</v>
          </cell>
          <cell r="DQ281">
            <v>9270</v>
          </cell>
          <cell r="DR281">
            <v>10800</v>
          </cell>
          <cell r="DS281">
            <v>6480</v>
          </cell>
          <cell r="DT281">
            <v>8874</v>
          </cell>
          <cell r="DU281">
            <v>12996</v>
          </cell>
          <cell r="DV281">
            <v>8838</v>
          </cell>
          <cell r="DW281">
            <v>13464</v>
          </cell>
          <cell r="DX281">
            <v>11088</v>
          </cell>
          <cell r="DY281">
            <v>9864</v>
          </cell>
          <cell r="DZ281">
            <v>20898</v>
          </cell>
          <cell r="EA281">
            <v>2538</v>
          </cell>
          <cell r="EB281">
            <v>13986</v>
          </cell>
          <cell r="EC281">
            <v>16920</v>
          </cell>
          <cell r="ED281">
            <v>14709</v>
          </cell>
          <cell r="EE281" t="str">
            <v>ACTIVO</v>
          </cell>
          <cell r="EF281" t="str">
            <v>A</v>
          </cell>
          <cell r="EG281">
            <v>540</v>
          </cell>
          <cell r="EH281">
            <v>11369</v>
          </cell>
          <cell r="EI281">
            <v>1894.8333333333333</v>
          </cell>
          <cell r="EJ281">
            <v>4840.5954592984272</v>
          </cell>
          <cell r="EK281">
            <v>4701</v>
          </cell>
          <cell r="EL281">
            <v>4230664.95</v>
          </cell>
          <cell r="EM281">
            <v>0.41349283138358695</v>
          </cell>
          <cell r="EN281">
            <v>3789.6666666666665</v>
          </cell>
          <cell r="EO281">
            <v>3789.6666666666665</v>
          </cell>
          <cell r="EP281">
            <v>7579.333333333333</v>
          </cell>
        </row>
        <row r="282">
          <cell r="F282">
            <v>393216</v>
          </cell>
          <cell r="G282" t="str">
            <v>INSUMO INTERPLANTA BIZCOCHO CHOCOLATE 17 CMS</v>
          </cell>
          <cell r="I282">
            <v>3792</v>
          </cell>
          <cell r="J282">
            <v>2184</v>
          </cell>
          <cell r="K282">
            <v>4282</v>
          </cell>
          <cell r="L282">
            <v>2160</v>
          </cell>
          <cell r="M282">
            <v>2017</v>
          </cell>
          <cell r="N282">
            <v>3384</v>
          </cell>
          <cell r="O282">
            <v>4005</v>
          </cell>
          <cell r="P282">
            <v>2568</v>
          </cell>
          <cell r="Q282">
            <v>3144</v>
          </cell>
          <cell r="R282">
            <v>672</v>
          </cell>
          <cell r="S282">
            <v>1392</v>
          </cell>
          <cell r="T282">
            <v>2280</v>
          </cell>
          <cell r="U282">
            <v>1870</v>
          </cell>
          <cell r="W282">
            <v>672</v>
          </cell>
          <cell r="X282">
            <v>4464</v>
          </cell>
          <cell r="Y282">
            <v>1848</v>
          </cell>
          <cell r="Z282">
            <v>264</v>
          </cell>
          <cell r="AA282">
            <v>4056</v>
          </cell>
          <cell r="AB282">
            <v>3768</v>
          </cell>
          <cell r="AC282">
            <v>2616</v>
          </cell>
          <cell r="AD282">
            <v>3532</v>
          </cell>
          <cell r="AE282">
            <v>1800</v>
          </cell>
          <cell r="AF282">
            <v>3504</v>
          </cell>
          <cell r="AG282">
            <v>2293</v>
          </cell>
          <cell r="AH282">
            <v>3288</v>
          </cell>
          <cell r="AI282">
            <v>4248</v>
          </cell>
          <cell r="AJ282">
            <v>4056</v>
          </cell>
          <cell r="AK282">
            <v>4608</v>
          </cell>
          <cell r="AL282">
            <v>3169</v>
          </cell>
          <cell r="AM282">
            <v>767</v>
          </cell>
          <cell r="AN282">
            <v>2833</v>
          </cell>
          <cell r="AO282">
            <v>4416</v>
          </cell>
          <cell r="AP282">
            <v>1990</v>
          </cell>
          <cell r="AQ282">
            <v>3546</v>
          </cell>
          <cell r="AR282">
            <v>4368</v>
          </cell>
          <cell r="AS282">
            <v>1056</v>
          </cell>
          <cell r="AT282">
            <v>3192</v>
          </cell>
          <cell r="AU282">
            <v>6133</v>
          </cell>
          <cell r="AV282">
            <v>2915</v>
          </cell>
          <cell r="AW282">
            <v>14520</v>
          </cell>
          <cell r="AX282">
            <v>456</v>
          </cell>
          <cell r="AY282">
            <v>2640</v>
          </cell>
          <cell r="AZ282">
            <v>8640</v>
          </cell>
          <cell r="BA282">
            <v>1632</v>
          </cell>
          <cell r="BB282">
            <v>6240</v>
          </cell>
          <cell r="BC282">
            <v>6240</v>
          </cell>
          <cell r="BD282">
            <v>9360</v>
          </cell>
          <cell r="BE282">
            <v>5816</v>
          </cell>
          <cell r="BF282">
            <v>1800</v>
          </cell>
          <cell r="BG282">
            <v>3435</v>
          </cell>
          <cell r="BI282">
            <v>1560</v>
          </cell>
          <cell r="BJ282">
            <v>1848</v>
          </cell>
          <cell r="BK282">
            <v>9052</v>
          </cell>
          <cell r="BL282">
            <v>1560</v>
          </cell>
          <cell r="BM282">
            <v>6312</v>
          </cell>
          <cell r="BN282">
            <v>3720</v>
          </cell>
          <cell r="BO282">
            <v>6604</v>
          </cell>
          <cell r="BQ282">
            <v>2616</v>
          </cell>
          <cell r="BR282">
            <v>11832</v>
          </cell>
          <cell r="BS282">
            <v>8592</v>
          </cell>
          <cell r="BT282">
            <v>6837</v>
          </cell>
          <cell r="BV282">
            <v>5328</v>
          </cell>
          <cell r="BW282">
            <v>1944</v>
          </cell>
          <cell r="BX282">
            <v>4536</v>
          </cell>
          <cell r="BY282">
            <v>1560</v>
          </cell>
          <cell r="BZ282">
            <v>1560</v>
          </cell>
          <cell r="CA282">
            <v>4584</v>
          </cell>
          <cell r="CB282">
            <v>72</v>
          </cell>
          <cell r="CC282">
            <v>9672</v>
          </cell>
          <cell r="CD282">
            <v>1872</v>
          </cell>
          <cell r="CE282">
            <v>7118</v>
          </cell>
          <cell r="CF282">
            <v>3600</v>
          </cell>
          <cell r="CG282">
            <v>4377</v>
          </cell>
          <cell r="CH282">
            <v>2304</v>
          </cell>
          <cell r="CJ282">
            <v>3120</v>
          </cell>
          <cell r="CK282">
            <v>3120</v>
          </cell>
          <cell r="CL282">
            <v>1680</v>
          </cell>
          <cell r="CM282">
            <v>5184</v>
          </cell>
          <cell r="CN282">
            <v>6012</v>
          </cell>
          <cell r="CO282">
            <v>9096</v>
          </cell>
          <cell r="CP282">
            <v>7440</v>
          </cell>
          <cell r="CQ282">
            <v>3750</v>
          </cell>
          <cell r="CR282">
            <v>2304</v>
          </cell>
          <cell r="CS282">
            <v>2304</v>
          </cell>
          <cell r="CT282">
            <v>9593</v>
          </cell>
          <cell r="CU282">
            <v>6355</v>
          </cell>
          <cell r="CV282">
            <v>1600</v>
          </cell>
          <cell r="CW282">
            <v>4032</v>
          </cell>
          <cell r="CX282">
            <v>6624</v>
          </cell>
          <cell r="CY282">
            <v>4824</v>
          </cell>
          <cell r="CZ282">
            <v>408</v>
          </cell>
          <cell r="DA282">
            <v>3960</v>
          </cell>
          <cell r="DB282">
            <v>2605</v>
          </cell>
          <cell r="DC282">
            <v>5232</v>
          </cell>
          <cell r="DD282">
            <v>3000</v>
          </cell>
          <cell r="DF282">
            <v>4032</v>
          </cell>
          <cell r="DG282">
            <v>2788</v>
          </cell>
          <cell r="DJ282">
            <v>7704</v>
          </cell>
          <cell r="DK282">
            <v>600</v>
          </cell>
          <cell r="DL282">
            <v>2511</v>
          </cell>
          <cell r="DM282">
            <v>2928</v>
          </cell>
          <cell r="DN282">
            <v>4032</v>
          </cell>
          <cell r="DO282">
            <v>11333</v>
          </cell>
          <cell r="DP282">
            <v>6048</v>
          </cell>
          <cell r="DQ282">
            <v>6048</v>
          </cell>
          <cell r="DR282">
            <v>2640</v>
          </cell>
          <cell r="DS282">
            <v>10128</v>
          </cell>
          <cell r="DT282">
            <v>9951</v>
          </cell>
          <cell r="DU282">
            <v>5478</v>
          </cell>
          <cell r="DV282">
            <v>2760</v>
          </cell>
          <cell r="DW282">
            <v>8132</v>
          </cell>
          <cell r="DX282">
            <v>2328</v>
          </cell>
          <cell r="DZ282">
            <v>8136</v>
          </cell>
          <cell r="EB282">
            <v>1809</v>
          </cell>
          <cell r="EC282">
            <v>240</v>
          </cell>
          <cell r="ED282">
            <v>3984</v>
          </cell>
          <cell r="EE282" t="str">
            <v>ACTIVO</v>
          </cell>
          <cell r="EF282" t="str">
            <v>A</v>
          </cell>
          <cell r="EG282">
            <v>720</v>
          </cell>
          <cell r="EH282">
            <v>5672.3125</v>
          </cell>
          <cell r="EI282">
            <v>945.38541666666663</v>
          </cell>
          <cell r="EJ282">
            <v>2744.903625287855</v>
          </cell>
          <cell r="EK282">
            <v>2976</v>
          </cell>
          <cell r="EL282">
            <v>2075313.6</v>
          </cell>
          <cell r="EM282">
            <v>0.52465374571658385</v>
          </cell>
          <cell r="EN282">
            <v>1890.7708333333333</v>
          </cell>
          <cell r="EO282">
            <v>1890.7708333333333</v>
          </cell>
          <cell r="EP282">
            <v>3781.5416666666665</v>
          </cell>
        </row>
        <row r="283">
          <cell r="F283">
            <v>393349</v>
          </cell>
          <cell r="G283" t="str">
            <v>Tartaleta mediana semi-elab</v>
          </cell>
          <cell r="H283">
            <v>528</v>
          </cell>
          <cell r="I283">
            <v>1200</v>
          </cell>
          <cell r="J283">
            <v>1200</v>
          </cell>
          <cell r="K283">
            <v>1152</v>
          </cell>
          <cell r="L283">
            <v>1224</v>
          </cell>
          <cell r="M283">
            <v>1608</v>
          </cell>
          <cell r="N283">
            <v>1200</v>
          </cell>
          <cell r="O283">
            <v>1176</v>
          </cell>
          <cell r="P283">
            <v>1176</v>
          </cell>
          <cell r="Q283">
            <v>1176</v>
          </cell>
          <cell r="R283">
            <v>1632</v>
          </cell>
          <cell r="S283">
            <v>552</v>
          </cell>
          <cell r="T283">
            <v>336</v>
          </cell>
          <cell r="U283">
            <v>1842</v>
          </cell>
          <cell r="V283">
            <v>1416</v>
          </cell>
          <cell r="W283">
            <v>1368</v>
          </cell>
          <cell r="X283">
            <v>1200</v>
          </cell>
          <cell r="Y283">
            <v>912</v>
          </cell>
          <cell r="Z283">
            <v>408</v>
          </cell>
          <cell r="AA283">
            <v>1368</v>
          </cell>
          <cell r="AB283">
            <v>1704</v>
          </cell>
          <cell r="AC283">
            <v>1848</v>
          </cell>
          <cell r="AD283">
            <v>1200</v>
          </cell>
          <cell r="AE283">
            <v>384</v>
          </cell>
          <cell r="AF283">
            <v>1608</v>
          </cell>
          <cell r="AG283">
            <v>1896</v>
          </cell>
          <cell r="AH283">
            <v>1968</v>
          </cell>
          <cell r="AI283">
            <v>1368</v>
          </cell>
          <cell r="AJ283">
            <v>1944</v>
          </cell>
          <cell r="AK283">
            <v>1944</v>
          </cell>
          <cell r="AL283">
            <v>1728</v>
          </cell>
          <cell r="AM283">
            <v>1728</v>
          </cell>
          <cell r="AN283">
            <v>1680</v>
          </cell>
          <cell r="AO283">
            <v>1344</v>
          </cell>
          <cell r="AP283">
            <v>1800</v>
          </cell>
          <cell r="AQ283">
            <v>1632</v>
          </cell>
          <cell r="AR283">
            <v>1584</v>
          </cell>
          <cell r="AS283">
            <v>408</v>
          </cell>
          <cell r="AT283">
            <v>1656</v>
          </cell>
          <cell r="AU283">
            <v>1560</v>
          </cell>
          <cell r="AV283">
            <v>1488</v>
          </cell>
          <cell r="AW283">
            <v>1056</v>
          </cell>
          <cell r="AX283">
            <v>1512</v>
          </cell>
          <cell r="AY283">
            <v>1128</v>
          </cell>
          <cell r="AZ283">
            <v>1680</v>
          </cell>
          <cell r="BA283">
            <v>2472</v>
          </cell>
          <cell r="BB283">
            <v>2176</v>
          </cell>
          <cell r="BC283">
            <v>1897</v>
          </cell>
          <cell r="BD283">
            <v>2111</v>
          </cell>
          <cell r="BE283">
            <v>1944</v>
          </cell>
          <cell r="BF283">
            <v>2100</v>
          </cell>
          <cell r="BG283">
            <v>1224</v>
          </cell>
          <cell r="BH283">
            <v>792</v>
          </cell>
          <cell r="BI283">
            <v>803</v>
          </cell>
          <cell r="BJ283">
            <v>1320</v>
          </cell>
          <cell r="BK283">
            <v>3408</v>
          </cell>
          <cell r="BL283">
            <v>1944</v>
          </cell>
          <cell r="BM283">
            <v>3072</v>
          </cell>
          <cell r="BN283">
            <v>2064</v>
          </cell>
          <cell r="BO283">
            <v>1296</v>
          </cell>
          <cell r="BP283">
            <v>1584</v>
          </cell>
          <cell r="BQ283">
            <v>528</v>
          </cell>
          <cell r="BR283">
            <v>2376</v>
          </cell>
          <cell r="BS283">
            <v>1968</v>
          </cell>
          <cell r="BT283">
            <v>2208</v>
          </cell>
          <cell r="BU283">
            <v>2088</v>
          </cell>
          <cell r="BV283">
            <v>1440</v>
          </cell>
          <cell r="BW283">
            <v>3216</v>
          </cell>
          <cell r="BX283">
            <v>1872</v>
          </cell>
          <cell r="BY283">
            <v>1392</v>
          </cell>
          <cell r="BZ283">
            <v>192</v>
          </cell>
          <cell r="CA283">
            <v>2016</v>
          </cell>
          <cell r="CB283">
            <v>1992</v>
          </cell>
          <cell r="CC283">
            <v>2304</v>
          </cell>
          <cell r="CD283">
            <v>1848</v>
          </cell>
          <cell r="CE283">
            <v>2520</v>
          </cell>
          <cell r="CF283">
            <v>1920</v>
          </cell>
          <cell r="CG283">
            <v>2028</v>
          </cell>
          <cell r="CH283">
            <v>1968</v>
          </cell>
          <cell r="CI283">
            <v>2256</v>
          </cell>
          <cell r="CJ283">
            <v>2976</v>
          </cell>
          <cell r="CK283">
            <v>1776</v>
          </cell>
          <cell r="CL283">
            <v>984</v>
          </cell>
          <cell r="CM283">
            <v>1536</v>
          </cell>
          <cell r="CN283">
            <v>2857</v>
          </cell>
          <cell r="CO283">
            <v>2376</v>
          </cell>
          <cell r="CP283">
            <v>3408</v>
          </cell>
          <cell r="CQ283">
            <v>1944</v>
          </cell>
          <cell r="CR283">
            <v>2160</v>
          </cell>
          <cell r="CS283">
            <v>672</v>
          </cell>
          <cell r="CT283">
            <v>1775</v>
          </cell>
          <cell r="CU283">
            <v>792</v>
          </cell>
          <cell r="CV283">
            <v>1248</v>
          </cell>
          <cell r="CW283">
            <v>1104</v>
          </cell>
          <cell r="CX283">
            <v>1152</v>
          </cell>
          <cell r="CY283">
            <v>1272</v>
          </cell>
          <cell r="CZ283">
            <v>1080</v>
          </cell>
          <cell r="DA283">
            <v>1080</v>
          </cell>
          <cell r="DB283">
            <v>864</v>
          </cell>
          <cell r="DC283">
            <v>1272</v>
          </cell>
          <cell r="DD283">
            <v>1056</v>
          </cell>
          <cell r="DE283">
            <v>912</v>
          </cell>
          <cell r="DF283">
            <v>1224</v>
          </cell>
          <cell r="DG283">
            <v>960</v>
          </cell>
          <cell r="DH283">
            <v>624</v>
          </cell>
          <cell r="DI283">
            <v>240</v>
          </cell>
          <cell r="DJ283">
            <v>3000</v>
          </cell>
          <cell r="DK283">
            <v>1008</v>
          </cell>
          <cell r="DL283">
            <v>1104</v>
          </cell>
          <cell r="DM283">
            <v>1320</v>
          </cell>
          <cell r="DN283">
            <v>960</v>
          </cell>
          <cell r="DO283">
            <v>984</v>
          </cell>
          <cell r="DP283">
            <v>1032</v>
          </cell>
          <cell r="DQ283">
            <v>1056</v>
          </cell>
          <cell r="DR283">
            <v>984</v>
          </cell>
          <cell r="DS283">
            <v>1728</v>
          </cell>
          <cell r="DT283">
            <v>1008</v>
          </cell>
          <cell r="DU283">
            <v>1392</v>
          </cell>
          <cell r="DV283">
            <v>1392</v>
          </cell>
          <cell r="DW283">
            <v>1032</v>
          </cell>
          <cell r="DX283">
            <v>1296</v>
          </cell>
          <cell r="DY283">
            <v>1872</v>
          </cell>
          <cell r="DZ283">
            <v>1488</v>
          </cell>
          <cell r="EA283">
            <v>1512</v>
          </cell>
          <cell r="EB283">
            <v>2160</v>
          </cell>
          <cell r="EC283">
            <v>2184</v>
          </cell>
          <cell r="ED283">
            <v>1920</v>
          </cell>
          <cell r="EE283" t="str">
            <v>ACTIVO</v>
          </cell>
          <cell r="EF283" t="str">
            <v>B</v>
          </cell>
          <cell r="EG283">
            <v>720</v>
          </cell>
          <cell r="EH283">
            <v>1272</v>
          </cell>
          <cell r="EI283">
            <v>212</v>
          </cell>
          <cell r="EJ283">
            <v>765.83189966768896</v>
          </cell>
          <cell r="EK283">
            <v>312</v>
          </cell>
          <cell r="EL283">
            <v>120363.36</v>
          </cell>
          <cell r="EM283">
            <v>0.24528301886792453</v>
          </cell>
          <cell r="EN283">
            <v>424</v>
          </cell>
          <cell r="EO283">
            <v>424</v>
          </cell>
          <cell r="EP283">
            <v>848</v>
          </cell>
        </row>
        <row r="284">
          <cell r="F284">
            <v>403268</v>
          </cell>
          <cell r="G284" t="str">
            <v>INSUMO DISCO PANQUEQUE CHOCOLATE 18 CM.</v>
          </cell>
          <cell r="H284">
            <v>1584</v>
          </cell>
          <cell r="W284">
            <v>4968</v>
          </cell>
          <cell r="X284">
            <v>8136</v>
          </cell>
          <cell r="Y284">
            <v>5328</v>
          </cell>
          <cell r="Z284">
            <v>1584</v>
          </cell>
          <cell r="AA284">
            <v>4320</v>
          </cell>
          <cell r="AB284">
            <v>6192</v>
          </cell>
          <cell r="AC284">
            <v>5688</v>
          </cell>
          <cell r="AD284">
            <v>4896</v>
          </cell>
          <cell r="AE284">
            <v>5616</v>
          </cell>
          <cell r="AF284">
            <v>6048</v>
          </cell>
          <cell r="AG284">
            <v>6264</v>
          </cell>
          <cell r="AH284">
            <v>7200</v>
          </cell>
          <cell r="AI284">
            <v>6912</v>
          </cell>
          <cell r="AJ284">
            <v>7128</v>
          </cell>
          <cell r="AK284">
            <v>7056</v>
          </cell>
          <cell r="AL284">
            <v>5832</v>
          </cell>
          <cell r="AM284">
            <v>5832</v>
          </cell>
          <cell r="AN284">
            <v>6768</v>
          </cell>
          <cell r="AO284">
            <v>5256</v>
          </cell>
          <cell r="AP284">
            <v>6336</v>
          </cell>
          <cell r="AQ284">
            <v>6696</v>
          </cell>
          <cell r="AR284">
            <v>5616</v>
          </cell>
          <cell r="AS284">
            <v>3816</v>
          </cell>
          <cell r="AT284">
            <v>3600</v>
          </cell>
          <cell r="AU284">
            <v>4680</v>
          </cell>
          <cell r="AV284">
            <v>5184</v>
          </cell>
          <cell r="AW284">
            <v>1800</v>
          </cell>
          <cell r="AX284">
            <v>4896</v>
          </cell>
          <cell r="AY284">
            <v>3068</v>
          </cell>
          <cell r="AZ284">
            <v>5472</v>
          </cell>
          <cell r="BA284">
            <v>3960</v>
          </cell>
          <cell r="BB284">
            <v>4536</v>
          </cell>
          <cell r="BC284">
            <v>3024</v>
          </cell>
          <cell r="BD284">
            <v>6686</v>
          </cell>
          <cell r="BE284">
            <v>7416</v>
          </cell>
          <cell r="BF284">
            <v>14832</v>
          </cell>
          <cell r="BG284">
            <v>1802</v>
          </cell>
          <cell r="BH284">
            <v>3240</v>
          </cell>
          <cell r="BI284">
            <v>7200</v>
          </cell>
          <cell r="BJ284">
            <v>2592</v>
          </cell>
          <cell r="BK284">
            <v>5976</v>
          </cell>
          <cell r="BL284">
            <v>12528</v>
          </cell>
          <cell r="BM284">
            <v>7344</v>
          </cell>
          <cell r="BN284">
            <v>7777</v>
          </cell>
          <cell r="BO284">
            <v>2691</v>
          </cell>
          <cell r="BP284">
            <v>7848</v>
          </cell>
          <cell r="BQ284">
            <v>9792</v>
          </cell>
          <cell r="BR284">
            <v>9288</v>
          </cell>
          <cell r="BS284">
            <v>7560</v>
          </cell>
          <cell r="BT284">
            <v>6192</v>
          </cell>
          <cell r="BU284">
            <v>10629</v>
          </cell>
          <cell r="BV284">
            <v>27928</v>
          </cell>
          <cell r="BW284">
            <v>6480</v>
          </cell>
          <cell r="BX284">
            <v>11448</v>
          </cell>
          <cell r="BY284">
            <v>7848</v>
          </cell>
          <cell r="BZ284">
            <v>2088</v>
          </cell>
          <cell r="CA284">
            <v>5586</v>
          </cell>
          <cell r="CB284">
            <v>5760</v>
          </cell>
          <cell r="CC284">
            <v>9504</v>
          </cell>
          <cell r="CD284">
            <v>9612</v>
          </cell>
          <cell r="CE284">
            <v>7200</v>
          </cell>
          <cell r="CF284">
            <v>7448</v>
          </cell>
          <cell r="CG284">
            <v>36000</v>
          </cell>
          <cell r="CH284">
            <v>3888</v>
          </cell>
          <cell r="CI284">
            <v>6408</v>
          </cell>
          <cell r="CJ284">
            <v>7992</v>
          </cell>
          <cell r="CK284">
            <v>7344</v>
          </cell>
          <cell r="CL284">
            <v>8784</v>
          </cell>
          <cell r="CM284">
            <v>10512</v>
          </cell>
          <cell r="CN284">
            <v>16560</v>
          </cell>
          <cell r="CO284">
            <v>19219</v>
          </cell>
          <cell r="CP284">
            <v>13712</v>
          </cell>
          <cell r="CR284">
            <v>2952</v>
          </cell>
          <cell r="CS284">
            <v>9432</v>
          </cell>
          <cell r="CT284">
            <v>15552</v>
          </cell>
          <cell r="CU284">
            <v>5400</v>
          </cell>
          <cell r="CV284">
            <v>9760</v>
          </cell>
          <cell r="CW284">
            <v>4392</v>
          </cell>
          <cell r="CX284">
            <v>8064</v>
          </cell>
          <cell r="CY284">
            <v>7128</v>
          </cell>
          <cell r="CZ284">
            <v>8280</v>
          </cell>
          <cell r="DA284">
            <v>10296</v>
          </cell>
          <cell r="DB284">
            <v>11088</v>
          </cell>
          <cell r="DC284">
            <v>12168</v>
          </cell>
          <cell r="DD284">
            <v>24120</v>
          </cell>
          <cell r="DE284">
            <v>6368</v>
          </cell>
          <cell r="DF284">
            <v>2664</v>
          </cell>
          <cell r="DG284">
            <v>1296</v>
          </cell>
          <cell r="DL284">
            <v>5256</v>
          </cell>
          <cell r="DP284">
            <v>1944</v>
          </cell>
          <cell r="DQ284">
            <v>4536</v>
          </cell>
          <cell r="DR284">
            <v>3888</v>
          </cell>
          <cell r="DS284">
            <v>3960</v>
          </cell>
          <cell r="DT284">
            <v>7848</v>
          </cell>
          <cell r="DU284">
            <v>7488</v>
          </cell>
          <cell r="DV284">
            <v>1944</v>
          </cell>
          <cell r="DW284">
            <v>8148</v>
          </cell>
          <cell r="DX284">
            <v>11808</v>
          </cell>
          <cell r="DY284">
            <v>8928</v>
          </cell>
          <cell r="DZ284">
            <v>5832</v>
          </cell>
          <cell r="EB284">
            <v>7776</v>
          </cell>
          <cell r="EC284">
            <v>6336</v>
          </cell>
          <cell r="ED284">
            <v>11362</v>
          </cell>
          <cell r="EE284" t="str">
            <v>ACTIVO</v>
          </cell>
          <cell r="EF284" t="str">
            <v>B</v>
          </cell>
          <cell r="EG284">
            <v>2160</v>
          </cell>
          <cell r="EH284">
            <v>5965</v>
          </cell>
          <cell r="EI284">
            <v>994.16666666666663</v>
          </cell>
          <cell r="EJ284">
            <v>6364.4603285530411</v>
          </cell>
          <cell r="EK284">
            <v>11448</v>
          </cell>
          <cell r="EL284">
            <v>2082849.12</v>
          </cell>
          <cell r="EM284">
            <v>1.9191953059513831</v>
          </cell>
          <cell r="EN284">
            <v>1988.3333333333333</v>
          </cell>
          <cell r="EO284">
            <v>1988.3333333333333</v>
          </cell>
          <cell r="EP284">
            <v>3976.6666666666665</v>
          </cell>
        </row>
        <row r="285">
          <cell r="F285">
            <v>393215</v>
          </cell>
          <cell r="G285" t="str">
            <v>INSUMO INTERPLANTA BIZCOCHO BLANCO 17 CM</v>
          </cell>
          <cell r="H285">
            <v>1632</v>
          </cell>
          <cell r="I285">
            <v>5424</v>
          </cell>
          <cell r="J285">
            <v>5208</v>
          </cell>
          <cell r="K285">
            <v>6288</v>
          </cell>
          <cell r="L285">
            <v>3072</v>
          </cell>
          <cell r="M285">
            <v>5736</v>
          </cell>
          <cell r="N285">
            <v>5976</v>
          </cell>
          <cell r="O285">
            <v>5208</v>
          </cell>
          <cell r="P285">
            <v>3552</v>
          </cell>
          <cell r="Q285">
            <v>3312</v>
          </cell>
          <cell r="R285">
            <v>3192</v>
          </cell>
          <cell r="S285">
            <v>2040</v>
          </cell>
          <cell r="T285">
            <v>1152</v>
          </cell>
          <cell r="U285">
            <v>4800</v>
          </cell>
          <cell r="V285">
            <v>1440</v>
          </cell>
          <cell r="W285">
            <v>4800</v>
          </cell>
          <cell r="X285">
            <v>2592</v>
          </cell>
          <cell r="Y285">
            <v>4034</v>
          </cell>
          <cell r="Z285">
            <v>1320</v>
          </cell>
          <cell r="AA285">
            <v>2376</v>
          </cell>
          <cell r="AB285">
            <v>5184</v>
          </cell>
          <cell r="AC285">
            <v>6072</v>
          </cell>
          <cell r="AD285">
            <v>5579</v>
          </cell>
          <cell r="AE285">
            <v>888</v>
          </cell>
          <cell r="AF285">
            <v>4164</v>
          </cell>
          <cell r="AG285">
            <v>4752</v>
          </cell>
          <cell r="AH285">
            <v>3552</v>
          </cell>
          <cell r="AI285">
            <v>3096</v>
          </cell>
          <cell r="AJ285">
            <v>4440</v>
          </cell>
          <cell r="AK285">
            <v>5520</v>
          </cell>
          <cell r="AL285">
            <v>6744</v>
          </cell>
          <cell r="AM285">
            <v>1704</v>
          </cell>
          <cell r="AN285">
            <v>3048</v>
          </cell>
          <cell r="AO285">
            <v>5472</v>
          </cell>
          <cell r="AP285">
            <v>4032</v>
          </cell>
          <cell r="AQ285">
            <v>5544</v>
          </cell>
          <cell r="AR285">
            <v>5592</v>
          </cell>
          <cell r="AS285">
            <v>1080</v>
          </cell>
          <cell r="AT285">
            <v>2400</v>
          </cell>
          <cell r="AU285">
            <v>2485</v>
          </cell>
          <cell r="AV285">
            <v>2819</v>
          </cell>
          <cell r="AW285">
            <v>3364</v>
          </cell>
          <cell r="AX285">
            <v>11162</v>
          </cell>
          <cell r="AY285">
            <v>3168</v>
          </cell>
          <cell r="AZ285">
            <v>936</v>
          </cell>
          <cell r="BA285">
            <v>7008</v>
          </cell>
          <cell r="BB285">
            <v>3912</v>
          </cell>
          <cell r="BC285">
            <v>864</v>
          </cell>
          <cell r="BD285">
            <v>1224</v>
          </cell>
          <cell r="BE285">
            <v>3245</v>
          </cell>
          <cell r="BF285">
            <v>3936</v>
          </cell>
          <cell r="BG285">
            <v>984</v>
          </cell>
          <cell r="BH285">
            <v>1224</v>
          </cell>
          <cell r="BI285">
            <v>1536</v>
          </cell>
          <cell r="BJ285">
            <v>5856</v>
          </cell>
          <cell r="BK285">
            <v>3528</v>
          </cell>
          <cell r="BL285">
            <v>6272</v>
          </cell>
          <cell r="BM285">
            <v>2208</v>
          </cell>
          <cell r="BN285">
            <v>4464</v>
          </cell>
          <cell r="BO285">
            <v>7680</v>
          </cell>
          <cell r="BP285">
            <v>2688</v>
          </cell>
          <cell r="BQ285">
            <v>1224</v>
          </cell>
          <cell r="BR285">
            <v>7104</v>
          </cell>
          <cell r="BS285">
            <v>3909</v>
          </cell>
          <cell r="BT285">
            <v>6432</v>
          </cell>
          <cell r="BU285">
            <v>3840</v>
          </cell>
          <cell r="BV285">
            <v>912</v>
          </cell>
          <cell r="BW285">
            <v>2400</v>
          </cell>
          <cell r="BX285">
            <v>5766</v>
          </cell>
          <cell r="BY285">
            <v>1992</v>
          </cell>
          <cell r="BZ285">
            <v>1896</v>
          </cell>
          <cell r="CA285">
            <v>1656</v>
          </cell>
          <cell r="CB285">
            <v>4920</v>
          </cell>
          <cell r="CC285">
            <v>3192</v>
          </cell>
          <cell r="CD285">
            <v>3264</v>
          </cell>
          <cell r="CE285">
            <v>4104</v>
          </cell>
          <cell r="CF285">
            <v>2976</v>
          </cell>
          <cell r="CG285">
            <v>2496</v>
          </cell>
          <cell r="CH285">
            <v>4464</v>
          </cell>
          <cell r="CI285">
            <v>7560</v>
          </cell>
          <cell r="CJ285">
            <v>2712</v>
          </cell>
          <cell r="CK285">
            <v>3696</v>
          </cell>
          <cell r="CL285">
            <v>2616</v>
          </cell>
          <cell r="CM285">
            <v>2596</v>
          </cell>
          <cell r="CN285">
            <v>5738</v>
          </cell>
          <cell r="CO285">
            <v>2064</v>
          </cell>
          <cell r="CP285">
            <v>7200</v>
          </cell>
          <cell r="CR285">
            <v>6288</v>
          </cell>
          <cell r="EE285" t="str">
            <v>ACTIVO</v>
          </cell>
          <cell r="EF285" t="str">
            <v>A</v>
          </cell>
          <cell r="EG285">
            <v>720</v>
          </cell>
          <cell r="EH285">
            <v>0</v>
          </cell>
          <cell r="EI285">
            <v>0</v>
          </cell>
          <cell r="EJ285">
            <v>1993.1233563159265</v>
          </cell>
          <cell r="EK285">
            <v>0</v>
          </cell>
          <cell r="EL285">
            <v>0</v>
          </cell>
          <cell r="EM285">
            <v>0</v>
          </cell>
          <cell r="EN285">
            <v>0</v>
          </cell>
          <cell r="EO285">
            <v>0</v>
          </cell>
          <cell r="EP285">
            <v>0</v>
          </cell>
        </row>
        <row r="286">
          <cell r="F286">
            <v>393427</v>
          </cell>
          <cell r="G286" t="str">
            <v>TARTALETA FAMILIAR RECETA TRADICIONAL</v>
          </cell>
          <cell r="H286">
            <v>1392</v>
          </cell>
          <cell r="AB286">
            <v>504</v>
          </cell>
          <cell r="AC286">
            <v>720</v>
          </cell>
          <cell r="AD286">
            <v>1584</v>
          </cell>
          <cell r="AE286">
            <v>4032</v>
          </cell>
          <cell r="AF286">
            <v>4128</v>
          </cell>
          <cell r="AG286">
            <v>3615</v>
          </cell>
          <cell r="AH286">
            <v>5088</v>
          </cell>
          <cell r="AI286">
            <v>5400</v>
          </cell>
          <cell r="AJ286">
            <v>5640</v>
          </cell>
          <cell r="AK286">
            <v>6744</v>
          </cell>
          <cell r="AL286">
            <v>5712</v>
          </cell>
          <cell r="AM286">
            <v>6984</v>
          </cell>
          <cell r="AN286">
            <v>4696</v>
          </cell>
          <cell r="AO286">
            <v>7048</v>
          </cell>
          <cell r="AP286">
            <v>5976</v>
          </cell>
          <cell r="AQ286">
            <v>6816</v>
          </cell>
          <cell r="AR286">
            <v>5112</v>
          </cell>
          <cell r="AS286">
            <v>3960</v>
          </cell>
          <cell r="AT286">
            <v>6576</v>
          </cell>
          <cell r="AU286">
            <v>3842</v>
          </cell>
          <cell r="AV286">
            <v>6456</v>
          </cell>
          <cell r="AW286">
            <v>5402</v>
          </cell>
          <cell r="AX286">
            <v>6864</v>
          </cell>
          <cell r="AY286">
            <v>7392</v>
          </cell>
          <cell r="AZ286">
            <v>7392</v>
          </cell>
          <cell r="BA286">
            <v>6816</v>
          </cell>
          <cell r="BB286">
            <v>5640</v>
          </cell>
          <cell r="BC286">
            <v>5065.0000010000003</v>
          </cell>
          <cell r="BD286">
            <v>6168</v>
          </cell>
          <cell r="BE286">
            <v>6310.9999989999997</v>
          </cell>
          <cell r="BF286">
            <v>6036</v>
          </cell>
          <cell r="BG286">
            <v>5544</v>
          </cell>
          <cell r="BH286">
            <v>216</v>
          </cell>
          <cell r="BI286">
            <v>888</v>
          </cell>
          <cell r="BJ286">
            <v>2232</v>
          </cell>
          <cell r="BK286">
            <v>5424</v>
          </cell>
          <cell r="BL286">
            <v>4944</v>
          </cell>
          <cell r="BM286">
            <v>5016</v>
          </cell>
          <cell r="BN286">
            <v>2880</v>
          </cell>
          <cell r="BO286">
            <v>4488</v>
          </cell>
          <cell r="BP286">
            <v>4008</v>
          </cell>
          <cell r="BQ286">
            <v>3168</v>
          </cell>
          <cell r="BR286">
            <v>6576</v>
          </cell>
          <cell r="BS286">
            <v>3597</v>
          </cell>
          <cell r="BT286">
            <v>5568</v>
          </cell>
          <cell r="BU286">
            <v>3912</v>
          </cell>
          <cell r="BV286">
            <v>3600</v>
          </cell>
          <cell r="BW286">
            <v>4600</v>
          </cell>
          <cell r="BX286">
            <v>3880</v>
          </cell>
          <cell r="BY286">
            <v>4488</v>
          </cell>
          <cell r="BZ286">
            <v>7512</v>
          </cell>
          <cell r="CA286">
            <v>3984</v>
          </cell>
          <cell r="CB286">
            <v>4056</v>
          </cell>
          <cell r="CC286">
            <v>4269</v>
          </cell>
          <cell r="CD286">
            <v>3237</v>
          </cell>
          <cell r="CE286">
            <v>6744</v>
          </cell>
          <cell r="CF286">
            <v>3288</v>
          </cell>
          <cell r="CG286">
            <v>4008</v>
          </cell>
          <cell r="CH286">
            <v>3144</v>
          </cell>
          <cell r="CI286">
            <v>4800</v>
          </cell>
          <cell r="CJ286">
            <v>5256</v>
          </cell>
          <cell r="CK286">
            <v>2536</v>
          </cell>
          <cell r="CL286">
            <v>6219</v>
          </cell>
          <cell r="CM286">
            <v>5565</v>
          </cell>
          <cell r="CN286">
            <v>8688</v>
          </cell>
          <cell r="CO286">
            <v>4848</v>
          </cell>
          <cell r="CP286">
            <v>9696</v>
          </cell>
          <cell r="CQ286">
            <v>5088</v>
          </cell>
          <cell r="CR286">
            <v>5498</v>
          </cell>
          <cell r="CS286">
            <v>1272</v>
          </cell>
          <cell r="CT286">
            <v>4502</v>
          </cell>
          <cell r="CU286">
            <v>2160</v>
          </cell>
          <cell r="CV286">
            <v>4669</v>
          </cell>
          <cell r="CW286">
            <v>4178</v>
          </cell>
          <cell r="CX286">
            <v>2138</v>
          </cell>
          <cell r="CY286">
            <v>4968</v>
          </cell>
          <cell r="CZ286">
            <v>5160</v>
          </cell>
          <cell r="DA286">
            <v>5160</v>
          </cell>
          <cell r="DB286">
            <v>4416</v>
          </cell>
          <cell r="DC286">
            <v>5784</v>
          </cell>
          <cell r="DD286">
            <v>2920</v>
          </cell>
          <cell r="DE286">
            <v>1296</v>
          </cell>
          <cell r="DF286">
            <v>4056</v>
          </cell>
          <cell r="DG286">
            <v>4896</v>
          </cell>
          <cell r="DH286">
            <v>1387</v>
          </cell>
          <cell r="DI286">
            <v>648</v>
          </cell>
          <cell r="DJ286">
            <v>3096</v>
          </cell>
          <cell r="DK286">
            <v>3840</v>
          </cell>
          <cell r="DL286">
            <v>3960</v>
          </cell>
          <cell r="DM286">
            <v>4728</v>
          </cell>
          <cell r="DN286">
            <v>3816</v>
          </cell>
          <cell r="DO286">
            <v>4152</v>
          </cell>
          <cell r="DP286">
            <v>3600</v>
          </cell>
          <cell r="DQ286">
            <v>3720</v>
          </cell>
          <cell r="DR286">
            <v>3192</v>
          </cell>
          <cell r="DS286">
            <v>4302</v>
          </cell>
          <cell r="DT286">
            <v>4536</v>
          </cell>
          <cell r="DU286">
            <v>3690</v>
          </cell>
          <cell r="DV286">
            <v>4680</v>
          </cell>
          <cell r="DW286">
            <v>2544</v>
          </cell>
          <cell r="DX286">
            <v>3357</v>
          </cell>
          <cell r="DY286">
            <v>3768</v>
          </cell>
          <cell r="DZ286">
            <v>6264</v>
          </cell>
          <cell r="EA286">
            <v>3504</v>
          </cell>
          <cell r="EB286">
            <v>2520</v>
          </cell>
          <cell r="EC286">
            <v>3456</v>
          </cell>
          <cell r="ED286">
            <v>1900</v>
          </cell>
          <cell r="EE286" t="str">
            <v>ACTIVO</v>
          </cell>
          <cell r="EF286" t="str">
            <v>A</v>
          </cell>
          <cell r="EG286">
            <v>720</v>
          </cell>
          <cell r="EH286">
            <v>3771.8333333333335</v>
          </cell>
          <cell r="EI286">
            <v>628.63888888888891</v>
          </cell>
          <cell r="EJ286">
            <v>1804.4194256645351</v>
          </cell>
          <cell r="EK286">
            <v>0</v>
          </cell>
          <cell r="EL286">
            <v>0</v>
          </cell>
          <cell r="EM286">
            <v>0</v>
          </cell>
          <cell r="EN286">
            <v>1257.2777777777778</v>
          </cell>
          <cell r="EO286">
            <v>1257.2777777777778</v>
          </cell>
          <cell r="EP286">
            <v>2514.5555555555557</v>
          </cell>
        </row>
        <row r="287">
          <cell r="F287">
            <v>353004</v>
          </cell>
          <cell r="G287" t="str">
            <v>Porción Chocolate  Semi-Elab UND</v>
          </cell>
          <cell r="H287">
            <v>96</v>
          </cell>
          <cell r="I287">
            <v>96</v>
          </cell>
          <cell r="J287">
            <v>114</v>
          </cell>
          <cell r="K287">
            <v>117</v>
          </cell>
          <cell r="L287">
            <v>72</v>
          </cell>
          <cell r="M287">
            <v>66</v>
          </cell>
          <cell r="N287">
            <v>51</v>
          </cell>
          <cell r="O287">
            <v>51</v>
          </cell>
          <cell r="P287">
            <v>54</v>
          </cell>
          <cell r="Q287">
            <v>141</v>
          </cell>
          <cell r="R287">
            <v>7</v>
          </cell>
          <cell r="EE287" t="str">
            <v>ACTIVO</v>
          </cell>
          <cell r="EF287" t="str">
            <v/>
          </cell>
          <cell r="EG287" t="str">
            <v/>
          </cell>
          <cell r="EH287">
            <v>0</v>
          </cell>
          <cell r="EI287">
            <v>0</v>
          </cell>
          <cell r="EJ287">
            <v>0</v>
          </cell>
          <cell r="EK287">
            <v>0</v>
          </cell>
          <cell r="EL287">
            <v>0</v>
          </cell>
          <cell r="EM287">
            <v>0</v>
          </cell>
          <cell r="EN287">
            <v>0</v>
          </cell>
          <cell r="EO287">
            <v>0</v>
          </cell>
          <cell r="EP287">
            <v>0</v>
          </cell>
        </row>
        <row r="288">
          <cell r="F288">
            <v>353012</v>
          </cell>
          <cell r="G288" t="str">
            <v>Tartaleta Familiar Semi-Elab</v>
          </cell>
          <cell r="H288">
            <v>768</v>
          </cell>
          <cell r="I288">
            <v>1080</v>
          </cell>
          <cell r="J288">
            <v>1944</v>
          </cell>
          <cell r="K288">
            <v>1248</v>
          </cell>
          <cell r="L288">
            <v>1272</v>
          </cell>
          <cell r="M288">
            <v>1272</v>
          </cell>
          <cell r="N288">
            <v>1320</v>
          </cell>
          <cell r="O288">
            <v>1272</v>
          </cell>
          <cell r="P288">
            <v>1200</v>
          </cell>
          <cell r="Q288">
            <v>1104</v>
          </cell>
          <cell r="R288">
            <v>1248</v>
          </cell>
          <cell r="S288">
            <v>432</v>
          </cell>
          <cell r="T288">
            <v>1536</v>
          </cell>
          <cell r="U288">
            <v>2232</v>
          </cell>
          <cell r="V288">
            <v>1800</v>
          </cell>
          <cell r="W288">
            <v>1416</v>
          </cell>
          <cell r="X288">
            <v>1608</v>
          </cell>
          <cell r="Y288">
            <v>1488</v>
          </cell>
          <cell r="Z288">
            <v>1728</v>
          </cell>
          <cell r="AA288">
            <v>1320</v>
          </cell>
          <cell r="AB288">
            <v>1896</v>
          </cell>
          <cell r="AC288">
            <v>1632</v>
          </cell>
          <cell r="AD288">
            <v>1584</v>
          </cell>
          <cell r="AE288">
            <v>1656</v>
          </cell>
          <cell r="AF288">
            <v>792</v>
          </cell>
          <cell r="AG288">
            <v>48</v>
          </cell>
          <cell r="CX288">
            <v>720</v>
          </cell>
          <cell r="EE288" t="str">
            <v>ACTIVO</v>
          </cell>
          <cell r="EF288" t="str">
            <v>C</v>
          </cell>
          <cell r="EG288" t="str">
            <v/>
          </cell>
          <cell r="EH288">
            <v>0</v>
          </cell>
          <cell r="EI288">
            <v>0</v>
          </cell>
          <cell r="EJ288">
            <v>0</v>
          </cell>
          <cell r="EK288">
            <v>0</v>
          </cell>
          <cell r="EL288">
            <v>0</v>
          </cell>
          <cell r="EM288">
            <v>0</v>
          </cell>
          <cell r="EN288">
            <v>0</v>
          </cell>
          <cell r="EO288">
            <v>0</v>
          </cell>
          <cell r="EP288">
            <v>0</v>
          </cell>
        </row>
        <row r="289">
          <cell r="F289">
            <v>393419</v>
          </cell>
          <cell r="G289" t="str">
            <v>INSUMO SEMI ELABORADO BROWNIE VEGANO INTERPLANTA</v>
          </cell>
          <cell r="H289">
            <v>378</v>
          </cell>
          <cell r="X289">
            <v>1809</v>
          </cell>
          <cell r="Y289">
            <v>558</v>
          </cell>
          <cell r="Z289">
            <v>126</v>
          </cell>
          <cell r="AA289">
            <v>725</v>
          </cell>
          <cell r="AB289">
            <v>1115</v>
          </cell>
          <cell r="AC289">
            <v>464</v>
          </cell>
          <cell r="AD289">
            <v>1458</v>
          </cell>
          <cell r="AE289">
            <v>282</v>
          </cell>
          <cell r="AF289">
            <v>522</v>
          </cell>
          <cell r="AG289">
            <v>684</v>
          </cell>
          <cell r="AH289">
            <v>846</v>
          </cell>
          <cell r="AI289">
            <v>545</v>
          </cell>
          <cell r="AJ289">
            <v>570</v>
          </cell>
          <cell r="AK289">
            <v>1152</v>
          </cell>
          <cell r="AL289">
            <v>684</v>
          </cell>
          <cell r="AM289">
            <v>564</v>
          </cell>
          <cell r="AN289">
            <v>594</v>
          </cell>
          <cell r="AO289">
            <v>756</v>
          </cell>
          <cell r="AP289">
            <v>468</v>
          </cell>
          <cell r="AQ289">
            <v>1152</v>
          </cell>
          <cell r="AR289">
            <v>612</v>
          </cell>
          <cell r="AS289">
            <v>184</v>
          </cell>
          <cell r="AT289">
            <v>342</v>
          </cell>
          <cell r="AU289">
            <v>162</v>
          </cell>
          <cell r="AV289">
            <v>852</v>
          </cell>
          <cell r="AW289">
            <v>715</v>
          </cell>
          <cell r="AX289">
            <v>612</v>
          </cell>
          <cell r="AY289">
            <v>954</v>
          </cell>
          <cell r="AZ289">
            <v>738</v>
          </cell>
          <cell r="BA289">
            <v>90</v>
          </cell>
          <cell r="BB289">
            <v>540</v>
          </cell>
          <cell r="BC289">
            <v>1098</v>
          </cell>
          <cell r="BD289">
            <v>252</v>
          </cell>
          <cell r="BE289">
            <v>288</v>
          </cell>
          <cell r="BF289">
            <v>414</v>
          </cell>
          <cell r="BG289">
            <v>432</v>
          </cell>
          <cell r="BH289">
            <v>270</v>
          </cell>
          <cell r="BI289">
            <v>144</v>
          </cell>
          <cell r="BJ289">
            <v>216</v>
          </cell>
          <cell r="BK289">
            <v>468</v>
          </cell>
          <cell r="BL289">
            <v>630</v>
          </cell>
          <cell r="BM289">
            <v>189</v>
          </cell>
          <cell r="BN289">
            <v>502</v>
          </cell>
          <cell r="BO289">
            <v>675</v>
          </cell>
          <cell r="BP289">
            <v>162</v>
          </cell>
          <cell r="BQ289">
            <v>497</v>
          </cell>
          <cell r="BR289">
            <v>180</v>
          </cell>
          <cell r="BS289">
            <v>720</v>
          </cell>
          <cell r="BT289">
            <v>293</v>
          </cell>
          <cell r="BU289">
            <v>624</v>
          </cell>
          <cell r="BV289">
            <v>54</v>
          </cell>
          <cell r="BW289">
            <v>846</v>
          </cell>
          <cell r="BX289">
            <v>2052</v>
          </cell>
          <cell r="BY289">
            <v>522</v>
          </cell>
          <cell r="BZ289">
            <v>90</v>
          </cell>
          <cell r="CA289">
            <v>342</v>
          </cell>
          <cell r="CB289">
            <v>180</v>
          </cell>
          <cell r="CC289">
            <v>342</v>
          </cell>
          <cell r="CD289">
            <v>108</v>
          </cell>
          <cell r="CE289">
            <v>396</v>
          </cell>
          <cell r="CF289">
            <v>504</v>
          </cell>
          <cell r="CG289">
            <v>288</v>
          </cell>
          <cell r="CH289">
            <v>108</v>
          </cell>
          <cell r="CI289">
            <v>630</v>
          </cell>
          <cell r="CJ289">
            <v>342</v>
          </cell>
          <cell r="CK289">
            <v>587</v>
          </cell>
          <cell r="CL289">
            <v>288</v>
          </cell>
          <cell r="CM289">
            <v>54</v>
          </cell>
          <cell r="CN289">
            <v>646</v>
          </cell>
          <cell r="CO289">
            <v>1008</v>
          </cell>
          <cell r="CP289">
            <v>1188</v>
          </cell>
          <cell r="CQ289">
            <v>162</v>
          </cell>
          <cell r="CR289">
            <v>864</v>
          </cell>
          <cell r="CS289">
            <v>40</v>
          </cell>
          <cell r="CT289">
            <v>648</v>
          </cell>
          <cell r="CU289">
            <v>18</v>
          </cell>
          <cell r="CV289">
            <v>1623</v>
          </cell>
          <cell r="CW289">
            <v>594</v>
          </cell>
          <cell r="CX289">
            <v>522</v>
          </cell>
          <cell r="CY289">
            <v>144</v>
          </cell>
          <cell r="CZ289">
            <v>288</v>
          </cell>
          <cell r="DA289">
            <v>270</v>
          </cell>
          <cell r="DB289">
            <v>72</v>
          </cell>
          <cell r="DC289">
            <v>182</v>
          </cell>
          <cell r="DD289">
            <v>558</v>
          </cell>
          <cell r="DE289">
            <v>840</v>
          </cell>
          <cell r="DF289">
            <v>108</v>
          </cell>
          <cell r="DG289">
            <v>36</v>
          </cell>
          <cell r="DH289">
            <v>288</v>
          </cell>
          <cell r="DJ289">
            <v>868</v>
          </cell>
          <cell r="DK289">
            <v>432</v>
          </cell>
          <cell r="DL289">
            <v>612</v>
          </cell>
          <cell r="DM289">
            <v>522</v>
          </cell>
          <cell r="DN289">
            <v>630</v>
          </cell>
          <cell r="DO289">
            <v>1782</v>
          </cell>
          <cell r="DP289">
            <v>723</v>
          </cell>
          <cell r="DQ289">
            <v>216</v>
          </cell>
          <cell r="DR289">
            <v>211</v>
          </cell>
          <cell r="DS289">
            <v>180</v>
          </cell>
          <cell r="DT289">
            <v>252</v>
          </cell>
          <cell r="DU289">
            <v>144</v>
          </cell>
          <cell r="DV289">
            <v>624</v>
          </cell>
          <cell r="DW289">
            <v>180</v>
          </cell>
          <cell r="DX289">
            <v>594</v>
          </cell>
          <cell r="DY289">
            <v>284</v>
          </cell>
          <cell r="DZ289">
            <v>1458</v>
          </cell>
          <cell r="EB289">
            <v>216</v>
          </cell>
          <cell r="EC289">
            <v>990</v>
          </cell>
          <cell r="ED289">
            <v>942</v>
          </cell>
          <cell r="EE289" t="str">
            <v>ACTIVO</v>
          </cell>
          <cell r="EF289" t="str">
            <v>B</v>
          </cell>
          <cell r="EG289">
            <v>540</v>
          </cell>
          <cell r="EH289">
            <v>571.29411764705878</v>
          </cell>
          <cell r="EI289">
            <v>95.215686274509792</v>
          </cell>
          <cell r="EJ289">
            <v>392.96454948926061</v>
          </cell>
          <cell r="EK289">
            <v>414</v>
          </cell>
          <cell r="EL289">
            <v>702773.28</v>
          </cell>
          <cell r="EM289">
            <v>0.72467051070840205</v>
          </cell>
          <cell r="EN289">
            <v>190.43137254901958</v>
          </cell>
          <cell r="EO289">
            <v>190.43137254901958</v>
          </cell>
          <cell r="EP289">
            <v>380.86274509803917</v>
          </cell>
        </row>
        <row r="290">
          <cell r="F290">
            <v>393384</v>
          </cell>
          <cell r="G290" t="str">
            <v>INSUMO SEMI-ELABORADO BIZCOCHO VEGANO</v>
          </cell>
          <cell r="H290">
            <v>54</v>
          </cell>
          <cell r="O290">
            <v>120</v>
          </cell>
          <cell r="P290">
            <v>510</v>
          </cell>
          <cell r="Q290">
            <v>569</v>
          </cell>
          <cell r="R290">
            <v>450</v>
          </cell>
          <cell r="T290">
            <v>480</v>
          </cell>
          <cell r="U290">
            <v>234</v>
          </cell>
          <cell r="V290">
            <v>720</v>
          </cell>
          <cell r="W290">
            <v>876</v>
          </cell>
          <cell r="X290">
            <v>985</v>
          </cell>
          <cell r="Y290">
            <v>312</v>
          </cell>
          <cell r="Z290">
            <v>216</v>
          </cell>
          <cell r="AA290">
            <v>242</v>
          </cell>
          <cell r="AB290">
            <v>366</v>
          </cell>
          <cell r="AC290">
            <v>468</v>
          </cell>
          <cell r="AD290">
            <v>1348</v>
          </cell>
          <cell r="AE290">
            <v>144</v>
          </cell>
          <cell r="AF290">
            <v>444</v>
          </cell>
          <cell r="AG290">
            <v>487</v>
          </cell>
          <cell r="AH290">
            <v>600</v>
          </cell>
          <cell r="AI290">
            <v>456</v>
          </cell>
          <cell r="AJ290">
            <v>516</v>
          </cell>
          <cell r="AK290">
            <v>792</v>
          </cell>
          <cell r="AL290">
            <v>1442</v>
          </cell>
          <cell r="AQ290">
            <v>1104</v>
          </cell>
          <cell r="AR290">
            <v>93</v>
          </cell>
          <cell r="AV290">
            <v>204</v>
          </cell>
          <cell r="AW290">
            <v>218</v>
          </cell>
          <cell r="AX290">
            <v>1422</v>
          </cell>
          <cell r="AY290">
            <v>36</v>
          </cell>
          <cell r="BB290">
            <v>528</v>
          </cell>
          <cell r="BC290">
            <v>179</v>
          </cell>
          <cell r="BF290">
            <v>510</v>
          </cell>
          <cell r="BG290">
            <v>246</v>
          </cell>
          <cell r="BH290">
            <v>66</v>
          </cell>
          <cell r="BI290">
            <v>270</v>
          </cell>
          <cell r="BJ290">
            <v>306</v>
          </cell>
          <cell r="BK290">
            <v>283</v>
          </cell>
          <cell r="BL290">
            <v>270</v>
          </cell>
          <cell r="BM290">
            <v>600</v>
          </cell>
          <cell r="BO290">
            <v>600</v>
          </cell>
          <cell r="EE290" t="str">
            <v>ACTIVO</v>
          </cell>
          <cell r="EF290" t="str">
            <v>C</v>
          </cell>
          <cell r="EG290">
            <v>540</v>
          </cell>
          <cell r="EH290">
            <v>0</v>
          </cell>
          <cell r="EI290">
            <v>0</v>
          </cell>
          <cell r="EJ290">
            <v>193.41184776828658</v>
          </cell>
          <cell r="EK290">
            <v>0</v>
          </cell>
          <cell r="EL290">
            <v>0</v>
          </cell>
          <cell r="EM290">
            <v>0</v>
          </cell>
          <cell r="EN290">
            <v>0</v>
          </cell>
          <cell r="EO290">
            <v>0</v>
          </cell>
          <cell r="EP290">
            <v>0</v>
          </cell>
        </row>
        <row r="291">
          <cell r="F291">
            <v>300003</v>
          </cell>
          <cell r="G291" t="str">
            <v>GRANA CHOCOLATE</v>
          </cell>
          <cell r="H291">
            <v>120</v>
          </cell>
          <cell r="I291">
            <v>100</v>
          </cell>
          <cell r="J291">
            <v>60</v>
          </cell>
          <cell r="K291">
            <v>120</v>
          </cell>
          <cell r="L291">
            <v>120</v>
          </cell>
          <cell r="M291">
            <v>100</v>
          </cell>
          <cell r="N291">
            <v>80</v>
          </cell>
          <cell r="O291">
            <v>200</v>
          </cell>
          <cell r="P291">
            <v>100</v>
          </cell>
          <cell r="Q291">
            <v>100</v>
          </cell>
          <cell r="R291">
            <v>80</v>
          </cell>
          <cell r="S291">
            <v>60</v>
          </cell>
          <cell r="T291">
            <v>120</v>
          </cell>
          <cell r="U291">
            <v>220</v>
          </cell>
          <cell r="V291">
            <v>100</v>
          </cell>
          <cell r="W291">
            <v>120</v>
          </cell>
          <cell r="X291">
            <v>200</v>
          </cell>
          <cell r="Z291">
            <v>40</v>
          </cell>
          <cell r="AA291">
            <v>80</v>
          </cell>
          <cell r="AB291">
            <v>100</v>
          </cell>
          <cell r="AC291">
            <v>100</v>
          </cell>
          <cell r="AD291">
            <v>80</v>
          </cell>
          <cell r="AE291">
            <v>140</v>
          </cell>
          <cell r="AF291">
            <v>200</v>
          </cell>
          <cell r="AG291">
            <v>180</v>
          </cell>
          <cell r="AH291">
            <v>200</v>
          </cell>
          <cell r="AI291">
            <v>200</v>
          </cell>
          <cell r="AJ291">
            <v>60</v>
          </cell>
          <cell r="AK291">
            <v>160</v>
          </cell>
          <cell r="AL291">
            <v>220</v>
          </cell>
          <cell r="AM291">
            <v>180</v>
          </cell>
          <cell r="AN291">
            <v>120</v>
          </cell>
          <cell r="AO291">
            <v>80</v>
          </cell>
          <cell r="AQ291">
            <v>240</v>
          </cell>
          <cell r="AR291">
            <v>260</v>
          </cell>
          <cell r="AT291">
            <v>180</v>
          </cell>
          <cell r="AU291">
            <v>100</v>
          </cell>
          <cell r="AV291">
            <v>60</v>
          </cell>
          <cell r="AW291">
            <v>360</v>
          </cell>
          <cell r="AX291">
            <v>80</v>
          </cell>
          <cell r="AY291">
            <v>100</v>
          </cell>
          <cell r="AZ291">
            <v>340</v>
          </cell>
          <cell r="BA291">
            <v>220</v>
          </cell>
          <cell r="BB291">
            <v>280</v>
          </cell>
          <cell r="BC291">
            <v>380</v>
          </cell>
          <cell r="BD291">
            <v>220</v>
          </cell>
          <cell r="BE291">
            <v>80</v>
          </cell>
          <cell r="BF291">
            <v>240</v>
          </cell>
          <cell r="BG291">
            <v>220</v>
          </cell>
          <cell r="BH291">
            <v>180</v>
          </cell>
          <cell r="BI291">
            <v>480</v>
          </cell>
          <cell r="BJ291">
            <v>200</v>
          </cell>
          <cell r="BK291">
            <v>380</v>
          </cell>
          <cell r="BL291">
            <v>320</v>
          </cell>
          <cell r="BM291">
            <v>400</v>
          </cell>
          <cell r="BN291">
            <v>360</v>
          </cell>
          <cell r="BO291">
            <v>380</v>
          </cell>
          <cell r="BP291">
            <v>140</v>
          </cell>
          <cell r="BQ291">
            <v>160</v>
          </cell>
          <cell r="BR291">
            <v>420</v>
          </cell>
          <cell r="BS291">
            <v>300</v>
          </cell>
          <cell r="BT291">
            <v>140</v>
          </cell>
          <cell r="BU291">
            <v>60</v>
          </cell>
          <cell r="BV291">
            <v>200</v>
          </cell>
          <cell r="BW291">
            <v>120</v>
          </cell>
          <cell r="BX291">
            <v>200</v>
          </cell>
          <cell r="BY291">
            <v>240</v>
          </cell>
          <cell r="BZ291">
            <v>80</v>
          </cell>
          <cell r="CA291">
            <v>320</v>
          </cell>
          <cell r="CB291">
            <v>100</v>
          </cell>
          <cell r="CC291">
            <v>120</v>
          </cell>
          <cell r="CD291">
            <v>100</v>
          </cell>
          <cell r="CE291">
            <v>200</v>
          </cell>
          <cell r="CF291">
            <v>80</v>
          </cell>
          <cell r="CG291">
            <v>100</v>
          </cell>
          <cell r="CH291">
            <v>220</v>
          </cell>
          <cell r="CI291">
            <v>20</v>
          </cell>
          <cell r="CJ291">
            <v>420</v>
          </cell>
          <cell r="CK291">
            <v>220</v>
          </cell>
          <cell r="CL291">
            <v>300</v>
          </cell>
          <cell r="CM291">
            <v>220</v>
          </cell>
          <cell r="CN291">
            <v>100</v>
          </cell>
          <cell r="CO291">
            <v>400</v>
          </cell>
          <cell r="CP291">
            <v>438.5</v>
          </cell>
          <cell r="CQ291">
            <v>240</v>
          </cell>
          <cell r="CR291">
            <v>108</v>
          </cell>
          <cell r="CS291">
            <v>80</v>
          </cell>
          <cell r="CT291">
            <v>232</v>
          </cell>
          <cell r="CU291">
            <v>160</v>
          </cell>
          <cell r="CV291">
            <v>200</v>
          </cell>
          <cell r="CW291">
            <v>140</v>
          </cell>
          <cell r="CX291">
            <v>140</v>
          </cell>
          <cell r="CY291">
            <v>80</v>
          </cell>
          <cell r="CZ291">
            <v>320</v>
          </cell>
          <cell r="DA291">
            <v>80</v>
          </cell>
          <cell r="DB291">
            <v>240</v>
          </cell>
          <cell r="DC291">
            <v>130</v>
          </cell>
          <cell r="DD291">
            <v>180</v>
          </cell>
          <cell r="DE291">
            <v>40</v>
          </cell>
          <cell r="DF291">
            <v>160</v>
          </cell>
          <cell r="DG291">
            <v>80</v>
          </cell>
          <cell r="DH291">
            <v>40</v>
          </cell>
          <cell r="DI291">
            <v>40</v>
          </cell>
          <cell r="DJ291">
            <v>193.4</v>
          </cell>
          <cell r="DK291">
            <v>85.75</v>
          </cell>
          <cell r="DL291">
            <v>280</v>
          </cell>
          <cell r="DM291">
            <v>240</v>
          </cell>
          <cell r="DN291">
            <v>180</v>
          </cell>
          <cell r="DO291">
            <v>240</v>
          </cell>
          <cell r="DP291">
            <v>260</v>
          </cell>
          <cell r="DQ291">
            <v>162.55000000000001</v>
          </cell>
          <cell r="DR291">
            <v>100</v>
          </cell>
          <cell r="DS291">
            <v>213.3</v>
          </cell>
          <cell r="DT291">
            <v>224.7</v>
          </cell>
          <cell r="DU291">
            <v>280</v>
          </cell>
          <cell r="DV291">
            <v>180</v>
          </cell>
          <cell r="DW291">
            <v>200</v>
          </cell>
          <cell r="DX291">
            <v>220</v>
          </cell>
          <cell r="DY291">
            <v>160</v>
          </cell>
          <cell r="DZ291">
            <v>300</v>
          </cell>
          <cell r="EA291">
            <v>40</v>
          </cell>
          <cell r="EB291">
            <v>202.55</v>
          </cell>
          <cell r="EC291">
            <v>163.5</v>
          </cell>
          <cell r="ED291">
            <v>233.95</v>
          </cell>
          <cell r="EE291" t="str">
            <v>ACTIVO</v>
          </cell>
          <cell r="EF291" t="str">
            <v>C</v>
          </cell>
          <cell r="EG291">
            <v>600</v>
          </cell>
          <cell r="EH291">
            <v>197.76111111111109</v>
          </cell>
          <cell r="EI291">
            <v>32.960185185185182</v>
          </cell>
          <cell r="EJ291">
            <v>119.93063276887403</v>
          </cell>
          <cell r="EK291">
            <v>99.35</v>
          </cell>
          <cell r="EL291">
            <v>99.35</v>
          </cell>
          <cell r="EM291">
            <v>0.5023737955445684</v>
          </cell>
          <cell r="EN291">
            <v>65.920370370370364</v>
          </cell>
          <cell r="EO291">
            <v>65.920370370370364</v>
          </cell>
          <cell r="EP291">
            <v>131.84074074074073</v>
          </cell>
        </row>
        <row r="292">
          <cell r="F292">
            <v>300004</v>
          </cell>
          <cell r="G292" t="str">
            <v>GRANA BLANCA</v>
          </cell>
          <cell r="H292">
            <v>200</v>
          </cell>
          <cell r="I292">
            <v>120</v>
          </cell>
          <cell r="J292">
            <v>80</v>
          </cell>
          <cell r="K292">
            <v>140</v>
          </cell>
          <cell r="L292">
            <v>160</v>
          </cell>
          <cell r="M292">
            <v>100</v>
          </cell>
          <cell r="N292">
            <v>80</v>
          </cell>
          <cell r="O292">
            <v>120</v>
          </cell>
          <cell r="P292">
            <v>160</v>
          </cell>
          <cell r="Q292">
            <v>140</v>
          </cell>
          <cell r="R292">
            <v>60</v>
          </cell>
          <cell r="S292">
            <v>80</v>
          </cell>
          <cell r="T292">
            <v>100</v>
          </cell>
          <cell r="U292">
            <v>180</v>
          </cell>
          <cell r="V292">
            <v>100</v>
          </cell>
          <cell r="W292">
            <v>80</v>
          </cell>
          <cell r="X292">
            <v>100</v>
          </cell>
          <cell r="Z292">
            <v>140</v>
          </cell>
          <cell r="AA292">
            <v>60</v>
          </cell>
          <cell r="AB292">
            <v>120</v>
          </cell>
          <cell r="AC292">
            <v>60</v>
          </cell>
          <cell r="AD292">
            <v>140</v>
          </cell>
          <cell r="AE292">
            <v>180</v>
          </cell>
          <cell r="AF292">
            <v>200</v>
          </cell>
          <cell r="AG292">
            <v>180</v>
          </cell>
          <cell r="AH292">
            <v>200</v>
          </cell>
          <cell r="AI292">
            <v>140</v>
          </cell>
          <cell r="AJ292">
            <v>200</v>
          </cell>
          <cell r="AK292">
            <v>180</v>
          </cell>
          <cell r="AL292">
            <v>200</v>
          </cell>
          <cell r="AM292">
            <v>220</v>
          </cell>
          <cell r="AN292">
            <v>140</v>
          </cell>
          <cell r="AO292">
            <v>160</v>
          </cell>
          <cell r="AP292">
            <v>180</v>
          </cell>
          <cell r="AQ292">
            <v>160</v>
          </cell>
          <cell r="AR292">
            <v>260</v>
          </cell>
          <cell r="AT292">
            <v>300</v>
          </cell>
          <cell r="AU292">
            <v>180</v>
          </cell>
          <cell r="AV292">
            <v>220</v>
          </cell>
          <cell r="AW292">
            <v>100</v>
          </cell>
          <cell r="AX292">
            <v>340</v>
          </cell>
          <cell r="AY292">
            <v>200</v>
          </cell>
          <cell r="AZ292">
            <v>120</v>
          </cell>
          <cell r="BA292">
            <v>460</v>
          </cell>
          <cell r="BB292">
            <v>300</v>
          </cell>
          <cell r="BC292">
            <v>260</v>
          </cell>
          <cell r="BD292">
            <v>360</v>
          </cell>
          <cell r="BE292">
            <v>80</v>
          </cell>
          <cell r="BF292">
            <v>243.905</v>
          </cell>
          <cell r="BG292">
            <v>122.09500000000001</v>
          </cell>
          <cell r="BH292">
            <v>20</v>
          </cell>
          <cell r="BI292">
            <v>20</v>
          </cell>
          <cell r="BJ292">
            <v>162.04</v>
          </cell>
          <cell r="BK292">
            <v>200</v>
          </cell>
          <cell r="BL292">
            <v>380</v>
          </cell>
          <cell r="BM292">
            <v>280</v>
          </cell>
          <cell r="BN292">
            <v>180</v>
          </cell>
          <cell r="BO292">
            <v>300</v>
          </cell>
          <cell r="BP292">
            <v>140</v>
          </cell>
          <cell r="BQ292">
            <v>120</v>
          </cell>
          <cell r="BR292">
            <v>240</v>
          </cell>
          <cell r="BS292">
            <v>240</v>
          </cell>
          <cell r="BT292">
            <v>480</v>
          </cell>
          <cell r="BU292">
            <v>160</v>
          </cell>
          <cell r="BV292">
            <v>220</v>
          </cell>
          <cell r="BW292">
            <v>360</v>
          </cell>
          <cell r="BX292">
            <v>220</v>
          </cell>
          <cell r="BY292">
            <v>240</v>
          </cell>
          <cell r="BZ292">
            <v>120</v>
          </cell>
          <cell r="CA292">
            <v>200</v>
          </cell>
          <cell r="CB292">
            <v>260</v>
          </cell>
          <cell r="CC292">
            <v>200</v>
          </cell>
          <cell r="CD292">
            <v>200</v>
          </cell>
          <cell r="CE292">
            <v>263.255</v>
          </cell>
          <cell r="CF292">
            <v>320</v>
          </cell>
          <cell r="CG292">
            <v>300</v>
          </cell>
          <cell r="CH292">
            <v>160</v>
          </cell>
          <cell r="CI292">
            <v>320</v>
          </cell>
          <cell r="CJ292">
            <v>160</v>
          </cell>
          <cell r="CK292">
            <v>140</v>
          </cell>
          <cell r="CL292">
            <v>140</v>
          </cell>
          <cell r="CM292">
            <v>260</v>
          </cell>
          <cell r="CN292">
            <v>240</v>
          </cell>
          <cell r="CO292">
            <v>240</v>
          </cell>
          <cell r="CP292">
            <v>320</v>
          </cell>
          <cell r="CQ292">
            <v>240</v>
          </cell>
          <cell r="CR292">
            <v>345.95</v>
          </cell>
          <cell r="CS292">
            <v>62.8</v>
          </cell>
          <cell r="CT292">
            <v>240</v>
          </cell>
          <cell r="CU292">
            <v>240</v>
          </cell>
          <cell r="CV292">
            <v>80</v>
          </cell>
          <cell r="CW292">
            <v>141</v>
          </cell>
          <cell r="CX292">
            <v>260</v>
          </cell>
          <cell r="CY292">
            <v>200</v>
          </cell>
          <cell r="CZ292">
            <v>120</v>
          </cell>
          <cell r="DA292">
            <v>340</v>
          </cell>
          <cell r="DB292">
            <v>140</v>
          </cell>
          <cell r="DC292">
            <v>200</v>
          </cell>
          <cell r="DD292">
            <v>180</v>
          </cell>
          <cell r="DE292">
            <v>60</v>
          </cell>
          <cell r="DF292">
            <v>220</v>
          </cell>
          <cell r="DG292">
            <v>140</v>
          </cell>
          <cell r="DH292">
            <v>100</v>
          </cell>
          <cell r="DI292">
            <v>80</v>
          </cell>
          <cell r="DJ292">
            <v>180</v>
          </cell>
          <cell r="DK292">
            <v>320</v>
          </cell>
          <cell r="DL292">
            <v>100</v>
          </cell>
          <cell r="DM292">
            <v>400</v>
          </cell>
          <cell r="DN292">
            <v>220</v>
          </cell>
          <cell r="DO292">
            <v>160</v>
          </cell>
          <cell r="DP292">
            <v>220</v>
          </cell>
          <cell r="DQ292">
            <v>240</v>
          </cell>
          <cell r="DR292">
            <v>240</v>
          </cell>
          <cell r="DS292">
            <v>300</v>
          </cell>
          <cell r="DT292">
            <v>186.9</v>
          </cell>
          <cell r="DU292">
            <v>140</v>
          </cell>
          <cell r="DV292">
            <v>200</v>
          </cell>
          <cell r="DW292">
            <v>140</v>
          </cell>
          <cell r="DX292">
            <v>438.14499999999998</v>
          </cell>
          <cell r="DY292">
            <v>503.9</v>
          </cell>
          <cell r="DZ292">
            <v>160</v>
          </cell>
          <cell r="EA292">
            <v>100</v>
          </cell>
          <cell r="EB292">
            <v>186.5</v>
          </cell>
          <cell r="EC292">
            <v>253.5</v>
          </cell>
          <cell r="ED292">
            <v>196.38</v>
          </cell>
          <cell r="EE292" t="str">
            <v>ACTIVO</v>
          </cell>
          <cell r="EF292" t="str">
            <v>C</v>
          </cell>
          <cell r="EH292">
            <v>234.94138888888887</v>
          </cell>
          <cell r="EI292">
            <v>39.156898148148144</v>
          </cell>
          <cell r="EJ292">
            <v>92.61617229556694</v>
          </cell>
          <cell r="EK292">
            <v>117.75</v>
          </cell>
          <cell r="EL292">
            <v>118.92749999999999</v>
          </cell>
          <cell r="EM292">
            <v>0.5011888307840372</v>
          </cell>
          <cell r="EN292">
            <v>78.313796296296289</v>
          </cell>
          <cell r="EO292">
            <v>78.313796296296289</v>
          </cell>
          <cell r="EP292">
            <v>156.62759259259258</v>
          </cell>
        </row>
        <row r="293">
          <cell r="F293">
            <v>402259</v>
          </cell>
          <cell r="G293" t="str">
            <v>INSUMO SEMI ELABORADO SUB BROWNIE CHOCOLATE VEGANO</v>
          </cell>
          <cell r="H293">
            <v>503</v>
          </cell>
          <cell r="K293">
            <v>208</v>
          </cell>
          <cell r="M293">
            <v>382</v>
          </cell>
          <cell r="N293">
            <v>555</v>
          </cell>
          <cell r="O293">
            <v>640</v>
          </cell>
          <cell r="P293">
            <v>556</v>
          </cell>
          <cell r="Q293">
            <v>882</v>
          </cell>
          <cell r="R293">
            <v>726</v>
          </cell>
          <cell r="S293">
            <v>579</v>
          </cell>
          <cell r="T293">
            <v>90</v>
          </cell>
          <cell r="U293">
            <v>973</v>
          </cell>
          <cell r="V293">
            <v>894</v>
          </cell>
          <cell r="W293">
            <v>1311</v>
          </cell>
          <cell r="EE293" t="str">
            <v>ACTIVO</v>
          </cell>
          <cell r="EF293" t="str">
            <v/>
          </cell>
          <cell r="EG293" t="str">
            <v/>
          </cell>
          <cell r="EH293">
            <v>0</v>
          </cell>
          <cell r="EI293">
            <v>0</v>
          </cell>
          <cell r="EJ293">
            <v>0</v>
          </cell>
          <cell r="EK293">
            <v>0</v>
          </cell>
          <cell r="EL293">
            <v>0</v>
          </cell>
          <cell r="EM293">
            <v>0</v>
          </cell>
          <cell r="EN293">
            <v>0</v>
          </cell>
          <cell r="EO293">
            <v>0</v>
          </cell>
          <cell r="EP293">
            <v>0</v>
          </cell>
        </row>
        <row r="294">
          <cell r="F294">
            <v>104010</v>
          </cell>
          <cell r="G294" t="str">
            <v>SAL FINA</v>
          </cell>
          <cell r="H294">
            <v>200</v>
          </cell>
          <cell r="K294">
            <v>300</v>
          </cell>
          <cell r="M294">
            <v>300</v>
          </cell>
          <cell r="Q294">
            <v>300</v>
          </cell>
          <cell r="U294">
            <v>300</v>
          </cell>
          <cell r="Y294">
            <v>300</v>
          </cell>
          <cell r="AB294">
            <v>300</v>
          </cell>
          <cell r="AD294">
            <v>300</v>
          </cell>
          <cell r="AH294">
            <v>300</v>
          </cell>
          <cell r="AK294">
            <v>300</v>
          </cell>
          <cell r="AN294">
            <v>300</v>
          </cell>
          <cell r="AQ294">
            <v>400</v>
          </cell>
          <cell r="AU294">
            <v>300</v>
          </cell>
          <cell r="AX294">
            <v>300</v>
          </cell>
          <cell r="BC294">
            <v>300</v>
          </cell>
          <cell r="BE294">
            <v>300</v>
          </cell>
          <cell r="BJ294">
            <v>300</v>
          </cell>
          <cell r="BO294">
            <v>400</v>
          </cell>
          <cell r="BS294">
            <v>200</v>
          </cell>
          <cell r="BW294">
            <v>200</v>
          </cell>
          <cell r="BZ294">
            <v>300</v>
          </cell>
          <cell r="CB294">
            <v>200</v>
          </cell>
          <cell r="CE294">
            <v>300</v>
          </cell>
          <cell r="CH294">
            <v>300</v>
          </cell>
          <cell r="CK294">
            <v>200</v>
          </cell>
          <cell r="CM294">
            <v>300</v>
          </cell>
          <cell r="CQ294">
            <v>300</v>
          </cell>
          <cell r="CT294">
            <v>300</v>
          </cell>
          <cell r="CW294">
            <v>400</v>
          </cell>
          <cell r="DA294">
            <v>300</v>
          </cell>
          <cell r="DE294">
            <v>300</v>
          </cell>
          <cell r="DK294">
            <v>200</v>
          </cell>
          <cell r="DM294">
            <v>300</v>
          </cell>
          <cell r="DP294">
            <v>300</v>
          </cell>
          <cell r="DT294">
            <v>300</v>
          </cell>
          <cell r="DW294">
            <v>300</v>
          </cell>
          <cell r="DZ294">
            <v>300</v>
          </cell>
          <cell r="EC294">
            <v>300</v>
          </cell>
          <cell r="EE294" t="str">
            <v>SIN USO</v>
          </cell>
          <cell r="EF294" t="str">
            <v>C</v>
          </cell>
          <cell r="EG294" t="str">
            <v/>
          </cell>
          <cell r="EH294">
            <v>283.33333333333331</v>
          </cell>
          <cell r="EI294">
            <v>47.222222222222221</v>
          </cell>
          <cell r="EJ294">
            <v>63.994047342218394</v>
          </cell>
          <cell r="EK294">
            <v>0</v>
          </cell>
          <cell r="EL294">
            <v>0</v>
          </cell>
          <cell r="EM294">
            <v>0</v>
          </cell>
          <cell r="EN294">
            <v>94.444444444444443</v>
          </cell>
          <cell r="EO294">
            <v>94.444444444444443</v>
          </cell>
          <cell r="EP294">
            <v>188.88888888888889</v>
          </cell>
        </row>
        <row r="295">
          <cell r="F295">
            <v>393387</v>
          </cell>
          <cell r="G295" t="str">
            <v>PORCIÓN TRES LECHES SEMI ELABORADO</v>
          </cell>
          <cell r="I295">
            <v>84</v>
          </cell>
          <cell r="J295">
            <v>9</v>
          </cell>
          <cell r="L295">
            <v>60</v>
          </cell>
          <cell r="M295">
            <v>42</v>
          </cell>
          <cell r="N295">
            <v>70</v>
          </cell>
          <cell r="O295">
            <v>39</v>
          </cell>
          <cell r="R295">
            <v>45</v>
          </cell>
          <cell r="S295">
            <v>39</v>
          </cell>
          <cell r="EE295" t="str">
            <v>SIN USO</v>
          </cell>
          <cell r="EF295" t="str">
            <v/>
          </cell>
          <cell r="EG295" t="str">
            <v/>
          </cell>
          <cell r="EH295">
            <v>0</v>
          </cell>
          <cell r="EI295">
            <v>0</v>
          </cell>
          <cell r="EJ295">
            <v>0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0</v>
          </cell>
          <cell r="EP295">
            <v>0</v>
          </cell>
        </row>
        <row r="296">
          <cell r="F296">
            <v>393415</v>
          </cell>
          <cell r="G296" t="str">
            <v>INSUMO SEMIELABORADO GALLETA DE VINO  MOLIDA</v>
          </cell>
          <cell r="L296">
            <v>80</v>
          </cell>
          <cell r="M296">
            <v>164</v>
          </cell>
          <cell r="V296">
            <v>180</v>
          </cell>
          <cell r="W296">
            <v>120</v>
          </cell>
          <cell r="X296">
            <v>30</v>
          </cell>
          <cell r="Y296">
            <v>80</v>
          </cell>
          <cell r="Z296">
            <v>80</v>
          </cell>
          <cell r="AC296">
            <v>140</v>
          </cell>
          <cell r="AD296">
            <v>80</v>
          </cell>
          <cell r="AE296">
            <v>60</v>
          </cell>
          <cell r="AF296">
            <v>20</v>
          </cell>
          <cell r="AH296">
            <v>160</v>
          </cell>
          <cell r="AI296">
            <v>80</v>
          </cell>
          <cell r="AJ296">
            <v>60</v>
          </cell>
          <cell r="AK296">
            <v>110</v>
          </cell>
          <cell r="AL296">
            <v>30</v>
          </cell>
          <cell r="AN296">
            <v>20</v>
          </cell>
          <cell r="AO296">
            <v>40</v>
          </cell>
          <cell r="BL296">
            <v>65</v>
          </cell>
          <cell r="BM296">
            <v>20</v>
          </cell>
          <cell r="BN296">
            <v>80</v>
          </cell>
          <cell r="BO296">
            <v>80</v>
          </cell>
          <cell r="BP296">
            <v>120</v>
          </cell>
          <cell r="BQ296">
            <v>80</v>
          </cell>
          <cell r="BR296">
            <v>40</v>
          </cell>
          <cell r="BS296">
            <v>140</v>
          </cell>
          <cell r="BT296">
            <v>40</v>
          </cell>
          <cell r="BU296">
            <v>20</v>
          </cell>
          <cell r="BV296">
            <v>40</v>
          </cell>
          <cell r="BW296">
            <v>160</v>
          </cell>
          <cell r="BX296">
            <v>40</v>
          </cell>
          <cell r="CA296">
            <v>40</v>
          </cell>
          <cell r="CB296">
            <v>50</v>
          </cell>
          <cell r="CC296">
            <v>40</v>
          </cell>
          <cell r="CD296">
            <v>100</v>
          </cell>
          <cell r="CE296">
            <v>80</v>
          </cell>
          <cell r="CF296">
            <v>150</v>
          </cell>
          <cell r="CG296">
            <v>200</v>
          </cell>
          <cell r="CH296">
            <v>20</v>
          </cell>
          <cell r="CI296">
            <v>40</v>
          </cell>
          <cell r="CJ296">
            <v>20</v>
          </cell>
          <cell r="CK296">
            <v>60</v>
          </cell>
          <cell r="CL296">
            <v>30</v>
          </cell>
          <cell r="CM296">
            <v>80</v>
          </cell>
          <cell r="CN296">
            <v>152.25</v>
          </cell>
          <cell r="CO296">
            <v>27.75</v>
          </cell>
          <cell r="CP296">
            <v>40</v>
          </cell>
          <cell r="CQ296">
            <v>60</v>
          </cell>
          <cell r="CR296">
            <v>62.8</v>
          </cell>
          <cell r="CS296">
            <v>40</v>
          </cell>
          <cell r="CT296">
            <v>20</v>
          </cell>
          <cell r="CU296">
            <v>60</v>
          </cell>
          <cell r="CV296">
            <v>20</v>
          </cell>
          <cell r="CW296">
            <v>100</v>
          </cell>
          <cell r="CY296">
            <v>80</v>
          </cell>
          <cell r="CZ296">
            <v>100</v>
          </cell>
          <cell r="DA296">
            <v>80</v>
          </cell>
          <cell r="DB296">
            <v>80</v>
          </cell>
          <cell r="DC296">
            <v>80</v>
          </cell>
          <cell r="DD296">
            <v>100</v>
          </cell>
          <cell r="DE296">
            <v>40</v>
          </cell>
          <cell r="DK296">
            <v>40</v>
          </cell>
          <cell r="DM296">
            <v>40</v>
          </cell>
          <cell r="DN296">
            <v>20</v>
          </cell>
          <cell r="DO296">
            <v>20</v>
          </cell>
          <cell r="DP296">
            <v>80</v>
          </cell>
          <cell r="DV296">
            <v>20</v>
          </cell>
          <cell r="DW296">
            <v>80</v>
          </cell>
          <cell r="DX296">
            <v>100</v>
          </cell>
          <cell r="DY296">
            <v>120</v>
          </cell>
          <cell r="DZ296">
            <v>20</v>
          </cell>
          <cell r="EE296" t="str">
            <v>SIN USO</v>
          </cell>
          <cell r="EF296" t="str">
            <v>C</v>
          </cell>
          <cell r="EG296" t="str">
            <v/>
          </cell>
          <cell r="EH296">
            <v>54</v>
          </cell>
          <cell r="EI296">
            <v>9</v>
          </cell>
          <cell r="EJ296">
            <v>43.150581423512151</v>
          </cell>
          <cell r="EK296">
            <v>0</v>
          </cell>
          <cell r="EL296">
            <v>0</v>
          </cell>
          <cell r="EM296">
            <v>0</v>
          </cell>
          <cell r="EN296">
            <v>18</v>
          </cell>
          <cell r="EO296">
            <v>18</v>
          </cell>
          <cell r="EP296">
            <v>36</v>
          </cell>
        </row>
        <row r="297">
          <cell r="F297">
            <v>107310</v>
          </cell>
          <cell r="G297" t="str">
            <v>VINAGRE BLANCO EGC</v>
          </cell>
          <cell r="AL297">
            <v>300</v>
          </cell>
          <cell r="BM297">
            <v>400</v>
          </cell>
          <cell r="BP297">
            <v>400</v>
          </cell>
          <cell r="EE297" t="str">
            <v>SIN USO</v>
          </cell>
          <cell r="EF297" t="str">
            <v>C</v>
          </cell>
          <cell r="EG297" t="str">
            <v/>
          </cell>
          <cell r="EH297">
            <v>0</v>
          </cell>
          <cell r="EI297">
            <v>0</v>
          </cell>
          <cell r="EJ297">
            <v>0</v>
          </cell>
          <cell r="EK297">
            <v>0</v>
          </cell>
          <cell r="EL297">
            <v>0</v>
          </cell>
          <cell r="EM297">
            <v>0</v>
          </cell>
          <cell r="EN297">
            <v>0</v>
          </cell>
          <cell r="EO297">
            <v>0</v>
          </cell>
          <cell r="EP297">
            <v>0</v>
          </cell>
        </row>
        <row r="298">
          <cell r="F298">
            <v>393437</v>
          </cell>
          <cell r="G298" t="str">
            <v>INSUMO INTERPLANTA BIZCOCHO CONFETI 17 CM</v>
          </cell>
          <cell r="AL298">
            <v>936</v>
          </cell>
          <cell r="AM298">
            <v>2192</v>
          </cell>
          <cell r="AN298">
            <v>336</v>
          </cell>
          <cell r="EE298" t="str">
            <v>SIN USO</v>
          </cell>
          <cell r="EF298" t="str">
            <v/>
          </cell>
          <cell r="EG298" t="str">
            <v/>
          </cell>
          <cell r="EH298">
            <v>0</v>
          </cell>
          <cell r="EI298">
            <v>0</v>
          </cell>
          <cell r="EJ298">
            <v>0</v>
          </cell>
          <cell r="EK298">
            <v>0</v>
          </cell>
          <cell r="EL298">
            <v>0</v>
          </cell>
          <cell r="EM298">
            <v>0</v>
          </cell>
          <cell r="EN298">
            <v>0</v>
          </cell>
          <cell r="EO298">
            <v>0</v>
          </cell>
          <cell r="EP298">
            <v>0</v>
          </cell>
        </row>
        <row r="299">
          <cell r="F299">
            <v>106101</v>
          </cell>
          <cell r="G299" t="str">
            <v>VINAGRE WINKLER</v>
          </cell>
          <cell r="J299">
            <v>300</v>
          </cell>
          <cell r="L299">
            <v>400</v>
          </cell>
          <cell r="P299">
            <v>400</v>
          </cell>
          <cell r="S299">
            <v>400</v>
          </cell>
          <cell r="V299">
            <v>295</v>
          </cell>
          <cell r="Y299">
            <v>400</v>
          </cell>
          <cell r="Z299">
            <v>300</v>
          </cell>
          <cell r="AD299">
            <v>400</v>
          </cell>
          <cell r="AF299">
            <v>300</v>
          </cell>
          <cell r="AI299">
            <v>400</v>
          </cell>
          <cell r="AN299">
            <v>245</v>
          </cell>
          <cell r="AP299">
            <v>750</v>
          </cell>
          <cell r="AU299">
            <v>400</v>
          </cell>
          <cell r="AX299">
            <v>400</v>
          </cell>
          <cell r="BA299">
            <v>400</v>
          </cell>
          <cell r="BC299">
            <v>500</v>
          </cell>
          <cell r="BJ299">
            <v>400</v>
          </cell>
          <cell r="CE299">
            <v>400</v>
          </cell>
          <cell r="CL299">
            <v>300</v>
          </cell>
          <cell r="CN299">
            <v>295</v>
          </cell>
          <cell r="CR299">
            <v>400</v>
          </cell>
          <cell r="CZ299">
            <v>300</v>
          </cell>
          <cell r="DD299">
            <v>300</v>
          </cell>
          <cell r="DH299">
            <v>185</v>
          </cell>
          <cell r="DK299">
            <v>115</v>
          </cell>
          <cell r="DN299">
            <v>395</v>
          </cell>
          <cell r="DR299">
            <v>300</v>
          </cell>
          <cell r="DV299">
            <v>300</v>
          </cell>
          <cell r="EE299" t="str">
            <v>SIN USO</v>
          </cell>
          <cell r="EF299" t="str">
            <v>C</v>
          </cell>
          <cell r="EH299">
            <v>277.5</v>
          </cell>
          <cell r="EI299">
            <v>46.25</v>
          </cell>
          <cell r="EJ299">
            <v>74.833147735478832</v>
          </cell>
          <cell r="EK299">
            <v>0</v>
          </cell>
          <cell r="EL299">
            <v>0</v>
          </cell>
          <cell r="EM299">
            <v>0</v>
          </cell>
          <cell r="EN299">
            <v>231.25</v>
          </cell>
          <cell r="EO299">
            <v>92.5</v>
          </cell>
          <cell r="EP299">
            <v>323.75</v>
          </cell>
        </row>
        <row r="300">
          <cell r="F300">
            <v>400216</v>
          </cell>
          <cell r="G300" t="str">
            <v>BIZCOCHO CARROT CAKE PAVESI</v>
          </cell>
          <cell r="DR300">
            <v>20</v>
          </cell>
          <cell r="DS300">
            <v>97</v>
          </cell>
          <cell r="DT300">
            <v>40</v>
          </cell>
          <cell r="DY300">
            <v>3</v>
          </cell>
          <cell r="DZ300">
            <v>129</v>
          </cell>
          <cell r="EA300">
            <v>87</v>
          </cell>
          <cell r="EB300">
            <v>129</v>
          </cell>
          <cell r="ED300">
            <v>110</v>
          </cell>
          <cell r="EE300" t="str">
            <v>ACTIVO</v>
          </cell>
          <cell r="EF300" t="str">
            <v>C</v>
          </cell>
          <cell r="EG300" t="str">
            <v/>
          </cell>
          <cell r="EH300">
            <v>57.8</v>
          </cell>
          <cell r="EI300">
            <v>9.6333333333333329</v>
          </cell>
          <cell r="EJ300">
            <v>0</v>
          </cell>
          <cell r="EK300">
            <v>20</v>
          </cell>
          <cell r="EL300">
            <v>86440</v>
          </cell>
          <cell r="EM300">
            <v>0.34602076124567477</v>
          </cell>
          <cell r="EN300">
            <v>28.9</v>
          </cell>
          <cell r="EO300">
            <v>19.266666666666666</v>
          </cell>
          <cell r="EP300">
            <v>48.166666666666664</v>
          </cell>
        </row>
        <row r="301">
          <cell r="F301">
            <v>107403</v>
          </cell>
          <cell r="G301" t="str">
            <v>VINAGRE VINO BLANCO</v>
          </cell>
          <cell r="AN301">
            <v>30</v>
          </cell>
          <cell r="EE301" t="str">
            <v>SIN USO</v>
          </cell>
          <cell r="EF301" t="str">
            <v/>
          </cell>
          <cell r="EG301" t="str">
            <v/>
          </cell>
          <cell r="EH301">
            <v>0</v>
          </cell>
          <cell r="EI301">
            <v>0</v>
          </cell>
          <cell r="EJ301">
            <v>0</v>
          </cell>
          <cell r="EK301">
            <v>0</v>
          </cell>
          <cell r="EL301">
            <v>0</v>
          </cell>
          <cell r="EM301">
            <v>0</v>
          </cell>
          <cell r="EN301">
            <v>0</v>
          </cell>
          <cell r="EO301">
            <v>0</v>
          </cell>
          <cell r="EP301">
            <v>0</v>
          </cell>
        </row>
        <row r="302">
          <cell r="F302">
            <v>352038</v>
          </cell>
          <cell r="G302" t="str">
            <v>BIZCOCHO VAINILLA 19 cms. 1x18</v>
          </cell>
          <cell r="U302">
            <v>432</v>
          </cell>
          <cell r="EE302" t="str">
            <v>SIN USO</v>
          </cell>
          <cell r="EF302" t="str">
            <v/>
          </cell>
          <cell r="EG302" t="str">
            <v/>
          </cell>
          <cell r="EH302">
            <v>0</v>
          </cell>
          <cell r="EI302">
            <v>0</v>
          </cell>
          <cell r="EJ302">
            <v>0</v>
          </cell>
          <cell r="EK302">
            <v>0</v>
          </cell>
          <cell r="EL302">
            <v>0</v>
          </cell>
          <cell r="EM302">
            <v>0</v>
          </cell>
          <cell r="EN302">
            <v>0</v>
          </cell>
          <cell r="EO302">
            <v>0</v>
          </cell>
          <cell r="EP302">
            <v>0</v>
          </cell>
        </row>
        <row r="303">
          <cell r="F303">
            <v>405345</v>
          </cell>
          <cell r="G303" t="str">
            <v>DISCO PANQUEQUE CHOCOLATE 18 CM ENCOMIENDA TOTTUS</v>
          </cell>
          <cell r="AK303">
            <v>1728</v>
          </cell>
          <cell r="AT303">
            <v>2448</v>
          </cell>
          <cell r="AU303">
            <v>1656</v>
          </cell>
          <cell r="AW303">
            <v>1080</v>
          </cell>
          <cell r="AY303">
            <v>3868</v>
          </cell>
          <cell r="BA303">
            <v>864</v>
          </cell>
          <cell r="BB303">
            <v>3888</v>
          </cell>
          <cell r="BC303">
            <v>4824</v>
          </cell>
          <cell r="BD303">
            <v>346</v>
          </cell>
          <cell r="BG303">
            <v>3814</v>
          </cell>
          <cell r="BJ303">
            <v>1080</v>
          </cell>
          <cell r="BK303">
            <v>2448</v>
          </cell>
          <cell r="BO303">
            <v>2853</v>
          </cell>
          <cell r="BT303">
            <v>1368</v>
          </cell>
          <cell r="BU303">
            <v>8523</v>
          </cell>
          <cell r="BV303">
            <v>7056</v>
          </cell>
          <cell r="BW303">
            <v>936</v>
          </cell>
          <cell r="CA303">
            <v>1686</v>
          </cell>
          <cell r="CD303">
            <v>1008</v>
          </cell>
          <cell r="CL303">
            <v>1080</v>
          </cell>
          <cell r="CM303">
            <v>1152</v>
          </cell>
          <cell r="CN303">
            <v>2160</v>
          </cell>
          <cell r="CO303">
            <v>2021</v>
          </cell>
          <cell r="CP303">
            <v>472</v>
          </cell>
          <cell r="CQ303">
            <v>13248</v>
          </cell>
          <cell r="CR303">
            <v>7416</v>
          </cell>
          <cell r="CV303">
            <v>2408</v>
          </cell>
          <cell r="CW303">
            <v>4536</v>
          </cell>
          <cell r="CX303">
            <v>1944</v>
          </cell>
          <cell r="DB303">
            <v>1944</v>
          </cell>
          <cell r="DE303">
            <v>400</v>
          </cell>
          <cell r="EE303" t="str">
            <v>SIN USO</v>
          </cell>
          <cell r="EF303" t="str">
            <v>C</v>
          </cell>
          <cell r="EG303">
            <v>0</v>
          </cell>
          <cell r="EH303">
            <v>0</v>
          </cell>
          <cell r="EI303">
            <v>0</v>
          </cell>
          <cell r="EJ303">
            <v>3275.7230892037956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</row>
        <row r="304">
          <cell r="F304">
            <v>107112</v>
          </cell>
          <cell r="G304" t="str">
            <v>MERENGUE PURATOS</v>
          </cell>
          <cell r="H304">
            <v>1040</v>
          </cell>
          <cell r="I304">
            <v>955</v>
          </cell>
          <cell r="J304">
            <v>825</v>
          </cell>
          <cell r="K304">
            <v>875</v>
          </cell>
          <cell r="L304">
            <v>970</v>
          </cell>
          <cell r="M304">
            <v>1095</v>
          </cell>
          <cell r="N304">
            <v>760</v>
          </cell>
          <cell r="O304">
            <v>955</v>
          </cell>
          <cell r="P304">
            <v>835</v>
          </cell>
          <cell r="Q304">
            <v>845</v>
          </cell>
          <cell r="R304">
            <v>895</v>
          </cell>
          <cell r="S304">
            <v>985</v>
          </cell>
          <cell r="T304">
            <v>895</v>
          </cell>
          <cell r="U304">
            <v>905</v>
          </cell>
          <cell r="V304">
            <v>975</v>
          </cell>
          <cell r="W304">
            <v>895</v>
          </cell>
          <cell r="X304">
            <v>890</v>
          </cell>
          <cell r="Y304">
            <v>1350</v>
          </cell>
          <cell r="Z304">
            <v>2110</v>
          </cell>
          <cell r="AA304">
            <v>820</v>
          </cell>
          <cell r="AB304">
            <v>980</v>
          </cell>
          <cell r="AC304">
            <v>831</v>
          </cell>
          <cell r="AD304">
            <v>1025</v>
          </cell>
          <cell r="AE304">
            <v>1880</v>
          </cell>
          <cell r="AF304">
            <v>885</v>
          </cell>
          <cell r="AG304">
            <v>1210</v>
          </cell>
          <cell r="AH304">
            <v>1250</v>
          </cell>
          <cell r="AI304">
            <v>1460</v>
          </cell>
          <cell r="AJ304">
            <v>1305</v>
          </cell>
          <cell r="AK304">
            <v>1275</v>
          </cell>
          <cell r="AL304">
            <v>1090</v>
          </cell>
          <cell r="AM304">
            <v>1705</v>
          </cell>
          <cell r="AN304">
            <v>1085</v>
          </cell>
          <cell r="AO304">
            <v>1020</v>
          </cell>
          <cell r="AP304">
            <v>1160</v>
          </cell>
          <cell r="AQ304">
            <v>1135</v>
          </cell>
          <cell r="AR304">
            <v>1255</v>
          </cell>
          <cell r="AS304">
            <v>375</v>
          </cell>
          <cell r="AT304">
            <v>1458.6190000000001</v>
          </cell>
          <cell r="AU304">
            <v>1140</v>
          </cell>
          <cell r="AV304">
            <v>945</v>
          </cell>
          <cell r="AW304">
            <v>980</v>
          </cell>
          <cell r="AX304">
            <v>1065</v>
          </cell>
          <cell r="AY304">
            <v>935</v>
          </cell>
          <cell r="AZ304">
            <v>1175</v>
          </cell>
          <cell r="BA304">
            <v>1140</v>
          </cell>
          <cell r="BB304">
            <v>970</v>
          </cell>
          <cell r="BC304">
            <v>1035</v>
          </cell>
          <cell r="BD304">
            <v>1085</v>
          </cell>
          <cell r="BE304">
            <v>1115</v>
          </cell>
          <cell r="BF304">
            <v>1261</v>
          </cell>
          <cell r="BG304">
            <v>1250</v>
          </cell>
          <cell r="BH304">
            <v>560</v>
          </cell>
          <cell r="BI304">
            <v>950</v>
          </cell>
          <cell r="BJ304">
            <v>640</v>
          </cell>
          <cell r="BK304">
            <v>1175</v>
          </cell>
          <cell r="BL304">
            <v>1095</v>
          </cell>
          <cell r="BM304">
            <v>1075</v>
          </cell>
          <cell r="BN304">
            <v>1175</v>
          </cell>
          <cell r="BO304">
            <v>915</v>
          </cell>
          <cell r="BP304">
            <v>1045</v>
          </cell>
          <cell r="BQ304">
            <v>905</v>
          </cell>
          <cell r="BR304">
            <v>1235</v>
          </cell>
          <cell r="BS304">
            <v>920</v>
          </cell>
          <cell r="BT304">
            <v>945</v>
          </cell>
          <cell r="BU304">
            <v>1015</v>
          </cell>
          <cell r="BV304">
            <v>990</v>
          </cell>
          <cell r="BW304">
            <v>1090</v>
          </cell>
          <cell r="BX304">
            <v>1055</v>
          </cell>
          <cell r="BY304">
            <v>1530</v>
          </cell>
          <cell r="BZ304">
            <v>1885</v>
          </cell>
          <cell r="CA304">
            <v>1005</v>
          </cell>
          <cell r="CB304">
            <v>985</v>
          </cell>
          <cell r="CC304">
            <v>1075</v>
          </cell>
          <cell r="CD304">
            <v>1095</v>
          </cell>
          <cell r="CE304">
            <v>1765</v>
          </cell>
          <cell r="CF304">
            <v>980</v>
          </cell>
          <cell r="CG304">
            <v>1100</v>
          </cell>
          <cell r="CH304">
            <v>1020</v>
          </cell>
          <cell r="CI304">
            <v>1300</v>
          </cell>
          <cell r="CJ304">
            <v>1180</v>
          </cell>
          <cell r="CK304">
            <v>1065</v>
          </cell>
          <cell r="CL304">
            <v>930</v>
          </cell>
          <cell r="CM304">
            <v>1135</v>
          </cell>
          <cell r="CN304">
            <v>1095</v>
          </cell>
          <cell r="CO304">
            <v>1135</v>
          </cell>
          <cell r="CP304">
            <v>1270</v>
          </cell>
          <cell r="CQ304">
            <v>1110</v>
          </cell>
          <cell r="CR304">
            <v>1165</v>
          </cell>
          <cell r="CS304">
            <v>395</v>
          </cell>
          <cell r="CT304">
            <v>1215</v>
          </cell>
          <cell r="CU304">
            <v>1075</v>
          </cell>
          <cell r="CV304">
            <v>1430</v>
          </cell>
          <cell r="CW304">
            <v>930</v>
          </cell>
          <cell r="CX304">
            <v>995</v>
          </cell>
          <cell r="CY304">
            <v>1065</v>
          </cell>
          <cell r="CZ304">
            <v>955</v>
          </cell>
          <cell r="DA304">
            <v>1080</v>
          </cell>
          <cell r="DB304">
            <v>815</v>
          </cell>
          <cell r="DC304">
            <v>1030</v>
          </cell>
          <cell r="DD304">
            <v>995</v>
          </cell>
          <cell r="DE304">
            <v>925</v>
          </cell>
          <cell r="DF304">
            <v>1430</v>
          </cell>
          <cell r="DG304">
            <v>980</v>
          </cell>
          <cell r="DH304">
            <v>530</v>
          </cell>
          <cell r="DI304">
            <v>290</v>
          </cell>
          <cell r="DJ304">
            <v>1000</v>
          </cell>
          <cell r="DK304">
            <v>905</v>
          </cell>
          <cell r="DL304">
            <v>970</v>
          </cell>
          <cell r="DM304">
            <v>905</v>
          </cell>
          <cell r="DN304">
            <v>910</v>
          </cell>
          <cell r="DO304">
            <v>1090</v>
          </cell>
          <cell r="DP304">
            <v>850</v>
          </cell>
          <cell r="DQ304">
            <v>825</v>
          </cell>
          <cell r="DR304">
            <v>910</v>
          </cell>
          <cell r="DS304">
            <v>965</v>
          </cell>
          <cell r="DT304">
            <v>900</v>
          </cell>
          <cell r="DU304">
            <v>1045</v>
          </cell>
          <cell r="DV304">
            <v>1090</v>
          </cell>
          <cell r="DW304">
            <v>940</v>
          </cell>
          <cell r="DX304">
            <v>875</v>
          </cell>
          <cell r="DY304">
            <v>1050</v>
          </cell>
          <cell r="DZ304">
            <v>1300</v>
          </cell>
          <cell r="EA304">
            <v>1820</v>
          </cell>
          <cell r="EB304">
            <v>1235</v>
          </cell>
          <cell r="EC304">
            <v>800</v>
          </cell>
          <cell r="ED304">
            <v>1040</v>
          </cell>
          <cell r="EE304" t="str">
            <v>ACTIVO</v>
          </cell>
          <cell r="EF304" t="str">
            <v>A</v>
          </cell>
          <cell r="EG304">
            <v>500</v>
          </cell>
          <cell r="EH304">
            <v>934.44444444444446</v>
          </cell>
          <cell r="EI304">
            <v>155.74074074074073</v>
          </cell>
          <cell r="EJ304">
            <v>252.0053461432129</v>
          </cell>
          <cell r="EK304">
            <v>995</v>
          </cell>
          <cell r="EL304">
            <v>2673256.5499999998</v>
          </cell>
          <cell r="EM304">
            <v>1.0648038049940547</v>
          </cell>
          <cell r="EN304">
            <v>467.22222222222217</v>
          </cell>
          <cell r="EO304">
            <v>311.48148148148147</v>
          </cell>
          <cell r="EP304">
            <v>778.7037037037037</v>
          </cell>
        </row>
        <row r="305">
          <cell r="F305">
            <v>107210</v>
          </cell>
          <cell r="G305" t="str">
            <v>DISCO MERENGUE PAVESI</v>
          </cell>
          <cell r="H305">
            <v>14544</v>
          </cell>
          <cell r="I305">
            <v>24624</v>
          </cell>
          <cell r="J305">
            <v>8856</v>
          </cell>
          <cell r="K305">
            <v>6480</v>
          </cell>
          <cell r="L305">
            <v>12240</v>
          </cell>
          <cell r="M305">
            <v>23904</v>
          </cell>
          <cell r="N305">
            <v>13680</v>
          </cell>
          <cell r="O305">
            <v>7128</v>
          </cell>
          <cell r="P305">
            <v>5400</v>
          </cell>
          <cell r="Q305">
            <v>7560</v>
          </cell>
          <cell r="R305">
            <v>18000</v>
          </cell>
          <cell r="S305">
            <v>11520</v>
          </cell>
          <cell r="T305">
            <v>11376</v>
          </cell>
          <cell r="U305">
            <v>11448</v>
          </cell>
          <cell r="V305">
            <v>7416</v>
          </cell>
          <cell r="W305">
            <v>9240</v>
          </cell>
          <cell r="X305">
            <v>27000</v>
          </cell>
          <cell r="Y305">
            <v>2520</v>
          </cell>
          <cell r="Z305">
            <v>2880</v>
          </cell>
          <cell r="AA305">
            <v>8640</v>
          </cell>
          <cell r="AB305">
            <v>16920</v>
          </cell>
          <cell r="AC305">
            <v>3240</v>
          </cell>
          <cell r="AD305">
            <v>15804</v>
          </cell>
          <cell r="AE305">
            <v>5472</v>
          </cell>
          <cell r="AF305">
            <v>8028</v>
          </cell>
          <cell r="AG305">
            <v>14868</v>
          </cell>
          <cell r="AH305">
            <v>0</v>
          </cell>
          <cell r="AI305">
            <v>1080</v>
          </cell>
          <cell r="AJ305">
            <v>9720</v>
          </cell>
          <cell r="AK305">
            <v>20484</v>
          </cell>
          <cell r="AL305">
            <v>1080</v>
          </cell>
          <cell r="AN305">
            <v>12456</v>
          </cell>
          <cell r="AO305">
            <v>16920</v>
          </cell>
          <cell r="AP305">
            <v>1080</v>
          </cell>
          <cell r="AR305">
            <v>1080</v>
          </cell>
          <cell r="AS305">
            <v>1080</v>
          </cell>
          <cell r="AT305">
            <v>9864</v>
          </cell>
          <cell r="AU305">
            <v>3672</v>
          </cell>
          <cell r="AV305">
            <v>7416</v>
          </cell>
          <cell r="AW305">
            <v>14418</v>
          </cell>
          <cell r="AX305">
            <v>20160</v>
          </cell>
          <cell r="AY305">
            <v>10080</v>
          </cell>
          <cell r="AZ305">
            <v>16200</v>
          </cell>
          <cell r="BA305">
            <v>6840</v>
          </cell>
          <cell r="BB305">
            <v>30852</v>
          </cell>
          <cell r="BC305">
            <v>13284</v>
          </cell>
          <cell r="BD305">
            <v>31788</v>
          </cell>
          <cell r="BE305">
            <v>26532</v>
          </cell>
          <cell r="BF305">
            <v>20067</v>
          </cell>
          <cell r="BG305">
            <v>2520</v>
          </cell>
          <cell r="BI305">
            <v>16344</v>
          </cell>
          <cell r="BJ305">
            <v>17496</v>
          </cell>
          <cell r="BK305">
            <v>21888</v>
          </cell>
          <cell r="BL305">
            <v>7524</v>
          </cell>
          <cell r="BM305">
            <v>13680</v>
          </cell>
          <cell r="BN305">
            <v>3240</v>
          </cell>
          <cell r="BO305">
            <v>13068</v>
          </cell>
          <cell r="BQ305">
            <v>10380</v>
          </cell>
          <cell r="BR305">
            <v>20664</v>
          </cell>
          <cell r="BS305">
            <v>14976</v>
          </cell>
          <cell r="BT305">
            <v>14364</v>
          </cell>
          <cell r="BU305">
            <v>10224</v>
          </cell>
          <cell r="BV305">
            <v>21780</v>
          </cell>
          <cell r="BW305">
            <v>20684</v>
          </cell>
          <cell r="BX305">
            <v>4788</v>
          </cell>
          <cell r="BY305">
            <v>13572</v>
          </cell>
          <cell r="CA305">
            <v>11448</v>
          </cell>
          <cell r="CB305">
            <v>24012</v>
          </cell>
          <cell r="CC305">
            <v>6984</v>
          </cell>
          <cell r="CD305">
            <v>10908</v>
          </cell>
          <cell r="CF305">
            <v>1836</v>
          </cell>
          <cell r="CG305">
            <v>2576</v>
          </cell>
          <cell r="CH305">
            <v>4128</v>
          </cell>
          <cell r="CI305">
            <v>4356</v>
          </cell>
          <cell r="CJ305">
            <v>6876</v>
          </cell>
          <cell r="CK305">
            <v>9288</v>
          </cell>
          <cell r="CL305">
            <v>7200</v>
          </cell>
          <cell r="CM305">
            <v>10800</v>
          </cell>
          <cell r="CN305">
            <v>12060</v>
          </cell>
          <cell r="CO305">
            <v>4380</v>
          </cell>
          <cell r="CP305">
            <v>12420</v>
          </cell>
          <cell r="CQ305">
            <v>18684</v>
          </cell>
          <cell r="CR305">
            <v>15408</v>
          </cell>
          <cell r="CS305">
            <v>4644</v>
          </cell>
          <cell r="CT305">
            <v>9576</v>
          </cell>
          <cell r="CU305">
            <v>16884</v>
          </cell>
          <cell r="CV305">
            <v>15696</v>
          </cell>
          <cell r="CW305">
            <v>15192</v>
          </cell>
          <cell r="CX305">
            <v>12636</v>
          </cell>
          <cell r="CY305">
            <v>18216</v>
          </cell>
          <cell r="CZ305">
            <v>23868</v>
          </cell>
          <cell r="DA305">
            <v>25560</v>
          </cell>
          <cell r="DB305">
            <v>19512</v>
          </cell>
          <cell r="DC305">
            <v>14904</v>
          </cell>
          <cell r="DD305">
            <v>7416</v>
          </cell>
          <cell r="DE305">
            <v>22572</v>
          </cell>
          <cell r="DF305">
            <v>23040</v>
          </cell>
          <cell r="DG305">
            <v>20052</v>
          </cell>
          <cell r="DH305">
            <v>15408</v>
          </cell>
          <cell r="DI305">
            <v>2304</v>
          </cell>
          <cell r="DJ305">
            <v>39708</v>
          </cell>
          <cell r="DK305">
            <v>37872</v>
          </cell>
          <cell r="DL305">
            <v>28908</v>
          </cell>
          <cell r="DM305">
            <v>2988</v>
          </cell>
          <cell r="DN305">
            <v>936</v>
          </cell>
          <cell r="DO305">
            <v>1368</v>
          </cell>
          <cell r="DP305">
            <v>13968</v>
          </cell>
          <cell r="DQ305">
            <v>1548</v>
          </cell>
          <cell r="DR305">
            <v>10368</v>
          </cell>
          <cell r="DS305">
            <v>8676</v>
          </cell>
          <cell r="DT305">
            <v>11520</v>
          </cell>
          <cell r="DU305">
            <v>6912</v>
          </cell>
          <cell r="DV305">
            <v>24192</v>
          </cell>
          <cell r="DW305">
            <v>22608</v>
          </cell>
          <cell r="DX305">
            <v>15876</v>
          </cell>
          <cell r="DY305">
            <v>42876</v>
          </cell>
          <cell r="DZ305">
            <v>9072</v>
          </cell>
          <cell r="EB305">
            <v>10800</v>
          </cell>
          <cell r="EC305">
            <v>3996</v>
          </cell>
          <cell r="ED305">
            <v>12060</v>
          </cell>
          <cell r="EE305" t="str">
            <v>ACTIVO</v>
          </cell>
          <cell r="EF305" t="str">
            <v>A</v>
          </cell>
          <cell r="EG305">
            <v>864</v>
          </cell>
          <cell r="EH305">
            <v>15650</v>
          </cell>
          <cell r="EI305">
            <v>2608.3333333333335</v>
          </cell>
          <cell r="EJ305">
            <v>6463.273422448824</v>
          </cell>
          <cell r="EK305">
            <v>11052</v>
          </cell>
          <cell r="EL305">
            <v>8528386.3200000003</v>
          </cell>
          <cell r="EM305">
            <v>0.70619808306709264</v>
          </cell>
          <cell r="EN305">
            <v>7825</v>
          </cell>
          <cell r="EO305">
            <v>5216.666666666667</v>
          </cell>
          <cell r="EP305">
            <v>13041.666666666668</v>
          </cell>
        </row>
        <row r="306">
          <cell r="F306">
            <v>405577</v>
          </cell>
          <cell r="G306" t="str">
            <v>INSUMO INTERPLANTA BIZCOCHO TIPO TRES LECHES 19 CM.</v>
          </cell>
          <cell r="CP306">
            <v>780</v>
          </cell>
          <cell r="CQ306">
            <v>765</v>
          </cell>
          <cell r="CR306">
            <v>1110</v>
          </cell>
          <cell r="CS306">
            <v>210</v>
          </cell>
          <cell r="CT306">
            <v>1647</v>
          </cell>
          <cell r="CU306">
            <v>852</v>
          </cell>
          <cell r="CV306">
            <v>855</v>
          </cell>
          <cell r="CW306">
            <v>1004</v>
          </cell>
          <cell r="CX306">
            <v>1050</v>
          </cell>
          <cell r="CY306">
            <v>1170</v>
          </cell>
          <cell r="CZ306">
            <v>998</v>
          </cell>
          <cell r="DA306">
            <v>1005</v>
          </cell>
          <cell r="DB306">
            <v>723</v>
          </cell>
          <cell r="DC306">
            <v>1335</v>
          </cell>
          <cell r="DD306">
            <v>1083</v>
          </cell>
          <cell r="DE306">
            <v>569</v>
          </cell>
          <cell r="DF306">
            <v>526</v>
          </cell>
          <cell r="DG306">
            <v>315</v>
          </cell>
          <cell r="DH306">
            <v>405</v>
          </cell>
          <cell r="DI306">
            <v>120</v>
          </cell>
          <cell r="DJ306">
            <v>450</v>
          </cell>
          <cell r="DK306">
            <v>1340</v>
          </cell>
          <cell r="DL306">
            <v>975</v>
          </cell>
          <cell r="DM306">
            <v>1125</v>
          </cell>
          <cell r="DN306">
            <v>900</v>
          </cell>
          <cell r="DO306">
            <v>1005</v>
          </cell>
          <cell r="DP306">
            <v>820</v>
          </cell>
          <cell r="DQ306">
            <v>1110</v>
          </cell>
          <cell r="DR306">
            <v>1095</v>
          </cell>
          <cell r="DS306">
            <v>1035</v>
          </cell>
          <cell r="DT306">
            <v>1225</v>
          </cell>
          <cell r="DU306">
            <v>1020</v>
          </cell>
          <cell r="DV306">
            <v>960</v>
          </cell>
          <cell r="DW306">
            <v>1260</v>
          </cell>
          <cell r="DX306">
            <v>1305</v>
          </cell>
          <cell r="DY306">
            <v>1440</v>
          </cell>
          <cell r="DZ306">
            <v>2009</v>
          </cell>
          <cell r="EA306">
            <v>2085</v>
          </cell>
          <cell r="EB306">
            <v>1635</v>
          </cell>
          <cell r="EC306">
            <v>1725</v>
          </cell>
          <cell r="ED306">
            <v>1470</v>
          </cell>
          <cell r="EE306" t="str">
            <v>ACTIVO</v>
          </cell>
          <cell r="EF306" t="str">
            <v>B</v>
          </cell>
          <cell r="EG306" t="str">
            <v/>
          </cell>
          <cell r="EH306">
            <v>1066.3333333333333</v>
          </cell>
          <cell r="EI306">
            <v>177.7222222222222</v>
          </cell>
          <cell r="EJ306">
            <v>358.01114850817191</v>
          </cell>
          <cell r="EK306">
            <v>30</v>
          </cell>
          <cell r="EL306">
            <v>32060.1</v>
          </cell>
          <cell r="EM306">
            <v>2.8133791809940609E-2</v>
          </cell>
          <cell r="EN306">
            <v>355.4444444444444</v>
          </cell>
          <cell r="EO306">
            <v>355.4444444444444</v>
          </cell>
          <cell r="EP306">
            <v>710.8888888888888</v>
          </cell>
        </row>
        <row r="307">
          <cell r="F307">
            <v>107321</v>
          </cell>
          <cell r="G307" t="str">
            <v>MERENGUE CONGELABLE PURATOS</v>
          </cell>
          <cell r="AD307">
            <v>1500</v>
          </cell>
          <cell r="EE307" t="str">
            <v>SIN USO</v>
          </cell>
          <cell r="EF307" t="str">
            <v/>
          </cell>
          <cell r="EG307" t="str">
            <v/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</row>
        <row r="308">
          <cell r="F308">
            <v>353001</v>
          </cell>
          <cell r="G308" t="str">
            <v>INSUMO SEMI-ELABORADO INTERPLANTA BIZCOCHO VAINILLA 19cm</v>
          </cell>
          <cell r="H308">
            <v>12510</v>
          </cell>
          <cell r="I308">
            <v>9826</v>
          </cell>
          <cell r="J308">
            <v>12870</v>
          </cell>
          <cell r="K308">
            <v>16554</v>
          </cell>
          <cell r="L308">
            <v>15354</v>
          </cell>
          <cell r="M308">
            <v>12222</v>
          </cell>
          <cell r="N308">
            <v>12708</v>
          </cell>
          <cell r="O308">
            <v>14310</v>
          </cell>
          <cell r="P308">
            <v>11196</v>
          </cell>
          <cell r="Q308">
            <v>10278</v>
          </cell>
          <cell r="R308">
            <v>12744</v>
          </cell>
          <cell r="S308">
            <v>5172</v>
          </cell>
          <cell r="T308">
            <v>9036.6919999999991</v>
          </cell>
          <cell r="U308">
            <v>14724</v>
          </cell>
          <cell r="V308">
            <v>15930</v>
          </cell>
          <cell r="W308">
            <v>13266</v>
          </cell>
          <cell r="X308">
            <v>12186</v>
          </cell>
          <cell r="Y308">
            <v>15066</v>
          </cell>
          <cell r="Z308">
            <v>19134</v>
          </cell>
          <cell r="AA308">
            <v>16164</v>
          </cell>
          <cell r="AB308">
            <v>15300</v>
          </cell>
          <cell r="AC308">
            <v>13752</v>
          </cell>
          <cell r="AD308">
            <v>11930</v>
          </cell>
          <cell r="AE308">
            <v>11232</v>
          </cell>
          <cell r="AF308">
            <v>13788</v>
          </cell>
          <cell r="AG308">
            <v>14202</v>
          </cell>
          <cell r="AH308">
            <v>13500</v>
          </cell>
          <cell r="AI308">
            <v>11646</v>
          </cell>
          <cell r="AJ308">
            <v>12510</v>
          </cell>
          <cell r="AK308">
            <v>12420</v>
          </cell>
          <cell r="AL308">
            <v>12924</v>
          </cell>
          <cell r="AM308">
            <v>16200</v>
          </cell>
          <cell r="AN308">
            <v>13590</v>
          </cell>
          <cell r="AO308">
            <v>11466</v>
          </cell>
          <cell r="AP308">
            <v>12636</v>
          </cell>
          <cell r="AQ308">
            <v>13842</v>
          </cell>
          <cell r="AR308">
            <v>12438</v>
          </cell>
          <cell r="AS308">
            <v>7092</v>
          </cell>
          <cell r="AT308">
            <v>14220</v>
          </cell>
          <cell r="AU308">
            <v>12726</v>
          </cell>
          <cell r="AV308">
            <v>15372</v>
          </cell>
          <cell r="AW308">
            <v>8280</v>
          </cell>
          <cell r="AX308">
            <v>17770</v>
          </cell>
          <cell r="AY308">
            <v>15210</v>
          </cell>
          <cell r="AZ308">
            <v>9702</v>
          </cell>
          <cell r="BA308">
            <v>17064</v>
          </cell>
          <cell r="BB308">
            <v>13320</v>
          </cell>
          <cell r="BC308">
            <v>14274</v>
          </cell>
          <cell r="BD308">
            <v>17262</v>
          </cell>
          <cell r="BE308">
            <v>10134</v>
          </cell>
          <cell r="BF308">
            <v>13464</v>
          </cell>
          <cell r="BG308">
            <v>14174</v>
          </cell>
          <cell r="BH308">
            <v>3528</v>
          </cell>
          <cell r="BI308">
            <v>4230</v>
          </cell>
          <cell r="BJ308">
            <v>9756</v>
          </cell>
          <cell r="BK308">
            <v>17581</v>
          </cell>
          <cell r="BL308">
            <v>9738</v>
          </cell>
          <cell r="BM308">
            <v>18108</v>
          </cell>
          <cell r="BN308">
            <v>8280</v>
          </cell>
          <cell r="BO308">
            <v>9498</v>
          </cell>
          <cell r="BP308">
            <v>7632</v>
          </cell>
          <cell r="BQ308">
            <v>14162</v>
          </cell>
          <cell r="BR308">
            <v>11173</v>
          </cell>
          <cell r="BS308">
            <v>5764</v>
          </cell>
          <cell r="BT308">
            <v>17028</v>
          </cell>
          <cell r="BU308">
            <v>5922</v>
          </cell>
          <cell r="BV308">
            <v>10962</v>
          </cell>
          <cell r="BW308">
            <v>16164</v>
          </cell>
          <cell r="BX308">
            <v>7650</v>
          </cell>
          <cell r="BY308">
            <v>13494</v>
          </cell>
          <cell r="BZ308">
            <v>18510</v>
          </cell>
          <cell r="CA308">
            <v>15354</v>
          </cell>
          <cell r="CB308">
            <v>19044</v>
          </cell>
          <cell r="CC308">
            <v>13248</v>
          </cell>
          <cell r="CD308">
            <v>10638</v>
          </cell>
          <cell r="CE308">
            <v>11880</v>
          </cell>
          <cell r="CF308">
            <v>13284</v>
          </cell>
          <cell r="CG308">
            <v>16024</v>
          </cell>
          <cell r="CH308">
            <v>5130</v>
          </cell>
          <cell r="CI308">
            <v>9648</v>
          </cell>
          <cell r="CJ308">
            <v>9090</v>
          </cell>
          <cell r="CK308">
            <v>10026</v>
          </cell>
          <cell r="CL308">
            <v>11988</v>
          </cell>
          <cell r="CM308">
            <v>14292</v>
          </cell>
          <cell r="CN308">
            <v>13894</v>
          </cell>
          <cell r="CO308">
            <v>15192</v>
          </cell>
          <cell r="CP308">
            <v>7866</v>
          </cell>
          <cell r="CQ308">
            <v>10890</v>
          </cell>
          <cell r="CR308">
            <v>20124</v>
          </cell>
          <cell r="CS308">
            <v>8460</v>
          </cell>
          <cell r="CT308">
            <v>10563</v>
          </cell>
          <cell r="CU308">
            <v>9666</v>
          </cell>
          <cell r="CV308">
            <v>13626</v>
          </cell>
          <cell r="CW308">
            <v>17658</v>
          </cell>
          <cell r="CX308">
            <v>12782</v>
          </cell>
          <cell r="CY308">
            <v>13500</v>
          </cell>
          <cell r="CZ308">
            <v>8406</v>
          </cell>
          <cell r="DA308">
            <v>10566</v>
          </cell>
          <cell r="DB308">
            <v>9630</v>
          </cell>
          <cell r="DC308">
            <v>14130</v>
          </cell>
          <cell r="DD308">
            <v>8190</v>
          </cell>
          <cell r="DE308">
            <v>7722</v>
          </cell>
          <cell r="DF308">
            <v>14221</v>
          </cell>
          <cell r="DG308">
            <v>7021</v>
          </cell>
          <cell r="DH308">
            <v>3438</v>
          </cell>
          <cell r="DI308">
            <v>3060</v>
          </cell>
          <cell r="DJ308">
            <v>11466</v>
          </cell>
          <cell r="DK308">
            <v>12366</v>
          </cell>
          <cell r="DL308">
            <v>8892</v>
          </cell>
          <cell r="DM308">
            <v>18900</v>
          </cell>
          <cell r="DN308">
            <v>12888</v>
          </cell>
          <cell r="DO308">
            <v>13662</v>
          </cell>
          <cell r="DP308">
            <v>6534</v>
          </cell>
          <cell r="DQ308">
            <v>8838</v>
          </cell>
          <cell r="DR308">
            <v>9169</v>
          </cell>
          <cell r="DS308">
            <v>14706</v>
          </cell>
          <cell r="DT308">
            <v>15336</v>
          </cell>
          <cell r="DU308">
            <v>9914</v>
          </cell>
          <cell r="DV308">
            <v>11538</v>
          </cell>
          <cell r="DW308">
            <v>5508</v>
          </cell>
          <cell r="DX308">
            <v>13681</v>
          </cell>
          <cell r="DY308">
            <v>24570</v>
          </cell>
          <cell r="DZ308">
            <v>11142</v>
          </cell>
          <cell r="EA308">
            <v>8694</v>
          </cell>
          <cell r="EB308">
            <v>14742</v>
          </cell>
          <cell r="EC308">
            <v>15678</v>
          </cell>
          <cell r="ED308">
            <v>5436</v>
          </cell>
          <cell r="EE308" t="str">
            <v>ACTIVO</v>
          </cell>
          <cell r="EF308" t="str">
            <v>A</v>
          </cell>
          <cell r="EG308">
            <v>540</v>
          </cell>
          <cell r="EH308">
            <v>11787.222222222223</v>
          </cell>
          <cell r="EI308">
            <v>1964.5370370370372</v>
          </cell>
          <cell r="EJ308">
            <v>4139.1815521459721</v>
          </cell>
          <cell r="EK308">
            <v>1818</v>
          </cell>
          <cell r="EL308">
            <v>1523974.86</v>
          </cell>
          <cell r="EM308">
            <v>0.15423481170759296</v>
          </cell>
          <cell r="EN308">
            <v>3929.0740740740744</v>
          </cell>
          <cell r="EO308">
            <v>3929.0740740740744</v>
          </cell>
          <cell r="EP308">
            <v>7858.1481481481487</v>
          </cell>
        </row>
        <row r="309">
          <cell r="F309">
            <v>353009</v>
          </cell>
          <cell r="G309" t="str">
            <v>DISCO PANQUEQUE VAINILLA SEMI-ELAB UND</v>
          </cell>
          <cell r="ED309">
            <v>22248</v>
          </cell>
          <cell r="EE309" t="str">
            <v>ACTIVO</v>
          </cell>
          <cell r="EF309" t="str">
            <v/>
          </cell>
          <cell r="EG309">
            <v>2160</v>
          </cell>
          <cell r="EH309">
            <v>0</v>
          </cell>
          <cell r="EI309">
            <v>0</v>
          </cell>
          <cell r="EJ309">
            <v>0</v>
          </cell>
          <cell r="EK309">
            <v>23890</v>
          </cell>
          <cell r="EL309">
            <v>3632235.6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</row>
        <row r="310">
          <cell r="G310" t="str">
            <v>DISCO PANQUEQUE VAINILLA 19 CM. SEMI ELABORADO UND</v>
          </cell>
          <cell r="H310">
            <v>73800</v>
          </cell>
          <cell r="I310">
            <v>56016</v>
          </cell>
          <cell r="J310">
            <v>105624</v>
          </cell>
          <cell r="K310">
            <v>97848</v>
          </cell>
          <cell r="L310">
            <v>77022</v>
          </cell>
          <cell r="M310">
            <v>70704</v>
          </cell>
          <cell r="N310">
            <v>64080</v>
          </cell>
          <cell r="O310">
            <v>48168</v>
          </cell>
          <cell r="P310">
            <v>80424</v>
          </cell>
          <cell r="Q310">
            <v>58392</v>
          </cell>
          <cell r="R310">
            <v>64800</v>
          </cell>
          <cell r="S310">
            <v>40248</v>
          </cell>
          <cell r="T310">
            <v>57744</v>
          </cell>
          <cell r="U310">
            <v>71352</v>
          </cell>
          <cell r="V310">
            <v>58608</v>
          </cell>
          <cell r="W310">
            <v>75600</v>
          </cell>
          <cell r="X310">
            <v>106128</v>
          </cell>
          <cell r="Y310">
            <v>53928</v>
          </cell>
          <cell r="Z310">
            <v>39240</v>
          </cell>
          <cell r="AA310">
            <v>68976</v>
          </cell>
          <cell r="AB310">
            <v>65664</v>
          </cell>
          <cell r="AC310">
            <v>71568</v>
          </cell>
          <cell r="AD310">
            <v>73296</v>
          </cell>
          <cell r="AE310">
            <v>65880</v>
          </cell>
          <cell r="AF310">
            <v>75384</v>
          </cell>
          <cell r="AG310">
            <v>69624</v>
          </cell>
          <cell r="AH310">
            <v>74448</v>
          </cell>
          <cell r="AI310">
            <v>68688</v>
          </cell>
          <cell r="AJ310">
            <v>58464</v>
          </cell>
          <cell r="AK310">
            <v>52488</v>
          </cell>
          <cell r="AL310">
            <v>69336</v>
          </cell>
          <cell r="AM310">
            <v>69480</v>
          </cell>
          <cell r="AN310">
            <v>51408</v>
          </cell>
          <cell r="AO310">
            <v>58248</v>
          </cell>
          <cell r="AP310">
            <v>62496</v>
          </cell>
          <cell r="AQ310">
            <v>67536</v>
          </cell>
          <cell r="AR310">
            <v>63504</v>
          </cell>
          <cell r="AS310">
            <v>46440</v>
          </cell>
          <cell r="AT310">
            <v>42048</v>
          </cell>
          <cell r="AU310">
            <v>45144</v>
          </cell>
          <cell r="AV310">
            <v>67032</v>
          </cell>
          <cell r="AW310">
            <v>72504</v>
          </cell>
          <cell r="AX310">
            <v>78768</v>
          </cell>
          <cell r="AY310">
            <v>78768</v>
          </cell>
          <cell r="AZ310">
            <v>42552</v>
          </cell>
          <cell r="BA310">
            <v>42840</v>
          </cell>
          <cell r="BB310">
            <v>87696</v>
          </cell>
          <cell r="BC310">
            <v>42408</v>
          </cell>
          <cell r="BD310">
            <v>47232</v>
          </cell>
          <cell r="BE310">
            <v>64512</v>
          </cell>
          <cell r="BF310">
            <v>57744</v>
          </cell>
          <cell r="BG310">
            <v>63720</v>
          </cell>
          <cell r="BH310">
            <v>23616</v>
          </cell>
          <cell r="BI310">
            <v>35496</v>
          </cell>
          <cell r="BJ310">
            <v>55440</v>
          </cell>
          <cell r="BK310">
            <v>99603</v>
          </cell>
          <cell r="BL310">
            <v>83448</v>
          </cell>
          <cell r="BM310">
            <v>65232</v>
          </cell>
          <cell r="BN310">
            <v>74017</v>
          </cell>
          <cell r="BO310">
            <v>88704</v>
          </cell>
          <cell r="BP310">
            <v>35712</v>
          </cell>
          <cell r="BQ310">
            <v>39960</v>
          </cell>
          <cell r="BR310">
            <v>71424</v>
          </cell>
          <cell r="BS310">
            <v>96048</v>
          </cell>
          <cell r="BT310">
            <v>97272</v>
          </cell>
          <cell r="BU310">
            <v>30762</v>
          </cell>
          <cell r="BV310">
            <v>45792</v>
          </cell>
          <cell r="BW310">
            <v>55944</v>
          </cell>
          <cell r="BX310">
            <v>88632</v>
          </cell>
          <cell r="BY310">
            <v>71208</v>
          </cell>
          <cell r="BZ310">
            <v>33192</v>
          </cell>
          <cell r="CA310">
            <v>29736</v>
          </cell>
          <cell r="CB310">
            <v>81576</v>
          </cell>
          <cell r="CC310">
            <v>61560</v>
          </cell>
          <cell r="CD310">
            <v>45792</v>
          </cell>
          <cell r="CE310">
            <v>25416</v>
          </cell>
          <cell r="CF310">
            <v>34200</v>
          </cell>
          <cell r="CG310">
            <v>50400</v>
          </cell>
          <cell r="CH310">
            <v>29880</v>
          </cell>
          <cell r="CI310">
            <v>80856</v>
          </cell>
          <cell r="CJ310">
            <v>22370</v>
          </cell>
          <cell r="CK310">
            <v>79776</v>
          </cell>
          <cell r="CL310">
            <v>47520</v>
          </cell>
          <cell r="CM310">
            <v>62748</v>
          </cell>
          <cell r="CN310">
            <v>79128</v>
          </cell>
          <cell r="CO310">
            <v>54576</v>
          </cell>
          <cell r="CP310">
            <v>81900</v>
          </cell>
          <cell r="CQ310">
            <v>74808</v>
          </cell>
          <cell r="CR310">
            <v>78192</v>
          </cell>
          <cell r="CS310">
            <v>47520</v>
          </cell>
          <cell r="CT310">
            <v>62352</v>
          </cell>
          <cell r="CU310">
            <v>25992</v>
          </cell>
          <cell r="CV310">
            <v>64368</v>
          </cell>
          <cell r="CW310">
            <v>36504</v>
          </cell>
          <cell r="CX310">
            <v>94536</v>
          </cell>
          <cell r="CY310">
            <v>30024</v>
          </cell>
          <cell r="CZ310">
            <v>68400</v>
          </cell>
          <cell r="DA310">
            <v>102816</v>
          </cell>
          <cell r="DB310">
            <v>77112</v>
          </cell>
          <cell r="DC310">
            <v>57726</v>
          </cell>
          <cell r="DD310">
            <v>14832</v>
          </cell>
          <cell r="DE310">
            <v>38376</v>
          </cell>
          <cell r="DF310">
            <v>35280</v>
          </cell>
          <cell r="DG310">
            <v>17280</v>
          </cell>
          <cell r="DH310">
            <v>7560</v>
          </cell>
          <cell r="DI310">
            <v>10512</v>
          </cell>
          <cell r="DJ310">
            <v>62064</v>
          </cell>
          <cell r="DK310">
            <v>74664</v>
          </cell>
          <cell r="DL310">
            <v>58176</v>
          </cell>
          <cell r="DM310">
            <v>86184</v>
          </cell>
          <cell r="DN310">
            <v>74736</v>
          </cell>
          <cell r="DO310">
            <v>32472</v>
          </cell>
          <cell r="DP310">
            <v>45864</v>
          </cell>
          <cell r="DQ310">
            <v>55008</v>
          </cell>
          <cell r="DR310">
            <v>61632</v>
          </cell>
          <cell r="DS310">
            <v>50096</v>
          </cell>
          <cell r="DT310">
            <v>28944</v>
          </cell>
          <cell r="DU310">
            <v>47068</v>
          </cell>
          <cell r="DV310">
            <v>31464</v>
          </cell>
          <cell r="DW310">
            <v>50544</v>
          </cell>
          <cell r="DX310">
            <v>72504</v>
          </cell>
          <cell r="DY310">
            <v>131544</v>
          </cell>
          <cell r="DZ310">
            <v>38784</v>
          </cell>
          <cell r="EA310">
            <v>19032</v>
          </cell>
          <cell r="EB310">
            <v>79968</v>
          </cell>
          <cell r="EC310">
            <v>54720</v>
          </cell>
          <cell r="ED310">
            <v>40896</v>
          </cell>
          <cell r="EE310" t="str">
            <v>ACTIVO</v>
          </cell>
          <cell r="EF310" t="str">
            <v>A</v>
          </cell>
          <cell r="EG310" t="str">
            <v/>
          </cell>
          <cell r="EH310">
            <v>56236.666666666664</v>
          </cell>
          <cell r="EI310">
            <v>9372.7777777777774</v>
          </cell>
          <cell r="EJ310">
            <v>25248.590119384702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18745.555555555555</v>
          </cell>
          <cell r="EP310">
            <v>18745.555555555555</v>
          </cell>
        </row>
        <row r="311">
          <cell r="F311">
            <v>362029</v>
          </cell>
          <cell r="G311" t="str">
            <v>PLANCHA DE HOJA  42X36X1 cm (1x12)</v>
          </cell>
          <cell r="H311">
            <v>940</v>
          </cell>
          <cell r="I311">
            <v>1180</v>
          </cell>
          <cell r="J311">
            <v>1412</v>
          </cell>
          <cell r="K311">
            <v>1096</v>
          </cell>
          <cell r="L311">
            <v>1280</v>
          </cell>
          <cell r="M311">
            <v>1696</v>
          </cell>
          <cell r="N311">
            <v>1188</v>
          </cell>
          <cell r="O311">
            <v>1816</v>
          </cell>
          <cell r="P311">
            <v>864</v>
          </cell>
          <cell r="Q311">
            <v>1728</v>
          </cell>
          <cell r="R311">
            <v>1296</v>
          </cell>
          <cell r="S311">
            <v>1296</v>
          </cell>
          <cell r="T311">
            <v>864</v>
          </cell>
          <cell r="U311">
            <v>864</v>
          </cell>
          <cell r="V311">
            <v>1728</v>
          </cell>
          <cell r="W311">
            <v>1108</v>
          </cell>
          <cell r="X311">
            <v>864</v>
          </cell>
          <cell r="Y311">
            <v>864</v>
          </cell>
          <cell r="Z311">
            <v>864</v>
          </cell>
          <cell r="AA311">
            <v>432</v>
          </cell>
          <cell r="AB311">
            <v>1008</v>
          </cell>
          <cell r="AC311">
            <v>1296</v>
          </cell>
          <cell r="AD311">
            <v>1288</v>
          </cell>
          <cell r="AE311">
            <v>432</v>
          </cell>
          <cell r="AF311">
            <v>740</v>
          </cell>
          <cell r="AG311">
            <v>1296</v>
          </cell>
          <cell r="AH311">
            <v>1560</v>
          </cell>
          <cell r="AI311">
            <v>864</v>
          </cell>
          <cell r="AJ311">
            <v>1296</v>
          </cell>
          <cell r="AK311">
            <v>996</v>
          </cell>
          <cell r="AL311">
            <v>900</v>
          </cell>
          <cell r="AM311">
            <v>844</v>
          </cell>
          <cell r="AN311">
            <v>1320</v>
          </cell>
          <cell r="AO311">
            <v>1138</v>
          </cell>
          <cell r="AP311">
            <v>888</v>
          </cell>
          <cell r="AQ311">
            <v>900</v>
          </cell>
          <cell r="AR311">
            <v>736</v>
          </cell>
          <cell r="AT311">
            <v>1356</v>
          </cell>
          <cell r="AU311">
            <v>756</v>
          </cell>
          <cell r="AV311">
            <v>310</v>
          </cell>
          <cell r="BK311">
            <v>904</v>
          </cell>
          <cell r="CG311">
            <v>1296</v>
          </cell>
          <cell r="CX311">
            <v>432</v>
          </cell>
          <cell r="DQ311">
            <v>444</v>
          </cell>
          <cell r="DR311">
            <v>444</v>
          </cell>
          <cell r="DV311">
            <v>444</v>
          </cell>
          <cell r="EB311">
            <v>900</v>
          </cell>
          <cell r="EC311">
            <v>900</v>
          </cell>
          <cell r="EE311" t="str">
            <v>ACTIVO</v>
          </cell>
          <cell r="EF311" t="str">
            <v>C</v>
          </cell>
          <cell r="EG311" t="str">
            <v/>
          </cell>
          <cell r="EH311">
            <v>444</v>
          </cell>
          <cell r="EI311">
            <v>74</v>
          </cell>
          <cell r="EJ311">
            <v>432.61684356175181</v>
          </cell>
          <cell r="EK311">
            <v>0</v>
          </cell>
          <cell r="EL311">
            <v>0</v>
          </cell>
          <cell r="EM311">
            <v>0</v>
          </cell>
          <cell r="EN311">
            <v>148</v>
          </cell>
          <cell r="EO311">
            <v>148</v>
          </cell>
          <cell r="EP311">
            <v>296</v>
          </cell>
        </row>
        <row r="312">
          <cell r="F312">
            <v>362099</v>
          </cell>
          <cell r="G312" t="str">
            <v>GRANA DE HOJA</v>
          </cell>
          <cell r="H312">
            <v>30</v>
          </cell>
          <cell r="I312">
            <v>90</v>
          </cell>
          <cell r="J312">
            <v>135</v>
          </cell>
          <cell r="K312">
            <v>210</v>
          </cell>
          <cell r="L312">
            <v>165</v>
          </cell>
          <cell r="M312">
            <v>195</v>
          </cell>
          <cell r="N312">
            <v>210</v>
          </cell>
          <cell r="O312">
            <v>240</v>
          </cell>
          <cell r="P312">
            <v>120</v>
          </cell>
          <cell r="Y312">
            <v>45</v>
          </cell>
          <cell r="Z312">
            <v>295</v>
          </cell>
          <cell r="AE312">
            <v>310</v>
          </cell>
          <cell r="AF312">
            <v>0</v>
          </cell>
          <cell r="AV312">
            <v>40</v>
          </cell>
          <cell r="AW312">
            <v>90</v>
          </cell>
          <cell r="AX312">
            <v>150</v>
          </cell>
          <cell r="AY312">
            <v>60</v>
          </cell>
          <cell r="BC312">
            <v>95</v>
          </cell>
          <cell r="BD312">
            <v>190</v>
          </cell>
          <cell r="BE312">
            <v>15</v>
          </cell>
          <cell r="BG312">
            <v>60</v>
          </cell>
          <cell r="BL312">
            <v>75</v>
          </cell>
          <cell r="BM312">
            <v>135</v>
          </cell>
          <cell r="BN312">
            <v>120</v>
          </cell>
          <cell r="BO312">
            <v>95</v>
          </cell>
          <cell r="BP312">
            <v>45</v>
          </cell>
          <cell r="BQ312">
            <v>135</v>
          </cell>
          <cell r="BR312">
            <v>80</v>
          </cell>
          <cell r="BS312">
            <v>45</v>
          </cell>
          <cell r="BT312">
            <v>60</v>
          </cell>
          <cell r="BU312">
            <v>15</v>
          </cell>
          <cell r="BV312">
            <v>90</v>
          </cell>
          <cell r="BW312">
            <v>115</v>
          </cell>
          <cell r="BX312">
            <v>80</v>
          </cell>
          <cell r="DE312">
            <v>135</v>
          </cell>
          <cell r="DF312">
            <v>88</v>
          </cell>
          <cell r="DO312">
            <v>250</v>
          </cell>
          <cell r="DP312">
            <v>200</v>
          </cell>
          <cell r="DQ312">
            <v>98.25</v>
          </cell>
          <cell r="DV312">
            <v>147.9</v>
          </cell>
          <cell r="DW312">
            <v>182.9</v>
          </cell>
          <cell r="DX312">
            <v>67</v>
          </cell>
          <cell r="EE312" t="str">
            <v>ACTIVO</v>
          </cell>
          <cell r="EF312" t="str">
            <v>C</v>
          </cell>
          <cell r="EG312" t="str">
            <v/>
          </cell>
          <cell r="EH312">
            <v>157.67499999999998</v>
          </cell>
          <cell r="EI312">
            <v>26.279166666666665</v>
          </cell>
          <cell r="EJ312">
            <v>36.388512054270777</v>
          </cell>
          <cell r="EK312">
            <v>0</v>
          </cell>
          <cell r="EL312">
            <v>0</v>
          </cell>
          <cell r="EM312">
            <v>0</v>
          </cell>
          <cell r="EN312">
            <v>52.55833333333333</v>
          </cell>
          <cell r="EO312">
            <v>52.55833333333333</v>
          </cell>
          <cell r="EP312">
            <v>105.11666666666666</v>
          </cell>
        </row>
        <row r="313">
          <cell r="F313">
            <v>362105</v>
          </cell>
          <cell r="G313" t="str">
            <v>HOJARASCA 19 CMS. PAVESI</v>
          </cell>
          <cell r="H313">
            <v>52380</v>
          </cell>
          <cell r="I313">
            <v>23652</v>
          </cell>
          <cell r="J313">
            <v>25812</v>
          </cell>
          <cell r="K313">
            <v>26784</v>
          </cell>
          <cell r="L313">
            <v>24354</v>
          </cell>
          <cell r="M313">
            <v>35802</v>
          </cell>
          <cell r="N313">
            <v>35532</v>
          </cell>
          <cell r="O313">
            <v>34128</v>
          </cell>
          <cell r="P313">
            <v>38664</v>
          </cell>
          <cell r="Q313">
            <v>39528</v>
          </cell>
          <cell r="R313">
            <v>45684</v>
          </cell>
          <cell r="S313">
            <v>34788</v>
          </cell>
          <cell r="T313">
            <v>37896</v>
          </cell>
          <cell r="U313">
            <v>42120</v>
          </cell>
          <cell r="V313">
            <v>49788</v>
          </cell>
          <cell r="W313">
            <v>51084</v>
          </cell>
          <cell r="X313">
            <v>52164</v>
          </cell>
          <cell r="Y313">
            <v>51948</v>
          </cell>
          <cell r="Z313">
            <v>132742.26</v>
          </cell>
          <cell r="AA313">
            <v>60480</v>
          </cell>
          <cell r="AB313">
            <v>62208</v>
          </cell>
          <cell r="AC313">
            <v>68256</v>
          </cell>
          <cell r="AD313">
            <v>68364</v>
          </cell>
          <cell r="AE313">
            <v>118044</v>
          </cell>
          <cell r="AF313">
            <v>70416</v>
          </cell>
          <cell r="AG313">
            <v>74196</v>
          </cell>
          <cell r="AH313">
            <v>76356</v>
          </cell>
          <cell r="AI313">
            <v>87588</v>
          </cell>
          <cell r="AJ313">
            <v>96552</v>
          </cell>
          <cell r="AK313">
            <v>89100</v>
          </cell>
          <cell r="AL313">
            <v>96336</v>
          </cell>
          <cell r="AM313">
            <v>102168</v>
          </cell>
          <cell r="AN313">
            <v>88776</v>
          </cell>
          <cell r="AO313">
            <v>93744</v>
          </cell>
          <cell r="AP313">
            <v>96228</v>
          </cell>
          <cell r="AQ313">
            <v>102492</v>
          </cell>
          <cell r="AR313">
            <v>100764</v>
          </cell>
          <cell r="AS313">
            <v>33264</v>
          </cell>
          <cell r="AT313">
            <v>115128</v>
          </cell>
          <cell r="AU313">
            <v>116532</v>
          </cell>
          <cell r="AV313">
            <v>100872</v>
          </cell>
          <cell r="AW313">
            <v>79857</v>
          </cell>
          <cell r="AX313">
            <v>119124</v>
          </cell>
          <cell r="AY313">
            <v>81880.524000000005</v>
          </cell>
          <cell r="AZ313">
            <v>120636</v>
          </cell>
          <cell r="BA313">
            <v>128844</v>
          </cell>
          <cell r="BB313">
            <v>104328</v>
          </cell>
          <cell r="BC313">
            <v>113832</v>
          </cell>
          <cell r="BD313">
            <v>110214</v>
          </cell>
          <cell r="BE313">
            <v>90288</v>
          </cell>
          <cell r="BF313">
            <v>105778</v>
          </cell>
          <cell r="BG313">
            <v>180476</v>
          </cell>
          <cell r="BH313">
            <v>58644</v>
          </cell>
          <cell r="BI313">
            <v>113832</v>
          </cell>
          <cell r="BJ313">
            <v>83052</v>
          </cell>
          <cell r="BK313">
            <v>112968</v>
          </cell>
          <cell r="BL313">
            <v>121392</v>
          </cell>
          <cell r="BM313">
            <v>114588</v>
          </cell>
          <cell r="BN313">
            <v>129708</v>
          </cell>
          <cell r="BO313">
            <v>90504</v>
          </cell>
          <cell r="BP313">
            <v>113940</v>
          </cell>
          <cell r="BQ313">
            <v>109188</v>
          </cell>
          <cell r="BR313">
            <v>132624</v>
          </cell>
          <cell r="BS313">
            <v>100980</v>
          </cell>
          <cell r="BT313">
            <v>116100</v>
          </cell>
          <cell r="BU313">
            <v>121500</v>
          </cell>
          <cell r="BV313">
            <v>108864</v>
          </cell>
          <cell r="BW313">
            <v>115776</v>
          </cell>
          <cell r="BX313">
            <v>110160</v>
          </cell>
          <cell r="BY313">
            <v>140076</v>
          </cell>
          <cell r="BZ313">
            <v>188568</v>
          </cell>
          <cell r="CA313">
            <v>108648</v>
          </cell>
          <cell r="CB313">
            <v>106920</v>
          </cell>
          <cell r="CC313">
            <v>106488</v>
          </cell>
          <cell r="CD313">
            <v>102924</v>
          </cell>
          <cell r="CE313">
            <v>217080</v>
          </cell>
          <cell r="CF313">
            <v>97524</v>
          </cell>
          <cell r="CG313">
            <v>115344</v>
          </cell>
          <cell r="CH313">
            <v>102816</v>
          </cell>
          <cell r="CI313">
            <v>114480</v>
          </cell>
          <cell r="CJ313">
            <v>108540</v>
          </cell>
          <cell r="CK313">
            <v>108000</v>
          </cell>
          <cell r="CL313">
            <v>109404</v>
          </cell>
          <cell r="CM313">
            <v>106056</v>
          </cell>
          <cell r="CN313">
            <v>151408</v>
          </cell>
          <cell r="CO313">
            <v>104760</v>
          </cell>
          <cell r="CP313">
            <v>120204</v>
          </cell>
          <cell r="CQ313">
            <v>111996</v>
          </cell>
          <cell r="CR313">
            <v>126468</v>
          </cell>
          <cell r="CS313">
            <v>59076</v>
          </cell>
          <cell r="CT313">
            <v>115668</v>
          </cell>
          <cell r="CU313">
            <v>103356</v>
          </cell>
          <cell r="CV313">
            <v>101196</v>
          </cell>
          <cell r="CW313">
            <v>103572</v>
          </cell>
          <cell r="CX313">
            <v>109944</v>
          </cell>
          <cell r="CY313">
            <v>85968</v>
          </cell>
          <cell r="CZ313">
            <v>89964</v>
          </cell>
          <cell r="DA313">
            <v>111564</v>
          </cell>
          <cell r="DB313">
            <v>102276</v>
          </cell>
          <cell r="DC313">
            <v>132300</v>
          </cell>
          <cell r="DD313">
            <v>90288</v>
          </cell>
          <cell r="DE313">
            <v>69444</v>
          </cell>
          <cell r="DF313">
            <v>120636</v>
          </cell>
          <cell r="DG313">
            <v>106920</v>
          </cell>
          <cell r="DH313">
            <v>46224</v>
          </cell>
          <cell r="DI313">
            <v>30240</v>
          </cell>
          <cell r="DJ313">
            <v>79056</v>
          </cell>
          <cell r="DK313">
            <v>72468</v>
          </cell>
          <cell r="DL313">
            <v>101520</v>
          </cell>
          <cell r="DM313">
            <v>97524</v>
          </cell>
          <cell r="DN313">
            <v>98496</v>
          </cell>
          <cell r="DO313">
            <v>105516</v>
          </cell>
          <cell r="DP313">
            <v>74304</v>
          </cell>
          <cell r="DQ313">
            <v>92448</v>
          </cell>
          <cell r="DR313">
            <v>84448</v>
          </cell>
          <cell r="DS313">
            <v>99468</v>
          </cell>
          <cell r="DT313">
            <v>81324</v>
          </cell>
          <cell r="DU313">
            <v>110376</v>
          </cell>
          <cell r="DV313">
            <v>106812</v>
          </cell>
          <cell r="DW313">
            <v>127440</v>
          </cell>
          <cell r="DX313">
            <v>121896</v>
          </cell>
          <cell r="DY313">
            <v>125496</v>
          </cell>
          <cell r="DZ313">
            <v>203580</v>
          </cell>
          <cell r="EA313">
            <v>128628</v>
          </cell>
          <cell r="EB313">
            <v>129600</v>
          </cell>
          <cell r="EC313">
            <v>176472</v>
          </cell>
          <cell r="ED313">
            <v>90936</v>
          </cell>
          <cell r="EE313" t="str">
            <v>ACTIVO</v>
          </cell>
          <cell r="EF313" t="str">
            <v>A</v>
          </cell>
          <cell r="EG313">
            <v>2592</v>
          </cell>
          <cell r="EH313">
            <v>100689.55555555556</v>
          </cell>
          <cell r="EI313">
            <v>16781.592592592595</v>
          </cell>
          <cell r="EJ313">
            <v>26558.794550520895</v>
          </cell>
          <cell r="EK313">
            <v>66528</v>
          </cell>
          <cell r="EL313">
            <v>11871256.32</v>
          </cell>
          <cell r="EM313">
            <v>0.6607239413554975</v>
          </cell>
          <cell r="EN313">
            <v>50344.777777777781</v>
          </cell>
          <cell r="EO313">
            <v>33563.18518518519</v>
          </cell>
          <cell r="EP313">
            <v>83907.962962962978</v>
          </cell>
        </row>
        <row r="314">
          <cell r="F314">
            <v>393040</v>
          </cell>
          <cell r="G314" t="str">
            <v>SUB DISCO HOJA 15 PP</v>
          </cell>
          <cell r="H314">
            <v>48960</v>
          </cell>
          <cell r="I314">
            <v>45900</v>
          </cell>
          <cell r="J314">
            <v>66465</v>
          </cell>
          <cell r="K314">
            <v>35460</v>
          </cell>
          <cell r="L314">
            <v>44775</v>
          </cell>
          <cell r="M314">
            <v>57375</v>
          </cell>
          <cell r="N314">
            <v>48375</v>
          </cell>
          <cell r="O314">
            <v>55260</v>
          </cell>
          <cell r="P314">
            <v>42615</v>
          </cell>
          <cell r="Q314">
            <v>60030</v>
          </cell>
          <cell r="R314">
            <v>42390</v>
          </cell>
          <cell r="S314">
            <v>28125</v>
          </cell>
          <cell r="T314">
            <v>60390</v>
          </cell>
          <cell r="U314">
            <v>35055</v>
          </cell>
          <cell r="V314">
            <v>39960</v>
          </cell>
          <cell r="W314">
            <v>73170</v>
          </cell>
          <cell r="X314">
            <v>65295</v>
          </cell>
          <cell r="Y314">
            <v>73260</v>
          </cell>
          <cell r="Z314">
            <v>56385</v>
          </cell>
          <cell r="AA314">
            <v>43875</v>
          </cell>
          <cell r="AB314">
            <v>49275</v>
          </cell>
          <cell r="AC314">
            <v>63630</v>
          </cell>
          <cell r="AD314">
            <v>89775</v>
          </cell>
          <cell r="AE314">
            <v>45000</v>
          </cell>
          <cell r="AF314">
            <v>50580</v>
          </cell>
          <cell r="AG314">
            <v>44865</v>
          </cell>
          <cell r="AH314">
            <v>44640</v>
          </cell>
          <cell r="AI314">
            <v>49320</v>
          </cell>
          <cell r="AJ314">
            <v>45810</v>
          </cell>
          <cell r="AK314">
            <v>65925</v>
          </cell>
          <cell r="AL314">
            <v>48870</v>
          </cell>
          <cell r="AM314">
            <v>70245</v>
          </cell>
          <cell r="AN314">
            <v>38115</v>
          </cell>
          <cell r="AO314">
            <v>54810</v>
          </cell>
          <cell r="AP314">
            <v>41940</v>
          </cell>
          <cell r="AQ314">
            <v>59265</v>
          </cell>
          <cell r="AR314">
            <v>44415</v>
          </cell>
          <cell r="AS314">
            <v>29880</v>
          </cell>
          <cell r="AT314">
            <v>50985</v>
          </cell>
          <cell r="AU314">
            <v>53010</v>
          </cell>
          <cell r="AV314">
            <v>47475</v>
          </cell>
          <cell r="AW314">
            <v>37980</v>
          </cell>
          <cell r="AX314">
            <v>60210</v>
          </cell>
          <cell r="AY314">
            <v>50175</v>
          </cell>
          <cell r="AZ314">
            <v>36945</v>
          </cell>
          <cell r="BA314">
            <v>76725</v>
          </cell>
          <cell r="BB314">
            <v>42525</v>
          </cell>
          <cell r="BC314">
            <v>72810</v>
          </cell>
          <cell r="BD314">
            <v>32175</v>
          </cell>
          <cell r="BE314">
            <v>20250</v>
          </cell>
          <cell r="BF314">
            <v>32670</v>
          </cell>
          <cell r="BG314">
            <v>23940</v>
          </cell>
          <cell r="BH314">
            <v>12735</v>
          </cell>
          <cell r="BI314">
            <v>45000</v>
          </cell>
          <cell r="BJ314">
            <v>33165</v>
          </cell>
          <cell r="BK314">
            <v>61110</v>
          </cell>
          <cell r="BL314">
            <v>43605</v>
          </cell>
          <cell r="BM314">
            <v>43335</v>
          </cell>
          <cell r="BN314">
            <v>42840</v>
          </cell>
          <cell r="BO314">
            <v>44280</v>
          </cell>
          <cell r="BP314">
            <v>35280</v>
          </cell>
          <cell r="BQ314">
            <v>28800</v>
          </cell>
          <cell r="BR314">
            <v>29385</v>
          </cell>
          <cell r="BS314">
            <v>31455</v>
          </cell>
          <cell r="BT314">
            <v>32850</v>
          </cell>
          <cell r="BU314">
            <v>36180</v>
          </cell>
          <cell r="BV314">
            <v>29070</v>
          </cell>
          <cell r="BW314">
            <v>46845</v>
          </cell>
          <cell r="BX314">
            <v>56295</v>
          </cell>
          <cell r="BY314">
            <v>67770</v>
          </cell>
          <cell r="BZ314">
            <v>77580</v>
          </cell>
          <cell r="CA314">
            <v>43785</v>
          </cell>
          <cell r="CB314">
            <v>40050</v>
          </cell>
          <cell r="CC314">
            <v>48195</v>
          </cell>
          <cell r="CD314">
            <v>59805</v>
          </cell>
          <cell r="CE314">
            <v>67590</v>
          </cell>
          <cell r="CF314">
            <v>32355</v>
          </cell>
          <cell r="CG314">
            <v>61965</v>
          </cell>
          <cell r="CH314">
            <v>43200</v>
          </cell>
          <cell r="CI314">
            <v>34965</v>
          </cell>
          <cell r="CJ314">
            <v>37575</v>
          </cell>
          <cell r="CK314">
            <v>40590</v>
          </cell>
          <cell r="CL314">
            <v>36270</v>
          </cell>
          <cell r="CM314">
            <v>28035</v>
          </cell>
          <cell r="CN314">
            <v>46755</v>
          </cell>
          <cell r="CO314">
            <v>37440</v>
          </cell>
          <cell r="CP314">
            <v>32850</v>
          </cell>
          <cell r="CQ314">
            <v>51030</v>
          </cell>
          <cell r="CR314">
            <v>39690</v>
          </cell>
          <cell r="CS314">
            <v>18405</v>
          </cell>
          <cell r="CT314">
            <v>31320</v>
          </cell>
          <cell r="CU314">
            <v>45180</v>
          </cell>
          <cell r="CV314">
            <v>37345</v>
          </cell>
          <cell r="CW314">
            <v>30745</v>
          </cell>
          <cell r="CX314">
            <v>28800</v>
          </cell>
          <cell r="CY314">
            <v>30105</v>
          </cell>
          <cell r="CZ314">
            <v>41535</v>
          </cell>
          <cell r="DA314">
            <v>41994</v>
          </cell>
          <cell r="DB314">
            <v>38205</v>
          </cell>
          <cell r="DC314">
            <v>43965</v>
          </cell>
          <cell r="DD314">
            <v>33570</v>
          </cell>
          <cell r="DE314">
            <v>23400</v>
          </cell>
          <cell r="DF314">
            <v>54135</v>
          </cell>
          <cell r="DG314">
            <v>39375</v>
          </cell>
          <cell r="DH314">
            <v>8730</v>
          </cell>
          <cell r="DI314">
            <v>14985</v>
          </cell>
          <cell r="DJ314">
            <v>18320</v>
          </cell>
          <cell r="DK314">
            <v>33075</v>
          </cell>
          <cell r="DL314">
            <v>38835</v>
          </cell>
          <cell r="DM314">
            <v>38430</v>
          </cell>
          <cell r="DN314">
            <v>36090</v>
          </cell>
          <cell r="DO314">
            <v>39780</v>
          </cell>
          <cell r="DP314">
            <v>36225</v>
          </cell>
          <cell r="DQ314">
            <v>39150</v>
          </cell>
          <cell r="DR314">
            <v>42840</v>
          </cell>
          <cell r="DS314">
            <v>39915</v>
          </cell>
          <cell r="DT314">
            <v>29160</v>
          </cell>
          <cell r="DU314">
            <v>32130</v>
          </cell>
          <cell r="DV314">
            <v>33885</v>
          </cell>
          <cell r="DW314">
            <v>24165</v>
          </cell>
          <cell r="DX314">
            <v>27090</v>
          </cell>
          <cell r="DY314">
            <v>21465</v>
          </cell>
          <cell r="DZ314">
            <v>28800</v>
          </cell>
          <cell r="EA314">
            <v>54405</v>
          </cell>
          <cell r="EB314">
            <v>34470</v>
          </cell>
          <cell r="EC314">
            <v>29025</v>
          </cell>
          <cell r="ED314">
            <v>22185</v>
          </cell>
          <cell r="EE314" t="str">
            <v>ACTIVO</v>
          </cell>
          <cell r="EF314" t="str">
            <v>A</v>
          </cell>
          <cell r="EG314">
            <v>1350</v>
          </cell>
          <cell r="EH314">
            <v>31907.777777777777</v>
          </cell>
          <cell r="EI314">
            <v>5317.9629629629626</v>
          </cell>
          <cell r="EJ314">
            <v>13104.156309791058</v>
          </cell>
          <cell r="EK314">
            <v>22095</v>
          </cell>
          <cell r="EL314">
            <v>4005823.5</v>
          </cell>
          <cell r="EM314">
            <v>0.69246439391301318</v>
          </cell>
          <cell r="EN314">
            <v>10635.925925925925</v>
          </cell>
          <cell r="EO314">
            <v>10635.925925925925</v>
          </cell>
          <cell r="EP314">
            <v>21271.85185185185</v>
          </cell>
        </row>
        <row r="315">
          <cell r="F315">
            <v>393222</v>
          </cell>
          <cell r="G315" t="str">
            <v>PLANCHA PANQUEQUE VAINILLA TERCEROS PAVESI</v>
          </cell>
          <cell r="H315">
            <v>600</v>
          </cell>
          <cell r="I315">
            <v>660</v>
          </cell>
          <cell r="J315">
            <v>660</v>
          </cell>
          <cell r="K315">
            <v>720</v>
          </cell>
          <cell r="L315">
            <v>900</v>
          </cell>
          <cell r="M315">
            <v>840</v>
          </cell>
          <cell r="N315">
            <v>680</v>
          </cell>
          <cell r="O315">
            <v>660</v>
          </cell>
          <cell r="P315">
            <v>1060</v>
          </cell>
          <cell r="S315">
            <v>400</v>
          </cell>
          <cell r="EE315" t="str">
            <v>SIN USO</v>
          </cell>
          <cell r="EF315" t="str">
            <v/>
          </cell>
          <cell r="EG315" t="str">
            <v/>
          </cell>
          <cell r="EH315">
            <v>0</v>
          </cell>
          <cell r="EI315">
            <v>0</v>
          </cell>
          <cell r="EJ315">
            <v>0</v>
          </cell>
          <cell r="EK315">
            <v>0</v>
          </cell>
          <cell r="EL315">
            <v>0</v>
          </cell>
          <cell r="EM315">
            <v>0</v>
          </cell>
          <cell r="EN315">
            <v>0</v>
          </cell>
          <cell r="EO315">
            <v>0</v>
          </cell>
          <cell r="EP315">
            <v>0</v>
          </cell>
        </row>
        <row r="316">
          <cell r="F316">
            <v>393410</v>
          </cell>
          <cell r="G316" t="str">
            <v>DISCO PANQUEQUE CHOCOLATE 16 CM SEMI ELABORADO</v>
          </cell>
          <cell r="K316">
            <v>4732</v>
          </cell>
          <cell r="V316">
            <v>8208</v>
          </cell>
          <cell r="AB316">
            <v>1293</v>
          </cell>
          <cell r="EE316" t="str">
            <v>ACTIVO</v>
          </cell>
          <cell r="EF316" t="str">
            <v/>
          </cell>
          <cell r="EG316" t="str">
            <v/>
          </cell>
          <cell r="EH316">
            <v>0</v>
          </cell>
          <cell r="EI316">
            <v>0</v>
          </cell>
          <cell r="EJ316">
            <v>0</v>
          </cell>
          <cell r="EK316">
            <v>0</v>
          </cell>
          <cell r="EL316">
            <v>0</v>
          </cell>
          <cell r="EM316">
            <v>0</v>
          </cell>
          <cell r="EN316">
            <v>0</v>
          </cell>
          <cell r="EO316">
            <v>0</v>
          </cell>
          <cell r="EP316">
            <v>0</v>
          </cell>
        </row>
        <row r="317">
          <cell r="F317">
            <v>405340</v>
          </cell>
          <cell r="G317" t="str">
            <v>INSUMO SEMIELABORADO GALLETA OREO MOLIDA</v>
          </cell>
          <cell r="AQ317">
            <v>28</v>
          </cell>
          <cell r="AR317">
            <v>8</v>
          </cell>
          <cell r="AS317">
            <v>16</v>
          </cell>
          <cell r="AT317">
            <v>48</v>
          </cell>
          <cell r="AU317">
            <v>75</v>
          </cell>
          <cell r="AW317">
            <v>80</v>
          </cell>
          <cell r="AY317">
            <v>80</v>
          </cell>
          <cell r="AZ317">
            <v>48</v>
          </cell>
          <cell r="BC317">
            <v>145</v>
          </cell>
          <cell r="BD317">
            <v>50</v>
          </cell>
          <cell r="BE317">
            <v>15</v>
          </cell>
          <cell r="BI317">
            <v>60</v>
          </cell>
          <cell r="BJ317">
            <v>40</v>
          </cell>
          <cell r="BK317">
            <v>140</v>
          </cell>
          <cell r="BL317">
            <v>40</v>
          </cell>
          <cell r="BM317">
            <v>40</v>
          </cell>
          <cell r="BN317">
            <v>20</v>
          </cell>
          <cell r="BO317">
            <v>120</v>
          </cell>
          <cell r="BQ317">
            <v>40</v>
          </cell>
          <cell r="BR317">
            <v>68</v>
          </cell>
          <cell r="BS317">
            <v>40</v>
          </cell>
          <cell r="BT317">
            <v>100</v>
          </cell>
          <cell r="BX317">
            <v>96</v>
          </cell>
          <cell r="CB317">
            <v>20</v>
          </cell>
          <cell r="CC317">
            <v>112</v>
          </cell>
          <cell r="CE317">
            <v>68</v>
          </cell>
          <cell r="CJ317">
            <v>72</v>
          </cell>
          <cell r="CL317">
            <v>30</v>
          </cell>
          <cell r="CM317">
            <v>30</v>
          </cell>
          <cell r="CN317">
            <v>38.049999999999997</v>
          </cell>
          <cell r="CO317">
            <v>8</v>
          </cell>
          <cell r="CP317">
            <v>88</v>
          </cell>
          <cell r="CT317">
            <v>80</v>
          </cell>
          <cell r="CV317">
            <v>20</v>
          </cell>
          <cell r="CW317">
            <v>64</v>
          </cell>
          <cell r="CX317">
            <v>40</v>
          </cell>
          <cell r="CY317">
            <v>40</v>
          </cell>
          <cell r="CZ317">
            <v>20</v>
          </cell>
          <cell r="DA317">
            <v>20</v>
          </cell>
          <cell r="DC317">
            <v>80</v>
          </cell>
          <cell r="DF317">
            <v>60</v>
          </cell>
          <cell r="DJ317">
            <v>79.349999999999994</v>
          </cell>
          <cell r="DL317">
            <v>40</v>
          </cell>
          <cell r="DM317">
            <v>40</v>
          </cell>
          <cell r="DN317">
            <v>50</v>
          </cell>
          <cell r="DO317">
            <v>60</v>
          </cell>
          <cell r="DP317">
            <v>80</v>
          </cell>
          <cell r="DQ317">
            <v>40</v>
          </cell>
          <cell r="DR317">
            <v>11</v>
          </cell>
          <cell r="DS317">
            <v>40</v>
          </cell>
          <cell r="DU317">
            <v>77</v>
          </cell>
          <cell r="DV317">
            <v>11.12</v>
          </cell>
          <cell r="DW317">
            <v>88.88</v>
          </cell>
          <cell r="DY317">
            <v>40.65</v>
          </cell>
          <cell r="EB317">
            <v>40</v>
          </cell>
          <cell r="EC317">
            <v>20</v>
          </cell>
          <cell r="ED317">
            <v>80</v>
          </cell>
          <cell r="EE317" t="str">
            <v>ACTIVO</v>
          </cell>
          <cell r="EF317" t="str">
            <v>C</v>
          </cell>
          <cell r="EG317">
            <v>0</v>
          </cell>
          <cell r="EH317">
            <v>50.615384615384613</v>
          </cell>
          <cell r="EI317">
            <v>8.4358974358974361</v>
          </cell>
          <cell r="EJ317">
            <v>33.673699148858248</v>
          </cell>
          <cell r="EK317">
            <v>20</v>
          </cell>
          <cell r="EL317">
            <v>106266</v>
          </cell>
          <cell r="EM317">
            <v>0.39513677811550152</v>
          </cell>
          <cell r="EN317">
            <v>16.871794871794872</v>
          </cell>
          <cell r="EO317">
            <v>16.871794871794872</v>
          </cell>
          <cell r="EP317">
            <v>33.743589743589745</v>
          </cell>
        </row>
        <row r="318">
          <cell r="F318">
            <v>405408</v>
          </cell>
          <cell r="G318" t="str">
            <v>MEDIA HOJARASCA OBERENA</v>
          </cell>
          <cell r="H318">
            <v>198</v>
          </cell>
          <cell r="AT318">
            <v>72</v>
          </cell>
          <cell r="AU318">
            <v>588</v>
          </cell>
          <cell r="AV318">
            <v>1044</v>
          </cell>
          <cell r="AW318">
            <v>342</v>
          </cell>
          <cell r="AX318">
            <v>758</v>
          </cell>
          <cell r="AY318">
            <v>824</v>
          </cell>
          <cell r="AZ318">
            <v>176</v>
          </cell>
          <cell r="BA318">
            <v>650</v>
          </cell>
          <cell r="BB318">
            <v>756</v>
          </cell>
          <cell r="BC318">
            <v>594</v>
          </cell>
          <cell r="BD318">
            <v>400</v>
          </cell>
          <cell r="BE318">
            <v>954</v>
          </cell>
          <cell r="BF318">
            <v>568</v>
          </cell>
          <cell r="BG318">
            <v>450</v>
          </cell>
          <cell r="BH318">
            <v>252</v>
          </cell>
          <cell r="BI318">
            <v>378</v>
          </cell>
          <cell r="BJ318">
            <v>306</v>
          </cell>
          <cell r="BK318">
            <v>522</v>
          </cell>
          <cell r="BL318">
            <v>480</v>
          </cell>
          <cell r="BM318">
            <v>544</v>
          </cell>
          <cell r="BN318">
            <v>558</v>
          </cell>
          <cell r="BO318">
            <v>718</v>
          </cell>
          <cell r="BP318">
            <v>500</v>
          </cell>
          <cell r="BQ318">
            <v>1100</v>
          </cell>
          <cell r="BR318">
            <v>738</v>
          </cell>
          <cell r="BS318">
            <v>396</v>
          </cell>
          <cell r="BT318">
            <v>648</v>
          </cell>
          <cell r="BU318">
            <v>738</v>
          </cell>
          <cell r="BV318">
            <v>734</v>
          </cell>
          <cell r="BW318">
            <v>990</v>
          </cell>
          <cell r="BX318">
            <v>666</v>
          </cell>
          <cell r="BY318">
            <v>720</v>
          </cell>
          <cell r="BZ318">
            <v>162</v>
          </cell>
          <cell r="CA318">
            <v>804</v>
          </cell>
          <cell r="CB318">
            <v>700</v>
          </cell>
          <cell r="CC318">
            <v>600</v>
          </cell>
          <cell r="CD318">
            <v>570</v>
          </cell>
          <cell r="CE318">
            <v>742</v>
          </cell>
          <cell r="CF318">
            <v>540</v>
          </cell>
          <cell r="CG318">
            <v>846</v>
          </cell>
          <cell r="CH318">
            <v>504</v>
          </cell>
          <cell r="CI318">
            <v>630</v>
          </cell>
          <cell r="CJ318">
            <v>720</v>
          </cell>
          <cell r="CK318">
            <v>648</v>
          </cell>
          <cell r="CL318">
            <v>306</v>
          </cell>
          <cell r="CM318">
            <v>468</v>
          </cell>
          <cell r="CN318">
            <v>810</v>
          </cell>
          <cell r="CO318">
            <v>666</v>
          </cell>
          <cell r="CP318">
            <v>918</v>
          </cell>
          <cell r="CQ318">
            <v>684</v>
          </cell>
          <cell r="CR318">
            <v>442</v>
          </cell>
          <cell r="CS318">
            <v>198</v>
          </cell>
          <cell r="CT318">
            <v>648</v>
          </cell>
          <cell r="CU318">
            <v>1080</v>
          </cell>
          <cell r="CV318">
            <v>810</v>
          </cell>
          <cell r="CW318">
            <v>504</v>
          </cell>
          <cell r="CX318">
            <v>720</v>
          </cell>
          <cell r="CY318">
            <v>540</v>
          </cell>
          <cell r="CZ318">
            <v>774</v>
          </cell>
          <cell r="DA318">
            <v>756</v>
          </cell>
          <cell r="DB318">
            <v>738</v>
          </cell>
          <cell r="DC318">
            <v>793</v>
          </cell>
          <cell r="DD318">
            <v>522</v>
          </cell>
          <cell r="DE318">
            <v>738</v>
          </cell>
          <cell r="DF318">
            <v>630</v>
          </cell>
          <cell r="DG318">
            <v>828</v>
          </cell>
          <cell r="DH318">
            <v>360</v>
          </cell>
          <cell r="DI318">
            <v>90</v>
          </cell>
          <cell r="DJ318">
            <v>648</v>
          </cell>
          <cell r="DK318">
            <v>864</v>
          </cell>
          <cell r="DL318">
            <v>664</v>
          </cell>
          <cell r="DM318">
            <v>648</v>
          </cell>
          <cell r="DN318">
            <v>756</v>
          </cell>
          <cell r="DO318">
            <v>414</v>
          </cell>
          <cell r="DP318">
            <v>630</v>
          </cell>
          <cell r="DQ318">
            <v>666</v>
          </cell>
          <cell r="DR318">
            <v>828</v>
          </cell>
          <cell r="DS318">
            <v>918</v>
          </cell>
          <cell r="DT318">
            <v>1134</v>
          </cell>
          <cell r="DU318">
            <v>1044</v>
          </cell>
          <cell r="DV318">
            <v>1116</v>
          </cell>
          <cell r="DW318">
            <v>954</v>
          </cell>
          <cell r="DX318">
            <v>846</v>
          </cell>
          <cell r="DY318">
            <v>1080</v>
          </cell>
          <cell r="DZ318">
            <v>1566</v>
          </cell>
          <cell r="EA318">
            <v>990</v>
          </cell>
          <cell r="EB318">
            <v>1170</v>
          </cell>
          <cell r="EC318">
            <v>1458</v>
          </cell>
          <cell r="ED318">
            <v>1226</v>
          </cell>
          <cell r="EE318" t="str">
            <v>ACTIVO</v>
          </cell>
          <cell r="EF318" t="str">
            <v>C</v>
          </cell>
          <cell r="EG318" t="str">
            <v/>
          </cell>
          <cell r="EH318">
            <v>825.88888888888891</v>
          </cell>
          <cell r="EI318">
            <v>137.64814814814815</v>
          </cell>
          <cell r="EJ318">
            <v>202.50796898795974</v>
          </cell>
          <cell r="EK318">
            <v>630</v>
          </cell>
          <cell r="EL318">
            <v>73584</v>
          </cell>
          <cell r="EM318">
            <v>0.76281447598547014</v>
          </cell>
          <cell r="EN318">
            <v>275.2962962962963</v>
          </cell>
          <cell r="EO318">
            <v>275.2962962962963</v>
          </cell>
          <cell r="EP318">
            <v>550.59259259259261</v>
          </cell>
        </row>
        <row r="319">
          <cell r="F319">
            <v>362106</v>
          </cell>
          <cell r="G319" t="str">
            <v>HOJARASCA OBERENA</v>
          </cell>
          <cell r="H319">
            <v>2160</v>
          </cell>
          <cell r="BF319">
            <v>11772</v>
          </cell>
          <cell r="BG319">
            <v>11880</v>
          </cell>
          <cell r="BH319">
            <v>21600</v>
          </cell>
          <cell r="BI319">
            <v>1836</v>
          </cell>
          <cell r="BJ319">
            <v>8964</v>
          </cell>
          <cell r="DL319">
            <v>9000</v>
          </cell>
          <cell r="EE319" t="str">
            <v>SIN USO</v>
          </cell>
          <cell r="EF319" t="str">
            <v>C</v>
          </cell>
          <cell r="EG319" t="str">
            <v/>
          </cell>
          <cell r="EH319">
            <v>9000</v>
          </cell>
          <cell r="EI319">
            <v>1500</v>
          </cell>
          <cell r="EJ319">
            <v>10009.100658900379</v>
          </cell>
          <cell r="EK319">
            <v>0</v>
          </cell>
          <cell r="EL319">
            <v>0</v>
          </cell>
          <cell r="EM319">
            <v>0</v>
          </cell>
          <cell r="EN319">
            <v>3000</v>
          </cell>
          <cell r="EO319">
            <v>3000</v>
          </cell>
          <cell r="EP319">
            <v>6000</v>
          </cell>
        </row>
        <row r="320">
          <cell r="F320">
            <v>362113</v>
          </cell>
          <cell r="G320" t="str">
            <v>BIZCOCHO RED VELVET 1 X 4</v>
          </cell>
          <cell r="DS320">
            <v>63</v>
          </cell>
          <cell r="DT320">
            <v>23</v>
          </cell>
          <cell r="DU320">
            <v>12</v>
          </cell>
          <cell r="DW320">
            <v>24</v>
          </cell>
          <cell r="DX320">
            <v>12</v>
          </cell>
          <cell r="DY320">
            <v>104</v>
          </cell>
          <cell r="EE320" t="str">
            <v>SIN USO</v>
          </cell>
          <cell r="EF320" t="str">
            <v/>
          </cell>
          <cell r="EG320" t="str">
            <v/>
          </cell>
          <cell r="EH320">
            <v>39.666666666666664</v>
          </cell>
          <cell r="EI320">
            <v>6.6111111111111107</v>
          </cell>
          <cell r="EJ320">
            <v>0</v>
          </cell>
          <cell r="EK320">
            <v>0</v>
          </cell>
          <cell r="EL320">
            <v>0</v>
          </cell>
          <cell r="EM320">
            <v>0</v>
          </cell>
          <cell r="EN320">
            <v>13.222222222222221</v>
          </cell>
          <cell r="EO320">
            <v>13.222222222222221</v>
          </cell>
          <cell r="EP320">
            <v>26.444444444444443</v>
          </cell>
        </row>
        <row r="321">
          <cell r="F321">
            <v>405344</v>
          </cell>
          <cell r="G321" t="str">
            <v>DISCO DE PANQUEQUE VAINILLA 18 CM ENCOMIENDA TOTTUS</v>
          </cell>
          <cell r="BT321">
            <v>3600</v>
          </cell>
          <cell r="BW321">
            <v>2016</v>
          </cell>
          <cell r="CA321">
            <v>5040</v>
          </cell>
          <cell r="CG321">
            <v>12096</v>
          </cell>
          <cell r="CM321">
            <v>5472</v>
          </cell>
          <cell r="DU321">
            <v>4824</v>
          </cell>
          <cell r="DW321">
            <v>144</v>
          </cell>
          <cell r="EE321" t="str">
            <v>SIN USO</v>
          </cell>
          <cell r="EF321" t="str">
            <v>C</v>
          </cell>
          <cell r="EG321" t="str">
            <v/>
          </cell>
          <cell r="EH321">
            <v>2484</v>
          </cell>
          <cell r="EI321">
            <v>414</v>
          </cell>
          <cell r="EJ321">
            <v>3852.3700756806843</v>
          </cell>
          <cell r="EK321">
            <v>0</v>
          </cell>
          <cell r="EL321">
            <v>0</v>
          </cell>
          <cell r="EM321">
            <v>0</v>
          </cell>
          <cell r="EN321">
            <v>828</v>
          </cell>
          <cell r="EO321">
            <v>828</v>
          </cell>
          <cell r="EP321">
            <v>1656</v>
          </cell>
        </row>
        <row r="322">
          <cell r="F322">
            <v>393253</v>
          </cell>
          <cell r="G322" t="str">
            <v>SUB DISCO HOJA 17 CM</v>
          </cell>
          <cell r="DB322">
            <v>2700</v>
          </cell>
          <cell r="DL322">
            <v>5400</v>
          </cell>
          <cell r="DN322">
            <v>1260</v>
          </cell>
          <cell r="DO322">
            <v>90</v>
          </cell>
          <cell r="DV322">
            <v>5400</v>
          </cell>
          <cell r="EE322" t="str">
            <v>SIN USO</v>
          </cell>
          <cell r="EF322" t="str">
            <v>C</v>
          </cell>
          <cell r="EG322" t="str">
            <v/>
          </cell>
          <cell r="EH322">
            <v>3037.5</v>
          </cell>
          <cell r="EI322">
            <v>506.25</v>
          </cell>
          <cell r="EJ322">
            <v>0</v>
          </cell>
          <cell r="EK322">
            <v>0</v>
          </cell>
          <cell r="EL322">
            <v>0</v>
          </cell>
          <cell r="EM322">
            <v>0</v>
          </cell>
          <cell r="EN322">
            <v>1012.5</v>
          </cell>
          <cell r="EO322">
            <v>1012.5</v>
          </cell>
          <cell r="EP322">
            <v>2025</v>
          </cell>
        </row>
        <row r="323">
          <cell r="G323" t="str">
            <v>SUB DISCO HOJA 10 PP</v>
          </cell>
          <cell r="ED323">
            <v>4050</v>
          </cell>
          <cell r="EE323" t="str">
            <v>ACTIVO</v>
          </cell>
          <cell r="EF323" t="str">
            <v/>
          </cell>
          <cell r="EG323" t="str">
            <v/>
          </cell>
          <cell r="EH323">
            <v>0</v>
          </cell>
          <cell r="EI323">
            <v>0</v>
          </cell>
          <cell r="EJ323">
            <v>0</v>
          </cell>
          <cell r="EK323">
            <v>0</v>
          </cell>
          <cell r="EL323">
            <v>0</v>
          </cell>
          <cell r="EM323">
            <v>0</v>
          </cell>
          <cell r="EN323">
            <v>0</v>
          </cell>
          <cell r="EO323">
            <v>0</v>
          </cell>
          <cell r="EP323">
            <v>0</v>
          </cell>
        </row>
        <row r="324">
          <cell r="F324">
            <v>405645</v>
          </cell>
          <cell r="G324" t="str">
            <v>BIZCOCHO # 20 BLANCO C/AMAPOLAS PAVESI</v>
          </cell>
          <cell r="DR324">
            <v>32</v>
          </cell>
          <cell r="DS324">
            <v>90</v>
          </cell>
          <cell r="DT324">
            <v>80</v>
          </cell>
          <cell r="DU324">
            <v>185</v>
          </cell>
          <cell r="DV324">
            <v>100</v>
          </cell>
          <cell r="DW324">
            <v>106</v>
          </cell>
          <cell r="DX324">
            <v>45</v>
          </cell>
          <cell r="DY324">
            <v>188</v>
          </cell>
          <cell r="DZ324">
            <v>217</v>
          </cell>
          <cell r="EA324">
            <v>144</v>
          </cell>
          <cell r="EB324">
            <v>107</v>
          </cell>
          <cell r="EC324">
            <v>75</v>
          </cell>
          <cell r="ED324">
            <v>104</v>
          </cell>
          <cell r="EE324" t="str">
            <v>ACTIVO</v>
          </cell>
          <cell r="EF324" t="str">
            <v>C</v>
          </cell>
          <cell r="EG324" t="str">
            <v/>
          </cell>
          <cell r="EH324">
            <v>115.88888888888889</v>
          </cell>
          <cell r="EI324">
            <v>19.314814814814813</v>
          </cell>
          <cell r="EJ324">
            <v>0</v>
          </cell>
          <cell r="EK324">
            <v>0</v>
          </cell>
          <cell r="EL324">
            <v>0</v>
          </cell>
          <cell r="EM324">
            <v>0</v>
          </cell>
          <cell r="EN324">
            <v>57.944444444444443</v>
          </cell>
          <cell r="EO324">
            <v>38.629629629629626</v>
          </cell>
          <cell r="EP324">
            <v>96.574074074074076</v>
          </cell>
        </row>
        <row r="325">
          <cell r="F325">
            <v>405658</v>
          </cell>
          <cell r="G325" t="str">
            <v>SUB DISCO PANQUEQUE VAINILLA 16 CM</v>
          </cell>
          <cell r="DL325">
            <v>9384</v>
          </cell>
          <cell r="DX325">
            <v>11160</v>
          </cell>
          <cell r="DY325">
            <v>15000</v>
          </cell>
          <cell r="ED325">
            <v>12840</v>
          </cell>
          <cell r="EE325" t="str">
            <v>ACTIVO</v>
          </cell>
          <cell r="EF325" t="str">
            <v/>
          </cell>
          <cell r="EG325" t="str">
            <v/>
          </cell>
          <cell r="EH325">
            <v>11848</v>
          </cell>
          <cell r="EI325">
            <v>1974.6666666666667</v>
          </cell>
          <cell r="EJ325">
            <v>0</v>
          </cell>
          <cell r="EK325">
            <v>0</v>
          </cell>
          <cell r="EL325">
            <v>0</v>
          </cell>
          <cell r="EM325">
            <v>0</v>
          </cell>
          <cell r="EN325">
            <v>3949.3333333333335</v>
          </cell>
          <cell r="EO325">
            <v>3949.3333333333335</v>
          </cell>
          <cell r="EP325">
            <v>7898.666666666667</v>
          </cell>
        </row>
        <row r="326">
          <cell r="F326">
            <v>405701</v>
          </cell>
          <cell r="G326" t="str">
            <v>GRANA SECA RED VELVET</v>
          </cell>
          <cell r="DT326">
            <v>44</v>
          </cell>
          <cell r="DU326">
            <v>14.4</v>
          </cell>
          <cell r="DV326">
            <v>84</v>
          </cell>
          <cell r="DW326">
            <v>67.430000000000007</v>
          </cell>
          <cell r="DX326">
            <v>40</v>
          </cell>
          <cell r="DY326">
            <v>20</v>
          </cell>
          <cell r="EA326">
            <v>20</v>
          </cell>
          <cell r="EE326" t="str">
            <v>ACTIVO</v>
          </cell>
          <cell r="EF326" t="str">
            <v/>
          </cell>
          <cell r="EG326" t="str">
            <v/>
          </cell>
          <cell r="EH326">
            <v>44.971666666666671</v>
          </cell>
          <cell r="EI326">
            <v>7.4952777777777788</v>
          </cell>
          <cell r="EJ326">
            <v>0</v>
          </cell>
          <cell r="EK326">
            <v>20</v>
          </cell>
          <cell r="EL326">
            <v>21</v>
          </cell>
          <cell r="EM326">
            <v>0.44472445613905048</v>
          </cell>
          <cell r="EN326">
            <v>14.990555555555558</v>
          </cell>
          <cell r="EO326">
            <v>14.990555555555558</v>
          </cell>
          <cell r="EP326">
            <v>29.981111111111115</v>
          </cell>
        </row>
        <row r="327">
          <cell r="F327">
            <v>405702</v>
          </cell>
          <cell r="G327" t="str">
            <v>INSUMO INTERPLANTA BIZCOCHO RED VELVET 19 CM</v>
          </cell>
          <cell r="DV327">
            <v>193</v>
          </cell>
          <cell r="DW327">
            <v>107</v>
          </cell>
          <cell r="DX327">
            <v>24</v>
          </cell>
          <cell r="DY327">
            <v>96</v>
          </cell>
          <cell r="DZ327">
            <v>216</v>
          </cell>
          <cell r="EA327">
            <v>336</v>
          </cell>
          <cell r="EB327">
            <v>202</v>
          </cell>
          <cell r="EC327">
            <v>204</v>
          </cell>
          <cell r="ED327">
            <v>202.982</v>
          </cell>
          <cell r="EE327" t="str">
            <v>ACTIVO</v>
          </cell>
          <cell r="EF327" t="str">
            <v/>
          </cell>
          <cell r="EG327" t="str">
            <v/>
          </cell>
          <cell r="EH327">
            <v>127.2</v>
          </cell>
          <cell r="EI327">
            <v>21.2</v>
          </cell>
          <cell r="EJ327">
            <v>0</v>
          </cell>
          <cell r="EK327">
            <v>36</v>
          </cell>
          <cell r="EL327">
            <v>73194.84</v>
          </cell>
          <cell r="EM327">
            <v>0.28301886792452829</v>
          </cell>
          <cell r="EN327">
            <v>42.4</v>
          </cell>
          <cell r="EO327">
            <v>42.4</v>
          </cell>
          <cell r="EP327">
            <v>84.8</v>
          </cell>
        </row>
        <row r="328">
          <cell r="F328">
            <v>405691</v>
          </cell>
          <cell r="G328" t="str">
            <v>GRANA SECA BIZCOCHO AMAPOLA</v>
          </cell>
          <cell r="DW328">
            <v>3</v>
          </cell>
          <cell r="DX328">
            <v>20</v>
          </cell>
          <cell r="DZ328">
            <v>8</v>
          </cell>
          <cell r="EC328">
            <v>8.1</v>
          </cell>
          <cell r="EE328" t="str">
            <v>ACTIVO</v>
          </cell>
          <cell r="EF328" t="str">
            <v/>
          </cell>
          <cell r="EH328">
            <v>10.333333333333334</v>
          </cell>
          <cell r="EI328">
            <v>1.7222222222222223</v>
          </cell>
          <cell r="EJ328">
            <v>0</v>
          </cell>
          <cell r="EK328">
            <v>0</v>
          </cell>
          <cell r="EL328">
            <v>0</v>
          </cell>
          <cell r="EM328">
            <v>0</v>
          </cell>
          <cell r="EN328">
            <v>3.4444444444444446</v>
          </cell>
          <cell r="EO328">
            <v>3.4444444444444446</v>
          </cell>
          <cell r="EP328">
            <v>6.8888888888888893</v>
          </cell>
        </row>
        <row r="329">
          <cell r="H329">
            <v>224095</v>
          </cell>
          <cell r="I329">
            <v>185236.5</v>
          </cell>
          <cell r="J329">
            <v>242916</v>
          </cell>
          <cell r="K329">
            <v>216093</v>
          </cell>
          <cell r="L329">
            <v>199020</v>
          </cell>
          <cell r="M329">
            <v>225242</v>
          </cell>
          <cell r="N329">
            <v>201783</v>
          </cell>
          <cell r="O329">
            <v>189344</v>
          </cell>
          <cell r="P329">
            <v>201255</v>
          </cell>
          <cell r="Q329">
            <v>201997</v>
          </cell>
          <cell r="R329">
            <v>206832.5</v>
          </cell>
          <cell r="S329">
            <v>132987</v>
          </cell>
          <cell r="T329">
            <v>190305.692002</v>
          </cell>
          <cell r="U329">
            <v>203099</v>
          </cell>
          <cell r="V329">
            <v>204450</v>
          </cell>
          <cell r="W329">
            <v>248696</v>
          </cell>
          <cell r="X329">
            <v>297382</v>
          </cell>
          <cell r="Y329">
            <v>223098</v>
          </cell>
          <cell r="Z329">
            <v>266160.26</v>
          </cell>
          <cell r="AA329">
            <v>225005</v>
          </cell>
          <cell r="AB329">
            <v>247186</v>
          </cell>
          <cell r="AC329">
            <v>253585</v>
          </cell>
          <cell r="AD329">
            <v>301563</v>
          </cell>
          <cell r="AE329">
            <v>271805</v>
          </cell>
          <cell r="AF329">
            <v>253751</v>
          </cell>
          <cell r="AG329">
            <v>252732.5</v>
          </cell>
          <cell r="AH329">
            <v>246678</v>
          </cell>
          <cell r="AI329">
            <v>255922</v>
          </cell>
          <cell r="AJ329">
            <v>259814</v>
          </cell>
          <cell r="AK329">
            <v>285662</v>
          </cell>
          <cell r="AL329">
            <v>269215</v>
          </cell>
          <cell r="AM329">
            <v>294478</v>
          </cell>
          <cell r="AN329">
            <v>239094</v>
          </cell>
          <cell r="AO329">
            <v>270931</v>
          </cell>
          <cell r="AP329">
            <v>249420</v>
          </cell>
          <cell r="AQ329">
            <v>285044</v>
          </cell>
          <cell r="AR329">
            <v>260820</v>
          </cell>
          <cell r="AS329">
            <v>135437</v>
          </cell>
          <cell r="AT329">
            <v>265466.61900000001</v>
          </cell>
          <cell r="AU329">
            <v>265312.5</v>
          </cell>
          <cell r="AV329">
            <v>279302</v>
          </cell>
          <cell r="AW329">
            <v>250707</v>
          </cell>
          <cell r="AX329">
            <v>335242</v>
          </cell>
          <cell r="AY329">
            <v>268021.52399999998</v>
          </cell>
          <cell r="AZ329">
            <v>271826</v>
          </cell>
          <cell r="BA329">
            <v>309624</v>
          </cell>
          <cell r="BB329">
            <v>321802</v>
          </cell>
          <cell r="BC329">
            <v>298435.00000100001</v>
          </cell>
          <cell r="BD329">
            <v>273823.5</v>
          </cell>
          <cell r="BE329">
            <v>246337.99999899999</v>
          </cell>
          <cell r="BF329">
            <v>287785.90500000003</v>
          </cell>
          <cell r="BG329">
            <v>328706.09499999997</v>
          </cell>
          <cell r="BH329">
            <v>132919</v>
          </cell>
          <cell r="BI329">
            <v>233578</v>
          </cell>
          <cell r="BJ329">
            <v>231570.54</v>
          </cell>
          <cell r="BK329">
            <v>358646</v>
          </cell>
          <cell r="BL329">
            <v>310918</v>
          </cell>
          <cell r="BM329">
            <v>292236</v>
          </cell>
          <cell r="BN329">
            <v>294547</v>
          </cell>
          <cell r="BO329">
            <v>289345</v>
          </cell>
          <cell r="BP329">
            <v>222792</v>
          </cell>
          <cell r="BQ329">
            <v>239825</v>
          </cell>
          <cell r="BR329">
            <v>313134</v>
          </cell>
          <cell r="BS329">
            <v>288625.5</v>
          </cell>
          <cell r="BT329">
            <v>319738</v>
          </cell>
          <cell r="BU329">
            <v>247386</v>
          </cell>
          <cell r="BV329">
            <v>276299</v>
          </cell>
          <cell r="BW329">
            <v>287194</v>
          </cell>
          <cell r="BX329">
            <v>312462.5</v>
          </cell>
          <cell r="BY329">
            <v>342463.5</v>
          </cell>
          <cell r="BZ329">
            <v>344034</v>
          </cell>
          <cell r="CA329">
            <v>257633</v>
          </cell>
          <cell r="CB329">
            <v>300840</v>
          </cell>
          <cell r="CC329">
            <v>281083</v>
          </cell>
          <cell r="CD329">
            <v>272472.5</v>
          </cell>
          <cell r="CE329">
            <v>358393.255</v>
          </cell>
          <cell r="CF329">
            <v>209519</v>
          </cell>
          <cell r="CG329">
            <v>326921</v>
          </cell>
          <cell r="CH329">
            <v>223747</v>
          </cell>
          <cell r="CI329">
            <v>280705.5</v>
          </cell>
          <cell r="CJ329">
            <v>225875</v>
          </cell>
          <cell r="CK329">
            <v>283069.5</v>
          </cell>
          <cell r="CL329">
            <v>256056</v>
          </cell>
          <cell r="CM329">
            <v>271633</v>
          </cell>
          <cell r="CN329">
            <v>359987.3</v>
          </cell>
          <cell r="CO329">
            <v>277575.75</v>
          </cell>
          <cell r="CP329">
            <v>324474</v>
          </cell>
          <cell r="CQ329">
            <v>310913.5</v>
          </cell>
          <cell r="CR329">
            <v>319020.25</v>
          </cell>
          <cell r="CS329">
            <v>161073.29999999999</v>
          </cell>
          <cell r="CT329">
            <v>280995.5</v>
          </cell>
          <cell r="CU329">
            <v>227700</v>
          </cell>
          <cell r="CV329">
            <v>272402</v>
          </cell>
          <cell r="CW329">
            <v>238814</v>
          </cell>
          <cell r="CX329">
            <v>298765</v>
          </cell>
          <cell r="CY329">
            <v>207771</v>
          </cell>
          <cell r="CZ329">
            <v>274271.5</v>
          </cell>
          <cell r="DA329">
            <v>321256</v>
          </cell>
          <cell r="DB329">
            <v>287468</v>
          </cell>
          <cell r="DC329">
            <v>298085</v>
          </cell>
          <cell r="DD329">
            <v>200489</v>
          </cell>
          <cell r="DE329">
            <v>183227</v>
          </cell>
          <cell r="DF329">
            <v>274497.5</v>
          </cell>
          <cell r="DG329">
            <v>209135</v>
          </cell>
          <cell r="DH329">
            <v>92384.5</v>
          </cell>
          <cell r="DI329">
            <v>64276</v>
          </cell>
          <cell r="DJ329">
            <v>235040.75</v>
          </cell>
          <cell r="DK329">
            <v>247853.75</v>
          </cell>
          <cell r="DL329">
            <v>290708</v>
          </cell>
          <cell r="DM329">
            <v>271136</v>
          </cell>
          <cell r="DN329">
            <v>252563</v>
          </cell>
          <cell r="DO329">
            <v>233071</v>
          </cell>
          <cell r="DP329">
            <v>209897.5</v>
          </cell>
          <cell r="DQ329">
            <v>225741.8</v>
          </cell>
          <cell r="DR329">
            <v>234467</v>
          </cell>
          <cell r="DS329">
            <v>243860.3</v>
          </cell>
          <cell r="DT329">
            <v>203216.6</v>
          </cell>
          <cell r="DU329">
            <v>246748.4</v>
          </cell>
          <cell r="DV329">
            <v>238791.52</v>
          </cell>
          <cell r="DW329">
            <v>268815.21000000002</v>
          </cell>
          <cell r="DX329">
            <v>297188.14500000002</v>
          </cell>
          <cell r="DY329">
            <v>390981.05000000005</v>
          </cell>
          <cell r="DZ329">
            <v>342217.5</v>
          </cell>
          <cell r="EA329">
            <v>224127</v>
          </cell>
          <cell r="EB329">
            <v>304424.05</v>
          </cell>
          <cell r="EC329">
            <v>316506.09999999998</v>
          </cell>
          <cell r="ED329">
            <v>250685.31199999998</v>
          </cell>
          <cell r="EE329" t="str">
            <v>ACTIVO</v>
          </cell>
          <cell r="EF329" t="str">
            <v/>
          </cell>
          <cell r="EG329" t="str">
            <v/>
          </cell>
          <cell r="EH329">
            <v>249809.64027777774</v>
          </cell>
          <cell r="EI329">
            <v>41634.940046296288</v>
          </cell>
          <cell r="EJ329">
            <v>55528.724375798694</v>
          </cell>
          <cell r="EK329">
            <v>0</v>
          </cell>
          <cell r="EL329">
            <v>0</v>
          </cell>
          <cell r="EM329">
            <v>0</v>
          </cell>
          <cell r="EN329">
            <v>0</v>
          </cell>
          <cell r="EO329">
            <v>83269.880092592575</v>
          </cell>
          <cell r="EP329">
            <v>83269.880092592575</v>
          </cell>
        </row>
        <row r="330">
          <cell r="F330">
            <v>405370</v>
          </cell>
          <cell r="G330" t="str">
            <v>LECHE CONDENSADA MONACO</v>
          </cell>
          <cell r="AK330">
            <v>898.11</v>
          </cell>
          <cell r="AL330">
            <v>837</v>
          </cell>
          <cell r="AM330">
            <v>495</v>
          </cell>
          <cell r="EE330" t="str">
            <v>SIN USO</v>
          </cell>
          <cell r="EF330" t="str">
            <v/>
          </cell>
          <cell r="EG330" t="str">
            <v/>
          </cell>
          <cell r="EH330">
            <v>0</v>
          </cell>
          <cell r="EI330">
            <v>0</v>
          </cell>
          <cell r="EJ330">
            <v>0</v>
          </cell>
          <cell r="EK330">
            <v>0</v>
          </cell>
          <cell r="EL330">
            <v>0</v>
          </cell>
          <cell r="EM330">
            <v>0</v>
          </cell>
          <cell r="EN330">
            <v>0</v>
          </cell>
          <cell r="EO330">
            <v>0</v>
          </cell>
          <cell r="EP330">
            <v>0</v>
          </cell>
        </row>
        <row r="331">
          <cell r="F331">
            <v>107215</v>
          </cell>
          <cell r="G331" t="str">
            <v>LECHE CONDENSADA NESTLE</v>
          </cell>
          <cell r="H331">
            <v>225</v>
          </cell>
          <cell r="I331">
            <v>162</v>
          </cell>
          <cell r="L331">
            <v>90</v>
          </cell>
          <cell r="M331">
            <v>45</v>
          </cell>
          <cell r="N331">
            <v>90</v>
          </cell>
          <cell r="O331">
            <v>90</v>
          </cell>
          <cell r="S331">
            <v>45</v>
          </cell>
          <cell r="AB331">
            <v>31.5</v>
          </cell>
          <cell r="AC331">
            <v>112.5</v>
          </cell>
          <cell r="AD331">
            <v>193.5</v>
          </cell>
          <cell r="AE331">
            <v>1318.5</v>
          </cell>
          <cell r="AF331">
            <v>369</v>
          </cell>
          <cell r="AG331">
            <v>630</v>
          </cell>
          <cell r="AH331">
            <v>670.5</v>
          </cell>
          <cell r="AI331">
            <v>1123.1100000000001</v>
          </cell>
          <cell r="AJ331">
            <v>823.5</v>
          </cell>
          <cell r="AK331">
            <v>51.39</v>
          </cell>
          <cell r="AM331">
            <v>837</v>
          </cell>
          <cell r="AN331">
            <v>1012.5</v>
          </cell>
          <cell r="AO331">
            <v>1120.5</v>
          </cell>
          <cell r="AP331">
            <v>1080</v>
          </cell>
          <cell r="AQ331">
            <v>1165.5</v>
          </cell>
          <cell r="AR331">
            <v>886.5</v>
          </cell>
          <cell r="AS331">
            <v>666</v>
          </cell>
          <cell r="AT331">
            <v>1336.5</v>
          </cell>
          <cell r="AU331">
            <v>1188</v>
          </cell>
          <cell r="AV331">
            <v>1120.5</v>
          </cell>
          <cell r="AW331">
            <v>904.5</v>
          </cell>
          <cell r="AX331">
            <v>1179</v>
          </cell>
          <cell r="AY331">
            <v>1107</v>
          </cell>
          <cell r="AZ331">
            <v>1107</v>
          </cell>
          <cell r="BA331">
            <v>1201.5</v>
          </cell>
          <cell r="BB331">
            <v>994.5</v>
          </cell>
          <cell r="BC331">
            <v>1027</v>
          </cell>
          <cell r="BD331">
            <v>1057.5</v>
          </cell>
          <cell r="BE331">
            <v>1102.5</v>
          </cell>
          <cell r="BF331">
            <v>1062</v>
          </cell>
          <cell r="BG331">
            <v>972</v>
          </cell>
          <cell r="BH331">
            <v>598.5</v>
          </cell>
          <cell r="BI331">
            <v>1057.5</v>
          </cell>
          <cell r="BJ331">
            <v>679.5</v>
          </cell>
          <cell r="BK331">
            <v>846</v>
          </cell>
          <cell r="BL331">
            <v>913.5</v>
          </cell>
          <cell r="BM331">
            <v>936</v>
          </cell>
          <cell r="BN331">
            <v>1025.5</v>
          </cell>
          <cell r="BO331">
            <v>987</v>
          </cell>
          <cell r="BP331">
            <v>901.5</v>
          </cell>
          <cell r="BQ331">
            <v>955.5</v>
          </cell>
          <cell r="BR331">
            <v>1085</v>
          </cell>
          <cell r="BS331">
            <v>1087.5</v>
          </cell>
          <cell r="BT331">
            <v>1003.5</v>
          </cell>
          <cell r="BU331">
            <v>1234.5</v>
          </cell>
          <cell r="BV331">
            <v>1462.5</v>
          </cell>
          <cell r="BW331">
            <v>349.5</v>
          </cell>
          <cell r="BY331">
            <v>898.5</v>
          </cell>
          <cell r="BZ331">
            <v>2316</v>
          </cell>
          <cell r="CA331">
            <v>1116</v>
          </cell>
          <cell r="CB331">
            <v>1152</v>
          </cell>
          <cell r="CC331">
            <v>1518</v>
          </cell>
          <cell r="CD331">
            <v>1554</v>
          </cell>
          <cell r="CE331">
            <v>2077.0500000000002</v>
          </cell>
          <cell r="CK331">
            <v>921</v>
          </cell>
          <cell r="CL331">
            <v>1404</v>
          </cell>
          <cell r="CM331">
            <v>1374</v>
          </cell>
          <cell r="CN331">
            <v>1368</v>
          </cell>
          <cell r="CO331">
            <v>1278</v>
          </cell>
          <cell r="CP331">
            <v>1380</v>
          </cell>
          <cell r="CQ331">
            <v>1176</v>
          </cell>
          <cell r="CR331">
            <v>1278</v>
          </cell>
          <cell r="CS331">
            <v>492</v>
          </cell>
          <cell r="CT331">
            <v>1236</v>
          </cell>
          <cell r="CU331">
            <v>1110</v>
          </cell>
          <cell r="CV331">
            <v>1206</v>
          </cell>
          <cell r="CW331">
            <v>984</v>
          </cell>
          <cell r="CX331">
            <v>924</v>
          </cell>
          <cell r="CY331">
            <v>954</v>
          </cell>
          <cell r="CZ331">
            <v>900</v>
          </cell>
          <cell r="DA331">
            <v>888</v>
          </cell>
          <cell r="DB331">
            <v>708</v>
          </cell>
          <cell r="DC331">
            <v>1056</v>
          </cell>
          <cell r="DD331">
            <v>840</v>
          </cell>
          <cell r="DE331">
            <v>846</v>
          </cell>
          <cell r="DF331">
            <v>1002</v>
          </cell>
          <cell r="DG331">
            <v>786</v>
          </cell>
          <cell r="DH331">
            <v>468</v>
          </cell>
          <cell r="DI331">
            <v>264</v>
          </cell>
          <cell r="DJ331">
            <v>858</v>
          </cell>
          <cell r="DK331">
            <v>864</v>
          </cell>
          <cell r="DL331">
            <v>740</v>
          </cell>
          <cell r="DM331">
            <v>768</v>
          </cell>
          <cell r="DN331">
            <v>690</v>
          </cell>
          <cell r="DO331">
            <v>750</v>
          </cell>
          <cell r="DP331">
            <v>630</v>
          </cell>
          <cell r="DQ331">
            <v>684</v>
          </cell>
          <cell r="DR331">
            <v>744</v>
          </cell>
          <cell r="DS331">
            <v>786</v>
          </cell>
          <cell r="DT331">
            <v>540</v>
          </cell>
          <cell r="DU331">
            <v>780</v>
          </cell>
          <cell r="DV331">
            <v>810</v>
          </cell>
          <cell r="DW331">
            <v>726</v>
          </cell>
          <cell r="DX331">
            <v>774</v>
          </cell>
          <cell r="DY331">
            <v>762</v>
          </cell>
          <cell r="DZ331">
            <v>1266</v>
          </cell>
          <cell r="EA331">
            <v>1038</v>
          </cell>
          <cell r="EB331">
            <v>828</v>
          </cell>
          <cell r="EC331">
            <v>840</v>
          </cell>
          <cell r="ED331">
            <v>810</v>
          </cell>
          <cell r="EE331" t="str">
            <v>ACTIVO</v>
          </cell>
          <cell r="EF331" t="str">
            <v>A</v>
          </cell>
          <cell r="EG331">
            <v>1000</v>
          </cell>
          <cell r="EH331">
            <v>746.44444444444446</v>
          </cell>
          <cell r="EI331">
            <v>124.4074074074074</v>
          </cell>
          <cell r="EJ331">
            <v>359.33972055204214</v>
          </cell>
          <cell r="EK331">
            <v>852</v>
          </cell>
          <cell r="EL331">
            <v>2562381.48</v>
          </cell>
          <cell r="EM331">
            <v>1.1414111342661506</v>
          </cell>
          <cell r="EN331">
            <v>373.22222222222223</v>
          </cell>
          <cell r="EO331">
            <v>248.81481481481481</v>
          </cell>
          <cell r="EP331">
            <v>622.03703703703707</v>
          </cell>
        </row>
        <row r="332">
          <cell r="F332">
            <v>107270</v>
          </cell>
          <cell r="G332" t="str">
            <v>LECHE CONDENSADA NESTLE</v>
          </cell>
          <cell r="R332">
            <v>90</v>
          </cell>
          <cell r="BW332">
            <v>78</v>
          </cell>
          <cell r="EE332" t="str">
            <v>SIN USO</v>
          </cell>
          <cell r="EF332" t="str">
            <v>A</v>
          </cell>
          <cell r="EG332" t="str">
            <v/>
          </cell>
          <cell r="EH332">
            <v>0</v>
          </cell>
          <cell r="EI332">
            <v>0</v>
          </cell>
          <cell r="EJ332">
            <v>0</v>
          </cell>
          <cell r="EK332">
            <v>0</v>
          </cell>
          <cell r="EL332">
            <v>0</v>
          </cell>
          <cell r="EM332">
            <v>0</v>
          </cell>
          <cell r="EN332">
            <v>0</v>
          </cell>
          <cell r="EO332">
            <v>0</v>
          </cell>
          <cell r="EP332">
            <v>0</v>
          </cell>
        </row>
        <row r="333">
          <cell r="F333">
            <v>405382</v>
          </cell>
          <cell r="G333" t="str">
            <v>LECHE CONDENSADA EGC</v>
          </cell>
          <cell r="AP333">
            <v>40.5</v>
          </cell>
          <cell r="AR333">
            <v>229.5</v>
          </cell>
          <cell r="AS333">
            <v>180</v>
          </cell>
          <cell r="BT333">
            <v>162</v>
          </cell>
          <cell r="EE333" t="str">
            <v>SIN USO</v>
          </cell>
          <cell r="EF333" t="str">
            <v>C</v>
          </cell>
          <cell r="EG333" t="str">
            <v/>
          </cell>
          <cell r="EH333">
            <v>0</v>
          </cell>
          <cell r="EI333">
            <v>0</v>
          </cell>
          <cell r="EJ333">
            <v>0</v>
          </cell>
          <cell r="EK333">
            <v>0</v>
          </cell>
          <cell r="EL333">
            <v>0</v>
          </cell>
          <cell r="EM333">
            <v>0</v>
          </cell>
          <cell r="EN333">
            <v>0</v>
          </cell>
          <cell r="EO333">
            <v>0</v>
          </cell>
          <cell r="EP333">
            <v>0</v>
          </cell>
        </row>
        <row r="334">
          <cell r="F334">
            <v>107333</v>
          </cell>
          <cell r="G334" t="str">
            <v>LECHE CONDENSADA UNTABLE NESTLE</v>
          </cell>
          <cell r="L334">
            <v>54</v>
          </cell>
          <cell r="M334">
            <v>130.6</v>
          </cell>
          <cell r="V334">
            <v>130.5</v>
          </cell>
          <cell r="W334">
            <v>88.740000000000009</v>
          </cell>
          <cell r="X334">
            <v>20.88</v>
          </cell>
          <cell r="AB334">
            <v>36.54</v>
          </cell>
          <cell r="AC334">
            <v>91.35</v>
          </cell>
          <cell r="AD334">
            <v>46.98</v>
          </cell>
          <cell r="AE334">
            <v>121.50999999999999</v>
          </cell>
          <cell r="AF334">
            <v>23.49</v>
          </cell>
          <cell r="AG334">
            <v>2.6</v>
          </cell>
          <cell r="AH334">
            <v>28.7</v>
          </cell>
          <cell r="AI334">
            <v>46.980000000000004</v>
          </cell>
          <cell r="AJ334">
            <v>23.49</v>
          </cell>
          <cell r="AK334">
            <v>44.37</v>
          </cell>
          <cell r="AL334">
            <v>41.76</v>
          </cell>
          <cell r="AN334">
            <v>23.49</v>
          </cell>
          <cell r="AO334">
            <v>23.49</v>
          </cell>
          <cell r="BL334">
            <v>41.76</v>
          </cell>
          <cell r="BM334">
            <v>20.88</v>
          </cell>
          <cell r="BN334">
            <v>54.81</v>
          </cell>
          <cell r="BO334">
            <v>54.81</v>
          </cell>
          <cell r="BP334">
            <v>54.81</v>
          </cell>
          <cell r="BQ334">
            <v>36.54</v>
          </cell>
          <cell r="BR334">
            <v>18.72</v>
          </cell>
          <cell r="BS334">
            <v>73.08</v>
          </cell>
          <cell r="BT334">
            <v>36.54</v>
          </cell>
          <cell r="BU334">
            <v>18.27</v>
          </cell>
          <cell r="BV334">
            <v>101.35</v>
          </cell>
          <cell r="BW334">
            <v>133.4</v>
          </cell>
          <cell r="BX334">
            <v>36.54</v>
          </cell>
          <cell r="BY334">
            <v>18.27</v>
          </cell>
          <cell r="CA334">
            <v>18.27</v>
          </cell>
          <cell r="CB334">
            <v>57.42</v>
          </cell>
          <cell r="CC334">
            <v>83.52</v>
          </cell>
          <cell r="CD334">
            <v>49.589999999999996</v>
          </cell>
          <cell r="CE334">
            <v>18.27</v>
          </cell>
          <cell r="CF334">
            <v>73.08</v>
          </cell>
          <cell r="CG334">
            <v>86.13</v>
          </cell>
          <cell r="CH334">
            <v>10.44</v>
          </cell>
          <cell r="CI334">
            <v>20.88</v>
          </cell>
          <cell r="CJ334">
            <v>10.44</v>
          </cell>
          <cell r="CL334">
            <v>18.27</v>
          </cell>
          <cell r="CM334">
            <v>78.3</v>
          </cell>
          <cell r="CN334">
            <v>60.03</v>
          </cell>
          <cell r="CO334">
            <v>18.27</v>
          </cell>
          <cell r="CP334">
            <v>41.76</v>
          </cell>
          <cell r="CQ334">
            <v>59.89</v>
          </cell>
          <cell r="CR334">
            <v>56.16</v>
          </cell>
          <cell r="CS334">
            <v>36.54</v>
          </cell>
          <cell r="CT334">
            <v>31.32</v>
          </cell>
          <cell r="CU334">
            <v>41.760000000000005</v>
          </cell>
          <cell r="CV334">
            <v>27</v>
          </cell>
          <cell r="CW334">
            <v>86.58</v>
          </cell>
          <cell r="CY334">
            <v>66.16</v>
          </cell>
          <cell r="CZ334">
            <v>73.53</v>
          </cell>
          <cell r="DA334">
            <v>77.94</v>
          </cell>
          <cell r="DB334">
            <v>27.38</v>
          </cell>
          <cell r="DC334">
            <v>55.71</v>
          </cell>
          <cell r="DD334">
            <v>67.5</v>
          </cell>
          <cell r="DE334">
            <v>26.1</v>
          </cell>
          <cell r="DK334">
            <v>36.54</v>
          </cell>
          <cell r="DM334">
            <v>33.93</v>
          </cell>
          <cell r="DN334">
            <v>33.93</v>
          </cell>
          <cell r="DO334">
            <v>15.66</v>
          </cell>
          <cell r="DP334">
            <v>67.86</v>
          </cell>
          <cell r="DV334">
            <v>36.54</v>
          </cell>
          <cell r="DW334">
            <v>62.64</v>
          </cell>
          <cell r="DX334">
            <v>91.35</v>
          </cell>
          <cell r="DY334">
            <v>86.13</v>
          </cell>
          <cell r="DZ334">
            <v>18.27</v>
          </cell>
          <cell r="EA334">
            <v>18</v>
          </cell>
          <cell r="EE334" t="str">
            <v>ACTIVO</v>
          </cell>
          <cell r="EF334" t="str">
            <v>C</v>
          </cell>
          <cell r="EG334">
            <v>156.6</v>
          </cell>
          <cell r="EH334">
            <v>48.285000000000004</v>
          </cell>
          <cell r="EI334">
            <v>8.0475000000000012</v>
          </cell>
          <cell r="EJ334">
            <v>27.660717042967597</v>
          </cell>
          <cell r="EK334">
            <v>88.74</v>
          </cell>
          <cell r="EL334">
            <v>392631.01740000001</v>
          </cell>
          <cell r="EM334">
            <v>1.8378378378378375</v>
          </cell>
          <cell r="EN334">
            <v>24.142500000000005</v>
          </cell>
          <cell r="EO334">
            <v>16.095000000000002</v>
          </cell>
          <cell r="EP334">
            <v>40.237500000000011</v>
          </cell>
        </row>
        <row r="335">
          <cell r="F335">
            <v>405539</v>
          </cell>
          <cell r="G335" t="str">
            <v>LECHE CONDENSADA WATTS</v>
          </cell>
          <cell r="BW335">
            <v>682.6</v>
          </cell>
          <cell r="BX335">
            <v>1239</v>
          </cell>
          <cell r="BY335">
            <v>432.5</v>
          </cell>
          <cell r="CE335">
            <v>274.95</v>
          </cell>
          <cell r="CF335">
            <v>1214</v>
          </cell>
          <cell r="CG335">
            <v>1420</v>
          </cell>
          <cell r="CH335">
            <v>1317</v>
          </cell>
          <cell r="CI335">
            <v>1291</v>
          </cell>
          <cell r="CJ335">
            <v>1380</v>
          </cell>
          <cell r="CK335">
            <v>812</v>
          </cell>
          <cell r="CU335">
            <v>55</v>
          </cell>
          <cell r="DB335">
            <v>109</v>
          </cell>
          <cell r="DC335">
            <v>15</v>
          </cell>
          <cell r="DE335">
            <v>85</v>
          </cell>
          <cell r="DF335">
            <v>95</v>
          </cell>
          <cell r="DG335">
            <v>20</v>
          </cell>
          <cell r="DH335">
            <v>60</v>
          </cell>
          <cell r="DJ335">
            <v>190</v>
          </cell>
          <cell r="DL335">
            <v>65</v>
          </cell>
          <cell r="DM335">
            <v>45</v>
          </cell>
          <cell r="DT335">
            <v>300</v>
          </cell>
          <cell r="DU335">
            <v>32.4</v>
          </cell>
          <cell r="DV335">
            <v>215</v>
          </cell>
          <cell r="DW335">
            <v>175</v>
          </cell>
          <cell r="EE335" t="str">
            <v>SIN USO</v>
          </cell>
          <cell r="EF335" t="str">
            <v>B</v>
          </cell>
          <cell r="EG335" t="str">
            <v/>
          </cell>
          <cell r="EH335">
            <v>146.05714285714285</v>
          </cell>
          <cell r="EI335">
            <v>24.342857142857142</v>
          </cell>
          <cell r="EJ335">
            <v>573.71496596229531</v>
          </cell>
          <cell r="EK335">
            <v>140</v>
          </cell>
          <cell r="EL335">
            <v>413000</v>
          </cell>
          <cell r="EM335">
            <v>0.95852895148669803</v>
          </cell>
          <cell r="EN335">
            <v>73.028571428571425</v>
          </cell>
          <cell r="EO335">
            <v>48.685714285714283</v>
          </cell>
          <cell r="EP335">
            <v>121.71428571428571</v>
          </cell>
        </row>
        <row r="336">
          <cell r="H336">
            <v>225</v>
          </cell>
          <cell r="I336">
            <v>162</v>
          </cell>
          <cell r="L336">
            <v>144</v>
          </cell>
          <cell r="M336">
            <v>175.6</v>
          </cell>
          <cell r="N336">
            <v>90</v>
          </cell>
          <cell r="O336">
            <v>90</v>
          </cell>
          <cell r="R336">
            <v>90</v>
          </cell>
          <cell r="S336">
            <v>45</v>
          </cell>
          <cell r="V336">
            <v>130.5</v>
          </cell>
          <cell r="W336">
            <v>88.740000000000009</v>
          </cell>
          <cell r="X336">
            <v>20.88</v>
          </cell>
          <cell r="AB336">
            <v>68.039999999999992</v>
          </cell>
          <cell r="AC336">
            <v>203.85</v>
          </cell>
          <cell r="AD336">
            <v>240.48</v>
          </cell>
          <cell r="AE336">
            <v>1440.01</v>
          </cell>
          <cell r="AF336">
            <v>392.49</v>
          </cell>
          <cell r="AG336">
            <v>632.6</v>
          </cell>
          <cell r="AH336">
            <v>699.2</v>
          </cell>
          <cell r="AI336">
            <v>1170.0900000000001</v>
          </cell>
          <cell r="AJ336">
            <v>846.99</v>
          </cell>
          <cell r="AK336">
            <v>993.87</v>
          </cell>
          <cell r="AL336">
            <v>878.76</v>
          </cell>
          <cell r="AM336">
            <v>1332</v>
          </cell>
          <cell r="AN336">
            <v>1035.99</v>
          </cell>
          <cell r="AO336">
            <v>1143.99</v>
          </cell>
          <cell r="AP336">
            <v>1120.5</v>
          </cell>
          <cell r="AQ336">
            <v>1165.5</v>
          </cell>
          <cell r="AR336">
            <v>1116</v>
          </cell>
          <cell r="AS336">
            <v>846</v>
          </cell>
          <cell r="AT336">
            <v>1336.5</v>
          </cell>
          <cell r="AU336">
            <v>1188</v>
          </cell>
          <cell r="AV336">
            <v>1120.5</v>
          </cell>
          <cell r="AW336">
            <v>904.5</v>
          </cell>
          <cell r="AX336">
            <v>1179</v>
          </cell>
          <cell r="AY336">
            <v>1107</v>
          </cell>
          <cell r="AZ336">
            <v>1107</v>
          </cell>
          <cell r="BA336">
            <v>1201.5</v>
          </cell>
          <cell r="BB336">
            <v>994.5</v>
          </cell>
          <cell r="BC336">
            <v>1027</v>
          </cell>
          <cell r="BD336">
            <v>1057.5</v>
          </cell>
          <cell r="BE336">
            <v>1102.5</v>
          </cell>
          <cell r="BF336">
            <v>1062</v>
          </cell>
          <cell r="BG336">
            <v>972</v>
          </cell>
          <cell r="BH336">
            <v>598.5</v>
          </cell>
          <cell r="BI336">
            <v>1057.5</v>
          </cell>
          <cell r="BJ336">
            <v>679.5</v>
          </cell>
          <cell r="BK336">
            <v>846</v>
          </cell>
          <cell r="BL336">
            <v>955.26</v>
          </cell>
          <cell r="BM336">
            <v>956.88</v>
          </cell>
          <cell r="BN336">
            <v>1080.31</v>
          </cell>
          <cell r="BO336">
            <v>1041.81</v>
          </cell>
          <cell r="BP336">
            <v>956.31</v>
          </cell>
          <cell r="BQ336">
            <v>992.04</v>
          </cell>
          <cell r="BR336">
            <v>1103.72</v>
          </cell>
          <cell r="BS336">
            <v>1160.58</v>
          </cell>
          <cell r="BT336">
            <v>1202.04</v>
          </cell>
          <cell r="BU336">
            <v>1252.77</v>
          </cell>
          <cell r="BV336">
            <v>1563.85</v>
          </cell>
          <cell r="BW336">
            <v>1243.5</v>
          </cell>
          <cell r="BX336">
            <v>1275.54</v>
          </cell>
          <cell r="BY336">
            <v>1349.27</v>
          </cell>
          <cell r="BZ336">
            <v>2316</v>
          </cell>
          <cell r="CA336">
            <v>1134.27</v>
          </cell>
          <cell r="CB336">
            <v>1209.42</v>
          </cell>
          <cell r="CC336">
            <v>1601.52</v>
          </cell>
          <cell r="CD336">
            <v>1603.59</v>
          </cell>
          <cell r="CE336">
            <v>2370.27</v>
          </cell>
          <cell r="CF336">
            <v>1287.08</v>
          </cell>
          <cell r="CG336">
            <v>1506.13</v>
          </cell>
          <cell r="CH336">
            <v>1327.44</v>
          </cell>
          <cell r="CI336">
            <v>1311.88</v>
          </cell>
          <cell r="CJ336">
            <v>1390.44</v>
          </cell>
          <cell r="CK336">
            <v>1733</v>
          </cell>
          <cell r="CL336">
            <v>1422.27</v>
          </cell>
          <cell r="CM336">
            <v>1452.3</v>
          </cell>
          <cell r="CN336">
            <v>1428.03</v>
          </cell>
          <cell r="CO336">
            <v>1296.27</v>
          </cell>
          <cell r="CP336">
            <v>1421.76</v>
          </cell>
          <cell r="CQ336">
            <v>1235.8900000000001</v>
          </cell>
          <cell r="CR336">
            <v>1334.16</v>
          </cell>
          <cell r="CS336">
            <v>528.54</v>
          </cell>
          <cell r="CT336">
            <v>1267.32</v>
          </cell>
          <cell r="CU336">
            <v>1206.76</v>
          </cell>
          <cell r="CV336">
            <v>1233</v>
          </cell>
          <cell r="CW336">
            <v>1070.58</v>
          </cell>
          <cell r="CX336">
            <v>924</v>
          </cell>
          <cell r="CY336">
            <v>1020.16</v>
          </cell>
          <cell r="CZ336">
            <v>973.53</v>
          </cell>
          <cell r="DA336">
            <v>965.94</v>
          </cell>
          <cell r="DB336">
            <v>844.38</v>
          </cell>
          <cell r="DC336">
            <v>1126.71</v>
          </cell>
          <cell r="DD336">
            <v>907.5</v>
          </cell>
          <cell r="DE336">
            <v>957.1</v>
          </cell>
          <cell r="DF336">
            <v>1097</v>
          </cell>
          <cell r="DG336">
            <v>806</v>
          </cell>
          <cell r="DH336">
            <v>528</v>
          </cell>
          <cell r="DI336">
            <v>264</v>
          </cell>
          <cell r="DJ336">
            <v>1048</v>
          </cell>
          <cell r="DK336">
            <v>900.54</v>
          </cell>
          <cell r="DL336">
            <v>805</v>
          </cell>
          <cell r="DM336">
            <v>846.93</v>
          </cell>
          <cell r="DN336">
            <v>723.93</v>
          </cell>
          <cell r="DO336">
            <v>765.66</v>
          </cell>
          <cell r="DP336">
            <v>697.86</v>
          </cell>
          <cell r="DQ336">
            <v>684</v>
          </cell>
          <cell r="DR336">
            <v>744</v>
          </cell>
          <cell r="DS336">
            <v>786</v>
          </cell>
          <cell r="DT336">
            <v>840</v>
          </cell>
          <cell r="DU336">
            <v>812.4</v>
          </cell>
          <cell r="DV336">
            <v>1061.54</v>
          </cell>
          <cell r="DW336">
            <v>963.64</v>
          </cell>
          <cell r="DX336">
            <v>865.35</v>
          </cell>
          <cell r="DY336">
            <v>848.13</v>
          </cell>
          <cell r="DZ336">
            <v>1284.27</v>
          </cell>
          <cell r="EA336">
            <v>1056</v>
          </cell>
          <cell r="EB336">
            <v>828</v>
          </cell>
          <cell r="EC336">
            <v>840</v>
          </cell>
          <cell r="ED336">
            <v>810</v>
          </cell>
          <cell r="EE336" t="str">
            <v>ACTIVO</v>
          </cell>
          <cell r="EF336" t="str">
            <v/>
          </cell>
          <cell r="EG336" t="str">
            <v/>
          </cell>
          <cell r="EH336">
            <v>830.06944444444423</v>
          </cell>
          <cell r="EI336">
            <v>138.34490740740736</v>
          </cell>
          <cell r="EJ336">
            <v>351.64019039704135</v>
          </cell>
          <cell r="EK336">
            <v>0</v>
          </cell>
          <cell r="EL336">
            <v>0</v>
          </cell>
          <cell r="EM336">
            <v>0</v>
          </cell>
          <cell r="EN336">
            <v>0</v>
          </cell>
          <cell r="EO336">
            <v>276.68981481481472</v>
          </cell>
          <cell r="EP336">
            <v>276.68981481481472</v>
          </cell>
        </row>
        <row r="337">
          <cell r="F337">
            <v>107181</v>
          </cell>
          <cell r="G337" t="str">
            <v>RELLENO PIE DE LIMON SAN CRISTOBAL</v>
          </cell>
          <cell r="H337">
            <v>607.5</v>
          </cell>
          <cell r="I337">
            <v>594</v>
          </cell>
          <cell r="J337">
            <v>589.5</v>
          </cell>
          <cell r="K337">
            <v>567</v>
          </cell>
          <cell r="L337">
            <v>549</v>
          </cell>
          <cell r="M337">
            <v>603</v>
          </cell>
          <cell r="N337">
            <v>567</v>
          </cell>
          <cell r="O337">
            <v>562.5</v>
          </cell>
          <cell r="P337">
            <v>531</v>
          </cell>
          <cell r="Q337">
            <v>531</v>
          </cell>
          <cell r="R337">
            <v>549</v>
          </cell>
          <cell r="S337">
            <v>724.5</v>
          </cell>
          <cell r="T337">
            <v>670.5</v>
          </cell>
          <cell r="U337">
            <v>639</v>
          </cell>
          <cell r="V337">
            <v>823.5</v>
          </cell>
          <cell r="W337">
            <v>630</v>
          </cell>
          <cell r="X337">
            <v>652.5</v>
          </cell>
          <cell r="Y337">
            <v>675</v>
          </cell>
          <cell r="Z337">
            <v>1030.5</v>
          </cell>
          <cell r="AA337">
            <v>553.5</v>
          </cell>
          <cell r="AB337">
            <v>760.5</v>
          </cell>
          <cell r="AC337">
            <v>778.5</v>
          </cell>
          <cell r="AD337">
            <v>702</v>
          </cell>
          <cell r="AE337">
            <v>1017</v>
          </cell>
          <cell r="AF337">
            <v>760.5</v>
          </cell>
          <cell r="AG337">
            <v>877.5</v>
          </cell>
          <cell r="AH337">
            <v>927</v>
          </cell>
          <cell r="AI337">
            <v>1089</v>
          </cell>
          <cell r="AJ337">
            <v>1012.5</v>
          </cell>
          <cell r="AK337">
            <v>859.5</v>
          </cell>
          <cell r="AL337">
            <v>554.5</v>
          </cell>
          <cell r="AM337">
            <v>819</v>
          </cell>
          <cell r="AN337">
            <v>787.5</v>
          </cell>
          <cell r="AO337">
            <v>765</v>
          </cell>
          <cell r="AP337">
            <v>612</v>
          </cell>
          <cell r="AQ337">
            <v>594</v>
          </cell>
          <cell r="AR337">
            <v>630</v>
          </cell>
          <cell r="AS337">
            <v>481.5</v>
          </cell>
          <cell r="AT337">
            <v>756</v>
          </cell>
          <cell r="AU337">
            <v>697.5</v>
          </cell>
          <cell r="AV337">
            <v>648</v>
          </cell>
          <cell r="AW337">
            <v>648</v>
          </cell>
          <cell r="AX337">
            <v>775.5</v>
          </cell>
          <cell r="AY337">
            <v>513</v>
          </cell>
          <cell r="AZ337">
            <v>990</v>
          </cell>
          <cell r="BA337">
            <v>769.5</v>
          </cell>
          <cell r="BB337">
            <v>792</v>
          </cell>
          <cell r="BC337">
            <v>823.5</v>
          </cell>
          <cell r="BD337">
            <v>724.5</v>
          </cell>
          <cell r="BE337">
            <v>697.5</v>
          </cell>
          <cell r="BF337">
            <v>801</v>
          </cell>
          <cell r="BG337">
            <v>607.5</v>
          </cell>
          <cell r="BH337">
            <v>342</v>
          </cell>
          <cell r="BI337">
            <v>553.5</v>
          </cell>
          <cell r="BJ337">
            <v>486</v>
          </cell>
          <cell r="BK337">
            <v>846</v>
          </cell>
          <cell r="BL337">
            <v>607.5</v>
          </cell>
          <cell r="BM337">
            <v>706.5</v>
          </cell>
          <cell r="BN337">
            <v>715.5</v>
          </cell>
          <cell r="BO337">
            <v>549</v>
          </cell>
          <cell r="BP337">
            <v>571.5</v>
          </cell>
          <cell r="BQ337">
            <v>558</v>
          </cell>
          <cell r="BR337">
            <v>737</v>
          </cell>
          <cell r="BS337">
            <v>676</v>
          </cell>
          <cell r="BT337">
            <v>580.5</v>
          </cell>
          <cell r="BU337">
            <v>688.5</v>
          </cell>
          <cell r="BV337">
            <v>576</v>
          </cell>
          <cell r="BW337">
            <v>711</v>
          </cell>
          <cell r="BX337">
            <v>625.5</v>
          </cell>
          <cell r="BY337">
            <v>796.5</v>
          </cell>
          <cell r="BZ337">
            <v>751.5</v>
          </cell>
          <cell r="CA337">
            <v>562.5</v>
          </cell>
          <cell r="CB337">
            <v>639</v>
          </cell>
          <cell r="CC337">
            <v>711</v>
          </cell>
          <cell r="CD337">
            <v>769.5</v>
          </cell>
          <cell r="CE337">
            <v>877.5</v>
          </cell>
          <cell r="CF337">
            <v>571.5</v>
          </cell>
          <cell r="CG337">
            <v>625.5</v>
          </cell>
          <cell r="CH337">
            <v>657</v>
          </cell>
          <cell r="CI337">
            <v>954</v>
          </cell>
          <cell r="CJ337">
            <v>1017</v>
          </cell>
          <cell r="CK337">
            <v>562.5</v>
          </cell>
          <cell r="CL337">
            <v>405</v>
          </cell>
          <cell r="CM337">
            <v>540</v>
          </cell>
          <cell r="CN337">
            <v>805.5</v>
          </cell>
          <cell r="CO337">
            <v>778.5</v>
          </cell>
          <cell r="CP337">
            <v>886.5</v>
          </cell>
          <cell r="CQ337">
            <v>200.47</v>
          </cell>
          <cell r="EE337" t="str">
            <v>SIN USO</v>
          </cell>
          <cell r="EF337" t="str">
            <v>B</v>
          </cell>
          <cell r="EH337">
            <v>0</v>
          </cell>
          <cell r="EI337">
            <v>0</v>
          </cell>
          <cell r="EJ337">
            <v>164.5812878992846</v>
          </cell>
          <cell r="EK337">
            <v>0</v>
          </cell>
          <cell r="EL337">
            <v>0</v>
          </cell>
          <cell r="EM337">
            <v>0</v>
          </cell>
          <cell r="EN337">
            <v>0</v>
          </cell>
          <cell r="EO337">
            <v>0</v>
          </cell>
          <cell r="EP337">
            <v>0</v>
          </cell>
        </row>
        <row r="338">
          <cell r="F338">
            <v>107204</v>
          </cell>
          <cell r="G338" t="str">
            <v>RELLENO PIE MARACUYÁ BALDE 4,5 Kg</v>
          </cell>
          <cell r="H338">
            <v>63</v>
          </cell>
          <cell r="AB338">
            <v>31.5</v>
          </cell>
          <cell r="AC338">
            <v>90</v>
          </cell>
          <cell r="AD338">
            <v>171</v>
          </cell>
          <cell r="AE338">
            <v>409.5</v>
          </cell>
          <cell r="AF338">
            <v>265.5</v>
          </cell>
          <cell r="AG338">
            <v>351</v>
          </cell>
          <cell r="AH338">
            <v>400.5</v>
          </cell>
          <cell r="AI338">
            <v>490.5</v>
          </cell>
          <cell r="AJ338">
            <v>436.5</v>
          </cell>
          <cell r="AK338">
            <v>486</v>
          </cell>
          <cell r="AL338">
            <v>412.5</v>
          </cell>
          <cell r="AM338">
            <v>571.5</v>
          </cell>
          <cell r="AN338">
            <v>441</v>
          </cell>
          <cell r="AO338">
            <v>423</v>
          </cell>
          <cell r="AP338">
            <v>517.5</v>
          </cell>
          <cell r="AQ338">
            <v>454.5</v>
          </cell>
          <cell r="AR338">
            <v>418.5</v>
          </cell>
          <cell r="AS338">
            <v>126</v>
          </cell>
          <cell r="AT338">
            <v>459</v>
          </cell>
          <cell r="AU338">
            <v>380</v>
          </cell>
          <cell r="AV338">
            <v>355.5</v>
          </cell>
          <cell r="AW338">
            <v>301.5</v>
          </cell>
          <cell r="AX338">
            <v>342</v>
          </cell>
          <cell r="AY338">
            <v>351</v>
          </cell>
          <cell r="AZ338">
            <v>346.5</v>
          </cell>
          <cell r="BA338">
            <v>409.5</v>
          </cell>
          <cell r="BB338">
            <v>387</v>
          </cell>
          <cell r="BC338">
            <v>409.5</v>
          </cell>
          <cell r="BD338">
            <v>409.5</v>
          </cell>
          <cell r="BE338">
            <v>409.5</v>
          </cell>
          <cell r="BF338">
            <v>355.5</v>
          </cell>
          <cell r="BG338">
            <v>270</v>
          </cell>
          <cell r="BH338">
            <v>198</v>
          </cell>
          <cell r="BI338">
            <v>382.5</v>
          </cell>
          <cell r="BJ338">
            <v>286</v>
          </cell>
          <cell r="BK338">
            <v>387.5</v>
          </cell>
          <cell r="BL338">
            <v>369</v>
          </cell>
          <cell r="BM338">
            <v>306</v>
          </cell>
          <cell r="BN338">
            <v>342</v>
          </cell>
          <cell r="BO338">
            <v>328.5</v>
          </cell>
          <cell r="BP338">
            <v>333</v>
          </cell>
          <cell r="BQ338">
            <v>283.5</v>
          </cell>
          <cell r="BR338">
            <v>432</v>
          </cell>
          <cell r="BS338">
            <v>310.5</v>
          </cell>
          <cell r="BT338">
            <v>333</v>
          </cell>
          <cell r="BU338">
            <v>306</v>
          </cell>
          <cell r="BV338">
            <v>324</v>
          </cell>
          <cell r="BW338">
            <v>328.5</v>
          </cell>
          <cell r="BX338">
            <v>301.5</v>
          </cell>
          <cell r="BY338">
            <v>216</v>
          </cell>
          <cell r="BZ338">
            <v>4.5</v>
          </cell>
          <cell r="CA338">
            <v>49.5</v>
          </cell>
          <cell r="CB338">
            <v>40.5</v>
          </cell>
          <cell r="CC338">
            <v>49.5</v>
          </cell>
          <cell r="CD338">
            <v>58.5</v>
          </cell>
          <cell r="CE338">
            <v>49.5</v>
          </cell>
          <cell r="CF338">
            <v>36</v>
          </cell>
          <cell r="CG338">
            <v>49.5</v>
          </cell>
          <cell r="CH338">
            <v>112.5</v>
          </cell>
          <cell r="CI338">
            <v>306</v>
          </cell>
          <cell r="CJ338">
            <v>288</v>
          </cell>
          <cell r="CK338">
            <v>256.5</v>
          </cell>
          <cell r="CL338">
            <v>229.5</v>
          </cell>
          <cell r="CM338">
            <v>243</v>
          </cell>
          <cell r="CN338">
            <v>297</v>
          </cell>
          <cell r="CO338">
            <v>346.5</v>
          </cell>
          <cell r="CP338">
            <v>324</v>
          </cell>
          <cell r="CQ338">
            <v>270</v>
          </cell>
          <cell r="CR338">
            <v>283.5</v>
          </cell>
          <cell r="CS338">
            <v>49.5</v>
          </cell>
          <cell r="CT338">
            <v>256.5</v>
          </cell>
          <cell r="CU338">
            <v>207</v>
          </cell>
          <cell r="CV338">
            <v>175.5</v>
          </cell>
          <cell r="CW338">
            <v>162</v>
          </cell>
          <cell r="CX338">
            <v>162</v>
          </cell>
          <cell r="CY338">
            <v>162</v>
          </cell>
          <cell r="CZ338">
            <v>148.5</v>
          </cell>
          <cell r="DA338">
            <v>135</v>
          </cell>
          <cell r="DB338">
            <v>144</v>
          </cell>
          <cell r="DC338">
            <v>175.5</v>
          </cell>
          <cell r="DD338">
            <v>153</v>
          </cell>
          <cell r="DE338">
            <v>108</v>
          </cell>
          <cell r="DF338">
            <v>184.5</v>
          </cell>
          <cell r="DG338">
            <v>153</v>
          </cell>
          <cell r="DH338">
            <v>85.5</v>
          </cell>
          <cell r="DI338">
            <v>45</v>
          </cell>
          <cell r="DJ338">
            <v>139.5</v>
          </cell>
          <cell r="DK338">
            <v>130.5</v>
          </cell>
          <cell r="DL338">
            <v>135</v>
          </cell>
          <cell r="DM338">
            <v>130.5</v>
          </cell>
          <cell r="DN338">
            <v>117</v>
          </cell>
          <cell r="DO338">
            <v>112.5</v>
          </cell>
          <cell r="DP338">
            <v>126</v>
          </cell>
          <cell r="DQ338">
            <v>135</v>
          </cell>
          <cell r="DR338">
            <v>135</v>
          </cell>
          <cell r="DS338">
            <v>180</v>
          </cell>
          <cell r="DT338">
            <v>117</v>
          </cell>
          <cell r="DU338">
            <v>148.5</v>
          </cell>
          <cell r="DV338">
            <v>130.5</v>
          </cell>
          <cell r="DW338">
            <v>112.5</v>
          </cell>
          <cell r="DX338">
            <v>108</v>
          </cell>
          <cell r="DY338">
            <v>126</v>
          </cell>
          <cell r="DZ338">
            <v>112.5</v>
          </cell>
          <cell r="EA338">
            <v>85.5</v>
          </cell>
          <cell r="EB338">
            <v>117</v>
          </cell>
          <cell r="EC338">
            <v>90</v>
          </cell>
          <cell r="ED338">
            <v>121.5</v>
          </cell>
          <cell r="EE338" t="str">
            <v>ACTIVO</v>
          </cell>
          <cell r="EF338" t="str">
            <v>B</v>
          </cell>
          <cell r="EG338">
            <v>540</v>
          </cell>
          <cell r="EH338">
            <v>124.5</v>
          </cell>
          <cell r="EI338">
            <v>20.75</v>
          </cell>
          <cell r="EJ338">
            <v>112.47609728332097</v>
          </cell>
          <cell r="EK338">
            <v>787.5</v>
          </cell>
          <cell r="EL338">
            <v>2602372.5</v>
          </cell>
          <cell r="EM338">
            <v>6.3253012048192767</v>
          </cell>
          <cell r="EN338">
            <v>41.5</v>
          </cell>
          <cell r="EO338">
            <v>41.5</v>
          </cell>
          <cell r="EP338">
            <v>83</v>
          </cell>
        </row>
        <row r="339">
          <cell r="F339">
            <v>107360</v>
          </cell>
          <cell r="G339" t="str">
            <v>RELLENO PIE DE FRAMBUESA</v>
          </cell>
          <cell r="AB339">
            <v>14.5</v>
          </cell>
          <cell r="AC339">
            <v>85.5</v>
          </cell>
          <cell r="AD339">
            <v>144</v>
          </cell>
          <cell r="AE339">
            <v>332.5</v>
          </cell>
          <cell r="AF339">
            <v>274</v>
          </cell>
          <cell r="AG339">
            <v>358.5</v>
          </cell>
          <cell r="AH339">
            <v>313</v>
          </cell>
          <cell r="AI339">
            <v>368.5</v>
          </cell>
          <cell r="AJ339">
            <v>333</v>
          </cell>
          <cell r="AK339">
            <v>471</v>
          </cell>
          <cell r="AL339">
            <v>347.5</v>
          </cell>
          <cell r="AM339">
            <v>500.5</v>
          </cell>
          <cell r="AN339">
            <v>407</v>
          </cell>
          <cell r="AO339">
            <v>382.5</v>
          </cell>
          <cell r="AP339">
            <v>398</v>
          </cell>
          <cell r="AQ339">
            <v>383</v>
          </cell>
          <cell r="AR339">
            <v>349</v>
          </cell>
          <cell r="AS339">
            <v>115</v>
          </cell>
          <cell r="AT339">
            <v>85</v>
          </cell>
          <cell r="AU339">
            <v>180</v>
          </cell>
          <cell r="BL339">
            <v>355.5</v>
          </cell>
          <cell r="BM339">
            <v>252</v>
          </cell>
          <cell r="BN339">
            <v>229.5</v>
          </cell>
          <cell r="BO339">
            <v>171</v>
          </cell>
          <cell r="BP339">
            <v>193.5</v>
          </cell>
          <cell r="BQ339">
            <v>148.5</v>
          </cell>
          <cell r="BR339">
            <v>220.5</v>
          </cell>
          <cell r="EE339" t="str">
            <v>SIN USO</v>
          </cell>
          <cell r="EF339" t="str">
            <v>C</v>
          </cell>
          <cell r="EG339">
            <v>540</v>
          </cell>
          <cell r="EH339">
            <v>0</v>
          </cell>
          <cell r="EI339">
            <v>0</v>
          </cell>
          <cell r="EJ339">
            <v>67.770885025524493</v>
          </cell>
          <cell r="EK339">
            <v>27</v>
          </cell>
          <cell r="EL339">
            <v>79858.98</v>
          </cell>
          <cell r="EM339">
            <v>0</v>
          </cell>
          <cell r="EN339">
            <v>0</v>
          </cell>
          <cell r="EO339">
            <v>0</v>
          </cell>
          <cell r="EP339">
            <v>0</v>
          </cell>
        </row>
        <row r="340">
          <cell r="F340">
            <v>107294</v>
          </cell>
          <cell r="G340" t="str">
            <v>DULCE DE RELLENO DIWATTS</v>
          </cell>
          <cell r="H340">
            <v>840</v>
          </cell>
          <cell r="V340">
            <v>852</v>
          </cell>
          <cell r="W340">
            <v>270</v>
          </cell>
          <cell r="X340">
            <v>168</v>
          </cell>
          <cell r="Y340">
            <v>102</v>
          </cell>
          <cell r="AA340">
            <v>420</v>
          </cell>
          <cell r="AB340">
            <v>426</v>
          </cell>
          <cell r="AC340">
            <v>2509</v>
          </cell>
          <cell r="AD340">
            <v>4230</v>
          </cell>
          <cell r="AE340">
            <v>4470</v>
          </cell>
          <cell r="AF340">
            <v>1164</v>
          </cell>
          <cell r="AG340">
            <v>2470</v>
          </cell>
          <cell r="AH340">
            <v>1512</v>
          </cell>
          <cell r="AI340">
            <v>1650</v>
          </cell>
          <cell r="AJ340">
            <v>3684</v>
          </cell>
          <cell r="AK340">
            <v>2508</v>
          </cell>
          <cell r="AL340">
            <v>978</v>
          </cell>
          <cell r="AM340">
            <v>1566</v>
          </cell>
          <cell r="AN340">
            <v>1386</v>
          </cell>
          <cell r="AO340">
            <v>1356</v>
          </cell>
          <cell r="AP340">
            <v>1668</v>
          </cell>
          <cell r="AQ340">
            <v>1888</v>
          </cell>
          <cell r="AR340">
            <v>1944</v>
          </cell>
          <cell r="AS340">
            <v>210</v>
          </cell>
          <cell r="AT340">
            <v>1596</v>
          </cell>
          <cell r="AU340">
            <v>1698</v>
          </cell>
          <cell r="AV340">
            <v>1038</v>
          </cell>
          <cell r="AW340">
            <v>1266</v>
          </cell>
          <cell r="AX340">
            <v>4152</v>
          </cell>
          <cell r="AY340">
            <v>1548</v>
          </cell>
          <cell r="AZ340">
            <v>1002</v>
          </cell>
          <cell r="BA340">
            <v>3636</v>
          </cell>
          <cell r="BB340">
            <v>822</v>
          </cell>
          <cell r="BC340">
            <v>1242</v>
          </cell>
          <cell r="BD340">
            <v>2382</v>
          </cell>
          <cell r="BE340">
            <v>3480</v>
          </cell>
          <cell r="BF340">
            <v>1147</v>
          </cell>
          <cell r="BG340">
            <v>780</v>
          </cell>
          <cell r="BH340">
            <v>486</v>
          </cell>
          <cell r="BI340">
            <v>1002</v>
          </cell>
          <cell r="BJ340">
            <v>2976</v>
          </cell>
          <cell r="BK340">
            <v>1404</v>
          </cell>
          <cell r="BL340">
            <v>2472</v>
          </cell>
          <cell r="BM340">
            <v>1878</v>
          </cell>
          <cell r="BN340">
            <v>1170</v>
          </cell>
          <cell r="BO340">
            <v>3654</v>
          </cell>
          <cell r="BP340">
            <v>900</v>
          </cell>
          <cell r="BQ340">
            <v>3276</v>
          </cell>
          <cell r="BR340">
            <v>2718</v>
          </cell>
          <cell r="BS340">
            <v>3948</v>
          </cell>
          <cell r="BT340">
            <v>1866</v>
          </cell>
          <cell r="BU340">
            <v>2154</v>
          </cell>
          <cell r="BV340">
            <v>846</v>
          </cell>
          <cell r="BW340">
            <v>2624</v>
          </cell>
          <cell r="BX340">
            <v>2134</v>
          </cell>
          <cell r="BY340">
            <v>2082</v>
          </cell>
          <cell r="BZ340">
            <v>2004</v>
          </cell>
          <cell r="CA340">
            <v>2034</v>
          </cell>
          <cell r="CB340">
            <v>2136</v>
          </cell>
          <cell r="CC340">
            <v>2682</v>
          </cell>
          <cell r="CD340">
            <v>2118</v>
          </cell>
          <cell r="CE340">
            <v>2658</v>
          </cell>
          <cell r="CF340">
            <v>2376</v>
          </cell>
          <cell r="CG340">
            <v>1218</v>
          </cell>
          <cell r="CH340">
            <v>2004</v>
          </cell>
          <cell r="CI340">
            <v>2742</v>
          </cell>
          <cell r="CJ340">
            <v>2352</v>
          </cell>
          <cell r="CK340">
            <v>1908</v>
          </cell>
          <cell r="CL340">
            <v>1476</v>
          </cell>
          <cell r="CM340">
            <v>192</v>
          </cell>
          <cell r="CN340">
            <v>2646</v>
          </cell>
          <cell r="CO340">
            <v>2298</v>
          </cell>
          <cell r="CP340">
            <v>3774</v>
          </cell>
          <cell r="CQ340">
            <v>1296</v>
          </cell>
          <cell r="CR340">
            <v>3414</v>
          </cell>
          <cell r="CS340">
            <v>1344</v>
          </cell>
          <cell r="CT340">
            <v>1752</v>
          </cell>
          <cell r="CU340">
            <v>2214</v>
          </cell>
          <cell r="CV340">
            <v>1284</v>
          </cell>
          <cell r="CW340">
            <v>3505</v>
          </cell>
          <cell r="CX340">
            <v>2094</v>
          </cell>
          <cell r="CY340">
            <v>1146</v>
          </cell>
          <cell r="CZ340">
            <v>1536</v>
          </cell>
          <cell r="DA340">
            <v>2154</v>
          </cell>
          <cell r="DB340">
            <v>8070</v>
          </cell>
          <cell r="DC340">
            <v>1728</v>
          </cell>
          <cell r="DD340">
            <v>1110</v>
          </cell>
          <cell r="DE340">
            <v>1296</v>
          </cell>
          <cell r="DF340">
            <v>2094</v>
          </cell>
          <cell r="DG340">
            <v>390</v>
          </cell>
          <cell r="DH340">
            <v>1116</v>
          </cell>
          <cell r="DI340">
            <v>114</v>
          </cell>
          <cell r="DJ340">
            <v>1458</v>
          </cell>
          <cell r="DK340">
            <v>1986</v>
          </cell>
          <cell r="DL340">
            <v>2550</v>
          </cell>
          <cell r="DM340">
            <v>1680</v>
          </cell>
          <cell r="DN340">
            <v>2028</v>
          </cell>
          <cell r="DO340">
            <v>2406</v>
          </cell>
          <cell r="DP340">
            <v>1148</v>
          </cell>
          <cell r="DQ340">
            <v>1470</v>
          </cell>
          <cell r="DR340">
            <v>2592</v>
          </cell>
          <cell r="DS340">
            <v>1998</v>
          </cell>
          <cell r="DT340">
            <v>2376</v>
          </cell>
          <cell r="DU340">
            <v>1674</v>
          </cell>
          <cell r="DV340">
            <v>1428</v>
          </cell>
          <cell r="DW340">
            <v>2346</v>
          </cell>
          <cell r="DX340">
            <v>3744</v>
          </cell>
          <cell r="DY340">
            <v>4656</v>
          </cell>
          <cell r="DZ340">
            <v>1772</v>
          </cell>
          <cell r="EA340">
            <v>1476</v>
          </cell>
          <cell r="EB340">
            <v>3600</v>
          </cell>
          <cell r="EC340">
            <v>3288</v>
          </cell>
          <cell r="ED340">
            <v>1776</v>
          </cell>
          <cell r="EE340" t="str">
            <v>ACTIVO</v>
          </cell>
          <cell r="EF340" t="str">
            <v>A</v>
          </cell>
          <cell r="EG340">
            <v>1200</v>
          </cell>
          <cell r="EH340">
            <v>2079.2222222222222</v>
          </cell>
          <cell r="EI340">
            <v>346.53703703703701</v>
          </cell>
          <cell r="EJ340">
            <v>1197.0374909404388</v>
          </cell>
          <cell r="EK340">
            <v>2436</v>
          </cell>
          <cell r="EL340">
            <v>4043760</v>
          </cell>
          <cell r="EM340">
            <v>1.1715919414310907</v>
          </cell>
          <cell r="EN340">
            <v>1039.6111111111111</v>
          </cell>
          <cell r="EO340">
            <v>693.07407407407402</v>
          </cell>
          <cell r="EP340">
            <v>1732.6851851851852</v>
          </cell>
        </row>
        <row r="341">
          <cell r="F341">
            <v>107129</v>
          </cell>
          <cell r="G341" t="str">
            <v>MERM. MEL FRAMBUESA QUINTA BALDE 5 Kg</v>
          </cell>
          <cell r="H341">
            <v>2020</v>
          </cell>
          <cell r="I341">
            <v>1650</v>
          </cell>
          <cell r="J341">
            <v>1450</v>
          </cell>
          <cell r="K341">
            <v>1400</v>
          </cell>
          <cell r="L341">
            <v>1630</v>
          </cell>
          <cell r="M341">
            <v>2350</v>
          </cell>
          <cell r="N341">
            <v>1700</v>
          </cell>
          <cell r="O341">
            <v>1210</v>
          </cell>
          <cell r="P341">
            <v>1490</v>
          </cell>
          <cell r="Q341">
            <v>1810</v>
          </cell>
          <cell r="R341">
            <v>2210</v>
          </cell>
          <cell r="S341">
            <v>1425</v>
          </cell>
          <cell r="T341">
            <v>1330</v>
          </cell>
          <cell r="U341">
            <v>1705</v>
          </cell>
          <cell r="V341">
            <v>2005</v>
          </cell>
          <cell r="W341">
            <v>1965</v>
          </cell>
          <cell r="X341">
            <v>2470</v>
          </cell>
          <cell r="Y341">
            <v>1930</v>
          </cell>
          <cell r="Z341">
            <v>2580</v>
          </cell>
          <cell r="AA341">
            <v>1590</v>
          </cell>
          <cell r="AB341">
            <v>2080</v>
          </cell>
          <cell r="AC341">
            <v>1600</v>
          </cell>
          <cell r="AD341">
            <v>2630</v>
          </cell>
          <cell r="AE341">
            <v>2160</v>
          </cell>
          <cell r="AF341">
            <v>1660</v>
          </cell>
          <cell r="AG341">
            <v>2060</v>
          </cell>
          <cell r="AH341">
            <v>1530</v>
          </cell>
          <cell r="AI341">
            <v>1660</v>
          </cell>
          <cell r="AJ341">
            <v>2175</v>
          </cell>
          <cell r="AK341">
            <v>2145</v>
          </cell>
          <cell r="AL341">
            <v>1806.6</v>
          </cell>
          <cell r="AM341">
            <v>1930</v>
          </cell>
          <cell r="AN341">
            <v>1530</v>
          </cell>
          <cell r="AO341">
            <v>1790</v>
          </cell>
          <cell r="AP341">
            <v>1675</v>
          </cell>
          <cell r="AQ341">
            <v>1815</v>
          </cell>
          <cell r="AR341">
            <v>1600</v>
          </cell>
          <cell r="AS341">
            <v>875</v>
          </cell>
          <cell r="AT341">
            <v>1405</v>
          </cell>
          <cell r="AU341">
            <v>1641</v>
          </cell>
          <cell r="AV341">
            <v>1390</v>
          </cell>
          <cell r="AW341">
            <v>1480</v>
          </cell>
          <cell r="AX341">
            <v>1725</v>
          </cell>
          <cell r="AY341">
            <v>1515</v>
          </cell>
          <cell r="AZ341">
            <v>1495</v>
          </cell>
          <cell r="BA341">
            <v>1505</v>
          </cell>
          <cell r="BB341">
            <v>1305</v>
          </cell>
          <cell r="BC341">
            <v>1600</v>
          </cell>
          <cell r="BD341">
            <v>1320</v>
          </cell>
          <cell r="BE341">
            <v>1445</v>
          </cell>
          <cell r="BF341">
            <v>2010</v>
          </cell>
          <cell r="BG341">
            <v>1765</v>
          </cell>
          <cell r="BH341">
            <v>795</v>
          </cell>
          <cell r="BI341">
            <v>1525</v>
          </cell>
          <cell r="BJ341">
            <v>1225</v>
          </cell>
          <cell r="BK341">
            <v>1555</v>
          </cell>
          <cell r="BL341">
            <v>1430</v>
          </cell>
          <cell r="BM341">
            <v>1595</v>
          </cell>
          <cell r="BN341">
            <v>1690</v>
          </cell>
          <cell r="BO341">
            <v>1854.5</v>
          </cell>
          <cell r="BP341">
            <v>1480</v>
          </cell>
          <cell r="BQ341">
            <v>1590</v>
          </cell>
          <cell r="BR341">
            <v>1560</v>
          </cell>
          <cell r="BS341">
            <v>1010</v>
          </cell>
          <cell r="BT341">
            <v>1200</v>
          </cell>
          <cell r="BU341">
            <v>1730</v>
          </cell>
          <cell r="BV341">
            <v>1165</v>
          </cell>
          <cell r="BW341">
            <v>1620</v>
          </cell>
          <cell r="BX341">
            <v>1665</v>
          </cell>
          <cell r="BY341">
            <v>2110</v>
          </cell>
          <cell r="BZ341">
            <v>2465</v>
          </cell>
          <cell r="CA341">
            <v>1740</v>
          </cell>
          <cell r="CB341">
            <v>1075</v>
          </cell>
          <cell r="CC341">
            <v>1290</v>
          </cell>
          <cell r="CD341">
            <v>1340</v>
          </cell>
          <cell r="CE341">
            <v>2080</v>
          </cell>
          <cell r="CF341">
            <v>1850</v>
          </cell>
          <cell r="CG341">
            <v>1305</v>
          </cell>
          <cell r="CH341">
            <v>1910</v>
          </cell>
          <cell r="CI341">
            <v>1310</v>
          </cell>
          <cell r="CJ341">
            <v>1275</v>
          </cell>
          <cell r="CK341">
            <v>1395</v>
          </cell>
          <cell r="CL341">
            <v>1430</v>
          </cell>
          <cell r="CM341">
            <v>1810</v>
          </cell>
          <cell r="CN341">
            <v>1685</v>
          </cell>
          <cell r="CO341">
            <v>1535</v>
          </cell>
          <cell r="CP341">
            <v>1380</v>
          </cell>
          <cell r="CQ341">
            <v>2050</v>
          </cell>
          <cell r="CR341">
            <v>1685</v>
          </cell>
          <cell r="CS341">
            <v>1095</v>
          </cell>
          <cell r="CT341">
            <v>1880</v>
          </cell>
          <cell r="CU341">
            <v>2005</v>
          </cell>
          <cell r="CV341">
            <v>1695</v>
          </cell>
          <cell r="CW341">
            <v>1720</v>
          </cell>
          <cell r="CX341">
            <v>1765</v>
          </cell>
          <cell r="CY341">
            <v>2040</v>
          </cell>
          <cell r="CZ341">
            <v>1740</v>
          </cell>
          <cell r="DA341">
            <v>1305</v>
          </cell>
          <cell r="DB341">
            <v>2730</v>
          </cell>
          <cell r="DC341">
            <v>1330</v>
          </cell>
          <cell r="DD341">
            <v>1480</v>
          </cell>
          <cell r="DE341">
            <v>1030</v>
          </cell>
          <cell r="DF341">
            <v>2865</v>
          </cell>
          <cell r="DG341">
            <v>2325</v>
          </cell>
          <cell r="DH341">
            <v>1080</v>
          </cell>
          <cell r="DI341">
            <v>330</v>
          </cell>
          <cell r="DJ341">
            <v>2150</v>
          </cell>
          <cell r="DK341">
            <v>2535</v>
          </cell>
          <cell r="DL341">
            <v>1620</v>
          </cell>
          <cell r="DM341">
            <v>1440</v>
          </cell>
          <cell r="DN341">
            <v>1175</v>
          </cell>
          <cell r="DO341">
            <v>1700</v>
          </cell>
          <cell r="DP341">
            <v>1600</v>
          </cell>
          <cell r="DQ341">
            <v>1050</v>
          </cell>
          <cell r="DR341">
            <v>2010</v>
          </cell>
          <cell r="DS341">
            <v>1442</v>
          </cell>
          <cell r="DT341">
            <v>1935</v>
          </cell>
          <cell r="DU341">
            <v>1485</v>
          </cell>
          <cell r="DV341">
            <v>1585</v>
          </cell>
          <cell r="DW341">
            <v>1960</v>
          </cell>
          <cell r="DX341">
            <v>1895</v>
          </cell>
          <cell r="DY341">
            <v>3155</v>
          </cell>
          <cell r="DZ341">
            <v>2020</v>
          </cell>
          <cell r="EA341">
            <v>2005</v>
          </cell>
          <cell r="EB341">
            <v>2135</v>
          </cell>
          <cell r="EC341">
            <v>1260</v>
          </cell>
          <cell r="ED341">
            <v>1950</v>
          </cell>
          <cell r="EE341" t="str">
            <v>ACTIVO</v>
          </cell>
          <cell r="EF341" t="str">
            <v>A</v>
          </cell>
          <cell r="EG341">
            <v>600</v>
          </cell>
          <cell r="EH341">
            <v>1727.0555555555557</v>
          </cell>
          <cell r="EI341">
            <v>287.84259259259261</v>
          </cell>
          <cell r="EJ341">
            <v>417.76004520550043</v>
          </cell>
          <cell r="EK341">
            <v>1370</v>
          </cell>
          <cell r="EL341">
            <v>5913358.4000000004</v>
          </cell>
          <cell r="EM341">
            <v>0.79325763180750797</v>
          </cell>
          <cell r="EN341">
            <v>575.68518518518522</v>
          </cell>
          <cell r="EO341">
            <v>575.68518518518522</v>
          </cell>
          <cell r="EP341">
            <v>1151.3703703703704</v>
          </cell>
        </row>
        <row r="342">
          <cell r="F342">
            <v>403407</v>
          </cell>
          <cell r="G342" t="str">
            <v>MERM. LAMARKA FRAMBUESA BALDE 5 Kg</v>
          </cell>
          <cell r="AF342">
            <v>235</v>
          </cell>
          <cell r="AG342">
            <v>200</v>
          </cell>
          <cell r="AH342">
            <v>195</v>
          </cell>
          <cell r="AI342">
            <v>220</v>
          </cell>
          <cell r="AJ342">
            <v>205</v>
          </cell>
          <cell r="AK342">
            <v>195</v>
          </cell>
          <cell r="AL342">
            <v>607</v>
          </cell>
          <cell r="AM342">
            <v>50</v>
          </cell>
          <cell r="AN342">
            <v>175</v>
          </cell>
          <cell r="AO342">
            <v>360</v>
          </cell>
          <cell r="AP342">
            <v>175</v>
          </cell>
          <cell r="AQ342">
            <v>170</v>
          </cell>
          <cell r="AR342">
            <v>165</v>
          </cell>
          <cell r="AT342">
            <v>150</v>
          </cell>
          <cell r="AU342">
            <v>160</v>
          </cell>
          <cell r="AV342">
            <v>145</v>
          </cell>
          <cell r="AW342">
            <v>100</v>
          </cell>
          <cell r="BA342">
            <v>600</v>
          </cell>
          <cell r="BC342">
            <v>1885</v>
          </cell>
          <cell r="EE342" t="str">
            <v>SIN USO</v>
          </cell>
          <cell r="EF342" t="str">
            <v/>
          </cell>
          <cell r="EG342">
            <v>600</v>
          </cell>
          <cell r="EH342">
            <v>0</v>
          </cell>
          <cell r="EI342">
            <v>0</v>
          </cell>
          <cell r="EJ342">
            <v>0</v>
          </cell>
          <cell r="EK342">
            <v>0</v>
          </cell>
          <cell r="EL342">
            <v>0</v>
          </cell>
          <cell r="EM342">
            <v>0</v>
          </cell>
          <cell r="EN342">
            <v>0</v>
          </cell>
          <cell r="EO342">
            <v>0</v>
          </cell>
          <cell r="EP342">
            <v>0</v>
          </cell>
        </row>
        <row r="343">
          <cell r="F343">
            <v>107193</v>
          </cell>
          <cell r="G343" t="str">
            <v>MERMELADA DE FRAMBUESA EBEL</v>
          </cell>
          <cell r="H343">
            <v>790</v>
          </cell>
          <cell r="I343">
            <v>1305</v>
          </cell>
          <cell r="J343">
            <v>1150</v>
          </cell>
          <cell r="K343">
            <v>975</v>
          </cell>
          <cell r="L343">
            <v>1115</v>
          </cell>
          <cell r="M343">
            <v>2050</v>
          </cell>
          <cell r="N343">
            <v>930</v>
          </cell>
          <cell r="O343">
            <v>775</v>
          </cell>
          <cell r="P343">
            <v>1080</v>
          </cell>
          <cell r="Q343">
            <v>1040</v>
          </cell>
          <cell r="R343">
            <v>1050</v>
          </cell>
          <cell r="S343">
            <v>670</v>
          </cell>
          <cell r="T343">
            <v>970</v>
          </cell>
          <cell r="U343">
            <v>1295</v>
          </cell>
          <cell r="V343">
            <v>875</v>
          </cell>
          <cell r="W343">
            <v>755</v>
          </cell>
          <cell r="X343">
            <v>1210</v>
          </cell>
          <cell r="Y343">
            <v>1630</v>
          </cell>
          <cell r="Z343">
            <v>1085</v>
          </cell>
          <cell r="AA343">
            <v>990</v>
          </cell>
          <cell r="AB343">
            <v>1120</v>
          </cell>
          <cell r="AC343">
            <v>1000</v>
          </cell>
          <cell r="AD343">
            <v>1985</v>
          </cell>
          <cell r="AE343">
            <v>1455.5</v>
          </cell>
          <cell r="AF343">
            <v>865</v>
          </cell>
          <cell r="AG343">
            <v>970</v>
          </cell>
          <cell r="AH343">
            <v>930</v>
          </cell>
          <cell r="AI343">
            <v>1135</v>
          </cell>
          <cell r="AJ343">
            <v>1050</v>
          </cell>
          <cell r="AK343">
            <v>1130</v>
          </cell>
          <cell r="AL343">
            <v>1330</v>
          </cell>
          <cell r="AM343">
            <v>935</v>
          </cell>
          <cell r="AN343">
            <v>1070</v>
          </cell>
          <cell r="AO343">
            <v>845</v>
          </cell>
          <cell r="AP343">
            <v>770</v>
          </cell>
          <cell r="AQ343">
            <v>799.5</v>
          </cell>
          <cell r="AR343">
            <v>850</v>
          </cell>
          <cell r="AS343">
            <v>400</v>
          </cell>
          <cell r="AT343">
            <v>675</v>
          </cell>
          <cell r="AU343">
            <v>800.5</v>
          </cell>
          <cell r="AV343">
            <v>665</v>
          </cell>
          <cell r="AW343">
            <v>570</v>
          </cell>
          <cell r="AX343">
            <v>2340</v>
          </cell>
          <cell r="AY343">
            <v>1160</v>
          </cell>
          <cell r="AZ343">
            <v>1110</v>
          </cell>
          <cell r="BA343">
            <v>910</v>
          </cell>
          <cell r="BB343">
            <v>1275</v>
          </cell>
          <cell r="BC343">
            <v>850</v>
          </cell>
          <cell r="BD343">
            <v>710</v>
          </cell>
          <cell r="BE343">
            <v>810</v>
          </cell>
          <cell r="BF343">
            <v>1570</v>
          </cell>
          <cell r="BG343">
            <v>545</v>
          </cell>
          <cell r="BH343">
            <v>230</v>
          </cell>
          <cell r="BI343">
            <v>1140</v>
          </cell>
          <cell r="BJ343">
            <v>920</v>
          </cell>
          <cell r="BK343">
            <v>1200</v>
          </cell>
          <cell r="BL343">
            <v>915</v>
          </cell>
          <cell r="BM343">
            <v>1235</v>
          </cell>
          <cell r="BN343">
            <v>990</v>
          </cell>
          <cell r="BO343">
            <v>935</v>
          </cell>
          <cell r="BP343">
            <v>645</v>
          </cell>
          <cell r="BQ343">
            <v>965</v>
          </cell>
          <cell r="BR343">
            <v>1465</v>
          </cell>
          <cell r="BS343">
            <v>985</v>
          </cell>
          <cell r="BT343">
            <v>945</v>
          </cell>
          <cell r="BU343">
            <v>835</v>
          </cell>
          <cell r="BV343">
            <v>930</v>
          </cell>
          <cell r="BW343">
            <v>1540</v>
          </cell>
          <cell r="BX343">
            <v>635</v>
          </cell>
          <cell r="BY343">
            <v>1110</v>
          </cell>
          <cell r="BZ343">
            <v>1110</v>
          </cell>
          <cell r="CA343">
            <v>650</v>
          </cell>
          <cell r="CB343">
            <v>1530</v>
          </cell>
          <cell r="CC343">
            <v>1220</v>
          </cell>
          <cell r="CD343">
            <v>770</v>
          </cell>
          <cell r="CE343">
            <v>1720</v>
          </cell>
          <cell r="CF343">
            <v>545</v>
          </cell>
          <cell r="CG343">
            <v>630</v>
          </cell>
          <cell r="CH343">
            <v>695</v>
          </cell>
          <cell r="CI343">
            <v>940</v>
          </cell>
          <cell r="CJ343">
            <v>1070</v>
          </cell>
          <cell r="CK343">
            <v>815</v>
          </cell>
          <cell r="CL343">
            <v>805</v>
          </cell>
          <cell r="CM343">
            <v>970</v>
          </cell>
          <cell r="CN343">
            <v>1125</v>
          </cell>
          <cell r="CO343">
            <v>880</v>
          </cell>
          <cell r="CP343">
            <v>1015</v>
          </cell>
          <cell r="CQ343">
            <v>855</v>
          </cell>
          <cell r="CR343">
            <v>1000</v>
          </cell>
          <cell r="CS343">
            <v>580</v>
          </cell>
          <cell r="CT343">
            <v>1155</v>
          </cell>
          <cell r="CU343">
            <v>1215</v>
          </cell>
          <cell r="CV343">
            <v>1005</v>
          </cell>
          <cell r="CW343">
            <v>965</v>
          </cell>
          <cell r="CX343">
            <v>1210</v>
          </cell>
          <cell r="CY343">
            <v>1335</v>
          </cell>
          <cell r="CZ343">
            <v>1105</v>
          </cell>
          <cell r="DA343">
            <v>1520</v>
          </cell>
          <cell r="DB343">
            <v>945</v>
          </cell>
          <cell r="DC343">
            <v>1080</v>
          </cell>
          <cell r="DD343">
            <v>880</v>
          </cell>
          <cell r="DE343">
            <v>635</v>
          </cell>
          <cell r="DF343">
            <v>1165</v>
          </cell>
          <cell r="DG343">
            <v>815</v>
          </cell>
          <cell r="DH343">
            <v>605</v>
          </cell>
          <cell r="DI343">
            <v>190</v>
          </cell>
          <cell r="DJ343">
            <v>1156</v>
          </cell>
          <cell r="DK343">
            <v>1320</v>
          </cell>
          <cell r="DL343">
            <v>1180</v>
          </cell>
          <cell r="DM343">
            <v>700</v>
          </cell>
          <cell r="DN343">
            <v>775</v>
          </cell>
          <cell r="DO343">
            <v>920</v>
          </cell>
          <cell r="DP343">
            <v>885</v>
          </cell>
          <cell r="DQ343">
            <v>765</v>
          </cell>
          <cell r="DR343">
            <v>825</v>
          </cell>
          <cell r="DS343">
            <v>860</v>
          </cell>
          <cell r="DT343">
            <v>755</v>
          </cell>
          <cell r="DU343">
            <v>875</v>
          </cell>
          <cell r="DV343">
            <v>1015</v>
          </cell>
          <cell r="DW343">
            <v>830</v>
          </cell>
          <cell r="DX343">
            <v>895</v>
          </cell>
          <cell r="DY343">
            <v>1480</v>
          </cell>
          <cell r="DZ343">
            <v>2070</v>
          </cell>
          <cell r="EA343">
            <v>1055</v>
          </cell>
          <cell r="EB343">
            <v>1040</v>
          </cell>
          <cell r="EC343">
            <v>830</v>
          </cell>
          <cell r="ED343">
            <v>940</v>
          </cell>
          <cell r="EE343" t="str">
            <v>ACTIVO</v>
          </cell>
          <cell r="EF343" t="str">
            <v>A</v>
          </cell>
          <cell r="EG343">
            <v>600</v>
          </cell>
          <cell r="EH343">
            <v>972</v>
          </cell>
          <cell r="EI343">
            <v>162</v>
          </cell>
          <cell r="EJ343">
            <v>283.99665516540495</v>
          </cell>
          <cell r="EK343">
            <v>830</v>
          </cell>
          <cell r="EL343">
            <v>3184876</v>
          </cell>
          <cell r="EM343">
            <v>0.85390946502057619</v>
          </cell>
          <cell r="EN343">
            <v>324</v>
          </cell>
          <cell r="EO343">
            <v>324</v>
          </cell>
          <cell r="EP343">
            <v>648</v>
          </cell>
        </row>
        <row r="344">
          <cell r="F344">
            <v>107275</v>
          </cell>
          <cell r="G344" t="str">
            <v>SALSA DE GUINDA BALDE 5 Kg</v>
          </cell>
          <cell r="H344">
            <v>488.5</v>
          </cell>
          <cell r="I344">
            <v>300</v>
          </cell>
          <cell r="J344">
            <v>255</v>
          </cell>
          <cell r="K344">
            <v>305</v>
          </cell>
          <cell r="L344">
            <v>285</v>
          </cell>
          <cell r="M344">
            <v>330</v>
          </cell>
          <cell r="N344">
            <v>485</v>
          </cell>
          <cell r="O344">
            <v>350</v>
          </cell>
          <cell r="P344">
            <v>375</v>
          </cell>
          <cell r="Q344">
            <v>380</v>
          </cell>
          <cell r="R344">
            <v>395</v>
          </cell>
          <cell r="S344">
            <v>125</v>
          </cell>
          <cell r="T344">
            <v>105</v>
          </cell>
          <cell r="U344">
            <v>365</v>
          </cell>
          <cell r="V344">
            <v>450</v>
          </cell>
          <cell r="W344">
            <v>410</v>
          </cell>
          <cell r="X344">
            <v>445</v>
          </cell>
          <cell r="Y344">
            <v>485</v>
          </cell>
          <cell r="Z344">
            <v>1090</v>
          </cell>
          <cell r="AA344">
            <v>495</v>
          </cell>
          <cell r="AB344">
            <v>490</v>
          </cell>
          <cell r="AC344">
            <v>485</v>
          </cell>
          <cell r="AD344">
            <v>540</v>
          </cell>
          <cell r="AE344">
            <v>755</v>
          </cell>
          <cell r="AF344">
            <v>520</v>
          </cell>
          <cell r="AG344">
            <v>570</v>
          </cell>
          <cell r="AH344">
            <v>610</v>
          </cell>
          <cell r="AI344">
            <v>640</v>
          </cell>
          <cell r="AJ344">
            <v>740</v>
          </cell>
          <cell r="AK344">
            <v>635</v>
          </cell>
          <cell r="AL344">
            <v>633.32999999999993</v>
          </cell>
          <cell r="AM344">
            <v>735</v>
          </cell>
          <cell r="AN344">
            <v>640</v>
          </cell>
          <cell r="AO344">
            <v>670</v>
          </cell>
          <cell r="AP344">
            <v>715</v>
          </cell>
          <cell r="AQ344">
            <v>755</v>
          </cell>
          <cell r="AR344">
            <v>705</v>
          </cell>
          <cell r="AS344">
            <v>235</v>
          </cell>
          <cell r="AT344">
            <v>710</v>
          </cell>
          <cell r="AU344">
            <v>747</v>
          </cell>
          <cell r="AV344">
            <v>715</v>
          </cell>
          <cell r="AW344">
            <v>635</v>
          </cell>
          <cell r="AX344">
            <v>835</v>
          </cell>
          <cell r="AY344">
            <v>705</v>
          </cell>
          <cell r="AZ344">
            <v>765</v>
          </cell>
          <cell r="BA344">
            <v>930</v>
          </cell>
          <cell r="BB344">
            <v>685</v>
          </cell>
          <cell r="BC344">
            <v>770</v>
          </cell>
          <cell r="BD344">
            <v>790</v>
          </cell>
          <cell r="BE344">
            <v>835</v>
          </cell>
          <cell r="BF344">
            <v>1140</v>
          </cell>
          <cell r="BG344">
            <v>790</v>
          </cell>
          <cell r="BH344">
            <v>445</v>
          </cell>
          <cell r="BI344">
            <v>775</v>
          </cell>
          <cell r="BJ344">
            <v>615</v>
          </cell>
          <cell r="BK344">
            <v>735</v>
          </cell>
          <cell r="BL344">
            <v>780</v>
          </cell>
          <cell r="BM344">
            <v>800</v>
          </cell>
          <cell r="BN344">
            <v>870</v>
          </cell>
          <cell r="BO344">
            <v>645</v>
          </cell>
          <cell r="BP344">
            <v>770</v>
          </cell>
          <cell r="BQ344">
            <v>690</v>
          </cell>
          <cell r="BR344">
            <v>835</v>
          </cell>
          <cell r="BS344">
            <v>645</v>
          </cell>
          <cell r="BT344">
            <v>820</v>
          </cell>
          <cell r="BU344">
            <v>760</v>
          </cell>
          <cell r="BV344">
            <v>750</v>
          </cell>
          <cell r="BW344">
            <v>720</v>
          </cell>
          <cell r="BX344">
            <v>665</v>
          </cell>
          <cell r="BY344">
            <v>650</v>
          </cell>
          <cell r="BZ344">
            <v>720</v>
          </cell>
          <cell r="CA344">
            <v>655</v>
          </cell>
          <cell r="CB344">
            <v>665</v>
          </cell>
          <cell r="CC344">
            <v>760</v>
          </cell>
          <cell r="CD344">
            <v>690</v>
          </cell>
          <cell r="CE344">
            <v>1115</v>
          </cell>
          <cell r="CF344">
            <v>635</v>
          </cell>
          <cell r="CG344">
            <v>755</v>
          </cell>
          <cell r="CH344">
            <v>715</v>
          </cell>
          <cell r="CI344">
            <v>740</v>
          </cell>
          <cell r="CJ344">
            <v>685</v>
          </cell>
          <cell r="CK344">
            <v>755</v>
          </cell>
          <cell r="CL344">
            <v>750</v>
          </cell>
          <cell r="CM344">
            <v>735</v>
          </cell>
          <cell r="CN344">
            <v>865</v>
          </cell>
          <cell r="CO344">
            <v>725</v>
          </cell>
          <cell r="CP344">
            <v>595</v>
          </cell>
          <cell r="CQ344">
            <v>640</v>
          </cell>
          <cell r="CR344">
            <v>660</v>
          </cell>
          <cell r="CS344">
            <v>125</v>
          </cell>
          <cell r="CT344">
            <v>645</v>
          </cell>
          <cell r="CU344">
            <v>635</v>
          </cell>
          <cell r="CV344">
            <v>615</v>
          </cell>
          <cell r="CW344">
            <v>595</v>
          </cell>
          <cell r="CX344">
            <v>570</v>
          </cell>
          <cell r="CY344">
            <v>605</v>
          </cell>
          <cell r="CZ344">
            <v>570</v>
          </cell>
          <cell r="DA344">
            <v>570</v>
          </cell>
          <cell r="DB344">
            <v>525</v>
          </cell>
          <cell r="DC344">
            <v>600</v>
          </cell>
          <cell r="DD344">
            <v>620</v>
          </cell>
          <cell r="DE344">
            <v>520</v>
          </cell>
          <cell r="DF344">
            <v>750</v>
          </cell>
          <cell r="DG344">
            <v>645</v>
          </cell>
          <cell r="DH344">
            <v>295</v>
          </cell>
          <cell r="DI344">
            <v>190</v>
          </cell>
          <cell r="DJ344">
            <v>580</v>
          </cell>
          <cell r="DK344">
            <v>540</v>
          </cell>
          <cell r="DL344">
            <v>485</v>
          </cell>
          <cell r="DM344">
            <v>545</v>
          </cell>
          <cell r="DN344">
            <v>595</v>
          </cell>
          <cell r="DO344">
            <v>675</v>
          </cell>
          <cell r="DP344">
            <v>540</v>
          </cell>
          <cell r="DQ344">
            <v>615</v>
          </cell>
          <cell r="DR344">
            <v>550</v>
          </cell>
          <cell r="DS344">
            <v>595</v>
          </cell>
          <cell r="DT344">
            <v>575</v>
          </cell>
          <cell r="DU344">
            <v>760</v>
          </cell>
          <cell r="DV344">
            <v>830</v>
          </cell>
          <cell r="DW344">
            <v>745</v>
          </cell>
          <cell r="DX344">
            <v>785</v>
          </cell>
          <cell r="DY344">
            <v>905</v>
          </cell>
          <cell r="DZ344">
            <v>855</v>
          </cell>
          <cell r="EA344">
            <v>590</v>
          </cell>
          <cell r="EB344">
            <v>835</v>
          </cell>
          <cell r="EC344">
            <v>700</v>
          </cell>
          <cell r="ED344">
            <v>740</v>
          </cell>
          <cell r="EE344" t="str">
            <v>ACTIVO</v>
          </cell>
          <cell r="EF344" t="str">
            <v>A</v>
          </cell>
          <cell r="EG344">
            <v>600</v>
          </cell>
          <cell r="EH344">
            <v>631.38888888888891</v>
          </cell>
          <cell r="EI344">
            <v>105.23148148148148</v>
          </cell>
          <cell r="EJ344">
            <v>141.87156132543723</v>
          </cell>
          <cell r="EK344">
            <v>1010</v>
          </cell>
          <cell r="EL344">
            <v>5579967.2000000002</v>
          </cell>
          <cell r="EM344">
            <v>1.5996480422349317</v>
          </cell>
          <cell r="EN344">
            <v>210.46296296296296</v>
          </cell>
          <cell r="EO344">
            <v>210.46296296296296</v>
          </cell>
          <cell r="EP344">
            <v>420.92592592592592</v>
          </cell>
        </row>
        <row r="345">
          <cell r="F345">
            <v>107202</v>
          </cell>
          <cell r="G345" t="str">
            <v>BRILLO PARA CONGELADOS PURATOS</v>
          </cell>
          <cell r="H345">
            <v>13.5</v>
          </cell>
          <cell r="K345">
            <v>139.5</v>
          </cell>
          <cell r="CN345">
            <v>22.5</v>
          </cell>
          <cell r="EE345" t="str">
            <v>SIN USO</v>
          </cell>
          <cell r="EF345" t="str">
            <v>C</v>
          </cell>
          <cell r="EG345" t="str">
            <v/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</row>
        <row r="346">
          <cell r="F346">
            <v>107113</v>
          </cell>
          <cell r="G346" t="str">
            <v>MERM. MEL GUINDA ÁCIDA QUINTA BALDE 5 Kg</v>
          </cell>
          <cell r="H346">
            <v>500</v>
          </cell>
          <cell r="I346">
            <v>450</v>
          </cell>
          <cell r="J346">
            <v>450</v>
          </cell>
          <cell r="K346">
            <v>435</v>
          </cell>
          <cell r="L346">
            <v>1025</v>
          </cell>
          <cell r="M346">
            <v>185</v>
          </cell>
          <cell r="N346">
            <v>245</v>
          </cell>
          <cell r="O346">
            <v>385</v>
          </cell>
          <cell r="P346">
            <v>440</v>
          </cell>
          <cell r="Q346">
            <v>1015</v>
          </cell>
          <cell r="R346">
            <v>455</v>
          </cell>
          <cell r="S346">
            <v>130</v>
          </cell>
          <cell r="T346">
            <v>90</v>
          </cell>
          <cell r="U346">
            <v>1165</v>
          </cell>
          <cell r="V346">
            <v>1045</v>
          </cell>
          <cell r="W346">
            <v>420</v>
          </cell>
          <cell r="X346">
            <v>455</v>
          </cell>
          <cell r="Y346">
            <v>290</v>
          </cell>
          <cell r="Z346">
            <v>315</v>
          </cell>
          <cell r="AA346">
            <v>460</v>
          </cell>
          <cell r="AB346">
            <v>435</v>
          </cell>
          <cell r="AC346">
            <v>415</v>
          </cell>
          <cell r="AD346">
            <v>505</v>
          </cell>
          <cell r="AE346">
            <v>630</v>
          </cell>
          <cell r="AF346">
            <v>465</v>
          </cell>
          <cell r="AG346">
            <v>500</v>
          </cell>
          <cell r="AH346">
            <v>440</v>
          </cell>
          <cell r="AI346">
            <v>515</v>
          </cell>
          <cell r="AJ346">
            <v>470</v>
          </cell>
          <cell r="AK346">
            <v>495</v>
          </cell>
          <cell r="AL346">
            <v>446.4</v>
          </cell>
          <cell r="AM346">
            <v>895</v>
          </cell>
          <cell r="AN346">
            <v>545</v>
          </cell>
          <cell r="AO346">
            <v>415</v>
          </cell>
          <cell r="AP346">
            <v>480</v>
          </cell>
          <cell r="AQ346">
            <v>450</v>
          </cell>
          <cell r="AR346">
            <v>485</v>
          </cell>
          <cell r="AS346">
            <v>610</v>
          </cell>
          <cell r="AT346">
            <v>350</v>
          </cell>
          <cell r="AU346">
            <v>455</v>
          </cell>
          <cell r="AV346">
            <v>445</v>
          </cell>
          <cell r="AW346">
            <v>385</v>
          </cell>
          <cell r="AX346">
            <v>460</v>
          </cell>
          <cell r="AY346">
            <v>440</v>
          </cell>
          <cell r="AZ346">
            <v>465</v>
          </cell>
          <cell r="BA346">
            <v>510</v>
          </cell>
          <cell r="BB346">
            <v>380</v>
          </cell>
          <cell r="BC346">
            <v>430</v>
          </cell>
          <cell r="BD346">
            <v>420</v>
          </cell>
          <cell r="BE346">
            <v>435</v>
          </cell>
          <cell r="BF346">
            <v>465</v>
          </cell>
          <cell r="BG346">
            <v>430</v>
          </cell>
          <cell r="BH346">
            <v>225</v>
          </cell>
          <cell r="BI346">
            <v>410</v>
          </cell>
          <cell r="BJ346">
            <v>425</v>
          </cell>
          <cell r="BK346">
            <v>790</v>
          </cell>
          <cell r="BL346">
            <v>505</v>
          </cell>
          <cell r="BM346">
            <v>450</v>
          </cell>
          <cell r="BN346">
            <v>355</v>
          </cell>
          <cell r="BO346">
            <v>750</v>
          </cell>
          <cell r="BP346">
            <v>495</v>
          </cell>
          <cell r="BQ346">
            <v>130</v>
          </cell>
          <cell r="BR346">
            <v>610</v>
          </cell>
          <cell r="BS346">
            <v>1456.5</v>
          </cell>
          <cell r="BT346">
            <v>405</v>
          </cell>
          <cell r="BU346">
            <v>270</v>
          </cell>
          <cell r="BV346">
            <v>725</v>
          </cell>
          <cell r="BW346">
            <v>320</v>
          </cell>
          <cell r="BX346">
            <v>845</v>
          </cell>
          <cell r="BY346">
            <v>785</v>
          </cell>
          <cell r="BZ346">
            <v>510</v>
          </cell>
          <cell r="CA346">
            <v>1050</v>
          </cell>
          <cell r="CC346">
            <v>360</v>
          </cell>
          <cell r="CD346">
            <v>480</v>
          </cell>
          <cell r="CE346">
            <v>320</v>
          </cell>
          <cell r="CF346">
            <v>600</v>
          </cell>
          <cell r="CG346">
            <v>560</v>
          </cell>
          <cell r="CH346">
            <v>670</v>
          </cell>
          <cell r="CI346">
            <v>80</v>
          </cell>
          <cell r="CJ346">
            <v>730</v>
          </cell>
          <cell r="CK346">
            <v>510</v>
          </cell>
          <cell r="CL346">
            <v>1110</v>
          </cell>
          <cell r="CN346">
            <v>360</v>
          </cell>
          <cell r="CO346">
            <v>350</v>
          </cell>
          <cell r="CP346">
            <v>1075</v>
          </cell>
          <cell r="CQ346">
            <v>240</v>
          </cell>
          <cell r="CR346">
            <v>360</v>
          </cell>
          <cell r="CS346">
            <v>410</v>
          </cell>
          <cell r="CT346">
            <v>540</v>
          </cell>
          <cell r="CU346">
            <v>735</v>
          </cell>
          <cell r="CV346">
            <v>600</v>
          </cell>
          <cell r="CW346">
            <v>720</v>
          </cell>
          <cell r="CY346">
            <v>385</v>
          </cell>
          <cell r="CZ346">
            <v>1085</v>
          </cell>
          <cell r="DA346">
            <v>360</v>
          </cell>
          <cell r="DC346">
            <v>435</v>
          </cell>
          <cell r="DD346">
            <v>290</v>
          </cell>
          <cell r="DE346">
            <v>145</v>
          </cell>
          <cell r="DF346">
            <v>460</v>
          </cell>
          <cell r="DG346">
            <v>145</v>
          </cell>
          <cell r="DH346">
            <v>190</v>
          </cell>
          <cell r="DI346">
            <v>115</v>
          </cell>
          <cell r="DJ346">
            <v>655</v>
          </cell>
          <cell r="DK346">
            <v>215</v>
          </cell>
          <cell r="DL346">
            <v>490</v>
          </cell>
          <cell r="DM346">
            <v>720</v>
          </cell>
          <cell r="DN346">
            <v>290</v>
          </cell>
          <cell r="DO346">
            <v>855</v>
          </cell>
          <cell r="DP346">
            <v>602</v>
          </cell>
          <cell r="DQ346">
            <v>240</v>
          </cell>
          <cell r="DR346">
            <v>120</v>
          </cell>
          <cell r="DS346">
            <v>240</v>
          </cell>
          <cell r="DT346">
            <v>480</v>
          </cell>
          <cell r="DU346">
            <v>720</v>
          </cell>
          <cell r="DV346">
            <v>370</v>
          </cell>
          <cell r="DW346">
            <v>360</v>
          </cell>
          <cell r="DX346">
            <v>720</v>
          </cell>
          <cell r="DY346">
            <v>480</v>
          </cell>
          <cell r="DZ346">
            <v>1080</v>
          </cell>
          <cell r="EB346">
            <v>585</v>
          </cell>
          <cell r="EC346">
            <v>290</v>
          </cell>
          <cell r="ED346">
            <v>450</v>
          </cell>
          <cell r="EE346" t="str">
            <v>ACTIVO</v>
          </cell>
          <cell r="EF346" t="str">
            <v>B</v>
          </cell>
          <cell r="EG346">
            <v>600</v>
          </cell>
          <cell r="EH346">
            <v>486.22222222222223</v>
          </cell>
          <cell r="EI346">
            <v>81.037037037037038</v>
          </cell>
          <cell r="EJ346">
            <v>288.2642518793557</v>
          </cell>
          <cell r="EK346">
            <v>1660</v>
          </cell>
          <cell r="EL346">
            <v>5468836.7999999998</v>
          </cell>
          <cell r="EM346">
            <v>3.4140767824497256</v>
          </cell>
          <cell r="EN346">
            <v>162.07407407407408</v>
          </cell>
          <cell r="EO346">
            <v>162.07407407407408</v>
          </cell>
          <cell r="EP346">
            <v>324.14814814814815</v>
          </cell>
        </row>
        <row r="347">
          <cell r="F347">
            <v>107157</v>
          </cell>
          <cell r="G347" t="str">
            <v>MERM. EBEL GUINDA (ET. VERDE) BL 5 Kg</v>
          </cell>
          <cell r="H347">
            <v>490</v>
          </cell>
          <cell r="I347">
            <v>950</v>
          </cell>
          <cell r="J347">
            <v>1175</v>
          </cell>
          <cell r="K347">
            <v>725</v>
          </cell>
          <cell r="L347">
            <v>510</v>
          </cell>
          <cell r="M347">
            <v>255</v>
          </cell>
          <cell r="N347">
            <v>905</v>
          </cell>
          <cell r="O347">
            <v>1445</v>
          </cell>
          <cell r="P347">
            <v>495</v>
          </cell>
          <cell r="Q347">
            <v>485</v>
          </cell>
          <cell r="R347">
            <v>500</v>
          </cell>
          <cell r="S347">
            <v>155</v>
          </cell>
          <cell r="T347">
            <v>790</v>
          </cell>
          <cell r="U347">
            <v>565</v>
          </cell>
          <cell r="V347">
            <v>380</v>
          </cell>
          <cell r="W347">
            <v>600</v>
          </cell>
          <cell r="X347">
            <v>785</v>
          </cell>
          <cell r="Y347">
            <v>430</v>
          </cell>
          <cell r="Z347">
            <v>50</v>
          </cell>
          <cell r="AA347">
            <v>675</v>
          </cell>
          <cell r="AB347">
            <v>1175</v>
          </cell>
          <cell r="AC347">
            <v>850</v>
          </cell>
          <cell r="AD347">
            <v>805</v>
          </cell>
          <cell r="AE347">
            <v>335</v>
          </cell>
          <cell r="AF347">
            <v>1200</v>
          </cell>
          <cell r="AG347">
            <v>1010</v>
          </cell>
          <cell r="AH347">
            <v>780</v>
          </cell>
          <cell r="AI347">
            <v>664</v>
          </cell>
          <cell r="AJ347">
            <v>930</v>
          </cell>
          <cell r="AK347">
            <v>830</v>
          </cell>
          <cell r="AL347">
            <v>595</v>
          </cell>
          <cell r="AM347">
            <v>665</v>
          </cell>
          <cell r="AN347">
            <v>970</v>
          </cell>
          <cell r="AO347">
            <v>615</v>
          </cell>
          <cell r="AP347">
            <v>765</v>
          </cell>
          <cell r="AQ347">
            <v>905</v>
          </cell>
          <cell r="AR347">
            <v>1135</v>
          </cell>
          <cell r="AS347">
            <v>330</v>
          </cell>
          <cell r="AT347">
            <v>775</v>
          </cell>
          <cell r="AU347">
            <v>670</v>
          </cell>
          <cell r="AV347">
            <v>2265</v>
          </cell>
          <cell r="AW347">
            <v>95</v>
          </cell>
          <cell r="AX347">
            <v>170</v>
          </cell>
          <cell r="AY347">
            <v>190</v>
          </cell>
          <cell r="AZ347">
            <v>2335</v>
          </cell>
          <cell r="BA347">
            <v>810</v>
          </cell>
          <cell r="BB347">
            <v>1420</v>
          </cell>
          <cell r="BC347">
            <v>1580</v>
          </cell>
          <cell r="BD347">
            <v>245</v>
          </cell>
          <cell r="BE347">
            <v>295</v>
          </cell>
          <cell r="BF347">
            <v>1380</v>
          </cell>
          <cell r="BG347">
            <v>685</v>
          </cell>
          <cell r="BH347">
            <v>465</v>
          </cell>
          <cell r="BI347">
            <v>3575</v>
          </cell>
          <cell r="BJ347">
            <v>515</v>
          </cell>
          <cell r="BK347">
            <v>420</v>
          </cell>
          <cell r="BL347">
            <v>1945</v>
          </cell>
          <cell r="BM347">
            <v>1295</v>
          </cell>
          <cell r="BN347">
            <v>1725</v>
          </cell>
          <cell r="BO347">
            <v>930</v>
          </cell>
          <cell r="BP347">
            <v>1075</v>
          </cell>
          <cell r="BQ347">
            <v>2500</v>
          </cell>
          <cell r="BR347">
            <v>380</v>
          </cell>
          <cell r="BS347">
            <v>800</v>
          </cell>
          <cell r="BT347">
            <v>995</v>
          </cell>
          <cell r="BU347">
            <v>2825</v>
          </cell>
          <cell r="BV347">
            <v>1620</v>
          </cell>
          <cell r="BW347">
            <v>885</v>
          </cell>
          <cell r="BX347">
            <v>1530</v>
          </cell>
          <cell r="BY347">
            <v>1585</v>
          </cell>
          <cell r="BZ347">
            <v>135</v>
          </cell>
          <cell r="CA347">
            <v>1780</v>
          </cell>
          <cell r="CB347">
            <v>1490</v>
          </cell>
          <cell r="CC347">
            <v>2670</v>
          </cell>
          <cell r="CD347">
            <v>1150</v>
          </cell>
          <cell r="CE347">
            <v>230</v>
          </cell>
          <cell r="CF347">
            <v>210</v>
          </cell>
          <cell r="CG347">
            <v>2895</v>
          </cell>
          <cell r="CH347">
            <v>2015</v>
          </cell>
          <cell r="CI347">
            <v>200</v>
          </cell>
          <cell r="CJ347">
            <v>2110</v>
          </cell>
          <cell r="CK347">
            <v>1665</v>
          </cell>
          <cell r="CL347">
            <v>1570</v>
          </cell>
          <cell r="CM347">
            <v>1780</v>
          </cell>
          <cell r="CN347">
            <v>860</v>
          </cell>
          <cell r="CO347">
            <v>1895</v>
          </cell>
          <cell r="CP347">
            <v>1960</v>
          </cell>
          <cell r="CQ347">
            <v>2275</v>
          </cell>
          <cell r="CR347">
            <v>510</v>
          </cell>
          <cell r="CS347">
            <v>335</v>
          </cell>
          <cell r="CT347">
            <v>635</v>
          </cell>
          <cell r="CU347">
            <v>1100</v>
          </cell>
          <cell r="CV347">
            <v>1955</v>
          </cell>
          <cell r="CW347">
            <v>1185</v>
          </cell>
          <cell r="CX347">
            <v>2165</v>
          </cell>
          <cell r="CY347">
            <v>205</v>
          </cell>
          <cell r="CZ347">
            <v>1195</v>
          </cell>
          <cell r="DA347">
            <v>365</v>
          </cell>
          <cell r="DB347">
            <v>2115</v>
          </cell>
          <cell r="DC347">
            <v>672</v>
          </cell>
          <cell r="DD347">
            <v>1585</v>
          </cell>
          <cell r="DE347">
            <v>990</v>
          </cell>
          <cell r="DF347">
            <v>90</v>
          </cell>
          <cell r="DG347">
            <v>800</v>
          </cell>
          <cell r="DK347">
            <v>800</v>
          </cell>
          <cell r="DL347">
            <v>800</v>
          </cell>
          <cell r="DM347">
            <v>800</v>
          </cell>
          <cell r="DN347">
            <v>800</v>
          </cell>
          <cell r="DO347">
            <v>800</v>
          </cell>
          <cell r="DP347">
            <v>1175</v>
          </cell>
          <cell r="DQ347">
            <v>920</v>
          </cell>
          <cell r="DR347">
            <v>930</v>
          </cell>
          <cell r="DS347">
            <v>135</v>
          </cell>
          <cell r="DT347">
            <v>260</v>
          </cell>
          <cell r="DU347">
            <v>1465</v>
          </cell>
          <cell r="DV347">
            <v>865</v>
          </cell>
          <cell r="DW347">
            <v>1055</v>
          </cell>
          <cell r="DX347">
            <v>485</v>
          </cell>
          <cell r="DY347">
            <v>1085</v>
          </cell>
          <cell r="DZ347">
            <v>995</v>
          </cell>
          <cell r="EB347">
            <v>1060</v>
          </cell>
          <cell r="EC347">
            <v>995</v>
          </cell>
          <cell r="ED347">
            <v>1185</v>
          </cell>
          <cell r="EE347" t="str">
            <v>ACTIVO</v>
          </cell>
          <cell r="EF347" t="str">
            <v>A</v>
          </cell>
          <cell r="EG347">
            <v>600</v>
          </cell>
          <cell r="EH347">
            <v>835.625</v>
          </cell>
          <cell r="EI347">
            <v>139.27083333333334</v>
          </cell>
          <cell r="EJ347">
            <v>826.28852230714836</v>
          </cell>
          <cell r="EK347">
            <v>1365</v>
          </cell>
          <cell r="EL347">
            <v>2864862</v>
          </cell>
          <cell r="EM347">
            <v>1.6335078534031413</v>
          </cell>
          <cell r="EN347">
            <v>278.54166666666669</v>
          </cell>
          <cell r="EO347">
            <v>278.54166666666669</v>
          </cell>
          <cell r="EP347">
            <v>557.08333333333337</v>
          </cell>
        </row>
        <row r="348">
          <cell r="F348">
            <v>170173</v>
          </cell>
          <cell r="G348" t="str">
            <v>MERM. EBEL GRANDES CONSUMIDORES FRUTILLA BALDE 5 Kg</v>
          </cell>
          <cell r="H348">
            <v>280</v>
          </cell>
          <cell r="I348">
            <v>285</v>
          </cell>
          <cell r="J348">
            <v>270</v>
          </cell>
          <cell r="K348">
            <v>290</v>
          </cell>
          <cell r="L348">
            <v>300</v>
          </cell>
          <cell r="M348">
            <v>350</v>
          </cell>
          <cell r="N348">
            <v>330</v>
          </cell>
          <cell r="O348">
            <v>295</v>
          </cell>
          <cell r="P348">
            <v>285</v>
          </cell>
          <cell r="Q348">
            <v>260</v>
          </cell>
          <cell r="R348">
            <v>290</v>
          </cell>
          <cell r="S348">
            <v>325</v>
          </cell>
          <cell r="T348">
            <v>310</v>
          </cell>
          <cell r="U348">
            <v>335</v>
          </cell>
          <cell r="V348">
            <v>290</v>
          </cell>
          <cell r="W348">
            <v>245</v>
          </cell>
          <cell r="X348">
            <v>310</v>
          </cell>
          <cell r="Y348">
            <v>350</v>
          </cell>
          <cell r="Z348">
            <v>430</v>
          </cell>
          <cell r="AA348">
            <v>255</v>
          </cell>
          <cell r="AB348">
            <v>305</v>
          </cell>
          <cell r="AC348">
            <v>295</v>
          </cell>
          <cell r="AD348">
            <v>320</v>
          </cell>
          <cell r="AE348">
            <v>285</v>
          </cell>
          <cell r="AF348">
            <v>320</v>
          </cell>
          <cell r="AG348">
            <v>330</v>
          </cell>
          <cell r="AH348">
            <v>305</v>
          </cell>
          <cell r="AI348">
            <v>305</v>
          </cell>
          <cell r="AJ348">
            <v>315</v>
          </cell>
          <cell r="AK348">
            <v>285</v>
          </cell>
          <cell r="AL348">
            <v>420</v>
          </cell>
          <cell r="AM348">
            <v>435</v>
          </cell>
          <cell r="AN348">
            <v>230</v>
          </cell>
          <cell r="AO348">
            <v>265</v>
          </cell>
          <cell r="AP348">
            <v>250</v>
          </cell>
          <cell r="AQ348">
            <v>240</v>
          </cell>
          <cell r="AR348">
            <v>230</v>
          </cell>
          <cell r="AS348">
            <v>80</v>
          </cell>
          <cell r="AT348">
            <v>560</v>
          </cell>
          <cell r="AU348">
            <v>225</v>
          </cell>
          <cell r="AV348">
            <v>165</v>
          </cell>
          <cell r="AW348">
            <v>235</v>
          </cell>
          <cell r="AX348">
            <v>210</v>
          </cell>
          <cell r="AY348">
            <v>185</v>
          </cell>
          <cell r="AZ348">
            <v>280</v>
          </cell>
          <cell r="BA348">
            <v>235</v>
          </cell>
          <cell r="BB348">
            <v>220</v>
          </cell>
          <cell r="BC348">
            <v>270</v>
          </cell>
          <cell r="BD348">
            <v>235</v>
          </cell>
          <cell r="BE348">
            <v>215</v>
          </cell>
          <cell r="BF348">
            <v>260</v>
          </cell>
          <cell r="BG348">
            <v>235</v>
          </cell>
          <cell r="BH348">
            <v>135</v>
          </cell>
          <cell r="BI348">
            <v>215</v>
          </cell>
          <cell r="BJ348">
            <v>155</v>
          </cell>
          <cell r="BK348">
            <v>245</v>
          </cell>
          <cell r="BL348">
            <v>230</v>
          </cell>
          <cell r="BM348">
            <v>235</v>
          </cell>
          <cell r="BN348">
            <v>280</v>
          </cell>
          <cell r="BO348">
            <v>195</v>
          </cell>
          <cell r="BP348">
            <v>215</v>
          </cell>
          <cell r="BQ348">
            <v>180</v>
          </cell>
          <cell r="BR348">
            <v>220</v>
          </cell>
          <cell r="BS348">
            <v>205</v>
          </cell>
          <cell r="BT348">
            <v>200</v>
          </cell>
          <cell r="BU348">
            <v>220</v>
          </cell>
          <cell r="BV348">
            <v>200</v>
          </cell>
          <cell r="BW348">
            <v>215</v>
          </cell>
          <cell r="BX348">
            <v>250</v>
          </cell>
          <cell r="BY348">
            <v>320</v>
          </cell>
          <cell r="BZ348">
            <v>480</v>
          </cell>
          <cell r="CA348">
            <v>230</v>
          </cell>
          <cell r="CB348">
            <v>220</v>
          </cell>
          <cell r="CC348">
            <v>230</v>
          </cell>
          <cell r="CD348">
            <v>220</v>
          </cell>
          <cell r="CE348">
            <v>435</v>
          </cell>
          <cell r="CF348">
            <v>205</v>
          </cell>
          <cell r="CG348">
            <v>235</v>
          </cell>
          <cell r="CH348">
            <v>235</v>
          </cell>
          <cell r="CI348">
            <v>270</v>
          </cell>
          <cell r="CJ348">
            <v>245</v>
          </cell>
          <cell r="CK348">
            <v>245</v>
          </cell>
          <cell r="CL348">
            <v>230</v>
          </cell>
          <cell r="CM348">
            <v>295</v>
          </cell>
          <cell r="CN348">
            <v>320</v>
          </cell>
          <cell r="CO348">
            <v>265</v>
          </cell>
          <cell r="CP348">
            <v>265</v>
          </cell>
          <cell r="CQ348">
            <v>180</v>
          </cell>
          <cell r="CR348">
            <v>220</v>
          </cell>
          <cell r="CS348">
            <v>55</v>
          </cell>
          <cell r="CT348">
            <v>345</v>
          </cell>
          <cell r="CU348">
            <v>390</v>
          </cell>
          <cell r="CV348">
            <v>385</v>
          </cell>
          <cell r="CW348">
            <v>355</v>
          </cell>
          <cell r="CX348">
            <v>335</v>
          </cell>
          <cell r="CY348">
            <v>320</v>
          </cell>
          <cell r="CZ348">
            <v>260</v>
          </cell>
          <cell r="DA348">
            <v>330</v>
          </cell>
          <cell r="DB348">
            <v>260</v>
          </cell>
          <cell r="DC348">
            <v>270</v>
          </cell>
          <cell r="DD348">
            <v>265</v>
          </cell>
          <cell r="DE348">
            <v>230</v>
          </cell>
          <cell r="DF348">
            <v>305</v>
          </cell>
          <cell r="DG348">
            <v>225</v>
          </cell>
          <cell r="DH348">
            <v>130</v>
          </cell>
          <cell r="DI348">
            <v>70</v>
          </cell>
          <cell r="DJ348">
            <v>265</v>
          </cell>
          <cell r="DK348">
            <v>277</v>
          </cell>
          <cell r="DL348">
            <v>260</v>
          </cell>
          <cell r="DM348">
            <v>275</v>
          </cell>
          <cell r="DN348">
            <v>245</v>
          </cell>
          <cell r="DO348">
            <v>265</v>
          </cell>
          <cell r="DP348">
            <v>240</v>
          </cell>
          <cell r="DQ348">
            <v>260</v>
          </cell>
          <cell r="DR348">
            <v>255</v>
          </cell>
          <cell r="DS348">
            <v>295</v>
          </cell>
          <cell r="DT348">
            <v>255</v>
          </cell>
          <cell r="DU348">
            <v>290</v>
          </cell>
          <cell r="DV348">
            <v>275</v>
          </cell>
          <cell r="DW348">
            <v>255</v>
          </cell>
          <cell r="DX348">
            <v>255</v>
          </cell>
          <cell r="DY348">
            <v>255</v>
          </cell>
          <cell r="DZ348">
            <v>300</v>
          </cell>
          <cell r="EA348">
            <v>295</v>
          </cell>
          <cell r="EB348">
            <v>315</v>
          </cell>
          <cell r="EC348">
            <v>225</v>
          </cell>
          <cell r="ED348">
            <v>250</v>
          </cell>
          <cell r="EE348" t="str">
            <v>ACTIVO</v>
          </cell>
          <cell r="EF348" t="str">
            <v>B</v>
          </cell>
          <cell r="EG348">
            <v>600</v>
          </cell>
          <cell r="EH348">
            <v>255.11111111111111</v>
          </cell>
          <cell r="EI348">
            <v>42.518518518518519</v>
          </cell>
          <cell r="EJ348">
            <v>74.501609649378267</v>
          </cell>
          <cell r="EK348">
            <v>845</v>
          </cell>
          <cell r="EL348">
            <v>1719642.6</v>
          </cell>
          <cell r="EM348">
            <v>3.3122822299651569</v>
          </cell>
          <cell r="EN348">
            <v>85.037037037037038</v>
          </cell>
          <cell r="EO348">
            <v>85.037037037037038</v>
          </cell>
          <cell r="EP348">
            <v>170.07407407407408</v>
          </cell>
        </row>
        <row r="349">
          <cell r="F349">
            <v>107158</v>
          </cell>
          <cell r="G349" t="str">
            <v>MER. MEL PIÑA BALDE 5 Kg</v>
          </cell>
          <cell r="H349">
            <v>505</v>
          </cell>
          <cell r="I349">
            <v>430</v>
          </cell>
          <cell r="J349">
            <v>395</v>
          </cell>
          <cell r="K349">
            <v>625</v>
          </cell>
          <cell r="L349">
            <v>465</v>
          </cell>
          <cell r="M349">
            <v>560</v>
          </cell>
          <cell r="N349">
            <v>480</v>
          </cell>
          <cell r="O349">
            <v>415</v>
          </cell>
          <cell r="P349">
            <v>450</v>
          </cell>
          <cell r="Q349">
            <v>445</v>
          </cell>
          <cell r="R349">
            <v>470</v>
          </cell>
          <cell r="S349">
            <v>551</v>
          </cell>
          <cell r="T349">
            <v>550</v>
          </cell>
          <cell r="U349">
            <v>435</v>
          </cell>
          <cell r="V349">
            <v>550</v>
          </cell>
          <cell r="W349">
            <v>450</v>
          </cell>
          <cell r="X349">
            <v>480</v>
          </cell>
          <cell r="Y349">
            <v>690</v>
          </cell>
          <cell r="Z349">
            <v>1065</v>
          </cell>
          <cell r="AA349">
            <v>475</v>
          </cell>
          <cell r="AB349">
            <v>455</v>
          </cell>
          <cell r="AC349">
            <v>430</v>
          </cell>
          <cell r="AD349">
            <v>620</v>
          </cell>
          <cell r="AE349">
            <v>835</v>
          </cell>
          <cell r="AF349">
            <v>500</v>
          </cell>
          <cell r="AG349">
            <v>630</v>
          </cell>
          <cell r="AH349">
            <v>520</v>
          </cell>
          <cell r="AI349">
            <v>525</v>
          </cell>
          <cell r="AJ349">
            <v>490</v>
          </cell>
          <cell r="AK349">
            <v>450</v>
          </cell>
          <cell r="AL349">
            <v>525</v>
          </cell>
          <cell r="AM349">
            <v>630</v>
          </cell>
          <cell r="AN349">
            <v>455</v>
          </cell>
          <cell r="AO349">
            <v>400</v>
          </cell>
          <cell r="AP349">
            <v>494.5</v>
          </cell>
          <cell r="AQ349">
            <v>475</v>
          </cell>
          <cell r="AR349">
            <v>505</v>
          </cell>
          <cell r="AS349">
            <v>415</v>
          </cell>
          <cell r="AT349">
            <v>480.5</v>
          </cell>
          <cell r="AU349">
            <v>530</v>
          </cell>
          <cell r="AV349">
            <v>455</v>
          </cell>
          <cell r="AW349">
            <v>360</v>
          </cell>
          <cell r="AX349">
            <v>480</v>
          </cell>
          <cell r="AY349">
            <v>480</v>
          </cell>
          <cell r="AZ349">
            <v>475</v>
          </cell>
          <cell r="BA349">
            <v>490</v>
          </cell>
          <cell r="BB349">
            <v>405</v>
          </cell>
          <cell r="BC349">
            <v>430</v>
          </cell>
          <cell r="BD349">
            <v>440</v>
          </cell>
          <cell r="BE349">
            <v>450</v>
          </cell>
          <cell r="BF349">
            <v>550</v>
          </cell>
          <cell r="BG349">
            <v>465</v>
          </cell>
          <cell r="BH349">
            <v>225</v>
          </cell>
          <cell r="BI349">
            <v>450</v>
          </cell>
          <cell r="BJ349">
            <v>345</v>
          </cell>
          <cell r="BK349">
            <v>440</v>
          </cell>
          <cell r="BL349">
            <v>445</v>
          </cell>
          <cell r="BM349">
            <v>400</v>
          </cell>
          <cell r="BN349">
            <v>495</v>
          </cell>
          <cell r="BO349">
            <v>355</v>
          </cell>
          <cell r="BP349">
            <v>405</v>
          </cell>
          <cell r="BQ349">
            <v>370</v>
          </cell>
          <cell r="BR349">
            <v>495</v>
          </cell>
          <cell r="BS349">
            <v>365</v>
          </cell>
          <cell r="BT349">
            <v>985</v>
          </cell>
          <cell r="BU349">
            <v>400</v>
          </cell>
          <cell r="BV349">
            <v>590</v>
          </cell>
          <cell r="BW349">
            <v>625</v>
          </cell>
          <cell r="BX349">
            <v>410</v>
          </cell>
          <cell r="BY349">
            <v>620</v>
          </cell>
          <cell r="BZ349">
            <v>935</v>
          </cell>
          <cell r="CA349">
            <v>600</v>
          </cell>
          <cell r="CB349">
            <v>875</v>
          </cell>
          <cell r="CC349">
            <v>650</v>
          </cell>
          <cell r="CD349">
            <v>385</v>
          </cell>
          <cell r="CE349">
            <v>1150</v>
          </cell>
          <cell r="CF349">
            <v>435</v>
          </cell>
          <cell r="CG349">
            <v>1110</v>
          </cell>
          <cell r="CH349">
            <v>435</v>
          </cell>
          <cell r="CI349">
            <v>505</v>
          </cell>
          <cell r="CJ349">
            <v>470</v>
          </cell>
          <cell r="CK349">
            <v>720</v>
          </cell>
          <cell r="CL349">
            <v>475</v>
          </cell>
          <cell r="CM349">
            <v>690</v>
          </cell>
          <cell r="CN349">
            <v>800</v>
          </cell>
          <cell r="CO349">
            <v>435</v>
          </cell>
          <cell r="CP349">
            <v>420</v>
          </cell>
          <cell r="CQ349">
            <v>760</v>
          </cell>
          <cell r="CR349">
            <v>845</v>
          </cell>
          <cell r="CS349">
            <v>195</v>
          </cell>
          <cell r="CT349">
            <v>830</v>
          </cell>
          <cell r="CU349">
            <v>505</v>
          </cell>
          <cell r="CV349">
            <v>855</v>
          </cell>
          <cell r="CW349">
            <v>425</v>
          </cell>
          <cell r="CX349">
            <v>725</v>
          </cell>
          <cell r="CY349">
            <v>815</v>
          </cell>
          <cell r="CZ349">
            <v>410</v>
          </cell>
          <cell r="DA349">
            <v>395</v>
          </cell>
          <cell r="DB349">
            <v>385</v>
          </cell>
          <cell r="DC349">
            <v>770</v>
          </cell>
          <cell r="DD349">
            <v>435</v>
          </cell>
          <cell r="DE349">
            <v>335</v>
          </cell>
          <cell r="DF349">
            <v>555</v>
          </cell>
          <cell r="DG349">
            <v>595</v>
          </cell>
          <cell r="DH349">
            <v>185</v>
          </cell>
          <cell r="DI349">
            <v>440</v>
          </cell>
          <cell r="DJ349">
            <v>410</v>
          </cell>
          <cell r="DK349">
            <v>690</v>
          </cell>
          <cell r="DL349">
            <v>510</v>
          </cell>
          <cell r="DM349">
            <v>1005</v>
          </cell>
          <cell r="DN349">
            <v>640</v>
          </cell>
          <cell r="DO349">
            <v>515</v>
          </cell>
          <cell r="DP349">
            <v>645</v>
          </cell>
          <cell r="DQ349">
            <v>660</v>
          </cell>
          <cell r="DR349">
            <v>395</v>
          </cell>
          <cell r="DS349">
            <v>695</v>
          </cell>
          <cell r="DT349">
            <v>365</v>
          </cell>
          <cell r="DU349">
            <v>395</v>
          </cell>
          <cell r="DV349">
            <v>730</v>
          </cell>
          <cell r="DW349">
            <v>365</v>
          </cell>
          <cell r="DX349">
            <v>570</v>
          </cell>
          <cell r="DY349">
            <v>680</v>
          </cell>
          <cell r="DZ349">
            <v>550</v>
          </cell>
          <cell r="EA349">
            <v>840</v>
          </cell>
          <cell r="EB349">
            <v>390</v>
          </cell>
          <cell r="EC349">
            <v>675</v>
          </cell>
          <cell r="ED349">
            <v>590</v>
          </cell>
          <cell r="EE349" t="str">
            <v>ACTIVO</v>
          </cell>
          <cell r="EF349" t="str">
            <v>A</v>
          </cell>
          <cell r="EG349">
            <v>600</v>
          </cell>
          <cell r="EH349">
            <v>570</v>
          </cell>
          <cell r="EI349">
            <v>95</v>
          </cell>
          <cell r="EJ349">
            <v>222.98566147840921</v>
          </cell>
          <cell r="EK349">
            <v>1115</v>
          </cell>
          <cell r="EL349">
            <v>3780898.1</v>
          </cell>
          <cell r="EM349">
            <v>1.9561403508771931</v>
          </cell>
          <cell r="EN349">
            <v>190</v>
          </cell>
          <cell r="EO349">
            <v>190</v>
          </cell>
          <cell r="EP349">
            <v>380</v>
          </cell>
        </row>
        <row r="350">
          <cell r="F350">
            <v>107095</v>
          </cell>
          <cell r="G350" t="str">
            <v>PURE DE LUCUMA (ET. VERDE) BALDE 4,5 Kg</v>
          </cell>
          <cell r="H350">
            <v>1363.5</v>
          </cell>
          <cell r="I350">
            <v>1174.5</v>
          </cell>
          <cell r="J350">
            <v>571.5</v>
          </cell>
          <cell r="K350">
            <v>738</v>
          </cell>
          <cell r="L350">
            <v>1102.5</v>
          </cell>
          <cell r="M350">
            <v>963</v>
          </cell>
          <cell r="N350">
            <v>1066.5</v>
          </cell>
          <cell r="O350">
            <v>819</v>
          </cell>
          <cell r="P350">
            <v>679.5</v>
          </cell>
          <cell r="Q350">
            <v>675</v>
          </cell>
          <cell r="R350">
            <v>1732.5</v>
          </cell>
          <cell r="S350">
            <v>747</v>
          </cell>
          <cell r="T350">
            <v>724.5</v>
          </cell>
          <cell r="U350">
            <v>999</v>
          </cell>
          <cell r="V350">
            <v>1642.5</v>
          </cell>
          <cell r="W350">
            <v>1111.5</v>
          </cell>
          <cell r="X350">
            <v>1440</v>
          </cell>
          <cell r="Y350">
            <v>1296</v>
          </cell>
          <cell r="Z350">
            <v>1462</v>
          </cell>
          <cell r="AA350">
            <v>1440</v>
          </cell>
          <cell r="AB350">
            <v>1237.5</v>
          </cell>
          <cell r="AC350">
            <v>991</v>
          </cell>
          <cell r="AD350">
            <v>1462.5</v>
          </cell>
          <cell r="AE350">
            <v>2083.5</v>
          </cell>
          <cell r="AF350">
            <v>1219.5</v>
          </cell>
          <cell r="AG350">
            <v>1476</v>
          </cell>
          <cell r="AH350">
            <v>1197</v>
          </cell>
          <cell r="AI350">
            <v>1368</v>
          </cell>
          <cell r="AJ350">
            <v>1588.5</v>
          </cell>
          <cell r="AK350">
            <v>1818</v>
          </cell>
          <cell r="AL350">
            <v>1575</v>
          </cell>
          <cell r="AM350">
            <v>1665</v>
          </cell>
          <cell r="AN350">
            <v>1831.5</v>
          </cell>
          <cell r="AO350">
            <v>1975.5</v>
          </cell>
          <cell r="AP350">
            <v>1498.5</v>
          </cell>
          <cell r="AQ350">
            <v>1629</v>
          </cell>
          <cell r="AR350">
            <v>1813.5</v>
          </cell>
          <cell r="AS350">
            <v>522</v>
          </cell>
          <cell r="AT350">
            <v>2479.5</v>
          </cell>
          <cell r="AU350">
            <v>1885.5</v>
          </cell>
          <cell r="AV350">
            <v>1777.5</v>
          </cell>
          <cell r="AW350">
            <v>1912.5</v>
          </cell>
          <cell r="AX350">
            <v>2235.5</v>
          </cell>
          <cell r="AY350">
            <v>1575</v>
          </cell>
          <cell r="AZ350">
            <v>2097</v>
          </cell>
          <cell r="BA350">
            <v>2489</v>
          </cell>
          <cell r="BB350">
            <v>2331</v>
          </cell>
          <cell r="BC350">
            <v>1968.5</v>
          </cell>
          <cell r="BD350">
            <v>2124</v>
          </cell>
          <cell r="BE350">
            <v>2836.5</v>
          </cell>
          <cell r="BF350">
            <v>2395</v>
          </cell>
          <cell r="BG350">
            <v>2497.5</v>
          </cell>
          <cell r="BH350">
            <v>949.5</v>
          </cell>
          <cell r="BI350">
            <v>1813.5</v>
          </cell>
          <cell r="BJ350">
            <v>2112</v>
          </cell>
          <cell r="BK350">
            <v>1993.5</v>
          </cell>
          <cell r="BL350">
            <v>2209.5</v>
          </cell>
          <cell r="BM350">
            <v>1746</v>
          </cell>
          <cell r="BN350">
            <v>1966.5</v>
          </cell>
          <cell r="BO350">
            <v>1863</v>
          </cell>
          <cell r="BP350">
            <v>1714.5</v>
          </cell>
          <cell r="BQ350">
            <v>1789.5</v>
          </cell>
          <cell r="BR350">
            <v>2632.5</v>
          </cell>
          <cell r="BS350">
            <v>1773</v>
          </cell>
          <cell r="BT350">
            <v>2592</v>
          </cell>
          <cell r="BU350">
            <v>1786.5</v>
          </cell>
          <cell r="BV350">
            <v>2393.5</v>
          </cell>
          <cell r="BW350">
            <v>2214</v>
          </cell>
          <cell r="BX350">
            <v>1768.5</v>
          </cell>
          <cell r="BY350">
            <v>2569.5</v>
          </cell>
          <cell r="BZ350">
            <v>2929.5</v>
          </cell>
          <cell r="CA350">
            <v>1827</v>
          </cell>
          <cell r="CB350">
            <v>2286</v>
          </cell>
          <cell r="CC350">
            <v>1584</v>
          </cell>
          <cell r="CD350">
            <v>2007</v>
          </cell>
          <cell r="CE350">
            <v>2659.5</v>
          </cell>
          <cell r="CF350">
            <v>1494</v>
          </cell>
          <cell r="CG350">
            <v>2322</v>
          </cell>
          <cell r="CH350">
            <v>1417.5</v>
          </cell>
          <cell r="CI350">
            <v>1804.5</v>
          </cell>
          <cell r="CJ350">
            <v>1777.5</v>
          </cell>
          <cell r="CK350">
            <v>1674</v>
          </cell>
          <cell r="CL350">
            <v>1831.5</v>
          </cell>
          <cell r="CM350">
            <v>1854</v>
          </cell>
          <cell r="CN350">
            <v>1840.5</v>
          </cell>
          <cell r="CO350">
            <v>1818</v>
          </cell>
          <cell r="CP350">
            <v>2061</v>
          </cell>
          <cell r="CQ350">
            <v>2115</v>
          </cell>
          <cell r="CR350">
            <v>2439</v>
          </cell>
          <cell r="CS350">
            <v>1300.5</v>
          </cell>
          <cell r="CT350">
            <v>2018.4</v>
          </cell>
          <cell r="CU350">
            <v>2169</v>
          </cell>
          <cell r="CV350">
            <v>2479.5</v>
          </cell>
          <cell r="CW350">
            <v>1841.5</v>
          </cell>
          <cell r="CX350">
            <v>2083.5</v>
          </cell>
          <cell r="CY350">
            <v>1530</v>
          </cell>
          <cell r="CZ350">
            <v>1845</v>
          </cell>
          <cell r="DA350">
            <v>2394</v>
          </cell>
          <cell r="DB350">
            <v>1822.5</v>
          </cell>
          <cell r="DC350">
            <v>2052</v>
          </cell>
          <cell r="DD350">
            <v>1363.5</v>
          </cell>
          <cell r="DE350">
            <v>2362.6999999999998</v>
          </cell>
          <cell r="DF350">
            <v>2196</v>
          </cell>
          <cell r="DG350">
            <v>1543.5</v>
          </cell>
          <cell r="DH350">
            <v>927</v>
          </cell>
          <cell r="DI350">
            <v>409.5</v>
          </cell>
          <cell r="DJ350">
            <v>2065.5</v>
          </cell>
          <cell r="DK350">
            <v>1692</v>
          </cell>
          <cell r="DL350">
            <v>2419.52</v>
          </cell>
          <cell r="DM350">
            <v>1548</v>
          </cell>
          <cell r="DN350">
            <v>1944.5</v>
          </cell>
          <cell r="DO350">
            <v>1521</v>
          </cell>
          <cell r="DP350">
            <v>1215</v>
          </cell>
          <cell r="DQ350">
            <v>1287</v>
          </cell>
          <cell r="DR350">
            <v>1453.5</v>
          </cell>
          <cell r="DS350">
            <v>1728</v>
          </cell>
          <cell r="DT350">
            <v>1737</v>
          </cell>
          <cell r="DU350">
            <v>2088</v>
          </cell>
          <cell r="DV350">
            <v>1891</v>
          </cell>
          <cell r="DW350">
            <v>2155.5</v>
          </cell>
          <cell r="DX350">
            <v>2236.5</v>
          </cell>
          <cell r="DY350">
            <v>2263.5</v>
          </cell>
          <cell r="DZ350">
            <v>2907</v>
          </cell>
          <cell r="EA350">
            <v>1890</v>
          </cell>
          <cell r="EB350">
            <v>2218.5</v>
          </cell>
          <cell r="EC350">
            <v>1917</v>
          </cell>
          <cell r="ED350">
            <v>1723.5</v>
          </cell>
          <cell r="EE350" t="str">
            <v>ACTIVO</v>
          </cell>
          <cell r="EF350" t="str">
            <v>A</v>
          </cell>
          <cell r="EG350">
            <v>540</v>
          </cell>
          <cell r="EH350">
            <v>1809.0011111111112</v>
          </cell>
          <cell r="EI350">
            <v>301.50018518518522</v>
          </cell>
          <cell r="EJ350">
            <v>408.15591612155089</v>
          </cell>
          <cell r="EK350">
            <v>2079</v>
          </cell>
          <cell r="EL350">
            <v>9244689.3000000007</v>
          </cell>
          <cell r="EM350">
            <v>1.1492530254572657</v>
          </cell>
          <cell r="EN350">
            <v>603.00037037037043</v>
          </cell>
          <cell r="EO350">
            <v>603.00037037037043</v>
          </cell>
          <cell r="EP350">
            <v>1206.0007407407409</v>
          </cell>
        </row>
        <row r="351">
          <cell r="F351">
            <v>405537</v>
          </cell>
          <cell r="G351" t="str">
            <v>RELLENO PISTACHO SIN TROZOS CERRILLOS</v>
          </cell>
          <cell r="BY351">
            <v>138</v>
          </cell>
          <cell r="EE351" t="str">
            <v>SIN USO</v>
          </cell>
          <cell r="EF351" t="str">
            <v>C</v>
          </cell>
          <cell r="EG351" t="str">
            <v/>
          </cell>
          <cell r="EH351">
            <v>0</v>
          </cell>
          <cell r="EI351">
            <v>0</v>
          </cell>
          <cell r="EJ351">
            <v>0</v>
          </cell>
          <cell r="EK351">
            <v>0</v>
          </cell>
          <cell r="EL351">
            <v>0</v>
          </cell>
          <cell r="EM351">
            <v>0</v>
          </cell>
          <cell r="EN351">
            <v>0</v>
          </cell>
          <cell r="EO351">
            <v>0</v>
          </cell>
          <cell r="EP351">
            <v>0</v>
          </cell>
        </row>
        <row r="352">
          <cell r="F352">
            <v>405556</v>
          </cell>
          <cell r="G352" t="str">
            <v>RELLENO CHOCOLATE CREAM BAKELS</v>
          </cell>
          <cell r="CD352">
            <v>112.5</v>
          </cell>
          <cell r="CE352">
            <v>153</v>
          </cell>
          <cell r="CF352">
            <v>238.5</v>
          </cell>
          <cell r="CG352">
            <v>139.5</v>
          </cell>
          <cell r="CM352">
            <v>144</v>
          </cell>
          <cell r="CO352">
            <v>81</v>
          </cell>
          <cell r="CP352">
            <v>94.5</v>
          </cell>
          <cell r="CQ352">
            <v>211.5</v>
          </cell>
          <cell r="CT352">
            <v>108</v>
          </cell>
          <cell r="CU352">
            <v>94.5</v>
          </cell>
          <cell r="CV352">
            <v>162</v>
          </cell>
          <cell r="CX352">
            <v>166.5</v>
          </cell>
          <cell r="CY352">
            <v>211.5</v>
          </cell>
          <cell r="DA352">
            <v>90</v>
          </cell>
          <cell r="DB352">
            <v>499.5</v>
          </cell>
          <cell r="DC352">
            <v>162</v>
          </cell>
          <cell r="DJ352">
            <v>360</v>
          </cell>
          <cell r="DK352">
            <v>202.5</v>
          </cell>
          <cell r="DL352">
            <v>202.5</v>
          </cell>
          <cell r="DM352">
            <v>76.5</v>
          </cell>
          <cell r="DN352">
            <v>405</v>
          </cell>
          <cell r="DO352">
            <v>162</v>
          </cell>
          <cell r="DP352">
            <v>18</v>
          </cell>
          <cell r="DR352">
            <v>198</v>
          </cell>
          <cell r="DS352">
            <v>184.5</v>
          </cell>
          <cell r="DT352">
            <v>594</v>
          </cell>
          <cell r="DU352">
            <v>612</v>
          </cell>
          <cell r="DV352">
            <v>198</v>
          </cell>
          <cell r="DW352">
            <v>297</v>
          </cell>
          <cell r="DX352">
            <v>481.5</v>
          </cell>
          <cell r="DZ352">
            <v>315</v>
          </cell>
          <cell r="EC352">
            <v>720</v>
          </cell>
          <cell r="EE352" t="str">
            <v>ACTIVO</v>
          </cell>
          <cell r="EF352" t="str">
            <v>C</v>
          </cell>
          <cell r="EG352" t="str">
            <v/>
          </cell>
          <cell r="EH352">
            <v>287.10000000000002</v>
          </cell>
          <cell r="EI352">
            <v>47.85</v>
          </cell>
          <cell r="EJ352">
            <v>100.48166810418704</v>
          </cell>
          <cell r="EK352">
            <v>558</v>
          </cell>
          <cell r="EL352">
            <v>1841333.04</v>
          </cell>
          <cell r="EM352">
            <v>1.9435736677115987</v>
          </cell>
          <cell r="EN352">
            <v>95.7</v>
          </cell>
          <cell r="EO352">
            <v>95.7</v>
          </cell>
          <cell r="EP352">
            <v>191.4</v>
          </cell>
        </row>
        <row r="353">
          <cell r="F353">
            <v>170180</v>
          </cell>
          <cell r="G353" t="str">
            <v>REMOJO DULCERÍO 10 LITROS PURATOS</v>
          </cell>
          <cell r="CP353">
            <v>475</v>
          </cell>
          <cell r="CQ353">
            <v>576</v>
          </cell>
          <cell r="CR353">
            <v>496</v>
          </cell>
          <cell r="CS353">
            <v>103</v>
          </cell>
          <cell r="CT353">
            <v>501</v>
          </cell>
          <cell r="CU353">
            <v>560</v>
          </cell>
          <cell r="CV353">
            <v>500</v>
          </cell>
          <cell r="CW353">
            <v>460</v>
          </cell>
          <cell r="CX353">
            <v>460</v>
          </cell>
          <cell r="CY353">
            <v>500</v>
          </cell>
          <cell r="CZ353">
            <v>520</v>
          </cell>
          <cell r="DA353">
            <v>520</v>
          </cell>
          <cell r="DB353">
            <v>480</v>
          </cell>
          <cell r="DC353">
            <v>700</v>
          </cell>
          <cell r="DD353">
            <v>1280</v>
          </cell>
          <cell r="DE353">
            <v>1031</v>
          </cell>
          <cell r="DF353">
            <v>1740</v>
          </cell>
          <cell r="DG353">
            <v>1300</v>
          </cell>
          <cell r="DH353">
            <v>600</v>
          </cell>
          <cell r="DI353">
            <v>340</v>
          </cell>
          <cell r="DJ353">
            <v>1190</v>
          </cell>
          <cell r="DK353">
            <v>1110</v>
          </cell>
          <cell r="DL353">
            <v>1038.6400000000001</v>
          </cell>
          <cell r="DM353">
            <v>1110</v>
          </cell>
          <cell r="DN353">
            <v>1120</v>
          </cell>
          <cell r="DO353">
            <v>1510</v>
          </cell>
          <cell r="DP353">
            <v>1060</v>
          </cell>
          <cell r="DQ353">
            <v>1080</v>
          </cell>
          <cell r="DR353">
            <v>1160</v>
          </cell>
          <cell r="DS353">
            <v>1180</v>
          </cell>
          <cell r="DT353">
            <v>971</v>
          </cell>
          <cell r="DU353">
            <v>1300</v>
          </cell>
          <cell r="DV353">
            <v>1270</v>
          </cell>
          <cell r="DW353">
            <v>1025</v>
          </cell>
          <cell r="DX353">
            <v>1170</v>
          </cell>
          <cell r="DY353">
            <v>1270</v>
          </cell>
          <cell r="DZ353">
            <v>1840</v>
          </cell>
          <cell r="EA353">
            <v>2990</v>
          </cell>
          <cell r="EB353">
            <v>1470</v>
          </cell>
          <cell r="EC353">
            <v>1430</v>
          </cell>
          <cell r="ED353">
            <v>1360</v>
          </cell>
          <cell r="EE353" t="str">
            <v>ACTIVO</v>
          </cell>
          <cell r="EF353" t="str">
            <v>B</v>
          </cell>
          <cell r="EG353" t="str">
            <v/>
          </cell>
          <cell r="EH353">
            <v>1152.48</v>
          </cell>
          <cell r="EI353">
            <v>192.08</v>
          </cell>
          <cell r="EJ353">
            <v>388.45385525287128</v>
          </cell>
          <cell r="EK353">
            <v>2075</v>
          </cell>
          <cell r="EL353">
            <v>4004750</v>
          </cell>
          <cell r="EM353">
            <v>1.8004650839927807</v>
          </cell>
          <cell r="EN353">
            <v>576.24</v>
          </cell>
          <cell r="EO353">
            <v>384.16</v>
          </cell>
          <cell r="EP353">
            <v>960.40000000000009</v>
          </cell>
        </row>
        <row r="354">
          <cell r="F354">
            <v>107105</v>
          </cell>
          <cell r="G354" t="str">
            <v>CREMFIL PIE DE LIMON PURATOS</v>
          </cell>
          <cell r="CQ354">
            <v>402.53</v>
          </cell>
          <cell r="CR354">
            <v>549</v>
          </cell>
          <cell r="CS354">
            <v>274.5</v>
          </cell>
          <cell r="CT354">
            <v>634.5</v>
          </cell>
          <cell r="CU354">
            <v>599</v>
          </cell>
          <cell r="CV354">
            <v>436.5</v>
          </cell>
          <cell r="CW354">
            <v>513</v>
          </cell>
          <cell r="CX354">
            <v>481.5</v>
          </cell>
          <cell r="CY354">
            <v>631.5</v>
          </cell>
          <cell r="CZ354">
            <v>450</v>
          </cell>
          <cell r="DA354">
            <v>468</v>
          </cell>
          <cell r="DB354">
            <v>283.5</v>
          </cell>
          <cell r="DC354">
            <v>328.5</v>
          </cell>
          <cell r="DD354">
            <v>324</v>
          </cell>
          <cell r="DE354">
            <v>288</v>
          </cell>
          <cell r="DF354">
            <v>472.5</v>
          </cell>
          <cell r="DG354">
            <v>531</v>
          </cell>
          <cell r="DH354">
            <v>180</v>
          </cell>
          <cell r="DI354">
            <v>112.5</v>
          </cell>
          <cell r="DJ354">
            <v>427.5</v>
          </cell>
          <cell r="DK354">
            <v>418.5</v>
          </cell>
          <cell r="DL354">
            <v>409.5</v>
          </cell>
          <cell r="DM354">
            <v>409.5</v>
          </cell>
          <cell r="DN354">
            <v>373.5</v>
          </cell>
          <cell r="DO354">
            <v>355.5</v>
          </cell>
          <cell r="DP354">
            <v>373.5</v>
          </cell>
          <cell r="DQ354">
            <v>414</v>
          </cell>
          <cell r="DR354">
            <v>423</v>
          </cell>
          <cell r="DS354">
            <v>441</v>
          </cell>
          <cell r="DT354">
            <v>387</v>
          </cell>
          <cell r="DU354">
            <v>531</v>
          </cell>
          <cell r="DV354">
            <v>495</v>
          </cell>
          <cell r="DW354">
            <v>472.5</v>
          </cell>
          <cell r="DX354">
            <v>472.5</v>
          </cell>
          <cell r="DY354">
            <v>450</v>
          </cell>
          <cell r="DZ354">
            <v>544.5</v>
          </cell>
          <cell r="EA354">
            <v>360</v>
          </cell>
          <cell r="EB354">
            <v>531</v>
          </cell>
          <cell r="EC354">
            <v>418.5</v>
          </cell>
          <cell r="ED354">
            <v>481.5</v>
          </cell>
          <cell r="EE354" t="str">
            <v>ACTIVO</v>
          </cell>
          <cell r="EF354" t="str">
            <v>C</v>
          </cell>
          <cell r="EG354" t="str">
            <v/>
          </cell>
          <cell r="EH354">
            <v>417.25</v>
          </cell>
          <cell r="EI354">
            <v>69.541666666666671</v>
          </cell>
          <cell r="EJ354">
            <v>132.51775211330514</v>
          </cell>
          <cell r="EK354">
            <v>297</v>
          </cell>
          <cell r="EL354">
            <v>553792.14</v>
          </cell>
          <cell r="EM354">
            <v>0.71180347513481124</v>
          </cell>
          <cell r="EN354">
            <v>208.625</v>
          </cell>
          <cell r="EO354">
            <v>139.08333333333334</v>
          </cell>
          <cell r="EP354">
            <v>347.70833333333337</v>
          </cell>
        </row>
        <row r="355">
          <cell r="F355">
            <v>405607</v>
          </cell>
          <cell r="G355" t="str">
            <v>PISTACHO S/CASCARA TRES ERRES</v>
          </cell>
          <cell r="DR355">
            <v>1</v>
          </cell>
          <cell r="DS355">
            <v>10</v>
          </cell>
          <cell r="DT355">
            <v>4</v>
          </cell>
          <cell r="DU355">
            <v>1</v>
          </cell>
          <cell r="DV355">
            <v>4</v>
          </cell>
          <cell r="DW355">
            <v>1</v>
          </cell>
          <cell r="DX355">
            <v>1</v>
          </cell>
          <cell r="DY355">
            <v>4</v>
          </cell>
          <cell r="EA355">
            <v>5</v>
          </cell>
          <cell r="EB355">
            <v>3</v>
          </cell>
          <cell r="EC355">
            <v>3</v>
          </cell>
          <cell r="ED355">
            <v>4</v>
          </cell>
          <cell r="EE355" t="str">
            <v>ACTIVO</v>
          </cell>
          <cell r="EF355" t="str">
            <v>C</v>
          </cell>
          <cell r="EG355" t="str">
            <v/>
          </cell>
          <cell r="EH355">
            <v>3.25</v>
          </cell>
          <cell r="EI355">
            <v>0.54166666666666663</v>
          </cell>
          <cell r="EJ355">
            <v>0</v>
          </cell>
          <cell r="EK355">
            <v>7</v>
          </cell>
          <cell r="EL355">
            <v>238000</v>
          </cell>
          <cell r="EM355">
            <v>2.1538461538461537</v>
          </cell>
          <cell r="EN355">
            <v>1.0833333333333333</v>
          </cell>
          <cell r="EO355">
            <v>1.0833333333333333</v>
          </cell>
          <cell r="EP355">
            <v>2.1666666666666665</v>
          </cell>
        </row>
        <row r="356">
          <cell r="F356">
            <v>107280</v>
          </cell>
          <cell r="G356" t="str">
            <v>NUEVO BRILLO PARA CONGELADO PURATOS</v>
          </cell>
          <cell r="H356">
            <v>418.5</v>
          </cell>
          <cell r="I356">
            <v>396</v>
          </cell>
          <cell r="J356">
            <v>585</v>
          </cell>
          <cell r="K356">
            <v>666</v>
          </cell>
          <cell r="L356">
            <v>319.5</v>
          </cell>
          <cell r="M356">
            <v>454.5</v>
          </cell>
          <cell r="N356">
            <v>481.5</v>
          </cell>
          <cell r="O356">
            <v>472.5</v>
          </cell>
          <cell r="P356">
            <v>292.5</v>
          </cell>
          <cell r="Q356">
            <v>301.5</v>
          </cell>
          <cell r="R356">
            <v>297</v>
          </cell>
          <cell r="S356">
            <v>225</v>
          </cell>
          <cell r="T356">
            <v>301.5</v>
          </cell>
          <cell r="U356">
            <v>490.5</v>
          </cell>
          <cell r="V356">
            <v>229.5</v>
          </cell>
          <cell r="W356">
            <v>544.5</v>
          </cell>
          <cell r="X356">
            <v>495</v>
          </cell>
          <cell r="Y356">
            <v>274.5</v>
          </cell>
          <cell r="Z356">
            <v>103.5</v>
          </cell>
          <cell r="AA356">
            <v>319.5</v>
          </cell>
          <cell r="AB356">
            <v>508.5</v>
          </cell>
          <cell r="AC356">
            <v>337.5</v>
          </cell>
          <cell r="AD356">
            <v>495</v>
          </cell>
          <cell r="AE356">
            <v>333</v>
          </cell>
          <cell r="AF356">
            <v>265.5</v>
          </cell>
          <cell r="AG356">
            <v>346.5</v>
          </cell>
          <cell r="AH356">
            <v>292.5</v>
          </cell>
          <cell r="AI356">
            <v>306</v>
          </cell>
          <cell r="AJ356">
            <v>265.5</v>
          </cell>
          <cell r="AK356">
            <v>405</v>
          </cell>
          <cell r="AL356">
            <v>556</v>
          </cell>
          <cell r="AM356">
            <v>400.5</v>
          </cell>
          <cell r="AN356">
            <v>207</v>
          </cell>
          <cell r="AO356">
            <v>252</v>
          </cell>
          <cell r="AP356">
            <v>324</v>
          </cell>
          <cell r="AQ356">
            <v>301.5</v>
          </cell>
          <cell r="AR356">
            <v>229.5</v>
          </cell>
          <cell r="AS356">
            <v>229.5</v>
          </cell>
          <cell r="AT356">
            <v>225</v>
          </cell>
          <cell r="AU356">
            <v>369.76</v>
          </cell>
          <cell r="AV356">
            <v>319.5</v>
          </cell>
          <cell r="AW356">
            <v>288</v>
          </cell>
          <cell r="AX356">
            <v>378</v>
          </cell>
          <cell r="AY356">
            <v>396</v>
          </cell>
          <cell r="AZ356">
            <v>220.5</v>
          </cell>
          <cell r="BA356">
            <v>517.5</v>
          </cell>
          <cell r="BB356">
            <v>549</v>
          </cell>
          <cell r="BC356">
            <v>396</v>
          </cell>
          <cell r="BD356">
            <v>522</v>
          </cell>
          <cell r="BE356">
            <v>685</v>
          </cell>
          <cell r="BF356">
            <v>310.5</v>
          </cell>
          <cell r="BG356">
            <v>589.5</v>
          </cell>
          <cell r="BH356">
            <v>166.5</v>
          </cell>
          <cell r="BI356">
            <v>576</v>
          </cell>
          <cell r="BJ356">
            <v>594</v>
          </cell>
          <cell r="BK356">
            <v>490.5</v>
          </cell>
          <cell r="BL356">
            <v>666</v>
          </cell>
          <cell r="BM356">
            <v>567</v>
          </cell>
          <cell r="BN356">
            <v>607</v>
          </cell>
          <cell r="BO356">
            <v>728.5</v>
          </cell>
          <cell r="BP356">
            <v>328.5</v>
          </cell>
          <cell r="BQ356">
            <v>504</v>
          </cell>
          <cell r="BR356">
            <v>592</v>
          </cell>
          <cell r="BS356">
            <v>760.5</v>
          </cell>
          <cell r="BT356">
            <v>1030.5</v>
          </cell>
          <cell r="BU356">
            <v>508.5</v>
          </cell>
          <cell r="BV356">
            <v>821</v>
          </cell>
          <cell r="BW356">
            <v>904.5</v>
          </cell>
          <cell r="BX356">
            <v>760.5</v>
          </cell>
          <cell r="BY356">
            <v>585</v>
          </cell>
          <cell r="BZ356">
            <v>175.5</v>
          </cell>
          <cell r="CA356">
            <v>760.5</v>
          </cell>
          <cell r="CB356">
            <v>1164.5</v>
          </cell>
          <cell r="CC356">
            <v>1179</v>
          </cell>
          <cell r="CD356">
            <v>567</v>
          </cell>
          <cell r="CE356">
            <v>274.5</v>
          </cell>
          <cell r="CF356">
            <v>805.5</v>
          </cell>
          <cell r="CG356">
            <v>1026</v>
          </cell>
          <cell r="CH356">
            <v>328.5</v>
          </cell>
          <cell r="CI356">
            <v>680.5</v>
          </cell>
          <cell r="CJ356">
            <v>202.5</v>
          </cell>
          <cell r="CK356">
            <v>927</v>
          </cell>
          <cell r="CL356">
            <v>679.5</v>
          </cell>
          <cell r="CM356">
            <v>684</v>
          </cell>
          <cell r="CN356">
            <v>765</v>
          </cell>
          <cell r="CO356">
            <v>666</v>
          </cell>
          <cell r="CP356">
            <v>980</v>
          </cell>
          <cell r="CQ356">
            <v>585</v>
          </cell>
          <cell r="CR356">
            <v>1053</v>
          </cell>
          <cell r="CS356">
            <v>454.5</v>
          </cell>
          <cell r="CT356">
            <v>553.5</v>
          </cell>
          <cell r="CU356">
            <v>261</v>
          </cell>
          <cell r="CV356">
            <v>553.5</v>
          </cell>
          <cell r="CW356">
            <v>558</v>
          </cell>
          <cell r="CX356">
            <v>657</v>
          </cell>
          <cell r="CY356">
            <v>427.5</v>
          </cell>
          <cell r="CZ356">
            <v>333</v>
          </cell>
          <cell r="DA356">
            <v>648</v>
          </cell>
          <cell r="DB356">
            <v>675</v>
          </cell>
          <cell r="DC356">
            <v>693</v>
          </cell>
          <cell r="DD356">
            <v>513</v>
          </cell>
          <cell r="DE356">
            <v>544.5</v>
          </cell>
          <cell r="DF356">
            <v>405</v>
          </cell>
          <cell r="DG356">
            <v>103.5</v>
          </cell>
          <cell r="DH356">
            <v>180</v>
          </cell>
          <cell r="DI356">
            <v>157.5</v>
          </cell>
          <cell r="DJ356">
            <v>513</v>
          </cell>
          <cell r="DK356">
            <v>639</v>
          </cell>
          <cell r="DL356">
            <v>580.66999999999996</v>
          </cell>
          <cell r="DM356">
            <v>801</v>
          </cell>
          <cell r="DN356">
            <v>796.5</v>
          </cell>
          <cell r="DO356">
            <v>432</v>
          </cell>
          <cell r="DP356">
            <v>418.5</v>
          </cell>
          <cell r="DQ356">
            <v>571.70000000000005</v>
          </cell>
          <cell r="DR356">
            <v>567</v>
          </cell>
          <cell r="DS356">
            <v>531</v>
          </cell>
          <cell r="DT356">
            <v>599.5</v>
          </cell>
          <cell r="DU356">
            <v>441</v>
          </cell>
          <cell r="DV356">
            <v>414</v>
          </cell>
          <cell r="DW356">
            <v>364.5</v>
          </cell>
          <cell r="DX356">
            <v>868.5</v>
          </cell>
          <cell r="DY356">
            <v>1323</v>
          </cell>
          <cell r="DZ356">
            <v>346.5</v>
          </cell>
          <cell r="EA356">
            <v>4.5</v>
          </cell>
          <cell r="EB356">
            <v>702</v>
          </cell>
          <cell r="EC356">
            <v>738</v>
          </cell>
          <cell r="ED356">
            <v>720</v>
          </cell>
          <cell r="EE356" t="str">
            <v>ACTIVO</v>
          </cell>
          <cell r="EF356" t="str">
            <v>A</v>
          </cell>
          <cell r="EG356">
            <v>540</v>
          </cell>
          <cell r="EH356">
            <v>575.826111111111</v>
          </cell>
          <cell r="EI356">
            <v>95.971018518518505</v>
          </cell>
          <cell r="EJ356">
            <v>253.96123337067098</v>
          </cell>
          <cell r="EK356">
            <v>1161</v>
          </cell>
          <cell r="EL356">
            <v>3192750</v>
          </cell>
          <cell r="EM356">
            <v>2.016233681657368</v>
          </cell>
          <cell r="EN356">
            <v>287.9130555555555</v>
          </cell>
          <cell r="EO356">
            <v>191.94203703703701</v>
          </cell>
          <cell r="EP356">
            <v>479.85509259259254</v>
          </cell>
        </row>
        <row r="357">
          <cell r="F357">
            <v>107120</v>
          </cell>
          <cell r="G357" t="str">
            <v>BRILLO FRIO RTU PURATOS</v>
          </cell>
          <cell r="H357">
            <v>391.5</v>
          </cell>
          <cell r="I357">
            <v>486</v>
          </cell>
          <cell r="J357">
            <v>508.5</v>
          </cell>
          <cell r="K357">
            <v>562.5</v>
          </cell>
          <cell r="L357">
            <v>594</v>
          </cell>
          <cell r="M357">
            <v>558</v>
          </cell>
          <cell r="N357">
            <v>423</v>
          </cell>
          <cell r="O357">
            <v>562.5</v>
          </cell>
          <cell r="P357">
            <v>594</v>
          </cell>
          <cell r="Q357">
            <v>540</v>
          </cell>
          <cell r="R357">
            <v>567</v>
          </cell>
          <cell r="S357">
            <v>472.5</v>
          </cell>
          <cell r="T357">
            <v>364.5</v>
          </cell>
          <cell r="U357">
            <v>562.5</v>
          </cell>
          <cell r="V357">
            <v>463.5</v>
          </cell>
          <cell r="W357">
            <v>432</v>
          </cell>
          <cell r="X357">
            <v>571.5</v>
          </cell>
          <cell r="Y357">
            <v>657</v>
          </cell>
          <cell r="Z357">
            <v>675</v>
          </cell>
          <cell r="AA357">
            <v>603</v>
          </cell>
          <cell r="AB357">
            <v>666</v>
          </cell>
          <cell r="AC357">
            <v>639</v>
          </cell>
          <cell r="AD357">
            <v>621</v>
          </cell>
          <cell r="AE357">
            <v>553.5</v>
          </cell>
          <cell r="AF357">
            <v>661.5</v>
          </cell>
          <cell r="AG357">
            <v>652.5</v>
          </cell>
          <cell r="AH357">
            <v>661.5</v>
          </cell>
          <cell r="AI357">
            <v>643.5</v>
          </cell>
          <cell r="AJ357">
            <v>711</v>
          </cell>
          <cell r="AK357">
            <v>729</v>
          </cell>
          <cell r="AL357">
            <v>619.5</v>
          </cell>
          <cell r="AM357">
            <v>616.5</v>
          </cell>
          <cell r="AN357">
            <v>634.5</v>
          </cell>
          <cell r="AO357">
            <v>526.5</v>
          </cell>
          <cell r="AP357">
            <v>621</v>
          </cell>
          <cell r="AQ357">
            <v>729</v>
          </cell>
          <cell r="AR357">
            <v>769.5</v>
          </cell>
          <cell r="AS357">
            <v>270</v>
          </cell>
          <cell r="AT357">
            <v>675</v>
          </cell>
          <cell r="AU357">
            <v>589.5</v>
          </cell>
          <cell r="AV357">
            <v>553.5</v>
          </cell>
          <cell r="AW357">
            <v>454.5</v>
          </cell>
          <cell r="AX357">
            <v>1053</v>
          </cell>
          <cell r="AY357">
            <v>508.2</v>
          </cell>
          <cell r="AZ357">
            <v>517.5</v>
          </cell>
          <cell r="BA357">
            <v>868.5</v>
          </cell>
          <cell r="BB357">
            <v>540</v>
          </cell>
          <cell r="BC357">
            <v>418.5</v>
          </cell>
          <cell r="BD357">
            <v>436.5</v>
          </cell>
          <cell r="BE357">
            <v>314.7</v>
          </cell>
          <cell r="BF357">
            <v>517.5</v>
          </cell>
          <cell r="BG357">
            <v>328.5</v>
          </cell>
          <cell r="BH357">
            <v>166.5</v>
          </cell>
          <cell r="BI357">
            <v>441</v>
          </cell>
          <cell r="BJ357">
            <v>360</v>
          </cell>
          <cell r="BK357">
            <v>549</v>
          </cell>
          <cell r="BL357">
            <v>459</v>
          </cell>
          <cell r="BM357">
            <v>477</v>
          </cell>
          <cell r="BN357">
            <v>504</v>
          </cell>
          <cell r="BO357">
            <v>400.5</v>
          </cell>
          <cell r="BP357">
            <v>477</v>
          </cell>
          <cell r="BQ357">
            <v>499.5</v>
          </cell>
          <cell r="BR357">
            <v>549</v>
          </cell>
          <cell r="BS357">
            <v>387</v>
          </cell>
          <cell r="BT357">
            <v>418.5</v>
          </cell>
          <cell r="BU357">
            <v>472.5</v>
          </cell>
          <cell r="BV357">
            <v>422.8</v>
          </cell>
          <cell r="BW357">
            <v>441</v>
          </cell>
          <cell r="BX357">
            <v>409.5</v>
          </cell>
          <cell r="BY357">
            <v>396</v>
          </cell>
          <cell r="BZ357">
            <v>432</v>
          </cell>
          <cell r="CA357">
            <v>369</v>
          </cell>
          <cell r="CB357">
            <v>328.5</v>
          </cell>
          <cell r="CC357">
            <v>351</v>
          </cell>
          <cell r="CD357">
            <v>288</v>
          </cell>
          <cell r="CE357">
            <v>589.5</v>
          </cell>
          <cell r="CF357">
            <v>265.5</v>
          </cell>
          <cell r="CG357">
            <v>337.5</v>
          </cell>
          <cell r="CH357">
            <v>324</v>
          </cell>
          <cell r="CI357">
            <v>441</v>
          </cell>
          <cell r="CJ357">
            <v>481.5</v>
          </cell>
          <cell r="CK357">
            <v>391.5</v>
          </cell>
          <cell r="CL357">
            <v>351</v>
          </cell>
          <cell r="CM357">
            <v>355.5</v>
          </cell>
          <cell r="CN357">
            <v>472.5</v>
          </cell>
          <cell r="CO357">
            <v>450</v>
          </cell>
          <cell r="CP357">
            <v>432</v>
          </cell>
          <cell r="CQ357">
            <v>396</v>
          </cell>
          <cell r="CR357">
            <v>427.5</v>
          </cell>
          <cell r="CS357">
            <v>139.5</v>
          </cell>
          <cell r="CT357">
            <v>513</v>
          </cell>
          <cell r="CU357">
            <v>454.5</v>
          </cell>
          <cell r="CV357">
            <v>463.5</v>
          </cell>
          <cell r="CW357">
            <v>423</v>
          </cell>
          <cell r="CX357">
            <v>427.5</v>
          </cell>
          <cell r="CY357">
            <v>432</v>
          </cell>
          <cell r="CZ357">
            <v>400.5</v>
          </cell>
          <cell r="DA357">
            <v>481.5</v>
          </cell>
          <cell r="DB357">
            <v>351</v>
          </cell>
          <cell r="DC357">
            <v>391.5</v>
          </cell>
          <cell r="DD357">
            <v>382.5</v>
          </cell>
          <cell r="DE357">
            <v>328.5</v>
          </cell>
          <cell r="DF357">
            <v>481.5</v>
          </cell>
          <cell r="DG357">
            <v>319.5</v>
          </cell>
          <cell r="DH357">
            <v>184.5</v>
          </cell>
          <cell r="DI357">
            <v>108</v>
          </cell>
          <cell r="DJ357">
            <v>378</v>
          </cell>
          <cell r="DK357">
            <v>382.5</v>
          </cell>
          <cell r="DL357">
            <v>427.5</v>
          </cell>
          <cell r="DM357">
            <v>387</v>
          </cell>
          <cell r="DN357">
            <v>382.5</v>
          </cell>
          <cell r="DO357">
            <v>477</v>
          </cell>
          <cell r="DP357">
            <v>391.5</v>
          </cell>
          <cell r="DQ357">
            <v>418.5</v>
          </cell>
          <cell r="DR357">
            <v>418.5</v>
          </cell>
          <cell r="DS357">
            <v>427.5</v>
          </cell>
          <cell r="DT357">
            <v>400.5</v>
          </cell>
          <cell r="DU357">
            <v>445.5</v>
          </cell>
          <cell r="DV357">
            <v>436.5</v>
          </cell>
          <cell r="DW357">
            <v>391.5</v>
          </cell>
          <cell r="DX357">
            <v>423</v>
          </cell>
          <cell r="DY357">
            <v>549</v>
          </cell>
          <cell r="DZ357">
            <v>517.5</v>
          </cell>
          <cell r="EA357">
            <v>652.4</v>
          </cell>
          <cell r="EB357">
            <v>535.5</v>
          </cell>
          <cell r="EC357">
            <v>405</v>
          </cell>
          <cell r="ED357">
            <v>535.5</v>
          </cell>
          <cell r="EE357" t="str">
            <v>ACTIVO</v>
          </cell>
          <cell r="EF357" t="str">
            <v>B</v>
          </cell>
          <cell r="EG357">
            <v>540</v>
          </cell>
          <cell r="EH357">
            <v>409</v>
          </cell>
          <cell r="EI357">
            <v>68.166666666666671</v>
          </cell>
          <cell r="EJ357">
            <v>89.536220342750781</v>
          </cell>
          <cell r="EK357">
            <v>1494</v>
          </cell>
          <cell r="EL357">
            <v>2733810.84</v>
          </cell>
          <cell r="EM357">
            <v>3.6528117359413201</v>
          </cell>
          <cell r="EN357">
            <v>204.5</v>
          </cell>
          <cell r="EO357">
            <v>136.33333333333334</v>
          </cell>
          <cell r="EP357">
            <v>340.83333333333337</v>
          </cell>
        </row>
        <row r="358">
          <cell r="F358">
            <v>403391</v>
          </cell>
          <cell r="G358" t="str">
            <v>MERM. EBEL PIÑA QUINTA BALDE 5 Kg</v>
          </cell>
          <cell r="AT358">
            <v>24.5</v>
          </cell>
          <cell r="AU358">
            <v>105</v>
          </cell>
          <cell r="AV358">
            <v>160</v>
          </cell>
          <cell r="AW358">
            <v>45</v>
          </cell>
          <cell r="AX358">
            <v>215</v>
          </cell>
          <cell r="AY358">
            <v>265</v>
          </cell>
          <cell r="AZ358">
            <v>45</v>
          </cell>
          <cell r="BB358">
            <v>285</v>
          </cell>
          <cell r="BC358">
            <v>420</v>
          </cell>
          <cell r="BD358">
            <v>35</v>
          </cell>
          <cell r="BF358">
            <v>190</v>
          </cell>
          <cell r="BG358">
            <v>125</v>
          </cell>
          <cell r="BH358">
            <v>5</v>
          </cell>
          <cell r="BI358">
            <v>140</v>
          </cell>
          <cell r="BJ358">
            <v>70</v>
          </cell>
          <cell r="BK358">
            <v>255</v>
          </cell>
          <cell r="BL358">
            <v>200</v>
          </cell>
          <cell r="BM358">
            <v>85</v>
          </cell>
          <cell r="BN358">
            <v>260</v>
          </cell>
          <cell r="BO358">
            <v>10</v>
          </cell>
          <cell r="BP358">
            <v>185</v>
          </cell>
          <cell r="BQ358">
            <v>220</v>
          </cell>
          <cell r="BR358">
            <v>155</v>
          </cell>
          <cell r="BS358">
            <v>10</v>
          </cell>
          <cell r="BT358">
            <v>265</v>
          </cell>
          <cell r="BU358">
            <v>235</v>
          </cell>
          <cell r="BW358">
            <v>600</v>
          </cell>
          <cell r="BX358">
            <v>160</v>
          </cell>
          <cell r="CB358">
            <v>220</v>
          </cell>
          <cell r="CG358">
            <v>180</v>
          </cell>
          <cell r="CI358">
            <v>60</v>
          </cell>
          <cell r="CK358">
            <v>80</v>
          </cell>
          <cell r="CL358">
            <v>65</v>
          </cell>
          <cell r="CN358">
            <v>70</v>
          </cell>
          <cell r="CO358">
            <v>85</v>
          </cell>
          <cell r="CP358">
            <v>195</v>
          </cell>
          <cell r="CR358">
            <v>15</v>
          </cell>
          <cell r="DM358">
            <v>635</v>
          </cell>
          <cell r="EE358" t="str">
            <v>SIN USO</v>
          </cell>
          <cell r="EF358" t="str">
            <v>C</v>
          </cell>
          <cell r="EG358">
            <v>540</v>
          </cell>
          <cell r="EH358">
            <v>635</v>
          </cell>
          <cell r="EI358">
            <v>105.83333333333333</v>
          </cell>
          <cell r="EJ358">
            <v>126.23556023033552</v>
          </cell>
          <cell r="EK358">
            <v>0</v>
          </cell>
          <cell r="EL358">
            <v>0</v>
          </cell>
          <cell r="EM358">
            <v>0</v>
          </cell>
          <cell r="EN358">
            <v>211.66666666666666</v>
          </cell>
          <cell r="EO358">
            <v>211.66666666666666</v>
          </cell>
          <cell r="EP358">
            <v>423.33333333333331</v>
          </cell>
        </row>
        <row r="359">
          <cell r="F359">
            <v>405436</v>
          </cell>
          <cell r="G359" t="str">
            <v>PURE DE MANZANA BALDE 4,5 Kg MEL</v>
          </cell>
          <cell r="BB359">
            <v>211.5</v>
          </cell>
          <cell r="BC359">
            <v>698.5</v>
          </cell>
          <cell r="BF359">
            <v>333</v>
          </cell>
          <cell r="BK359">
            <v>477</v>
          </cell>
          <cell r="BL359">
            <v>18</v>
          </cell>
          <cell r="BN359">
            <v>279</v>
          </cell>
          <cell r="BO359">
            <v>409.5</v>
          </cell>
          <cell r="BR359">
            <v>589.5</v>
          </cell>
          <cell r="BT359">
            <v>236.5</v>
          </cell>
          <cell r="BU359">
            <v>198</v>
          </cell>
          <cell r="BV359">
            <v>279</v>
          </cell>
          <cell r="CE359">
            <v>864.5</v>
          </cell>
          <cell r="CF359">
            <v>1228.5</v>
          </cell>
          <cell r="CM359">
            <v>23.5</v>
          </cell>
          <cell r="CN359">
            <v>122.5</v>
          </cell>
          <cell r="CQ359">
            <v>77</v>
          </cell>
          <cell r="CR359">
            <v>95.5</v>
          </cell>
          <cell r="CS359">
            <v>81.5</v>
          </cell>
          <cell r="CT359">
            <v>54</v>
          </cell>
          <cell r="CU359">
            <v>77</v>
          </cell>
          <cell r="CW359">
            <v>4.5</v>
          </cell>
          <cell r="CX359">
            <v>231</v>
          </cell>
          <cell r="CY359">
            <v>180</v>
          </cell>
          <cell r="CZ359">
            <v>213.5</v>
          </cell>
          <cell r="DA359">
            <v>217</v>
          </cell>
          <cell r="DB359">
            <v>213.5</v>
          </cell>
          <cell r="DD359">
            <v>10.5</v>
          </cell>
          <cell r="DG359">
            <v>157</v>
          </cell>
          <cell r="DH359">
            <v>147</v>
          </cell>
          <cell r="DI359">
            <v>36</v>
          </cell>
          <cell r="DJ359">
            <v>360</v>
          </cell>
          <cell r="DK359">
            <v>301</v>
          </cell>
          <cell r="DL359">
            <v>217</v>
          </cell>
          <cell r="DM359">
            <v>220.5</v>
          </cell>
          <cell r="DU359">
            <v>176</v>
          </cell>
          <cell r="DV359">
            <v>77</v>
          </cell>
          <cell r="DW359">
            <v>143.5</v>
          </cell>
          <cell r="DX359">
            <v>207.9</v>
          </cell>
          <cell r="DY359">
            <v>213.5</v>
          </cell>
          <cell r="EE359" t="str">
            <v>ACTIVO</v>
          </cell>
          <cell r="EF359" t="str">
            <v>C</v>
          </cell>
          <cell r="EG359" t="str">
            <v/>
          </cell>
          <cell r="EH359">
            <v>195.24</v>
          </cell>
          <cell r="EI359">
            <v>32.54</v>
          </cell>
          <cell r="EJ359">
            <v>279.26209979983923</v>
          </cell>
          <cell r="EK359">
            <v>427</v>
          </cell>
          <cell r="EL359">
            <v>1037003.66</v>
          </cell>
          <cell r="EM359">
            <v>2.1870518336406475</v>
          </cell>
          <cell r="EN359">
            <v>65.08</v>
          </cell>
          <cell r="EO359">
            <v>65.08</v>
          </cell>
          <cell r="EP359">
            <v>130.16</v>
          </cell>
        </row>
        <row r="360">
          <cell r="F360">
            <v>405306</v>
          </cell>
          <cell r="G360" t="str">
            <v>RELLENO COCO CREAM BAKELS</v>
          </cell>
          <cell r="AV360">
            <v>4.5</v>
          </cell>
          <cell r="AW360">
            <v>27</v>
          </cell>
          <cell r="AX360">
            <v>126</v>
          </cell>
          <cell r="AY360">
            <v>27</v>
          </cell>
          <cell r="AZ360">
            <v>18.5</v>
          </cell>
          <cell r="BA360">
            <v>4</v>
          </cell>
          <cell r="BB360">
            <v>112</v>
          </cell>
          <cell r="BF360">
            <v>117</v>
          </cell>
          <cell r="BH360">
            <v>4.5</v>
          </cell>
          <cell r="BI360">
            <v>45</v>
          </cell>
          <cell r="BJ360">
            <v>31.5</v>
          </cell>
          <cell r="BK360">
            <v>67.5</v>
          </cell>
          <cell r="BL360">
            <v>144</v>
          </cell>
          <cell r="BN360">
            <v>126</v>
          </cell>
          <cell r="BP360">
            <v>99</v>
          </cell>
          <cell r="BQ360">
            <v>27</v>
          </cell>
          <cell r="BR360">
            <v>103.5</v>
          </cell>
          <cell r="BT360">
            <v>153</v>
          </cell>
          <cell r="BU360">
            <v>121.5</v>
          </cell>
          <cell r="BX360">
            <v>175.5</v>
          </cell>
          <cell r="CB360">
            <v>180</v>
          </cell>
          <cell r="CG360">
            <v>103.5</v>
          </cell>
          <cell r="CI360">
            <v>45</v>
          </cell>
          <cell r="CK360">
            <v>49.5</v>
          </cell>
          <cell r="CL360">
            <v>36</v>
          </cell>
          <cell r="CN360">
            <v>40.5</v>
          </cell>
          <cell r="CO360">
            <v>45</v>
          </cell>
          <cell r="CP360">
            <v>135</v>
          </cell>
          <cell r="CR360">
            <v>4.5</v>
          </cell>
          <cell r="EE360" t="str">
            <v>SIN USO</v>
          </cell>
          <cell r="EF360" t="str">
            <v>C</v>
          </cell>
          <cell r="EG360">
            <v>103.5</v>
          </cell>
          <cell r="EH360">
            <v>0</v>
          </cell>
          <cell r="EI360">
            <v>0</v>
          </cell>
          <cell r="EJ360">
            <v>55.47016572640004</v>
          </cell>
          <cell r="EK360">
            <v>0</v>
          </cell>
          <cell r="EL360">
            <v>0</v>
          </cell>
          <cell r="EM360">
            <v>0</v>
          </cell>
          <cell r="EN360">
            <v>0</v>
          </cell>
          <cell r="EO360">
            <v>0</v>
          </cell>
          <cell r="EP360">
            <v>0</v>
          </cell>
        </row>
        <row r="361">
          <cell r="F361">
            <v>107172</v>
          </cell>
          <cell r="G361" t="str">
            <v>MERM. MEL DURAZNO ENT. BALDE 5 Kg</v>
          </cell>
          <cell r="AX361">
            <v>300</v>
          </cell>
          <cell r="BD361">
            <v>600</v>
          </cell>
          <cell r="BJ361">
            <v>565</v>
          </cell>
          <cell r="BV361">
            <v>920</v>
          </cell>
          <cell r="BW361">
            <v>405</v>
          </cell>
          <cell r="BX361">
            <v>930</v>
          </cell>
          <cell r="BY361">
            <v>605</v>
          </cell>
          <cell r="CA361">
            <v>70</v>
          </cell>
          <cell r="CB361">
            <v>1000</v>
          </cell>
          <cell r="CC361">
            <v>30</v>
          </cell>
          <cell r="CD361">
            <v>1390</v>
          </cell>
          <cell r="CF361">
            <v>540</v>
          </cell>
          <cell r="CH361">
            <v>875</v>
          </cell>
          <cell r="CI361">
            <v>1260</v>
          </cell>
          <cell r="CL361">
            <v>1085</v>
          </cell>
          <cell r="CO361">
            <v>550</v>
          </cell>
          <cell r="CP361">
            <v>640</v>
          </cell>
          <cell r="CQ361">
            <v>710</v>
          </cell>
          <cell r="CR361">
            <v>640</v>
          </cell>
          <cell r="CS361">
            <v>370</v>
          </cell>
          <cell r="CT361">
            <v>695</v>
          </cell>
          <cell r="CV361">
            <v>740</v>
          </cell>
          <cell r="CZ361">
            <v>1480</v>
          </cell>
          <cell r="DD361">
            <v>320</v>
          </cell>
          <cell r="DF361">
            <v>965</v>
          </cell>
          <cell r="DH361">
            <v>655</v>
          </cell>
          <cell r="DL361">
            <v>640</v>
          </cell>
          <cell r="DN361">
            <v>640</v>
          </cell>
          <cell r="DO361">
            <v>640</v>
          </cell>
          <cell r="DP361">
            <v>640</v>
          </cell>
          <cell r="DQ361">
            <v>675</v>
          </cell>
          <cell r="DR361">
            <v>640</v>
          </cell>
          <cell r="DU361">
            <v>640</v>
          </cell>
          <cell r="DW361">
            <v>640</v>
          </cell>
          <cell r="DX361">
            <v>660</v>
          </cell>
          <cell r="DZ361">
            <v>690</v>
          </cell>
          <cell r="EC361">
            <v>660</v>
          </cell>
          <cell r="ED361">
            <v>640</v>
          </cell>
          <cell r="EE361" t="str">
            <v>ACTIVO</v>
          </cell>
          <cell r="EF361" t="str">
            <v>B</v>
          </cell>
          <cell r="EG361">
            <v>600</v>
          </cell>
          <cell r="EH361">
            <v>650.5</v>
          </cell>
          <cell r="EI361">
            <v>108.41666666666667</v>
          </cell>
          <cell r="EJ361">
            <v>366.76217464949031</v>
          </cell>
          <cell r="EK361">
            <v>685</v>
          </cell>
          <cell r="EL361">
            <v>1382487.55</v>
          </cell>
          <cell r="EM361">
            <v>1.0530361260568792</v>
          </cell>
          <cell r="EN361">
            <v>216.83333333333334</v>
          </cell>
          <cell r="EO361">
            <v>216.83333333333334</v>
          </cell>
          <cell r="EP361">
            <v>433.66666666666669</v>
          </cell>
        </row>
        <row r="362">
          <cell r="F362">
            <v>405447</v>
          </cell>
          <cell r="G362" t="str">
            <v>MERM. LAMARKA MARACUYA BALDE 5 Kg</v>
          </cell>
          <cell r="BA362">
            <v>20</v>
          </cell>
          <cell r="BB362">
            <v>40</v>
          </cell>
          <cell r="BC362">
            <v>25</v>
          </cell>
          <cell r="BD362">
            <v>75</v>
          </cell>
          <cell r="BE362">
            <v>50</v>
          </cell>
          <cell r="BF362">
            <v>35</v>
          </cell>
          <cell r="BH362">
            <v>10</v>
          </cell>
          <cell r="BI362">
            <v>50</v>
          </cell>
          <cell r="BJ362">
            <v>34.5</v>
          </cell>
          <cell r="BK362">
            <v>85</v>
          </cell>
          <cell r="BL362">
            <v>70</v>
          </cell>
          <cell r="BM362">
            <v>50</v>
          </cell>
          <cell r="BN362">
            <v>30</v>
          </cell>
          <cell r="BO362">
            <v>30</v>
          </cell>
          <cell r="BP362">
            <v>35</v>
          </cell>
          <cell r="BQ362">
            <v>30</v>
          </cell>
          <cell r="BR362">
            <v>50</v>
          </cell>
          <cell r="BS362">
            <v>30</v>
          </cell>
          <cell r="BT362">
            <v>30</v>
          </cell>
          <cell r="BU362">
            <v>30</v>
          </cell>
          <cell r="BV362">
            <v>40</v>
          </cell>
          <cell r="BW362">
            <v>50</v>
          </cell>
          <cell r="BX362">
            <v>30</v>
          </cell>
          <cell r="BY362">
            <v>30</v>
          </cell>
          <cell r="BZ362">
            <v>5</v>
          </cell>
          <cell r="CA362">
            <v>40</v>
          </cell>
          <cell r="CB362">
            <v>30</v>
          </cell>
          <cell r="CC362">
            <v>30</v>
          </cell>
          <cell r="CD362">
            <v>35</v>
          </cell>
          <cell r="CE362">
            <v>25</v>
          </cell>
          <cell r="CF362">
            <v>30</v>
          </cell>
          <cell r="CG362">
            <v>30</v>
          </cell>
          <cell r="CH362">
            <v>30</v>
          </cell>
          <cell r="CI362">
            <v>40</v>
          </cell>
          <cell r="CJ362">
            <v>50</v>
          </cell>
          <cell r="CK362">
            <v>35</v>
          </cell>
          <cell r="CL362">
            <v>30</v>
          </cell>
          <cell r="CM362">
            <v>30</v>
          </cell>
          <cell r="CN362">
            <v>30</v>
          </cell>
          <cell r="CO362">
            <v>30</v>
          </cell>
          <cell r="CP362">
            <v>30</v>
          </cell>
          <cell r="CQ362">
            <v>30</v>
          </cell>
          <cell r="CR362">
            <v>30</v>
          </cell>
          <cell r="CS362">
            <v>10</v>
          </cell>
          <cell r="CT362">
            <v>20</v>
          </cell>
          <cell r="EE362" t="str">
            <v>ACTIVO</v>
          </cell>
          <cell r="EF362" t="str">
            <v>C</v>
          </cell>
          <cell r="EG362">
            <v>540</v>
          </cell>
          <cell r="EH362">
            <v>0</v>
          </cell>
          <cell r="EI362">
            <v>0</v>
          </cell>
          <cell r="EJ362">
            <v>14.397000268602591</v>
          </cell>
          <cell r="EK362">
            <v>560</v>
          </cell>
          <cell r="EL362">
            <v>1639752.8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</row>
        <row r="363">
          <cell r="F363">
            <v>107263</v>
          </cell>
          <cell r="G363" t="str">
            <v>RELLENO SABOR VAINILLA PURATOS</v>
          </cell>
          <cell r="H363">
            <v>198</v>
          </cell>
          <cell r="BD363">
            <v>99</v>
          </cell>
          <cell r="BF363">
            <v>288</v>
          </cell>
          <cell r="BM363">
            <v>90</v>
          </cell>
          <cell r="BN363">
            <v>328.5</v>
          </cell>
          <cell r="BO363">
            <v>198</v>
          </cell>
          <cell r="BT363">
            <v>90</v>
          </cell>
          <cell r="BU363">
            <v>90</v>
          </cell>
          <cell r="BV363">
            <v>90</v>
          </cell>
          <cell r="BW363">
            <v>279</v>
          </cell>
          <cell r="CD363">
            <v>310</v>
          </cell>
          <cell r="EE363" t="str">
            <v>SIN USO</v>
          </cell>
          <cell r="EF363" t="str">
            <v>C</v>
          </cell>
          <cell r="EG363" t="str">
            <v/>
          </cell>
          <cell r="EH363">
            <v>0</v>
          </cell>
          <cell r="EI363">
            <v>0</v>
          </cell>
          <cell r="EJ363">
            <v>107.78266409108392</v>
          </cell>
          <cell r="EK363">
            <v>0</v>
          </cell>
          <cell r="EL363">
            <v>0</v>
          </cell>
          <cell r="EM363">
            <v>0</v>
          </cell>
          <cell r="EN363">
            <v>0</v>
          </cell>
          <cell r="EO363">
            <v>0</v>
          </cell>
          <cell r="EP363">
            <v>0</v>
          </cell>
        </row>
        <row r="364">
          <cell r="F364">
            <v>107155</v>
          </cell>
          <cell r="G364" t="str">
            <v>MER. EBEL PIÑA BALDE 5 Kg</v>
          </cell>
          <cell r="BK364">
            <v>80</v>
          </cell>
          <cell r="BP364">
            <v>5</v>
          </cell>
          <cell r="BQ364">
            <v>10</v>
          </cell>
          <cell r="BT364">
            <v>50</v>
          </cell>
          <cell r="BU364">
            <v>15</v>
          </cell>
          <cell r="BW364">
            <v>5</v>
          </cell>
          <cell r="BX364">
            <v>75</v>
          </cell>
          <cell r="BZ364">
            <v>10</v>
          </cell>
          <cell r="CB364">
            <v>50</v>
          </cell>
          <cell r="CE364">
            <v>10</v>
          </cell>
          <cell r="CG364">
            <v>420</v>
          </cell>
          <cell r="CI364">
            <v>20</v>
          </cell>
          <cell r="CJ364">
            <v>470</v>
          </cell>
          <cell r="EE364" t="str">
            <v>SIN USO</v>
          </cell>
          <cell r="EF364" t="str">
            <v>C</v>
          </cell>
          <cell r="EG364">
            <v>600</v>
          </cell>
          <cell r="EH364">
            <v>0</v>
          </cell>
          <cell r="EI364">
            <v>0</v>
          </cell>
          <cell r="EJ364">
            <v>158.32658555121969</v>
          </cell>
          <cell r="EK364">
            <v>0</v>
          </cell>
          <cell r="EL364">
            <v>0</v>
          </cell>
          <cell r="EM364">
            <v>0</v>
          </cell>
          <cell r="EN364">
            <v>0</v>
          </cell>
          <cell r="EO364">
            <v>0</v>
          </cell>
          <cell r="EP364">
            <v>0</v>
          </cell>
        </row>
        <row r="365">
          <cell r="F365">
            <v>107320</v>
          </cell>
          <cell r="G365" t="str">
            <v>COLDFIL PIE DE LIMÓN</v>
          </cell>
          <cell r="DF365">
            <v>0</v>
          </cell>
          <cell r="DK365">
            <v>211.5</v>
          </cell>
          <cell r="DL365">
            <v>40.5</v>
          </cell>
          <cell r="DM365">
            <v>225</v>
          </cell>
          <cell r="DO365">
            <v>94.5</v>
          </cell>
          <cell r="DS365">
            <v>283.5</v>
          </cell>
          <cell r="DU365">
            <v>81</v>
          </cell>
          <cell r="DW365">
            <v>234</v>
          </cell>
          <cell r="DX365">
            <v>184.5</v>
          </cell>
          <cell r="DY365">
            <v>162</v>
          </cell>
          <cell r="EC365">
            <v>540</v>
          </cell>
          <cell r="EE365" t="str">
            <v>ACTIVO</v>
          </cell>
          <cell r="EF365" t="str">
            <v>C</v>
          </cell>
          <cell r="EG365" t="str">
            <v/>
          </cell>
          <cell r="EH365">
            <v>168.5</v>
          </cell>
          <cell r="EI365">
            <v>28.083333333333332</v>
          </cell>
          <cell r="EJ365">
            <v>0</v>
          </cell>
          <cell r="EK365">
            <v>229.5</v>
          </cell>
          <cell r="EL365">
            <v>716499</v>
          </cell>
          <cell r="EM365">
            <v>1.3620178041543027</v>
          </cell>
          <cell r="EN365">
            <v>84.25</v>
          </cell>
          <cell r="EO365">
            <v>56.166666666666664</v>
          </cell>
          <cell r="EP365">
            <v>140.41666666666666</v>
          </cell>
        </row>
        <row r="366">
          <cell r="F366">
            <v>107246</v>
          </cell>
          <cell r="G366" t="str">
            <v>SALSA DE FRAMBUESA MEL</v>
          </cell>
          <cell r="DF366">
            <v>0</v>
          </cell>
          <cell r="DR366">
            <v>20</v>
          </cell>
          <cell r="DS366">
            <v>40</v>
          </cell>
          <cell r="DT366">
            <v>55</v>
          </cell>
          <cell r="DU366">
            <v>45</v>
          </cell>
          <cell r="DV366">
            <v>45</v>
          </cell>
          <cell r="DW366">
            <v>45</v>
          </cell>
          <cell r="DX366">
            <v>45</v>
          </cell>
          <cell r="DY366">
            <v>85</v>
          </cell>
          <cell r="DZ366">
            <v>70</v>
          </cell>
          <cell r="EA366">
            <v>105</v>
          </cell>
          <cell r="EB366">
            <v>50</v>
          </cell>
          <cell r="EC366">
            <v>35</v>
          </cell>
          <cell r="ED366">
            <v>45</v>
          </cell>
          <cell r="EE366" t="str">
            <v>ACTIVO</v>
          </cell>
          <cell r="EF366" t="str">
            <v>C</v>
          </cell>
          <cell r="EH366">
            <v>50</v>
          </cell>
          <cell r="EI366">
            <v>8.3333333333333339</v>
          </cell>
          <cell r="EJ366">
            <v>0</v>
          </cell>
          <cell r="EK366">
            <v>450</v>
          </cell>
          <cell r="EL366">
            <v>1950300</v>
          </cell>
          <cell r="EM366">
            <v>9</v>
          </cell>
          <cell r="EN366">
            <v>16.666666666666668</v>
          </cell>
          <cell r="EO366">
            <v>16.666666666666668</v>
          </cell>
          <cell r="EP366">
            <v>33.333333333333336</v>
          </cell>
        </row>
        <row r="367">
          <cell r="H367">
            <v>8969</v>
          </cell>
          <cell r="I367">
            <v>8020.5</v>
          </cell>
          <cell r="J367">
            <v>7399.5</v>
          </cell>
          <cell r="K367">
            <v>7428</v>
          </cell>
          <cell r="L367">
            <v>7895</v>
          </cell>
          <cell r="M367">
            <v>8658.5</v>
          </cell>
          <cell r="N367">
            <v>7613</v>
          </cell>
          <cell r="O367">
            <v>7291.5</v>
          </cell>
          <cell r="P367">
            <v>6712</v>
          </cell>
          <cell r="Q367">
            <v>7482.5</v>
          </cell>
          <cell r="R367">
            <v>8515.5</v>
          </cell>
          <cell r="S367">
            <v>5550</v>
          </cell>
          <cell r="T367">
            <v>6206</v>
          </cell>
          <cell r="U367">
            <v>8556</v>
          </cell>
          <cell r="V367">
            <v>9606</v>
          </cell>
          <cell r="W367">
            <v>7833</v>
          </cell>
          <cell r="X367">
            <v>9482</v>
          </cell>
          <cell r="Y367">
            <v>8809.5</v>
          </cell>
          <cell r="Z367">
            <v>9886</v>
          </cell>
          <cell r="AA367">
            <v>8276</v>
          </cell>
          <cell r="AB367">
            <v>9704.5</v>
          </cell>
          <cell r="AC367">
            <v>10505.5</v>
          </cell>
          <cell r="AD367">
            <v>15230.5</v>
          </cell>
          <cell r="AE367">
            <v>15654.5</v>
          </cell>
          <cell r="AF367">
            <v>10375.5</v>
          </cell>
          <cell r="AG367">
            <v>12802</v>
          </cell>
          <cell r="AH367">
            <v>10613.5</v>
          </cell>
          <cell r="AI367">
            <v>11579.5</v>
          </cell>
          <cell r="AJ367">
            <v>14406</v>
          </cell>
          <cell r="AK367">
            <v>13441.5</v>
          </cell>
          <cell r="AL367">
            <v>11406.33</v>
          </cell>
          <cell r="AM367">
            <v>12414</v>
          </cell>
          <cell r="AN367">
            <v>11309.5</v>
          </cell>
          <cell r="AO367">
            <v>11040.5</v>
          </cell>
          <cell r="AP367">
            <v>10963.5</v>
          </cell>
          <cell r="AQ367">
            <v>11588.5</v>
          </cell>
          <cell r="AR367">
            <v>11829</v>
          </cell>
          <cell r="AS367">
            <v>4899</v>
          </cell>
          <cell r="AT367">
            <v>11405.5</v>
          </cell>
          <cell r="AU367">
            <v>11133.76</v>
          </cell>
          <cell r="AV367">
            <v>11101.5</v>
          </cell>
          <cell r="AW367">
            <v>8802.5</v>
          </cell>
          <cell r="AX367">
            <v>15797</v>
          </cell>
          <cell r="AY367">
            <v>9858.2000000000007</v>
          </cell>
          <cell r="AZ367">
            <v>12162</v>
          </cell>
          <cell r="BA367">
            <v>14704</v>
          </cell>
          <cell r="BB367">
            <v>11759.5</v>
          </cell>
          <cell r="BC367">
            <v>14216.5</v>
          </cell>
          <cell r="BD367">
            <v>11567.5</v>
          </cell>
          <cell r="BE367">
            <v>12958.2</v>
          </cell>
          <cell r="BF367">
            <v>13864.5</v>
          </cell>
          <cell r="BG367">
            <v>10113</v>
          </cell>
          <cell r="BH367">
            <v>4848</v>
          </cell>
          <cell r="BI367">
            <v>13093.5</v>
          </cell>
          <cell r="BJ367">
            <v>11715</v>
          </cell>
          <cell r="BK367">
            <v>12020</v>
          </cell>
          <cell r="BL367">
            <v>13820.5</v>
          </cell>
          <cell r="BM367">
            <v>12167.5</v>
          </cell>
          <cell r="BN367">
            <v>12963</v>
          </cell>
          <cell r="BO367">
            <v>14006.5</v>
          </cell>
          <cell r="BP367">
            <v>9927</v>
          </cell>
          <cell r="BQ367">
            <v>13771</v>
          </cell>
          <cell r="BR367">
            <v>14344</v>
          </cell>
          <cell r="BS367">
            <v>13361.5</v>
          </cell>
          <cell r="BT367">
            <v>13195</v>
          </cell>
          <cell r="BU367">
            <v>13645.5</v>
          </cell>
          <cell r="BV367">
            <v>12692.3</v>
          </cell>
          <cell r="BW367">
            <v>14487</v>
          </cell>
          <cell r="BX367">
            <v>13370</v>
          </cell>
          <cell r="BY367">
            <v>14598</v>
          </cell>
          <cell r="BZ367">
            <v>12667</v>
          </cell>
          <cell r="CA367">
            <v>12417.5</v>
          </cell>
          <cell r="CB367">
            <v>13929.5</v>
          </cell>
          <cell r="CC367">
            <v>13796.5</v>
          </cell>
          <cell r="CD367">
            <v>12690.5</v>
          </cell>
          <cell r="CE367">
            <v>15211</v>
          </cell>
          <cell r="CF367">
            <v>12065.5</v>
          </cell>
          <cell r="CG367">
            <v>13941.5</v>
          </cell>
          <cell r="CH367">
            <v>12423.5</v>
          </cell>
          <cell r="CI367">
            <v>12398</v>
          </cell>
          <cell r="CJ367">
            <v>13223.5</v>
          </cell>
          <cell r="CK367">
            <v>11989</v>
          </cell>
          <cell r="CL367">
            <v>12558.5</v>
          </cell>
          <cell r="CM367">
            <v>10346</v>
          </cell>
          <cell r="CN367">
            <v>13127</v>
          </cell>
          <cell r="CO367">
            <v>13233</v>
          </cell>
          <cell r="CP367">
            <v>16737</v>
          </cell>
          <cell r="CQ367">
            <v>13869.500000000002</v>
          </cell>
          <cell r="CR367">
            <v>14727</v>
          </cell>
          <cell r="CS367">
            <v>6922</v>
          </cell>
          <cell r="CT367">
            <v>13135.9</v>
          </cell>
          <cell r="CU367">
            <v>13221</v>
          </cell>
          <cell r="CV367">
            <v>13904.5</v>
          </cell>
          <cell r="CW367">
            <v>13432</v>
          </cell>
          <cell r="CX367">
            <v>13533</v>
          </cell>
          <cell r="CY367">
            <v>10925.5</v>
          </cell>
          <cell r="CZ367">
            <v>13291.5</v>
          </cell>
          <cell r="DA367">
            <v>11952.5</v>
          </cell>
          <cell r="DB367">
            <v>19499</v>
          </cell>
          <cell r="DC367">
            <v>11387.5</v>
          </cell>
          <cell r="DD367">
            <v>11011.5</v>
          </cell>
          <cell r="DE367">
            <v>9843.7000000000007</v>
          </cell>
          <cell r="DF367">
            <v>14728.5</v>
          </cell>
          <cell r="DG367">
            <v>10047.5</v>
          </cell>
          <cell r="DH367">
            <v>6560</v>
          </cell>
          <cell r="DI367">
            <v>2657.5</v>
          </cell>
          <cell r="DJ367">
            <v>12107.5</v>
          </cell>
          <cell r="DK367">
            <v>13450.5</v>
          </cell>
          <cell r="DL367">
            <v>14005.83</v>
          </cell>
          <cell r="DM367">
            <v>12708</v>
          </cell>
          <cell r="DN367">
            <v>12327</v>
          </cell>
          <cell r="DO367">
            <v>13440.5</v>
          </cell>
          <cell r="DP367">
            <v>11077.5</v>
          </cell>
          <cell r="DQ367">
            <v>10561.2</v>
          </cell>
          <cell r="DR367">
            <v>12693</v>
          </cell>
          <cell r="DS367">
            <v>11265.5</v>
          </cell>
          <cell r="DT367">
            <v>11866</v>
          </cell>
          <cell r="DU367">
            <v>14173</v>
          </cell>
          <cell r="DV367">
            <v>12059</v>
          </cell>
          <cell r="DW367">
            <v>13798</v>
          </cell>
          <cell r="DX367">
            <v>16207.4</v>
          </cell>
          <cell r="DY367">
            <v>19142</v>
          </cell>
          <cell r="DZ367">
            <v>16985</v>
          </cell>
          <cell r="EA367">
            <v>12353.4</v>
          </cell>
          <cell r="EB367">
            <v>15587</v>
          </cell>
          <cell r="EC367">
            <v>15219.5</v>
          </cell>
          <cell r="ED367">
            <v>13512</v>
          </cell>
          <cell r="EE367" t="str">
            <v>ACTIVO</v>
          </cell>
          <cell r="EF367" t="str">
            <v/>
          </cell>
          <cell r="EG367" t="str">
            <v/>
          </cell>
          <cell r="EH367">
            <v>12806.912777777778</v>
          </cell>
          <cell r="EI367">
            <v>2134.4854629629631</v>
          </cell>
          <cell r="EJ367">
            <v>2300.0895160894788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4268.9709259259262</v>
          </cell>
          <cell r="EP367">
            <v>4268.9709259259262</v>
          </cell>
        </row>
        <row r="368">
          <cell r="F368">
            <v>100302</v>
          </cell>
          <cell r="G368" t="str">
            <v>JARABE REMOJO SISA DIWATTS</v>
          </cell>
          <cell r="H368">
            <v>250</v>
          </cell>
          <cell r="T368">
            <v>310</v>
          </cell>
          <cell r="U368">
            <v>941</v>
          </cell>
          <cell r="V368">
            <v>1465</v>
          </cell>
          <cell r="W368">
            <v>425</v>
          </cell>
          <cell r="X368">
            <v>1040</v>
          </cell>
          <cell r="Y368">
            <v>2365</v>
          </cell>
          <cell r="Z368">
            <v>826.000001</v>
          </cell>
          <cell r="AA368">
            <v>1085</v>
          </cell>
          <cell r="AB368">
            <v>1150</v>
          </cell>
          <cell r="AD368">
            <v>2019</v>
          </cell>
          <cell r="AE368">
            <v>936</v>
          </cell>
          <cell r="AF368">
            <v>735</v>
          </cell>
          <cell r="AG368">
            <v>1189</v>
          </cell>
          <cell r="AH368">
            <v>1025</v>
          </cell>
          <cell r="AI368">
            <v>245</v>
          </cell>
          <cell r="AJ368">
            <v>350</v>
          </cell>
          <cell r="AK368">
            <v>1720</v>
          </cell>
          <cell r="AL368">
            <v>2222</v>
          </cell>
          <cell r="AM368">
            <v>1300</v>
          </cell>
          <cell r="AN368">
            <v>585</v>
          </cell>
          <cell r="AO368">
            <v>845</v>
          </cell>
          <cell r="AP368">
            <v>4460</v>
          </cell>
          <cell r="AQ368">
            <v>1630</v>
          </cell>
          <cell r="AR368">
            <v>1505</v>
          </cell>
          <cell r="AS368">
            <v>985</v>
          </cell>
          <cell r="AT368">
            <v>1065</v>
          </cell>
          <cell r="AU368">
            <v>1215</v>
          </cell>
          <cell r="AV368">
            <v>1055</v>
          </cell>
          <cell r="AW368">
            <v>1010</v>
          </cell>
          <cell r="AX368">
            <v>1255</v>
          </cell>
          <cell r="AY368">
            <v>975</v>
          </cell>
          <cell r="AZ368">
            <v>825</v>
          </cell>
          <cell r="BA368">
            <v>1125</v>
          </cell>
          <cell r="BB368">
            <v>990</v>
          </cell>
          <cell r="BC368">
            <v>1005</v>
          </cell>
          <cell r="BD368">
            <v>950</v>
          </cell>
          <cell r="BE368">
            <v>885</v>
          </cell>
          <cell r="BF368">
            <v>1430</v>
          </cell>
          <cell r="BG368">
            <v>1355</v>
          </cell>
          <cell r="BH368">
            <v>575</v>
          </cell>
          <cell r="BI368">
            <v>990</v>
          </cell>
          <cell r="BJ368">
            <v>820</v>
          </cell>
          <cell r="BK368">
            <v>1100</v>
          </cell>
          <cell r="BL368">
            <v>1050</v>
          </cell>
          <cell r="BM368">
            <v>1065</v>
          </cell>
          <cell r="BN368">
            <v>1155</v>
          </cell>
          <cell r="BO368">
            <v>1240</v>
          </cell>
          <cell r="BP368">
            <v>1035</v>
          </cell>
          <cell r="BQ368">
            <v>1095</v>
          </cell>
          <cell r="BR368">
            <v>910</v>
          </cell>
          <cell r="BS368">
            <v>980</v>
          </cell>
          <cell r="BT368">
            <v>765</v>
          </cell>
          <cell r="BU368">
            <v>938</v>
          </cell>
          <cell r="BV368">
            <v>730</v>
          </cell>
          <cell r="BW368">
            <v>1195</v>
          </cell>
          <cell r="BX368">
            <v>1100</v>
          </cell>
          <cell r="BY368">
            <v>1535</v>
          </cell>
          <cell r="BZ368">
            <v>1525</v>
          </cell>
          <cell r="CA368">
            <v>1260</v>
          </cell>
          <cell r="CB368">
            <v>830</v>
          </cell>
          <cell r="CC368">
            <v>775</v>
          </cell>
          <cell r="CD368">
            <v>1070</v>
          </cell>
          <cell r="CE368">
            <v>1770</v>
          </cell>
          <cell r="CF368">
            <v>1080</v>
          </cell>
          <cell r="CG368">
            <v>770</v>
          </cell>
          <cell r="CH368">
            <v>1235</v>
          </cell>
          <cell r="CI368">
            <v>830</v>
          </cell>
          <cell r="CJ368">
            <v>775</v>
          </cell>
          <cell r="CK368">
            <v>945</v>
          </cell>
          <cell r="CL368">
            <v>805</v>
          </cell>
          <cell r="CM368">
            <v>1455</v>
          </cell>
          <cell r="CN368">
            <v>1300</v>
          </cell>
          <cell r="CO368">
            <v>1165</v>
          </cell>
          <cell r="CP368">
            <v>1070</v>
          </cell>
          <cell r="CQ368">
            <v>1075</v>
          </cell>
          <cell r="CR368">
            <v>160</v>
          </cell>
          <cell r="CT368">
            <v>30</v>
          </cell>
          <cell r="CU368">
            <v>3390</v>
          </cell>
          <cell r="EE368" t="str">
            <v>SIN USO</v>
          </cell>
          <cell r="EF368" t="str">
            <v>B</v>
          </cell>
          <cell r="EG368">
            <v>720</v>
          </cell>
          <cell r="EH368">
            <v>0</v>
          </cell>
          <cell r="EI368">
            <v>0</v>
          </cell>
          <cell r="EJ368">
            <v>501.91915221241044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</row>
        <row r="369">
          <cell r="F369">
            <v>501147</v>
          </cell>
          <cell r="G369" t="str">
            <v>JARABE DE REMOJO 35° BIDON</v>
          </cell>
          <cell r="W369">
            <v>800</v>
          </cell>
          <cell r="AC369">
            <v>1155</v>
          </cell>
          <cell r="AD369">
            <v>481</v>
          </cell>
          <cell r="AE369">
            <v>49</v>
          </cell>
          <cell r="AF369">
            <v>470</v>
          </cell>
          <cell r="AG369">
            <v>81</v>
          </cell>
          <cell r="AH369">
            <v>315</v>
          </cell>
          <cell r="AI369">
            <v>1280</v>
          </cell>
          <cell r="AJ369">
            <v>965</v>
          </cell>
          <cell r="AN369">
            <v>580</v>
          </cell>
          <cell r="AO369">
            <v>135</v>
          </cell>
          <cell r="EE369" t="str">
            <v>SIN USO</v>
          </cell>
          <cell r="EF369" t="str">
            <v/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</row>
        <row r="370">
          <cell r="F370">
            <v>100304</v>
          </cell>
          <cell r="G370" t="str">
            <v>JARABE 3 LECHES DIWATTS</v>
          </cell>
          <cell r="J370">
            <v>390</v>
          </cell>
          <cell r="K370">
            <v>2183</v>
          </cell>
          <cell r="L370">
            <v>336</v>
          </cell>
          <cell r="BD370">
            <v>1970</v>
          </cell>
          <cell r="BE370">
            <v>838</v>
          </cell>
          <cell r="BG370">
            <v>794</v>
          </cell>
          <cell r="BW370">
            <v>168</v>
          </cell>
          <cell r="BY370">
            <v>530</v>
          </cell>
          <cell r="BZ370">
            <v>30.5</v>
          </cell>
          <cell r="EE370" t="str">
            <v>SIN USO</v>
          </cell>
          <cell r="EF370" t="str">
            <v>C</v>
          </cell>
          <cell r="EG370" t="str">
            <v/>
          </cell>
          <cell r="EH370">
            <v>0</v>
          </cell>
          <cell r="EI370">
            <v>0</v>
          </cell>
          <cell r="EJ370">
            <v>258.02147843412831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</row>
        <row r="371">
          <cell r="F371">
            <v>107259</v>
          </cell>
          <cell r="G371" t="str">
            <v>JARABE 3 LECHES SCHOLLE 10LT DIWATTS</v>
          </cell>
          <cell r="H371">
            <v>2990</v>
          </cell>
          <cell r="I371">
            <v>2950</v>
          </cell>
          <cell r="J371">
            <v>2550</v>
          </cell>
          <cell r="K371">
            <v>357.827316</v>
          </cell>
          <cell r="L371">
            <v>2630</v>
          </cell>
          <cell r="M371">
            <v>3510</v>
          </cell>
          <cell r="N371">
            <v>2650</v>
          </cell>
          <cell r="O371">
            <v>2590</v>
          </cell>
          <cell r="P371">
            <v>2350</v>
          </cell>
          <cell r="Q371">
            <v>2500</v>
          </cell>
          <cell r="R371">
            <v>2940</v>
          </cell>
          <cell r="S371">
            <v>2480</v>
          </cell>
          <cell r="T371">
            <v>2340</v>
          </cell>
          <cell r="U371">
            <v>2580</v>
          </cell>
          <cell r="V371">
            <v>2540</v>
          </cell>
          <cell r="W371">
            <v>2470</v>
          </cell>
          <cell r="X371">
            <v>2520</v>
          </cell>
          <cell r="Y371">
            <v>3380</v>
          </cell>
          <cell r="Z371">
            <v>6480</v>
          </cell>
          <cell r="AA371">
            <v>2420</v>
          </cell>
          <cell r="AB371">
            <v>2570</v>
          </cell>
          <cell r="AC371">
            <v>2450</v>
          </cell>
          <cell r="AD371">
            <v>2470</v>
          </cell>
          <cell r="AE371">
            <v>5070</v>
          </cell>
          <cell r="AF371">
            <v>2560</v>
          </cell>
          <cell r="AG371">
            <v>2770</v>
          </cell>
          <cell r="AH371">
            <v>2750</v>
          </cell>
          <cell r="AI371">
            <v>2930</v>
          </cell>
          <cell r="AJ371">
            <v>3180</v>
          </cell>
          <cell r="AK371">
            <v>2800</v>
          </cell>
          <cell r="AL371">
            <v>2390</v>
          </cell>
          <cell r="AM371">
            <v>4410</v>
          </cell>
          <cell r="AN371">
            <v>2190</v>
          </cell>
          <cell r="AO371">
            <v>2130</v>
          </cell>
          <cell r="AP371">
            <v>2380</v>
          </cell>
          <cell r="AQ371">
            <v>2340</v>
          </cell>
          <cell r="AR371">
            <v>2670</v>
          </cell>
          <cell r="AS371">
            <v>800</v>
          </cell>
          <cell r="AT371">
            <v>2580</v>
          </cell>
          <cell r="AU371">
            <v>2330</v>
          </cell>
          <cell r="AV371">
            <v>2131</v>
          </cell>
          <cell r="AW371">
            <v>2120</v>
          </cell>
          <cell r="AX371">
            <v>2140</v>
          </cell>
          <cell r="AY371">
            <v>2010</v>
          </cell>
          <cell r="AZ371">
            <v>2260</v>
          </cell>
          <cell r="BA371">
            <v>2420</v>
          </cell>
          <cell r="BB371">
            <v>1970</v>
          </cell>
          <cell r="BC371">
            <v>1980</v>
          </cell>
          <cell r="BD371">
            <v>290</v>
          </cell>
          <cell r="BE371">
            <v>1652</v>
          </cell>
          <cell r="BF371">
            <v>3180</v>
          </cell>
          <cell r="BG371">
            <v>3016</v>
          </cell>
          <cell r="BH371">
            <v>1420</v>
          </cell>
          <cell r="BI371">
            <v>2040</v>
          </cell>
          <cell r="BJ371">
            <v>1690</v>
          </cell>
          <cell r="BK371">
            <v>2520</v>
          </cell>
          <cell r="BL371">
            <v>2310</v>
          </cell>
          <cell r="BM371">
            <v>2200</v>
          </cell>
          <cell r="BN371">
            <v>2750</v>
          </cell>
          <cell r="BO371">
            <v>1990</v>
          </cell>
          <cell r="BP371">
            <v>2150</v>
          </cell>
          <cell r="BQ371">
            <v>1950</v>
          </cell>
          <cell r="BR371">
            <v>2360</v>
          </cell>
          <cell r="BS371">
            <v>1920</v>
          </cell>
          <cell r="BT371">
            <v>2060</v>
          </cell>
          <cell r="BU371">
            <v>2120</v>
          </cell>
          <cell r="BV371">
            <v>2050</v>
          </cell>
          <cell r="BW371">
            <v>2092</v>
          </cell>
          <cell r="BX371">
            <v>2170</v>
          </cell>
          <cell r="BY371">
            <v>2740</v>
          </cell>
          <cell r="BZ371">
            <v>4640</v>
          </cell>
          <cell r="CA371">
            <v>2120</v>
          </cell>
          <cell r="CB371">
            <v>2240</v>
          </cell>
          <cell r="CC371">
            <v>2350</v>
          </cell>
          <cell r="CD371">
            <v>2285</v>
          </cell>
          <cell r="CE371">
            <v>3530</v>
          </cell>
          <cell r="CF371">
            <v>1580</v>
          </cell>
          <cell r="CG371">
            <v>1830</v>
          </cell>
          <cell r="CH371">
            <v>1860</v>
          </cell>
          <cell r="CI371">
            <v>2080</v>
          </cell>
          <cell r="CJ371">
            <v>1870</v>
          </cell>
          <cell r="CK371">
            <v>1930</v>
          </cell>
          <cell r="CL371">
            <v>1800</v>
          </cell>
          <cell r="CM371">
            <v>1770</v>
          </cell>
          <cell r="CN371">
            <v>3490</v>
          </cell>
          <cell r="CO371">
            <v>2270</v>
          </cell>
          <cell r="CP371">
            <v>2260</v>
          </cell>
          <cell r="CQ371">
            <v>1850</v>
          </cell>
          <cell r="CR371">
            <v>1950</v>
          </cell>
          <cell r="CS371">
            <v>410</v>
          </cell>
          <cell r="CT371">
            <v>2170</v>
          </cell>
          <cell r="CU371">
            <v>1990</v>
          </cell>
          <cell r="CV371">
            <v>1980</v>
          </cell>
          <cell r="CW371">
            <v>1760</v>
          </cell>
          <cell r="CX371">
            <v>1760</v>
          </cell>
          <cell r="CY371">
            <v>1890</v>
          </cell>
          <cell r="CZ371">
            <v>1680</v>
          </cell>
          <cell r="DA371">
            <v>1800</v>
          </cell>
          <cell r="DB371">
            <v>1410</v>
          </cell>
          <cell r="DC371">
            <v>1720</v>
          </cell>
          <cell r="DD371">
            <v>1380</v>
          </cell>
          <cell r="DE371">
            <v>970</v>
          </cell>
          <cell r="DF371">
            <v>1770</v>
          </cell>
          <cell r="DG371">
            <v>1290</v>
          </cell>
          <cell r="DH371">
            <v>690</v>
          </cell>
          <cell r="DI371">
            <v>430</v>
          </cell>
          <cell r="DJ371">
            <v>1070</v>
          </cell>
          <cell r="DK371">
            <v>990</v>
          </cell>
          <cell r="DL371">
            <v>930</v>
          </cell>
          <cell r="DM371">
            <v>970</v>
          </cell>
          <cell r="DN371">
            <v>930</v>
          </cell>
          <cell r="DO371">
            <v>1590</v>
          </cell>
          <cell r="DP371">
            <v>880</v>
          </cell>
          <cell r="DQ371">
            <v>910</v>
          </cell>
          <cell r="DR371">
            <v>990</v>
          </cell>
          <cell r="DS371">
            <v>1120</v>
          </cell>
          <cell r="DT371">
            <v>990</v>
          </cell>
          <cell r="DU371">
            <v>1050</v>
          </cell>
          <cell r="DV371">
            <v>1050</v>
          </cell>
          <cell r="DW371">
            <v>1020</v>
          </cell>
          <cell r="DX371">
            <v>940</v>
          </cell>
          <cell r="DY371">
            <v>1040</v>
          </cell>
          <cell r="DZ371">
            <v>1360</v>
          </cell>
          <cell r="EA371">
            <v>1980</v>
          </cell>
          <cell r="EB371">
            <v>1180</v>
          </cell>
          <cell r="EC371">
            <v>1180</v>
          </cell>
          <cell r="ED371">
            <v>1161.53</v>
          </cell>
          <cell r="EE371" t="str">
            <v>ACTIVO</v>
          </cell>
          <cell r="EF371" t="str">
            <v>A</v>
          </cell>
          <cell r="EG371">
            <v>900</v>
          </cell>
          <cell r="EH371">
            <v>1014.4444444444445</v>
          </cell>
          <cell r="EI371">
            <v>169.07407407407408</v>
          </cell>
          <cell r="EJ371">
            <v>642.17280385774166</v>
          </cell>
          <cell r="EK371">
            <v>2098.4699999999998</v>
          </cell>
          <cell r="EL371">
            <v>4595649.3</v>
          </cell>
          <cell r="EM371">
            <v>2.068590361445783</v>
          </cell>
          <cell r="EN371">
            <v>507.22222222222223</v>
          </cell>
          <cell r="EO371">
            <v>338.14814814814815</v>
          </cell>
          <cell r="EP371">
            <v>845.37037037037044</v>
          </cell>
        </row>
        <row r="372">
          <cell r="F372">
            <v>107260</v>
          </cell>
          <cell r="G372" t="str">
            <v>JARABE DE REMOJO OCTOBINS</v>
          </cell>
          <cell r="H372">
            <v>3900</v>
          </cell>
          <cell r="I372">
            <v>5850</v>
          </cell>
          <cell r="J372">
            <v>7800</v>
          </cell>
          <cell r="K372">
            <v>8775</v>
          </cell>
          <cell r="L372">
            <v>6825</v>
          </cell>
          <cell r="M372">
            <v>5850</v>
          </cell>
          <cell r="N372">
            <v>5850</v>
          </cell>
          <cell r="O372">
            <v>8775</v>
          </cell>
          <cell r="P372">
            <v>4875</v>
          </cell>
          <cell r="Q372">
            <v>8775</v>
          </cell>
          <cell r="R372">
            <v>6825</v>
          </cell>
          <cell r="S372">
            <v>3900</v>
          </cell>
          <cell r="T372">
            <v>975</v>
          </cell>
          <cell r="U372">
            <v>7800</v>
          </cell>
          <cell r="V372">
            <v>7800</v>
          </cell>
          <cell r="W372">
            <v>3900</v>
          </cell>
          <cell r="X372">
            <v>5850</v>
          </cell>
          <cell r="Y372">
            <v>3900</v>
          </cell>
          <cell r="Z372">
            <v>3900</v>
          </cell>
          <cell r="AA372">
            <v>3900</v>
          </cell>
          <cell r="AB372">
            <v>6825</v>
          </cell>
          <cell r="AC372">
            <v>5850</v>
          </cell>
          <cell r="AD372">
            <v>5850</v>
          </cell>
          <cell r="AE372">
            <v>5850</v>
          </cell>
          <cell r="AF372">
            <v>3900</v>
          </cell>
          <cell r="AG372">
            <v>4875</v>
          </cell>
          <cell r="AH372">
            <v>4876</v>
          </cell>
          <cell r="AI372">
            <v>4875</v>
          </cell>
          <cell r="AJ372">
            <v>5850</v>
          </cell>
          <cell r="AK372">
            <v>6825</v>
          </cell>
          <cell r="AL372">
            <v>5850</v>
          </cell>
          <cell r="AM372">
            <v>4875</v>
          </cell>
          <cell r="AN372">
            <v>4875</v>
          </cell>
          <cell r="AO372">
            <v>5850</v>
          </cell>
          <cell r="AP372">
            <v>1950</v>
          </cell>
          <cell r="AQ372">
            <v>2925</v>
          </cell>
          <cell r="AR372">
            <v>5850</v>
          </cell>
          <cell r="AS372">
            <v>975</v>
          </cell>
          <cell r="AT372">
            <v>4875</v>
          </cell>
          <cell r="AU372">
            <v>5035</v>
          </cell>
          <cell r="AV372">
            <v>5850</v>
          </cell>
          <cell r="AW372">
            <v>8775</v>
          </cell>
          <cell r="AX372">
            <v>8775</v>
          </cell>
          <cell r="AY372">
            <v>5850</v>
          </cell>
          <cell r="AZ372">
            <v>6825</v>
          </cell>
          <cell r="BA372">
            <v>6825</v>
          </cell>
          <cell r="BB372">
            <v>7800</v>
          </cell>
          <cell r="BC372">
            <v>2925</v>
          </cell>
          <cell r="BD372">
            <v>6825</v>
          </cell>
          <cell r="BE372">
            <v>5850</v>
          </cell>
          <cell r="BF372">
            <v>4875</v>
          </cell>
          <cell r="BG372">
            <v>6825</v>
          </cell>
          <cell r="BH372">
            <v>1950</v>
          </cell>
          <cell r="BI372">
            <v>4875</v>
          </cell>
          <cell r="BJ372">
            <v>2925</v>
          </cell>
          <cell r="BK372">
            <v>4875</v>
          </cell>
          <cell r="BL372">
            <v>2925</v>
          </cell>
          <cell r="BM372">
            <v>5850</v>
          </cell>
          <cell r="BN372">
            <v>4875</v>
          </cell>
          <cell r="BO372">
            <v>4875</v>
          </cell>
          <cell r="BP372">
            <v>3900</v>
          </cell>
          <cell r="BQ372">
            <v>4881</v>
          </cell>
          <cell r="BR372">
            <v>2925</v>
          </cell>
          <cell r="BS372">
            <v>5850</v>
          </cell>
          <cell r="BT372">
            <v>5850</v>
          </cell>
          <cell r="BU372">
            <v>3900</v>
          </cell>
          <cell r="BV372">
            <v>9750</v>
          </cell>
          <cell r="BW372">
            <v>5850</v>
          </cell>
          <cell r="BX372">
            <v>4875</v>
          </cell>
          <cell r="BY372">
            <v>5850</v>
          </cell>
          <cell r="BZ372">
            <v>4875</v>
          </cell>
          <cell r="CA372">
            <v>5850</v>
          </cell>
          <cell r="CB372">
            <v>5850</v>
          </cell>
          <cell r="CC372">
            <v>7800</v>
          </cell>
          <cell r="CD372">
            <v>4875</v>
          </cell>
          <cell r="CE372">
            <v>3900</v>
          </cell>
          <cell r="CF372">
            <v>4875</v>
          </cell>
          <cell r="CG372">
            <v>7800</v>
          </cell>
          <cell r="CH372">
            <v>6825</v>
          </cell>
          <cell r="CI372">
            <v>5850</v>
          </cell>
          <cell r="CJ372">
            <v>3900</v>
          </cell>
          <cell r="CK372">
            <v>8775</v>
          </cell>
          <cell r="CL372">
            <v>6825</v>
          </cell>
          <cell r="CM372">
            <v>5850</v>
          </cell>
          <cell r="CN372">
            <v>6825</v>
          </cell>
          <cell r="CO372">
            <v>6825</v>
          </cell>
          <cell r="CP372">
            <v>7800</v>
          </cell>
          <cell r="CQ372">
            <v>6825</v>
          </cell>
          <cell r="CR372">
            <v>6825</v>
          </cell>
          <cell r="CS372">
            <v>3900</v>
          </cell>
          <cell r="CT372">
            <v>8775</v>
          </cell>
          <cell r="CU372">
            <v>2925</v>
          </cell>
          <cell r="CV372">
            <v>5850</v>
          </cell>
          <cell r="CW372">
            <v>5850</v>
          </cell>
          <cell r="CX372">
            <v>6825</v>
          </cell>
          <cell r="CY372">
            <v>3900</v>
          </cell>
          <cell r="CZ372">
            <v>7800</v>
          </cell>
          <cell r="DA372">
            <v>3900</v>
          </cell>
          <cell r="DB372">
            <v>4875</v>
          </cell>
          <cell r="DC372">
            <v>4875</v>
          </cell>
          <cell r="DD372">
            <v>4875</v>
          </cell>
          <cell r="DE372">
            <v>4875</v>
          </cell>
          <cell r="DF372">
            <v>5850</v>
          </cell>
          <cell r="DG372">
            <v>4875</v>
          </cell>
          <cell r="DH372">
            <v>2925</v>
          </cell>
          <cell r="DI372">
            <v>1950</v>
          </cell>
          <cell r="DJ372">
            <v>3900</v>
          </cell>
          <cell r="DK372">
            <v>4875</v>
          </cell>
          <cell r="DL372">
            <v>7800</v>
          </cell>
          <cell r="DM372">
            <v>5850</v>
          </cell>
          <cell r="DN372">
            <v>6825</v>
          </cell>
          <cell r="DO372">
            <v>6825</v>
          </cell>
          <cell r="DP372">
            <v>5850</v>
          </cell>
          <cell r="DQ372">
            <v>4875</v>
          </cell>
          <cell r="DR372">
            <v>7800</v>
          </cell>
          <cell r="DS372">
            <v>3900</v>
          </cell>
          <cell r="DT372">
            <v>6825</v>
          </cell>
          <cell r="DU372">
            <v>7800</v>
          </cell>
          <cell r="DV372">
            <v>3900</v>
          </cell>
          <cell r="DW372">
            <v>3900</v>
          </cell>
          <cell r="DX372">
            <v>7810</v>
          </cell>
          <cell r="DY372">
            <v>7815</v>
          </cell>
          <cell r="DZ372">
            <v>6825</v>
          </cell>
          <cell r="EA372">
            <v>3900</v>
          </cell>
          <cell r="EB372">
            <v>6825</v>
          </cell>
          <cell r="EC372">
            <v>7800</v>
          </cell>
          <cell r="ED372">
            <v>7800</v>
          </cell>
          <cell r="EE372" t="str">
            <v>ACTIVO</v>
          </cell>
          <cell r="EF372" t="str">
            <v>A</v>
          </cell>
          <cell r="EG372">
            <v>975</v>
          </cell>
          <cell r="EH372">
            <v>5851.3888888888887</v>
          </cell>
          <cell r="EI372">
            <v>975.23148148148141</v>
          </cell>
          <cell r="EJ372">
            <v>1660.6996479660963</v>
          </cell>
          <cell r="EK372">
            <v>4875</v>
          </cell>
          <cell r="EL372">
            <v>3547293.75</v>
          </cell>
          <cell r="EM372">
            <v>0.83313553287443631</v>
          </cell>
          <cell r="EN372">
            <v>2925.6944444444443</v>
          </cell>
          <cell r="EO372">
            <v>1950.4629629629628</v>
          </cell>
          <cell r="EP372">
            <v>4876.1574074074069</v>
          </cell>
        </row>
        <row r="373">
          <cell r="F373">
            <v>107278</v>
          </cell>
          <cell r="G373" t="str">
            <v>JARABE DE REMOJO RON-NJA 40 BIDÓN 5 Lt</v>
          </cell>
          <cell r="H373">
            <v>500</v>
          </cell>
          <cell r="I373">
            <v>495</v>
          </cell>
          <cell r="J373">
            <v>430</v>
          </cell>
          <cell r="K373">
            <v>910</v>
          </cell>
          <cell r="L373">
            <v>355</v>
          </cell>
          <cell r="M373">
            <v>530</v>
          </cell>
          <cell r="N373">
            <v>561.43050000000005</v>
          </cell>
          <cell r="O373">
            <v>705.34</v>
          </cell>
          <cell r="P373">
            <v>350</v>
          </cell>
          <cell r="Q373">
            <v>515</v>
          </cell>
          <cell r="R373">
            <v>230</v>
          </cell>
          <cell r="S373">
            <v>260</v>
          </cell>
          <cell r="T373">
            <v>180</v>
          </cell>
          <cell r="U373">
            <v>479</v>
          </cell>
          <cell r="V373">
            <v>115</v>
          </cell>
          <cell r="W373">
            <v>410</v>
          </cell>
          <cell r="X373">
            <v>570</v>
          </cell>
          <cell r="Y373">
            <v>285</v>
          </cell>
          <cell r="Z373">
            <v>170</v>
          </cell>
          <cell r="AA373">
            <v>640</v>
          </cell>
          <cell r="AB373">
            <v>660</v>
          </cell>
          <cell r="AC373">
            <v>571</v>
          </cell>
          <cell r="AD373">
            <v>771</v>
          </cell>
          <cell r="AE373">
            <v>395</v>
          </cell>
          <cell r="AF373">
            <v>435</v>
          </cell>
          <cell r="AG373">
            <v>506</v>
          </cell>
          <cell r="AH373">
            <v>595</v>
          </cell>
          <cell r="AI373">
            <v>730</v>
          </cell>
          <cell r="AJ373">
            <v>635</v>
          </cell>
          <cell r="AK373">
            <v>880</v>
          </cell>
          <cell r="AL373">
            <v>815</v>
          </cell>
          <cell r="AM373">
            <v>350</v>
          </cell>
          <cell r="AN373">
            <v>495</v>
          </cell>
          <cell r="AO373">
            <v>740</v>
          </cell>
          <cell r="AP373">
            <v>655</v>
          </cell>
          <cell r="AQ373">
            <v>1240</v>
          </cell>
          <cell r="AR373">
            <v>745</v>
          </cell>
          <cell r="AS373">
            <v>175</v>
          </cell>
          <cell r="AT373">
            <v>630</v>
          </cell>
          <cell r="AU373">
            <v>925</v>
          </cell>
          <cell r="AV373">
            <v>428</v>
          </cell>
          <cell r="AW373">
            <v>1392</v>
          </cell>
          <cell r="AX373">
            <v>2160</v>
          </cell>
          <cell r="AY373">
            <v>725</v>
          </cell>
          <cell r="AZ373">
            <v>975</v>
          </cell>
          <cell r="BA373">
            <v>1775</v>
          </cell>
          <cell r="BB373">
            <v>1210</v>
          </cell>
          <cell r="BC373">
            <v>720</v>
          </cell>
          <cell r="BD373">
            <v>1570</v>
          </cell>
          <cell r="BE373">
            <v>1960</v>
          </cell>
          <cell r="BF373">
            <v>536</v>
          </cell>
          <cell r="BG373">
            <v>1025</v>
          </cell>
          <cell r="BH373">
            <v>350</v>
          </cell>
          <cell r="BI373">
            <v>1135</v>
          </cell>
          <cell r="BJ373">
            <v>1310</v>
          </cell>
          <cell r="BK373">
            <v>1385</v>
          </cell>
          <cell r="BL373">
            <v>1260</v>
          </cell>
          <cell r="BM373">
            <v>1625</v>
          </cell>
          <cell r="BN373">
            <v>1290</v>
          </cell>
          <cell r="BO373">
            <v>1930</v>
          </cell>
          <cell r="BP373">
            <v>405</v>
          </cell>
          <cell r="BQ373">
            <v>1765</v>
          </cell>
          <cell r="BR373">
            <v>1814</v>
          </cell>
          <cell r="BS373">
            <v>1490</v>
          </cell>
          <cell r="BT373">
            <v>1300</v>
          </cell>
          <cell r="BU373">
            <v>1275</v>
          </cell>
          <cell r="BV373">
            <v>1450</v>
          </cell>
          <cell r="BW373">
            <v>1705</v>
          </cell>
          <cell r="BX373">
            <v>1750</v>
          </cell>
          <cell r="BY373">
            <v>1740</v>
          </cell>
          <cell r="BZ373">
            <v>670</v>
          </cell>
          <cell r="CA373">
            <v>1400</v>
          </cell>
          <cell r="CB373">
            <v>1640</v>
          </cell>
          <cell r="CC373">
            <v>2440</v>
          </cell>
          <cell r="CD373">
            <v>1455</v>
          </cell>
          <cell r="CE373">
            <v>1375</v>
          </cell>
          <cell r="CF373">
            <v>1915</v>
          </cell>
          <cell r="CG373">
            <v>930</v>
          </cell>
          <cell r="CH373">
            <v>1170</v>
          </cell>
          <cell r="CI373">
            <v>1600</v>
          </cell>
          <cell r="CJ373">
            <v>860</v>
          </cell>
          <cell r="CK373">
            <v>1495</v>
          </cell>
          <cell r="CL373">
            <v>1995</v>
          </cell>
          <cell r="CM373">
            <v>1010</v>
          </cell>
          <cell r="CN373">
            <v>1540</v>
          </cell>
          <cell r="CO373">
            <v>1985</v>
          </cell>
          <cell r="CP373">
            <v>2780</v>
          </cell>
          <cell r="CQ373">
            <v>735</v>
          </cell>
          <cell r="CR373">
            <v>1780</v>
          </cell>
          <cell r="CS373">
            <v>925</v>
          </cell>
          <cell r="CT373">
            <v>1055</v>
          </cell>
          <cell r="CU373">
            <v>1049</v>
          </cell>
          <cell r="CV373">
            <v>580</v>
          </cell>
          <cell r="CW373">
            <v>1500</v>
          </cell>
          <cell r="CX373">
            <v>905</v>
          </cell>
          <cell r="CY373">
            <v>460</v>
          </cell>
          <cell r="CZ373">
            <v>1275</v>
          </cell>
          <cell r="DA373">
            <v>650</v>
          </cell>
          <cell r="DB373">
            <v>1030</v>
          </cell>
          <cell r="DC373">
            <v>505</v>
          </cell>
          <cell r="DD373">
            <v>845</v>
          </cell>
          <cell r="DE373">
            <v>590</v>
          </cell>
          <cell r="DF373">
            <v>1435</v>
          </cell>
          <cell r="DG373">
            <v>320</v>
          </cell>
          <cell r="DH373">
            <v>790</v>
          </cell>
          <cell r="DJ373">
            <v>930</v>
          </cell>
          <cell r="DK373">
            <v>560</v>
          </cell>
          <cell r="DL373">
            <v>1465</v>
          </cell>
          <cell r="DM373">
            <v>835</v>
          </cell>
          <cell r="DN373">
            <v>1180</v>
          </cell>
          <cell r="DO373">
            <v>1615</v>
          </cell>
          <cell r="DP373">
            <v>830</v>
          </cell>
          <cell r="DQ373">
            <v>970</v>
          </cell>
          <cell r="DR373">
            <v>1375</v>
          </cell>
          <cell r="DS373">
            <v>940</v>
          </cell>
          <cell r="DT373">
            <v>1515</v>
          </cell>
          <cell r="DU373">
            <v>785</v>
          </cell>
          <cell r="DV373">
            <v>580</v>
          </cell>
          <cell r="DW373">
            <v>1000</v>
          </cell>
          <cell r="DX373">
            <v>891</v>
          </cell>
          <cell r="DY373">
            <v>750</v>
          </cell>
          <cell r="DZ373">
            <v>885</v>
          </cell>
          <cell r="EA373">
            <v>5</v>
          </cell>
          <cell r="EB373">
            <v>1185</v>
          </cell>
          <cell r="EC373">
            <v>1175</v>
          </cell>
          <cell r="ED373">
            <v>605</v>
          </cell>
          <cell r="EE373" t="str">
            <v>ACTIVO</v>
          </cell>
          <cell r="EF373" t="str">
            <v>B</v>
          </cell>
          <cell r="EG373">
            <v>450</v>
          </cell>
          <cell r="EH373">
            <v>1006.2352941176471</v>
          </cell>
          <cell r="EI373">
            <v>167.70588235294119</v>
          </cell>
          <cell r="EJ373">
            <v>530.13756943400938</v>
          </cell>
          <cell r="EK373">
            <v>1094</v>
          </cell>
          <cell r="EL373">
            <v>788544.26</v>
          </cell>
          <cell r="EM373">
            <v>1.0872208581784168</v>
          </cell>
          <cell r="EN373">
            <v>335.41176470588238</v>
          </cell>
          <cell r="EO373">
            <v>335.41176470588238</v>
          </cell>
          <cell r="EP373">
            <v>670.82352941176475</v>
          </cell>
        </row>
        <row r="374">
          <cell r="F374">
            <v>107262</v>
          </cell>
          <cell r="G374" t="str">
            <v>REMOJO 3 LECHES RICHI</v>
          </cell>
          <cell r="H374">
            <v>54</v>
          </cell>
          <cell r="AL374">
            <v>128</v>
          </cell>
          <cell r="AM374">
            <v>371</v>
          </cell>
          <cell r="AO374">
            <v>225</v>
          </cell>
          <cell r="AP374">
            <v>384</v>
          </cell>
          <cell r="AQ374">
            <v>754</v>
          </cell>
          <cell r="AR374">
            <v>443</v>
          </cell>
          <cell r="AS374">
            <v>262</v>
          </cell>
          <cell r="AT374">
            <v>169</v>
          </cell>
          <cell r="AU374">
            <v>695</v>
          </cell>
          <cell r="AV374">
            <v>439</v>
          </cell>
          <cell r="AW374">
            <v>821</v>
          </cell>
          <cell r="AX374">
            <v>1398</v>
          </cell>
          <cell r="AY374">
            <v>807</v>
          </cell>
          <cell r="AZ374">
            <v>712</v>
          </cell>
          <cell r="BA374">
            <v>213</v>
          </cell>
          <cell r="BB374">
            <v>969</v>
          </cell>
          <cell r="BC374">
            <v>1027</v>
          </cell>
          <cell r="BD374">
            <v>725</v>
          </cell>
          <cell r="BE374">
            <v>188</v>
          </cell>
          <cell r="BF374">
            <v>987</v>
          </cell>
          <cell r="BG374">
            <v>260</v>
          </cell>
          <cell r="BH374">
            <v>593</v>
          </cell>
          <cell r="BI374">
            <v>636</v>
          </cell>
          <cell r="BJ374">
            <v>476</v>
          </cell>
          <cell r="BK374">
            <v>1414</v>
          </cell>
          <cell r="BL374">
            <v>2393</v>
          </cell>
          <cell r="BM374">
            <v>490</v>
          </cell>
          <cell r="BN374">
            <v>1495</v>
          </cell>
          <cell r="BO374">
            <v>1004</v>
          </cell>
          <cell r="BP374">
            <v>716</v>
          </cell>
          <cell r="BQ374">
            <v>316</v>
          </cell>
          <cell r="BR374">
            <v>1751</v>
          </cell>
          <cell r="BS374">
            <v>367</v>
          </cell>
          <cell r="BT374">
            <v>2712.45</v>
          </cell>
          <cell r="BU374">
            <v>1030</v>
          </cell>
          <cell r="BV374">
            <v>239</v>
          </cell>
          <cell r="BW374">
            <v>261</v>
          </cell>
          <cell r="BX374">
            <v>1852</v>
          </cell>
          <cell r="BY374">
            <v>732</v>
          </cell>
          <cell r="BZ374">
            <v>52</v>
          </cell>
          <cell r="CA374">
            <v>24</v>
          </cell>
          <cell r="CB374">
            <v>1070</v>
          </cell>
          <cell r="CC374">
            <v>696</v>
          </cell>
          <cell r="CD374">
            <v>307</v>
          </cell>
          <cell r="CE374">
            <v>1485</v>
          </cell>
          <cell r="CF374">
            <v>1707</v>
          </cell>
          <cell r="CG374">
            <v>1101</v>
          </cell>
          <cell r="CH374">
            <v>347</v>
          </cell>
          <cell r="CI374">
            <v>1152</v>
          </cell>
          <cell r="CJ374">
            <v>508</v>
          </cell>
          <cell r="CK374">
            <v>819</v>
          </cell>
          <cell r="CL374">
            <v>962</v>
          </cell>
          <cell r="CM374">
            <v>724</v>
          </cell>
          <cell r="CN374">
            <v>1251</v>
          </cell>
          <cell r="CO374">
            <v>1152</v>
          </cell>
          <cell r="CP374">
            <v>2673</v>
          </cell>
          <cell r="CQ374">
            <v>380</v>
          </cell>
          <cell r="CR374">
            <v>75</v>
          </cell>
          <cell r="CT374">
            <v>846</v>
          </cell>
          <cell r="CU374">
            <v>531</v>
          </cell>
          <cell r="CV374">
            <v>360</v>
          </cell>
          <cell r="CW374">
            <v>600</v>
          </cell>
          <cell r="CX374">
            <v>300</v>
          </cell>
          <cell r="CY374">
            <v>845</v>
          </cell>
          <cell r="CZ374">
            <v>51</v>
          </cell>
          <cell r="DA374">
            <v>655</v>
          </cell>
          <cell r="DB374">
            <v>49</v>
          </cell>
          <cell r="DC374">
            <v>1008</v>
          </cell>
          <cell r="DD374">
            <v>48</v>
          </cell>
          <cell r="DE374">
            <v>65</v>
          </cell>
          <cell r="DF374">
            <v>634</v>
          </cell>
          <cell r="DG374">
            <v>138</v>
          </cell>
          <cell r="DH374">
            <v>45</v>
          </cell>
          <cell r="DJ374">
            <v>1099</v>
          </cell>
          <cell r="DK374">
            <v>112</v>
          </cell>
          <cell r="DL374">
            <v>395</v>
          </cell>
          <cell r="DM374">
            <v>644</v>
          </cell>
          <cell r="DN374">
            <v>336</v>
          </cell>
          <cell r="DO374">
            <v>714</v>
          </cell>
          <cell r="DP374">
            <v>624</v>
          </cell>
          <cell r="DQ374">
            <v>672</v>
          </cell>
          <cell r="DR374">
            <v>120</v>
          </cell>
          <cell r="DS374">
            <v>1270</v>
          </cell>
          <cell r="DT374">
            <v>432</v>
          </cell>
          <cell r="DU374">
            <v>1085</v>
          </cell>
          <cell r="DV374">
            <v>532</v>
          </cell>
          <cell r="DW374">
            <v>1427</v>
          </cell>
          <cell r="DX374">
            <v>73</v>
          </cell>
          <cell r="DY374">
            <v>78</v>
          </cell>
          <cell r="DZ374">
            <v>739</v>
          </cell>
          <cell r="EB374">
            <v>540</v>
          </cell>
          <cell r="EC374">
            <v>244</v>
          </cell>
          <cell r="ED374">
            <v>593</v>
          </cell>
          <cell r="EE374" t="str">
            <v>ACTIVO</v>
          </cell>
          <cell r="EF374" t="str">
            <v>B</v>
          </cell>
          <cell r="EG374">
            <v>900</v>
          </cell>
          <cell r="EH374">
            <v>608.94117647058829</v>
          </cell>
          <cell r="EI374">
            <v>101.49019607843138</v>
          </cell>
          <cell r="EJ374">
            <v>659.94969403197967</v>
          </cell>
          <cell r="EK374">
            <v>1180</v>
          </cell>
          <cell r="EL374">
            <v>2345722</v>
          </cell>
          <cell r="EM374">
            <v>1.9377897990726427</v>
          </cell>
          <cell r="EN374">
            <v>202.98039215686276</v>
          </cell>
          <cell r="EO374">
            <v>202.98039215686276</v>
          </cell>
          <cell r="EP374">
            <v>405.96078431372553</v>
          </cell>
        </row>
        <row r="375">
          <cell r="F375">
            <v>100303</v>
          </cell>
          <cell r="G375" t="str">
            <v>JARABE DE REMOJO 35° TOTEM 1000 Lt</v>
          </cell>
          <cell r="BU375">
            <v>1000</v>
          </cell>
          <cell r="EE375" t="str">
            <v>SIN USO</v>
          </cell>
          <cell r="EF375" t="str">
            <v>C</v>
          </cell>
          <cell r="EG375" t="str">
            <v/>
          </cell>
          <cell r="EH375">
            <v>0</v>
          </cell>
          <cell r="EI375">
            <v>0</v>
          </cell>
          <cell r="EJ375">
            <v>0</v>
          </cell>
          <cell r="EK375">
            <v>0</v>
          </cell>
          <cell r="EL375">
            <v>0</v>
          </cell>
          <cell r="EM375">
            <v>0</v>
          </cell>
          <cell r="EN375">
            <v>0</v>
          </cell>
          <cell r="EO375">
            <v>0</v>
          </cell>
          <cell r="EP375">
            <v>0</v>
          </cell>
        </row>
        <row r="376">
          <cell r="H376">
            <v>7694</v>
          </cell>
          <cell r="I376">
            <v>9295</v>
          </cell>
          <cell r="J376">
            <v>11170</v>
          </cell>
          <cell r="K376">
            <v>12225.827315999999</v>
          </cell>
          <cell r="L376">
            <v>10146</v>
          </cell>
          <cell r="M376">
            <v>9890</v>
          </cell>
          <cell r="N376">
            <v>9061.4305000000004</v>
          </cell>
          <cell r="O376">
            <v>12070.34</v>
          </cell>
          <cell r="P376">
            <v>7575</v>
          </cell>
          <cell r="Q376">
            <v>11790</v>
          </cell>
          <cell r="R376">
            <v>9995</v>
          </cell>
          <cell r="S376">
            <v>6640</v>
          </cell>
          <cell r="T376">
            <v>3805</v>
          </cell>
          <cell r="U376">
            <v>11800</v>
          </cell>
          <cell r="V376">
            <v>11920</v>
          </cell>
          <cell r="W376">
            <v>8005</v>
          </cell>
          <cell r="X376">
            <v>9980</v>
          </cell>
          <cell r="Y376">
            <v>9930</v>
          </cell>
          <cell r="Z376">
            <v>11376.000001</v>
          </cell>
          <cell r="AA376">
            <v>8045</v>
          </cell>
          <cell r="AB376">
            <v>11205</v>
          </cell>
          <cell r="AC376">
            <v>10026</v>
          </cell>
          <cell r="AD376">
            <v>11591</v>
          </cell>
          <cell r="AE376">
            <v>12300</v>
          </cell>
          <cell r="AF376">
            <v>8100</v>
          </cell>
          <cell r="AG376">
            <v>9421</v>
          </cell>
          <cell r="AH376">
            <v>9561</v>
          </cell>
          <cell r="AI376">
            <v>10060</v>
          </cell>
          <cell r="AJ376">
            <v>10980</v>
          </cell>
          <cell r="AK376">
            <v>12225</v>
          </cell>
          <cell r="AL376">
            <v>11405</v>
          </cell>
          <cell r="AM376">
            <v>11306</v>
          </cell>
          <cell r="AN376">
            <v>8725</v>
          </cell>
          <cell r="AO376">
            <v>9925</v>
          </cell>
          <cell r="AP376">
            <v>9829</v>
          </cell>
          <cell r="AQ376">
            <v>8889</v>
          </cell>
          <cell r="AR376">
            <v>11213</v>
          </cell>
          <cell r="AS376">
            <v>3197</v>
          </cell>
          <cell r="AT376">
            <v>9319</v>
          </cell>
          <cell r="AU376">
            <v>10200</v>
          </cell>
          <cell r="AV376">
            <v>9903</v>
          </cell>
          <cell r="AW376">
            <v>14118</v>
          </cell>
          <cell r="AX376">
            <v>15728</v>
          </cell>
          <cell r="AY376">
            <v>10367</v>
          </cell>
          <cell r="AZ376">
            <v>11597</v>
          </cell>
          <cell r="BA376">
            <v>12358</v>
          </cell>
          <cell r="BB376">
            <v>12939</v>
          </cell>
          <cell r="BC376">
            <v>7657</v>
          </cell>
          <cell r="BD376">
            <v>12330</v>
          </cell>
          <cell r="BE376">
            <v>11373</v>
          </cell>
          <cell r="BF376">
            <v>11008</v>
          </cell>
          <cell r="BG376">
            <v>13275</v>
          </cell>
          <cell r="BH376">
            <v>4888</v>
          </cell>
          <cell r="BI376">
            <v>9676</v>
          </cell>
          <cell r="BJ376">
            <v>7221</v>
          </cell>
          <cell r="BK376">
            <v>11294</v>
          </cell>
          <cell r="BL376">
            <v>9938</v>
          </cell>
          <cell r="BM376">
            <v>11230</v>
          </cell>
          <cell r="BN376">
            <v>11565</v>
          </cell>
          <cell r="BO376">
            <v>11039</v>
          </cell>
          <cell r="BP376">
            <v>8206</v>
          </cell>
          <cell r="BQ376">
            <v>10007</v>
          </cell>
          <cell r="BR376">
            <v>9760</v>
          </cell>
          <cell r="BS376">
            <v>10607</v>
          </cell>
          <cell r="BT376">
            <v>12687.45</v>
          </cell>
          <cell r="BU376">
            <v>10263</v>
          </cell>
          <cell r="BV376">
            <v>14219</v>
          </cell>
          <cell r="BW376">
            <v>11271</v>
          </cell>
          <cell r="BX376">
            <v>11747</v>
          </cell>
          <cell r="BY376">
            <v>13127</v>
          </cell>
          <cell r="BZ376">
            <v>11792.5</v>
          </cell>
          <cell r="CA376">
            <v>10654</v>
          </cell>
          <cell r="CB376">
            <v>11630</v>
          </cell>
          <cell r="CC376">
            <v>14061</v>
          </cell>
          <cell r="CD376">
            <v>9992</v>
          </cell>
          <cell r="CE376">
            <v>12060</v>
          </cell>
          <cell r="CF376">
            <v>11157</v>
          </cell>
          <cell r="CG376">
            <v>12431</v>
          </cell>
          <cell r="CH376">
            <v>11437</v>
          </cell>
          <cell r="CI376">
            <v>11512</v>
          </cell>
          <cell r="CJ376">
            <v>7913</v>
          </cell>
          <cell r="CK376">
            <v>13964</v>
          </cell>
          <cell r="CL376">
            <v>12387</v>
          </cell>
          <cell r="CM376">
            <v>10809</v>
          </cell>
          <cell r="CN376">
            <v>14406</v>
          </cell>
          <cell r="CO376">
            <v>13397</v>
          </cell>
          <cell r="CP376">
            <v>16583</v>
          </cell>
          <cell r="CQ376">
            <v>10865</v>
          </cell>
          <cell r="CR376">
            <v>10790</v>
          </cell>
          <cell r="CS376">
            <v>5235</v>
          </cell>
          <cell r="CT376">
            <v>12876</v>
          </cell>
          <cell r="CU376">
            <v>9885</v>
          </cell>
          <cell r="CV376">
            <v>8770</v>
          </cell>
          <cell r="CW376">
            <v>9710</v>
          </cell>
          <cell r="CX376">
            <v>9790</v>
          </cell>
          <cell r="CY376">
            <v>7095</v>
          </cell>
          <cell r="CZ376">
            <v>10806</v>
          </cell>
          <cell r="DA376">
            <v>7005</v>
          </cell>
          <cell r="DB376">
            <v>7364</v>
          </cell>
          <cell r="DC376">
            <v>8108</v>
          </cell>
          <cell r="DD376">
            <v>7148</v>
          </cell>
          <cell r="DE376">
            <v>6500</v>
          </cell>
          <cell r="DF376">
            <v>9689</v>
          </cell>
          <cell r="DG376">
            <v>6623</v>
          </cell>
          <cell r="DH376">
            <v>4450</v>
          </cell>
          <cell r="DI376">
            <v>2380</v>
          </cell>
          <cell r="DJ376">
            <v>6999</v>
          </cell>
          <cell r="DK376">
            <v>6537</v>
          </cell>
          <cell r="DL376">
            <v>10590</v>
          </cell>
          <cell r="DM376">
            <v>8299</v>
          </cell>
          <cell r="DN376">
            <v>9271</v>
          </cell>
          <cell r="DO376">
            <v>10744</v>
          </cell>
          <cell r="DP376">
            <v>8184</v>
          </cell>
          <cell r="DQ376">
            <v>7427</v>
          </cell>
          <cell r="DR376">
            <v>10285</v>
          </cell>
          <cell r="DS376">
            <v>7230</v>
          </cell>
          <cell r="DT376">
            <v>9762</v>
          </cell>
          <cell r="DU376">
            <v>10720</v>
          </cell>
          <cell r="DV376">
            <v>6062</v>
          </cell>
          <cell r="DW376">
            <v>7347</v>
          </cell>
          <cell r="DX376">
            <v>9714</v>
          </cell>
          <cell r="DY376">
            <v>9683</v>
          </cell>
          <cell r="DZ376">
            <v>9809</v>
          </cell>
          <cell r="EA376">
            <v>5885</v>
          </cell>
          <cell r="EB376">
            <v>9730</v>
          </cell>
          <cell r="EC376">
            <v>10399</v>
          </cell>
          <cell r="ED376">
            <v>10159.530000000001</v>
          </cell>
          <cell r="EE376" t="str">
            <v>ACTIVO</v>
          </cell>
          <cell r="EF376" t="str">
            <v/>
          </cell>
          <cell r="EG376" t="str">
            <v/>
          </cell>
          <cell r="EH376">
            <v>8391.2777777777774</v>
          </cell>
          <cell r="EI376">
            <v>1398.5462962962963</v>
          </cell>
          <cell r="EJ376">
            <v>2566.8380972405735</v>
          </cell>
          <cell r="EK376">
            <v>0</v>
          </cell>
          <cell r="EL376">
            <v>0</v>
          </cell>
          <cell r="EM376">
            <v>0</v>
          </cell>
          <cell r="EN376">
            <v>0</v>
          </cell>
          <cell r="EO376">
            <v>2797.0925925925926</v>
          </cell>
          <cell r="EP376">
            <v>2797.0925925925926</v>
          </cell>
        </row>
        <row r="377">
          <cell r="F377">
            <v>404309</v>
          </cell>
          <cell r="G377" t="str">
            <v>CINTA NEGRA GC ZUKKER</v>
          </cell>
          <cell r="H377">
            <v>64</v>
          </cell>
          <cell r="I377">
            <v>200</v>
          </cell>
          <cell r="J377">
            <v>344</v>
          </cell>
          <cell r="K377">
            <v>192</v>
          </cell>
          <cell r="L377">
            <v>67.5</v>
          </cell>
          <cell r="M377">
            <v>108</v>
          </cell>
          <cell r="N377">
            <v>270</v>
          </cell>
          <cell r="O377">
            <v>324</v>
          </cell>
          <cell r="P377">
            <v>121.5</v>
          </cell>
          <cell r="Q377">
            <v>165</v>
          </cell>
          <cell r="R377">
            <v>133.5</v>
          </cell>
          <cell r="S377">
            <v>54</v>
          </cell>
          <cell r="T377">
            <v>180</v>
          </cell>
          <cell r="U377">
            <v>121.5</v>
          </cell>
          <cell r="V377">
            <v>162</v>
          </cell>
          <cell r="W377">
            <v>130.5</v>
          </cell>
          <cell r="X377">
            <v>175.5</v>
          </cell>
          <cell r="Y377">
            <v>94.5</v>
          </cell>
          <cell r="Z377">
            <v>0</v>
          </cell>
          <cell r="AA377">
            <v>105</v>
          </cell>
          <cell r="AB377">
            <v>238.5</v>
          </cell>
          <cell r="AC377">
            <v>162</v>
          </cell>
          <cell r="AD377">
            <v>229.5</v>
          </cell>
          <cell r="AE377">
            <v>84</v>
          </cell>
          <cell r="AF377">
            <v>240</v>
          </cell>
          <cell r="AG377">
            <v>193.5</v>
          </cell>
          <cell r="AH377">
            <v>127</v>
          </cell>
          <cell r="AI377">
            <v>175.5</v>
          </cell>
          <cell r="AJ377">
            <v>135</v>
          </cell>
          <cell r="AK377">
            <v>186.5</v>
          </cell>
          <cell r="AL377">
            <v>108</v>
          </cell>
          <cell r="AM377">
            <v>121.5</v>
          </cell>
          <cell r="AN377">
            <v>148.5</v>
          </cell>
          <cell r="AO377">
            <v>216</v>
          </cell>
          <cell r="AP377">
            <v>108.5</v>
          </cell>
          <cell r="AQ377">
            <v>132</v>
          </cell>
          <cell r="AR377">
            <v>200</v>
          </cell>
          <cell r="AS377">
            <v>12</v>
          </cell>
          <cell r="AT377">
            <v>137.5</v>
          </cell>
          <cell r="AU377">
            <v>135</v>
          </cell>
          <cell r="AV377">
            <v>450</v>
          </cell>
          <cell r="AW377">
            <v>50</v>
          </cell>
          <cell r="AX377">
            <v>38</v>
          </cell>
          <cell r="AY377">
            <v>66</v>
          </cell>
          <cell r="AZ377">
            <v>530</v>
          </cell>
          <cell r="BB377">
            <v>144</v>
          </cell>
          <cell r="BC377">
            <v>324</v>
          </cell>
          <cell r="BE377">
            <v>6</v>
          </cell>
          <cell r="BF377">
            <v>276</v>
          </cell>
          <cell r="BG377">
            <v>20</v>
          </cell>
          <cell r="BH377">
            <v>92</v>
          </cell>
          <cell r="BI377">
            <v>344</v>
          </cell>
          <cell r="BJ377">
            <v>84</v>
          </cell>
          <cell r="BK377">
            <v>56</v>
          </cell>
          <cell r="BL377">
            <v>376</v>
          </cell>
          <cell r="BM377">
            <v>124</v>
          </cell>
          <cell r="BN377">
            <v>212</v>
          </cell>
          <cell r="BO377">
            <v>212</v>
          </cell>
          <cell r="BP377">
            <v>164</v>
          </cell>
          <cell r="BQ377">
            <v>439</v>
          </cell>
          <cell r="BS377">
            <v>156</v>
          </cell>
          <cell r="BT377">
            <v>208</v>
          </cell>
          <cell r="BU377">
            <v>380</v>
          </cell>
          <cell r="BW377">
            <v>40</v>
          </cell>
          <cell r="BX377">
            <v>212</v>
          </cell>
          <cell r="BY377">
            <v>204</v>
          </cell>
          <cell r="BZ377">
            <v>20</v>
          </cell>
          <cell r="CA377">
            <v>188</v>
          </cell>
          <cell r="CB377">
            <v>164</v>
          </cell>
          <cell r="CC377">
            <v>164</v>
          </cell>
          <cell r="CD377">
            <v>172</v>
          </cell>
          <cell r="CG377">
            <v>336</v>
          </cell>
          <cell r="CH377">
            <v>160</v>
          </cell>
          <cell r="CI377">
            <v>24</v>
          </cell>
          <cell r="CJ377">
            <v>424</v>
          </cell>
          <cell r="CK377">
            <v>444</v>
          </cell>
          <cell r="CM377">
            <v>284</v>
          </cell>
          <cell r="CN377">
            <v>132</v>
          </cell>
          <cell r="CO377">
            <v>228</v>
          </cell>
          <cell r="CP377">
            <v>216</v>
          </cell>
          <cell r="CQ377">
            <v>472</v>
          </cell>
          <cell r="CR377">
            <v>36</v>
          </cell>
          <cell r="CS377">
            <v>28</v>
          </cell>
          <cell r="CT377">
            <v>16</v>
          </cell>
          <cell r="CU377">
            <v>208</v>
          </cell>
          <cell r="CV377">
            <v>312</v>
          </cell>
          <cell r="CW377">
            <v>236</v>
          </cell>
          <cell r="CX377">
            <v>436</v>
          </cell>
          <cell r="CZ377">
            <v>220</v>
          </cell>
          <cell r="DB377">
            <v>404</v>
          </cell>
          <cell r="DC377">
            <v>24</v>
          </cell>
          <cell r="DD377">
            <v>196</v>
          </cell>
          <cell r="DE377">
            <v>220</v>
          </cell>
          <cell r="DG377">
            <v>184</v>
          </cell>
          <cell r="DH377">
            <v>27</v>
          </cell>
          <cell r="DJ377">
            <v>84</v>
          </cell>
          <cell r="DK377">
            <v>240</v>
          </cell>
          <cell r="DL377">
            <v>244</v>
          </cell>
          <cell r="DM377">
            <v>408</v>
          </cell>
          <cell r="DN377">
            <v>204</v>
          </cell>
          <cell r="DO377">
            <v>256</v>
          </cell>
          <cell r="DP377">
            <v>220</v>
          </cell>
          <cell r="DQ377">
            <v>184</v>
          </cell>
          <cell r="DR377">
            <v>184</v>
          </cell>
          <cell r="DU377">
            <v>272</v>
          </cell>
          <cell r="DV377">
            <v>280</v>
          </cell>
          <cell r="DW377">
            <v>220</v>
          </cell>
          <cell r="DX377">
            <v>44</v>
          </cell>
          <cell r="DY377">
            <v>396</v>
          </cell>
          <cell r="DZ377">
            <v>240</v>
          </cell>
          <cell r="EB377">
            <v>184</v>
          </cell>
          <cell r="EC377">
            <v>220</v>
          </cell>
          <cell r="ED377">
            <v>244</v>
          </cell>
          <cell r="EE377" t="str">
            <v>ACTIVO</v>
          </cell>
          <cell r="EF377" t="str">
            <v>B</v>
          </cell>
          <cell r="EG377">
            <v>400</v>
          </cell>
          <cell r="EH377">
            <v>231.73333333333332</v>
          </cell>
          <cell r="EI377">
            <v>38.62222222222222</v>
          </cell>
          <cell r="EJ377">
            <v>132.06649304747432</v>
          </cell>
          <cell r="EK377">
            <v>232</v>
          </cell>
          <cell r="EL377">
            <v>2061259.68</v>
          </cell>
          <cell r="EM377">
            <v>1.0011507479861912</v>
          </cell>
          <cell r="EN377">
            <v>154.48888888888888</v>
          </cell>
          <cell r="EO377">
            <v>77.24444444444444</v>
          </cell>
          <cell r="EP377">
            <v>231.73333333333332</v>
          </cell>
        </row>
        <row r="378">
          <cell r="F378">
            <v>405133</v>
          </cell>
          <cell r="G378" t="str">
            <v>RALLADO NEGRO 3mm ZUKKER</v>
          </cell>
          <cell r="H378">
            <v>48</v>
          </cell>
          <cell r="I378">
            <v>195</v>
          </cell>
          <cell r="J378">
            <v>180</v>
          </cell>
          <cell r="K378">
            <v>424</v>
          </cell>
          <cell r="L378">
            <v>249</v>
          </cell>
          <cell r="M378">
            <v>135</v>
          </cell>
          <cell r="N378">
            <v>175</v>
          </cell>
          <cell r="O378">
            <v>411</v>
          </cell>
          <cell r="P378">
            <v>60</v>
          </cell>
          <cell r="Q378">
            <v>315</v>
          </cell>
          <cell r="R378">
            <v>80</v>
          </cell>
          <cell r="S378">
            <v>165</v>
          </cell>
          <cell r="T378">
            <v>155</v>
          </cell>
          <cell r="U378">
            <v>262.5</v>
          </cell>
          <cell r="V378">
            <v>180</v>
          </cell>
          <cell r="W378">
            <v>15</v>
          </cell>
          <cell r="X378">
            <v>330</v>
          </cell>
          <cell r="Y378">
            <v>138</v>
          </cell>
          <cell r="Z378">
            <v>45</v>
          </cell>
          <cell r="AA378">
            <v>210</v>
          </cell>
          <cell r="AB378">
            <v>300</v>
          </cell>
          <cell r="AC378">
            <v>165</v>
          </cell>
          <cell r="AD378">
            <v>290</v>
          </cell>
          <cell r="AE378">
            <v>120</v>
          </cell>
          <cell r="AF378">
            <v>225</v>
          </cell>
          <cell r="AG378">
            <v>180</v>
          </cell>
          <cell r="AH378">
            <v>241</v>
          </cell>
          <cell r="AI378">
            <v>355</v>
          </cell>
          <cell r="AJ378">
            <v>225</v>
          </cell>
          <cell r="AK378">
            <v>434</v>
          </cell>
          <cell r="AL378">
            <v>273</v>
          </cell>
          <cell r="AM378">
            <v>135</v>
          </cell>
          <cell r="AN378">
            <v>216</v>
          </cell>
          <cell r="AO378">
            <v>315</v>
          </cell>
          <cell r="AP378">
            <v>215</v>
          </cell>
          <cell r="AQ378">
            <v>225</v>
          </cell>
          <cell r="AR378">
            <v>180</v>
          </cell>
          <cell r="AS378">
            <v>140</v>
          </cell>
          <cell r="AT378">
            <v>130</v>
          </cell>
          <cell r="AU378">
            <v>115</v>
          </cell>
          <cell r="AV378">
            <v>228</v>
          </cell>
          <cell r="AW378">
            <v>651</v>
          </cell>
          <cell r="AX378">
            <v>108</v>
          </cell>
          <cell r="AY378">
            <v>105</v>
          </cell>
          <cell r="AZ378">
            <v>275</v>
          </cell>
          <cell r="BA378">
            <v>203</v>
          </cell>
          <cell r="BB378">
            <v>418</v>
          </cell>
          <cell r="BC378">
            <v>108</v>
          </cell>
          <cell r="BD378">
            <v>368</v>
          </cell>
          <cell r="BE378">
            <v>343</v>
          </cell>
          <cell r="BF378">
            <v>223</v>
          </cell>
          <cell r="BG378">
            <v>440</v>
          </cell>
          <cell r="BH378">
            <v>54</v>
          </cell>
          <cell r="BI378">
            <v>261</v>
          </cell>
          <cell r="BJ378">
            <v>126</v>
          </cell>
          <cell r="BK378">
            <v>441</v>
          </cell>
          <cell r="BL378">
            <v>123</v>
          </cell>
          <cell r="BM378">
            <v>430</v>
          </cell>
          <cell r="BN378">
            <v>363</v>
          </cell>
          <cell r="BO378">
            <v>245</v>
          </cell>
          <cell r="BP378">
            <v>130</v>
          </cell>
          <cell r="BQ378">
            <v>162</v>
          </cell>
          <cell r="BR378">
            <v>316</v>
          </cell>
          <cell r="BS378">
            <v>539</v>
          </cell>
          <cell r="BT378">
            <v>105</v>
          </cell>
          <cell r="BU378">
            <v>178</v>
          </cell>
          <cell r="BV378">
            <v>582</v>
          </cell>
          <cell r="BW378">
            <v>147</v>
          </cell>
          <cell r="BX378">
            <v>233</v>
          </cell>
          <cell r="BY378">
            <v>239</v>
          </cell>
          <cell r="BZ378">
            <v>151</v>
          </cell>
          <cell r="CA378">
            <v>371</v>
          </cell>
          <cell r="CB378">
            <v>30</v>
          </cell>
          <cell r="CC378">
            <v>324</v>
          </cell>
          <cell r="CD378">
            <v>155</v>
          </cell>
          <cell r="CE378">
            <v>206</v>
          </cell>
          <cell r="CF378">
            <v>340</v>
          </cell>
          <cell r="CG378">
            <v>220</v>
          </cell>
          <cell r="CH378">
            <v>165</v>
          </cell>
          <cell r="CI378">
            <v>8</v>
          </cell>
          <cell r="CJ378">
            <v>111</v>
          </cell>
          <cell r="CK378">
            <v>309</v>
          </cell>
          <cell r="CL378">
            <v>222</v>
          </cell>
          <cell r="CM378">
            <v>170</v>
          </cell>
          <cell r="CN378">
            <v>193</v>
          </cell>
          <cell r="CO378">
            <v>297</v>
          </cell>
          <cell r="CP378">
            <v>371</v>
          </cell>
          <cell r="CQ378">
            <v>249</v>
          </cell>
          <cell r="CR378">
            <v>170</v>
          </cell>
          <cell r="CS378">
            <v>178</v>
          </cell>
          <cell r="CT378">
            <v>357</v>
          </cell>
          <cell r="CU378">
            <v>335</v>
          </cell>
          <cell r="CV378">
            <v>65</v>
          </cell>
          <cell r="CW378">
            <v>170</v>
          </cell>
          <cell r="CX378">
            <v>240</v>
          </cell>
          <cell r="CY378">
            <v>60</v>
          </cell>
          <cell r="CZ378">
            <v>295</v>
          </cell>
          <cell r="DA378">
            <v>70</v>
          </cell>
          <cell r="DB378">
            <v>90</v>
          </cell>
          <cell r="DC378">
            <v>60</v>
          </cell>
          <cell r="DD378">
            <v>205</v>
          </cell>
          <cell r="DE378">
            <v>15</v>
          </cell>
          <cell r="DF378">
            <v>70</v>
          </cell>
          <cell r="DG378">
            <v>180</v>
          </cell>
          <cell r="DH378">
            <v>20</v>
          </cell>
          <cell r="DI378">
            <v>15</v>
          </cell>
          <cell r="DJ378">
            <v>216</v>
          </cell>
          <cell r="DK378">
            <v>84</v>
          </cell>
          <cell r="DL378">
            <v>260</v>
          </cell>
          <cell r="DM378">
            <v>180</v>
          </cell>
          <cell r="DN378">
            <v>175</v>
          </cell>
          <cell r="DO378">
            <v>275</v>
          </cell>
          <cell r="DP378">
            <v>160</v>
          </cell>
          <cell r="DQ378">
            <v>115</v>
          </cell>
          <cell r="DR378">
            <v>120</v>
          </cell>
          <cell r="DS378">
            <v>204</v>
          </cell>
          <cell r="DT378">
            <v>450</v>
          </cell>
          <cell r="DU378">
            <v>120</v>
          </cell>
          <cell r="DV378">
            <v>170</v>
          </cell>
          <cell r="DW378">
            <v>45</v>
          </cell>
          <cell r="DX378">
            <v>255</v>
          </cell>
          <cell r="DY378">
            <v>85</v>
          </cell>
          <cell r="DZ378">
            <v>258</v>
          </cell>
          <cell r="EB378">
            <v>80</v>
          </cell>
          <cell r="EC378">
            <v>115</v>
          </cell>
          <cell r="ED378">
            <v>70</v>
          </cell>
          <cell r="EE378" t="str">
            <v>ACTIVO</v>
          </cell>
          <cell r="EF378" t="str">
            <v>B</v>
          </cell>
          <cell r="EH378">
            <v>177.05555555555554</v>
          </cell>
          <cell r="EI378">
            <v>29.509259259259256</v>
          </cell>
          <cell r="EJ378">
            <v>130.86084577867445</v>
          </cell>
          <cell r="EK378">
            <v>280</v>
          </cell>
          <cell r="EL378">
            <v>1648357.2</v>
          </cell>
          <cell r="EM378">
            <v>1.5814245371823032</v>
          </cell>
          <cell r="EN378">
            <v>118.03703703703702</v>
          </cell>
          <cell r="EO378">
            <v>59.018518518518512</v>
          </cell>
          <cell r="EP378">
            <v>177.05555555555554</v>
          </cell>
        </row>
        <row r="379">
          <cell r="F379">
            <v>107170</v>
          </cell>
          <cell r="G379" t="str">
            <v>GRANILLO CHOCOLATE MANAR</v>
          </cell>
          <cell r="H379">
            <v>150</v>
          </cell>
          <cell r="I379">
            <v>150</v>
          </cell>
          <cell r="J379">
            <v>100</v>
          </cell>
          <cell r="K379">
            <v>125</v>
          </cell>
          <cell r="L379">
            <v>100</v>
          </cell>
          <cell r="M379">
            <v>100</v>
          </cell>
          <cell r="N379">
            <v>125</v>
          </cell>
          <cell r="O379">
            <v>150</v>
          </cell>
          <cell r="P379">
            <v>150</v>
          </cell>
          <cell r="Q379">
            <v>200</v>
          </cell>
          <cell r="R379">
            <v>300</v>
          </cell>
          <cell r="S379">
            <v>100</v>
          </cell>
          <cell r="T379">
            <v>25</v>
          </cell>
          <cell r="U379">
            <v>150</v>
          </cell>
          <cell r="V379">
            <v>250</v>
          </cell>
          <cell r="W379">
            <v>250</v>
          </cell>
          <cell r="X379">
            <v>150</v>
          </cell>
          <cell r="Y379">
            <v>125</v>
          </cell>
          <cell r="Z379">
            <v>50</v>
          </cell>
          <cell r="AA379">
            <v>75</v>
          </cell>
          <cell r="AB379">
            <v>200</v>
          </cell>
          <cell r="AC379">
            <v>100</v>
          </cell>
          <cell r="AD379">
            <v>100</v>
          </cell>
          <cell r="AE379">
            <v>250</v>
          </cell>
          <cell r="AF379">
            <v>180</v>
          </cell>
          <cell r="AG379">
            <v>185</v>
          </cell>
          <cell r="AH379">
            <v>101</v>
          </cell>
          <cell r="AI379">
            <v>175</v>
          </cell>
          <cell r="AJ379">
            <v>175</v>
          </cell>
          <cell r="AK379">
            <v>175</v>
          </cell>
          <cell r="AL379">
            <v>150</v>
          </cell>
          <cell r="AM379">
            <v>200</v>
          </cell>
          <cell r="AN379">
            <v>200</v>
          </cell>
          <cell r="AO379">
            <v>100</v>
          </cell>
          <cell r="AP379">
            <v>100</v>
          </cell>
          <cell r="AQ379">
            <v>200</v>
          </cell>
          <cell r="AR379">
            <v>125</v>
          </cell>
          <cell r="AS379">
            <v>25</v>
          </cell>
          <cell r="AT379">
            <v>175</v>
          </cell>
          <cell r="AU379">
            <v>100</v>
          </cell>
          <cell r="AV379">
            <v>125</v>
          </cell>
          <cell r="AW379">
            <v>225</v>
          </cell>
          <cell r="AX379">
            <v>200</v>
          </cell>
          <cell r="AY379">
            <v>175</v>
          </cell>
          <cell r="AZ379">
            <v>150</v>
          </cell>
          <cell r="BA379">
            <v>125</v>
          </cell>
          <cell r="BB379">
            <v>125</v>
          </cell>
          <cell r="BC379">
            <v>100</v>
          </cell>
          <cell r="BD379">
            <v>100</v>
          </cell>
          <cell r="BE379">
            <v>100</v>
          </cell>
          <cell r="BF379">
            <v>100</v>
          </cell>
          <cell r="BG379">
            <v>150</v>
          </cell>
          <cell r="BH379">
            <v>75</v>
          </cell>
          <cell r="BI379">
            <v>175</v>
          </cell>
          <cell r="BJ379">
            <v>125</v>
          </cell>
          <cell r="BK379">
            <v>125</v>
          </cell>
          <cell r="BL379">
            <v>125</v>
          </cell>
          <cell r="BM379">
            <v>125</v>
          </cell>
          <cell r="BN379">
            <v>100</v>
          </cell>
          <cell r="BO379">
            <v>375</v>
          </cell>
          <cell r="BP379">
            <v>75</v>
          </cell>
          <cell r="BQ379">
            <v>150</v>
          </cell>
          <cell r="BR379">
            <v>75</v>
          </cell>
          <cell r="BS379">
            <v>75</v>
          </cell>
          <cell r="BT379">
            <v>75</v>
          </cell>
          <cell r="BU379">
            <v>150</v>
          </cell>
          <cell r="BV379">
            <v>25</v>
          </cell>
          <cell r="BW379">
            <v>225</v>
          </cell>
          <cell r="BX379">
            <v>300</v>
          </cell>
          <cell r="BY379">
            <v>150</v>
          </cell>
          <cell r="BZ379">
            <v>100</v>
          </cell>
          <cell r="CA379">
            <v>325</v>
          </cell>
          <cell r="CC379">
            <v>25</v>
          </cell>
          <cell r="CD379">
            <v>225</v>
          </cell>
          <cell r="CE379">
            <v>100</v>
          </cell>
          <cell r="CF379">
            <v>425</v>
          </cell>
          <cell r="CG379">
            <v>50</v>
          </cell>
          <cell r="CH379">
            <v>250</v>
          </cell>
          <cell r="CI379">
            <v>50</v>
          </cell>
          <cell r="CJ379">
            <v>75</v>
          </cell>
          <cell r="CK379">
            <v>200</v>
          </cell>
          <cell r="CL379">
            <v>25</v>
          </cell>
          <cell r="CM379">
            <v>275</v>
          </cell>
          <cell r="CN379">
            <v>100</v>
          </cell>
          <cell r="CO379">
            <v>275</v>
          </cell>
          <cell r="CP379">
            <v>200</v>
          </cell>
          <cell r="CQ379">
            <v>325</v>
          </cell>
          <cell r="CR379">
            <v>50</v>
          </cell>
          <cell r="CS379">
            <v>125</v>
          </cell>
          <cell r="CT379">
            <v>225</v>
          </cell>
          <cell r="CU379">
            <v>175</v>
          </cell>
          <cell r="CV379">
            <v>200</v>
          </cell>
          <cell r="CW379">
            <v>125</v>
          </cell>
          <cell r="CX379">
            <v>150</v>
          </cell>
          <cell r="CY379">
            <v>350</v>
          </cell>
          <cell r="CZ379">
            <v>25</v>
          </cell>
          <cell r="DA379">
            <v>125</v>
          </cell>
          <cell r="DB379">
            <v>250</v>
          </cell>
          <cell r="DC379">
            <v>150</v>
          </cell>
          <cell r="DD379">
            <v>25</v>
          </cell>
          <cell r="DE379">
            <v>100</v>
          </cell>
          <cell r="DF379">
            <v>150</v>
          </cell>
          <cell r="DG379">
            <v>25</v>
          </cell>
          <cell r="DH379">
            <v>25</v>
          </cell>
          <cell r="DI379">
            <v>25</v>
          </cell>
          <cell r="DJ379">
            <v>175</v>
          </cell>
          <cell r="DK379">
            <v>100</v>
          </cell>
          <cell r="DL379">
            <v>75</v>
          </cell>
          <cell r="DM379">
            <v>275</v>
          </cell>
          <cell r="DN379">
            <v>125</v>
          </cell>
          <cell r="DO379">
            <v>275</v>
          </cell>
          <cell r="DP379">
            <v>50</v>
          </cell>
          <cell r="DQ379">
            <v>75</v>
          </cell>
          <cell r="DR379">
            <v>150</v>
          </cell>
          <cell r="DS379">
            <v>300</v>
          </cell>
          <cell r="DT379">
            <v>250</v>
          </cell>
          <cell r="DU379">
            <v>250</v>
          </cell>
          <cell r="DV379">
            <v>175</v>
          </cell>
          <cell r="DW379">
            <v>225</v>
          </cell>
          <cell r="DX379">
            <v>275</v>
          </cell>
          <cell r="DY379">
            <v>174</v>
          </cell>
          <cell r="DZ379">
            <v>150</v>
          </cell>
          <cell r="EA379">
            <v>50</v>
          </cell>
          <cell r="EB379">
            <v>250</v>
          </cell>
          <cell r="EC379">
            <v>100</v>
          </cell>
          <cell r="ED379">
            <v>50</v>
          </cell>
          <cell r="EE379" t="str">
            <v>ACTIVO</v>
          </cell>
          <cell r="EF379" t="str">
            <v>B</v>
          </cell>
          <cell r="EG379">
            <v>375</v>
          </cell>
          <cell r="EH379">
            <v>173.55555555555554</v>
          </cell>
          <cell r="EI379">
            <v>28.925925925925924</v>
          </cell>
          <cell r="EJ379">
            <v>100.6705927785124</v>
          </cell>
          <cell r="EK379">
            <v>300</v>
          </cell>
          <cell r="EL379">
            <v>798600</v>
          </cell>
          <cell r="EM379">
            <v>1.7285531370038414</v>
          </cell>
          <cell r="EN379">
            <v>115.7037037037037</v>
          </cell>
          <cell r="EO379">
            <v>57.851851851851848</v>
          </cell>
          <cell r="EP379">
            <v>173.55555555555554</v>
          </cell>
        </row>
        <row r="380">
          <cell r="F380">
            <v>393399</v>
          </cell>
          <cell r="G380" t="str">
            <v>PALITOS DE CHOCOLATE PURATOS</v>
          </cell>
          <cell r="H380">
            <v>2.52</v>
          </cell>
          <cell r="I380">
            <v>2.1599999999999997</v>
          </cell>
          <cell r="J380">
            <v>1.7999999999999998</v>
          </cell>
          <cell r="K380">
            <v>1.7999999999999998</v>
          </cell>
          <cell r="L380">
            <v>1.44</v>
          </cell>
          <cell r="M380">
            <v>1.7999999999999998</v>
          </cell>
          <cell r="N380">
            <v>2.5199999999999996</v>
          </cell>
          <cell r="O380">
            <v>2.16</v>
          </cell>
          <cell r="P380">
            <v>2.52</v>
          </cell>
          <cell r="Q380">
            <v>2.5199999999999996</v>
          </cell>
          <cell r="R380">
            <v>3.6</v>
          </cell>
          <cell r="S380">
            <v>1.44</v>
          </cell>
          <cell r="U380">
            <v>2.1599999999999997</v>
          </cell>
          <cell r="V380">
            <v>1.08</v>
          </cell>
          <cell r="W380">
            <v>2.88</v>
          </cell>
          <cell r="X380">
            <v>4.3199999999999994</v>
          </cell>
          <cell r="Y380">
            <v>3.24</v>
          </cell>
          <cell r="Z380">
            <v>5.4</v>
          </cell>
          <cell r="AA380">
            <v>1.44</v>
          </cell>
          <cell r="AB380">
            <v>3.96</v>
          </cell>
          <cell r="AC380">
            <v>2.16</v>
          </cell>
          <cell r="AD380">
            <v>3.24</v>
          </cell>
          <cell r="AE380">
            <v>3.24</v>
          </cell>
          <cell r="AF380">
            <v>2.8799999999999994</v>
          </cell>
          <cell r="AG380">
            <v>3.96</v>
          </cell>
          <cell r="AH380">
            <v>2.8</v>
          </cell>
          <cell r="AI380">
            <v>3.96</v>
          </cell>
          <cell r="AJ380">
            <v>3.24</v>
          </cell>
          <cell r="AK380">
            <v>5.4</v>
          </cell>
          <cell r="AL380">
            <v>3.96</v>
          </cell>
          <cell r="AM380">
            <v>5.3999999999999995</v>
          </cell>
          <cell r="AN380">
            <v>3.24</v>
          </cell>
          <cell r="AO380">
            <v>5.04</v>
          </cell>
          <cell r="AP380">
            <v>3.96</v>
          </cell>
          <cell r="AQ380">
            <v>4.3199999999999994</v>
          </cell>
          <cell r="AR380">
            <v>4.32</v>
          </cell>
          <cell r="AS380">
            <v>0.72</v>
          </cell>
          <cell r="AT380">
            <v>5.4</v>
          </cell>
          <cell r="AU380">
            <v>5.04</v>
          </cell>
          <cell r="AV380">
            <v>4.3199999999999994</v>
          </cell>
          <cell r="AW380">
            <v>3.24</v>
          </cell>
          <cell r="AX380">
            <v>4.68</v>
          </cell>
          <cell r="AY380">
            <v>5.04</v>
          </cell>
          <cell r="AZ380">
            <v>4.32</v>
          </cell>
          <cell r="BA380">
            <v>5.3999999999999995</v>
          </cell>
          <cell r="BB380">
            <v>4.3199999999999994</v>
          </cell>
          <cell r="BC380">
            <v>5.4</v>
          </cell>
          <cell r="BD380">
            <v>4.68</v>
          </cell>
          <cell r="BE380">
            <v>5.04</v>
          </cell>
          <cell r="BF380">
            <v>6.84</v>
          </cell>
          <cell r="BG380">
            <v>4.32</v>
          </cell>
          <cell r="BH380">
            <v>2.88</v>
          </cell>
          <cell r="BI380">
            <v>5.76</v>
          </cell>
          <cell r="BJ380">
            <v>3.9599999999999991</v>
          </cell>
          <cell r="BK380">
            <v>4.3199999999999994</v>
          </cell>
          <cell r="BL380">
            <v>4.3199999999999994</v>
          </cell>
          <cell r="BM380">
            <v>4.68</v>
          </cell>
          <cell r="BN380">
            <v>5.76</v>
          </cell>
          <cell r="BO380">
            <v>3.9599999999999995</v>
          </cell>
          <cell r="BP380">
            <v>4.68</v>
          </cell>
          <cell r="BQ380">
            <v>3.96</v>
          </cell>
          <cell r="BR380">
            <v>5.3999999999999995</v>
          </cell>
          <cell r="BS380">
            <v>3.9599999999999995</v>
          </cell>
          <cell r="BT380">
            <v>3.96</v>
          </cell>
          <cell r="BU380">
            <v>4.68</v>
          </cell>
          <cell r="BV380">
            <v>4.32</v>
          </cell>
          <cell r="BW380">
            <v>4.32</v>
          </cell>
          <cell r="BX380">
            <v>5.0399999999999991</v>
          </cell>
          <cell r="BY380">
            <v>5.04</v>
          </cell>
          <cell r="BZ380">
            <v>5.4</v>
          </cell>
          <cell r="CA380">
            <v>5.04</v>
          </cell>
          <cell r="CB380">
            <v>4.68</v>
          </cell>
          <cell r="CC380">
            <v>4.32</v>
          </cell>
          <cell r="CD380">
            <v>4.32</v>
          </cell>
          <cell r="CE380">
            <v>5.4</v>
          </cell>
          <cell r="CF380">
            <v>4.3199999999999994</v>
          </cell>
          <cell r="CG380">
            <v>4.3199999999999994</v>
          </cell>
          <cell r="CH380">
            <v>4.68</v>
          </cell>
          <cell r="CI380">
            <v>3.96</v>
          </cell>
          <cell r="CJ380">
            <v>4.68</v>
          </cell>
          <cell r="CK380">
            <v>3.9599999999999995</v>
          </cell>
          <cell r="CL380">
            <v>3.96</v>
          </cell>
          <cell r="CM380">
            <v>4.68</v>
          </cell>
          <cell r="CN380">
            <v>4.68</v>
          </cell>
          <cell r="CO380">
            <v>4.68</v>
          </cell>
          <cell r="CP380">
            <v>4.32</v>
          </cell>
          <cell r="CQ380">
            <v>4.68</v>
          </cell>
          <cell r="CR380">
            <v>3.96</v>
          </cell>
          <cell r="CS380">
            <v>0.72</v>
          </cell>
          <cell r="CT380">
            <v>3.9599999999999991</v>
          </cell>
          <cell r="CU380">
            <v>3.5999999999999996</v>
          </cell>
          <cell r="CV380">
            <v>3.2399999999999998</v>
          </cell>
          <cell r="CW380">
            <v>3.5999999999999992</v>
          </cell>
          <cell r="CX380">
            <v>3.5999999999999996</v>
          </cell>
          <cell r="CY380">
            <v>3.2399999999999998</v>
          </cell>
          <cell r="CZ380">
            <v>2.88</v>
          </cell>
          <cell r="DA380">
            <v>3.5999999999999992</v>
          </cell>
          <cell r="DB380">
            <v>3.2399999999999998</v>
          </cell>
          <cell r="DC380">
            <v>3.2399999999999998</v>
          </cell>
          <cell r="DD380">
            <v>3.5999999999999996</v>
          </cell>
          <cell r="DE380">
            <v>2.8799999999999994</v>
          </cell>
          <cell r="DF380">
            <v>3.5999999999999996</v>
          </cell>
          <cell r="DG380">
            <v>3.5999999999999996</v>
          </cell>
          <cell r="DH380">
            <v>1.44</v>
          </cell>
          <cell r="DM380">
            <v>0.72</v>
          </cell>
          <cell r="DO380">
            <v>1.08</v>
          </cell>
          <cell r="DP380">
            <v>2.88</v>
          </cell>
          <cell r="DQ380">
            <v>3.2399999999999998</v>
          </cell>
          <cell r="DR380">
            <v>3.5999999999999992</v>
          </cell>
          <cell r="DS380">
            <v>3.5999999999999992</v>
          </cell>
          <cell r="DT380">
            <v>4.32</v>
          </cell>
          <cell r="DU380">
            <v>5.7600000000000007</v>
          </cell>
          <cell r="DV380">
            <v>4.3199999999999994</v>
          </cell>
          <cell r="DW380">
            <v>3.2399999999999998</v>
          </cell>
          <cell r="DX380">
            <v>3.9599999999999995</v>
          </cell>
          <cell r="DY380">
            <v>4.3199999999999994</v>
          </cell>
          <cell r="DZ380">
            <v>4.3199999999999994</v>
          </cell>
          <cell r="EA380">
            <v>5.04</v>
          </cell>
          <cell r="EB380">
            <v>5.4</v>
          </cell>
          <cell r="EC380">
            <v>3.2799999999999994</v>
          </cell>
          <cell r="ED380">
            <v>5.3999999999999995</v>
          </cell>
          <cell r="EE380" t="str">
            <v>ACTIVO</v>
          </cell>
          <cell r="EF380" t="str">
            <v>C</v>
          </cell>
          <cell r="EG380">
            <v>57.6</v>
          </cell>
          <cell r="EH380">
            <v>3.4892307692307694</v>
          </cell>
          <cell r="EI380">
            <v>0.58153846153846156</v>
          </cell>
          <cell r="EJ380">
            <v>0.92922927940364508</v>
          </cell>
          <cell r="EK380">
            <v>86.04</v>
          </cell>
          <cell r="EL380">
            <v>4987264.7196000004</v>
          </cell>
          <cell r="EM380">
            <v>24.658730158730158</v>
          </cell>
          <cell r="EN380">
            <v>1.7446153846153847</v>
          </cell>
          <cell r="EO380">
            <v>1.1630769230769231</v>
          </cell>
          <cell r="EP380">
            <v>2.907692307692308</v>
          </cell>
        </row>
        <row r="381">
          <cell r="F381">
            <v>107249</v>
          </cell>
          <cell r="G381" t="str">
            <v>COBERTURA CHOCOLATES MONEDAS PURATOS</v>
          </cell>
          <cell r="H381">
            <v>60</v>
          </cell>
          <cell r="I381">
            <v>60</v>
          </cell>
          <cell r="J381">
            <v>90</v>
          </cell>
          <cell r="K381">
            <v>30</v>
          </cell>
          <cell r="L381">
            <v>60</v>
          </cell>
          <cell r="M381">
            <v>70</v>
          </cell>
          <cell r="N381">
            <v>60</v>
          </cell>
          <cell r="O381">
            <v>100</v>
          </cell>
          <cell r="P381">
            <v>50</v>
          </cell>
          <cell r="Q381">
            <v>80</v>
          </cell>
          <cell r="R381">
            <v>120</v>
          </cell>
          <cell r="S381">
            <v>30</v>
          </cell>
          <cell r="T381">
            <v>40</v>
          </cell>
          <cell r="U381">
            <v>20</v>
          </cell>
          <cell r="V381">
            <v>120</v>
          </cell>
          <cell r="W381">
            <v>60</v>
          </cell>
          <cell r="X381">
            <v>80</v>
          </cell>
          <cell r="Y381">
            <v>61</v>
          </cell>
          <cell r="AA381">
            <v>11</v>
          </cell>
          <cell r="AB381">
            <v>80</v>
          </cell>
          <cell r="AC381">
            <v>60</v>
          </cell>
          <cell r="AD381">
            <v>50</v>
          </cell>
          <cell r="AE381">
            <v>130</v>
          </cell>
          <cell r="AF381">
            <v>20</v>
          </cell>
          <cell r="AG381">
            <v>50</v>
          </cell>
          <cell r="AH381">
            <v>41</v>
          </cell>
          <cell r="AI381">
            <v>60</v>
          </cell>
          <cell r="AJ381">
            <v>79</v>
          </cell>
          <cell r="AK381">
            <v>50</v>
          </cell>
          <cell r="AL381">
            <v>40</v>
          </cell>
          <cell r="AM381">
            <v>70</v>
          </cell>
          <cell r="AN381">
            <v>60</v>
          </cell>
          <cell r="AO381">
            <v>60</v>
          </cell>
          <cell r="AP381">
            <v>30</v>
          </cell>
          <cell r="AQ381">
            <v>100</v>
          </cell>
          <cell r="AR381">
            <v>20</v>
          </cell>
          <cell r="AS381">
            <v>20</v>
          </cell>
          <cell r="AT381">
            <v>30</v>
          </cell>
          <cell r="AU381">
            <v>40</v>
          </cell>
          <cell r="AV381">
            <v>30</v>
          </cell>
          <cell r="AW381">
            <v>31</v>
          </cell>
          <cell r="AX381">
            <v>40</v>
          </cell>
          <cell r="AY381">
            <v>50</v>
          </cell>
          <cell r="AZ381">
            <v>70</v>
          </cell>
          <cell r="BA381">
            <v>20</v>
          </cell>
          <cell r="BB381">
            <v>80</v>
          </cell>
          <cell r="BC381">
            <v>20</v>
          </cell>
          <cell r="BD381">
            <v>40</v>
          </cell>
          <cell r="BE381">
            <v>50</v>
          </cell>
          <cell r="BF381">
            <v>60</v>
          </cell>
          <cell r="BG381">
            <v>20</v>
          </cell>
          <cell r="BH381">
            <v>10</v>
          </cell>
          <cell r="BI381">
            <v>90</v>
          </cell>
          <cell r="BJ381">
            <v>120</v>
          </cell>
          <cell r="BK381">
            <v>30</v>
          </cell>
          <cell r="BL381">
            <v>40</v>
          </cell>
          <cell r="BM381">
            <v>100</v>
          </cell>
          <cell r="BO381">
            <v>200</v>
          </cell>
          <cell r="BP381">
            <v>30</v>
          </cell>
          <cell r="BQ381">
            <v>40</v>
          </cell>
          <cell r="BR381">
            <v>20</v>
          </cell>
          <cell r="BU381">
            <v>130</v>
          </cell>
          <cell r="BW381">
            <v>80</v>
          </cell>
          <cell r="BX381">
            <v>168</v>
          </cell>
          <cell r="BY381">
            <v>68</v>
          </cell>
          <cell r="BZ381">
            <v>26</v>
          </cell>
          <cell r="CA381">
            <v>156</v>
          </cell>
          <cell r="CD381">
            <v>109</v>
          </cell>
          <cell r="CE381">
            <v>20</v>
          </cell>
          <cell r="CF381">
            <v>110</v>
          </cell>
          <cell r="CH381">
            <v>120</v>
          </cell>
          <cell r="CK381">
            <v>30</v>
          </cell>
          <cell r="CM381">
            <v>91</v>
          </cell>
          <cell r="CN381">
            <v>32</v>
          </cell>
          <cell r="CO381">
            <v>87</v>
          </cell>
          <cell r="CP381">
            <v>10</v>
          </cell>
          <cell r="CQ381">
            <v>134</v>
          </cell>
          <cell r="CS381">
            <v>72</v>
          </cell>
          <cell r="CT381">
            <v>88</v>
          </cell>
          <cell r="CU381">
            <v>75</v>
          </cell>
          <cell r="CW381">
            <v>58</v>
          </cell>
          <cell r="CX381">
            <v>87</v>
          </cell>
          <cell r="CY381">
            <v>72</v>
          </cell>
          <cell r="DB381">
            <v>129</v>
          </cell>
          <cell r="DF381">
            <v>61</v>
          </cell>
          <cell r="DK381">
            <v>58</v>
          </cell>
          <cell r="DM381">
            <v>87</v>
          </cell>
          <cell r="DN381">
            <v>22</v>
          </cell>
          <cell r="DO381">
            <v>72</v>
          </cell>
          <cell r="DP381">
            <v>22</v>
          </cell>
          <cell r="DR381">
            <v>74</v>
          </cell>
          <cell r="DS381">
            <v>62</v>
          </cell>
          <cell r="DT381">
            <v>75</v>
          </cell>
          <cell r="DX381">
            <v>109</v>
          </cell>
          <cell r="DY381">
            <v>76</v>
          </cell>
          <cell r="EB381">
            <v>135</v>
          </cell>
          <cell r="ED381">
            <v>44</v>
          </cell>
          <cell r="EE381" t="str">
            <v>ACTIVO</v>
          </cell>
          <cell r="EF381" t="str">
            <v>C</v>
          </cell>
          <cell r="EG381">
            <v>200</v>
          </cell>
          <cell r="EH381">
            <v>65.7</v>
          </cell>
          <cell r="EI381">
            <v>10.950000000000001</v>
          </cell>
          <cell r="EJ381">
            <v>47.832269703155802</v>
          </cell>
          <cell r="EK381">
            <v>124</v>
          </cell>
          <cell r="EL381">
            <v>465000</v>
          </cell>
          <cell r="EM381">
            <v>1.8873668188736681</v>
          </cell>
          <cell r="EN381">
            <v>32.85</v>
          </cell>
          <cell r="EO381">
            <v>21.900000000000002</v>
          </cell>
          <cell r="EP381">
            <v>54.75</v>
          </cell>
        </row>
        <row r="382">
          <cell r="F382">
            <v>107133</v>
          </cell>
          <cell r="G382" t="str">
            <v>GANACHE PURATOS</v>
          </cell>
          <cell r="H382">
            <v>120</v>
          </cell>
          <cell r="V382">
            <v>28</v>
          </cell>
          <cell r="W382">
            <v>464</v>
          </cell>
          <cell r="X382">
            <v>585.5</v>
          </cell>
          <cell r="Y382">
            <v>416</v>
          </cell>
          <cell r="Z382">
            <v>164</v>
          </cell>
          <cell r="AA382">
            <v>367</v>
          </cell>
          <cell r="AB382">
            <v>627.5</v>
          </cell>
          <cell r="AC382">
            <v>493</v>
          </cell>
          <cell r="AD382">
            <v>717.5</v>
          </cell>
          <cell r="AE382">
            <v>577</v>
          </cell>
          <cell r="AF382">
            <v>423</v>
          </cell>
          <cell r="AG382">
            <v>707.5</v>
          </cell>
          <cell r="AH382">
            <v>742.5</v>
          </cell>
          <cell r="AI382">
            <v>670.5</v>
          </cell>
          <cell r="AJ382">
            <v>652.5</v>
          </cell>
          <cell r="AK382">
            <v>785.5</v>
          </cell>
          <cell r="AL382">
            <v>534.5</v>
          </cell>
          <cell r="AM382">
            <v>536</v>
          </cell>
          <cell r="AN382">
            <v>734</v>
          </cell>
          <cell r="AO382">
            <v>490</v>
          </cell>
          <cell r="AP382">
            <v>553.5</v>
          </cell>
          <cell r="AQ382">
            <v>678.5</v>
          </cell>
          <cell r="AR382">
            <v>522</v>
          </cell>
          <cell r="AS382">
            <v>260</v>
          </cell>
          <cell r="AT382">
            <v>552</v>
          </cell>
          <cell r="AU382">
            <v>470</v>
          </cell>
          <cell r="AV382">
            <v>416</v>
          </cell>
          <cell r="AW382">
            <v>324</v>
          </cell>
          <cell r="AX382">
            <v>388</v>
          </cell>
          <cell r="AY382">
            <v>368</v>
          </cell>
          <cell r="AZ382">
            <v>376</v>
          </cell>
          <cell r="BA382">
            <v>364</v>
          </cell>
          <cell r="BB382">
            <v>644</v>
          </cell>
          <cell r="BC382">
            <v>593.5</v>
          </cell>
          <cell r="BD382">
            <v>560</v>
          </cell>
          <cell r="BE382">
            <v>668</v>
          </cell>
          <cell r="BF382">
            <v>725</v>
          </cell>
          <cell r="BG382">
            <v>444</v>
          </cell>
          <cell r="BH382">
            <v>248</v>
          </cell>
          <cell r="BI382">
            <v>568</v>
          </cell>
          <cell r="BJ382">
            <v>540</v>
          </cell>
          <cell r="BK382">
            <v>828</v>
          </cell>
          <cell r="BL382">
            <v>956</v>
          </cell>
          <cell r="BM382">
            <v>848</v>
          </cell>
          <cell r="BN382">
            <v>765</v>
          </cell>
          <cell r="BO382">
            <v>496</v>
          </cell>
          <cell r="BP382">
            <v>620</v>
          </cell>
          <cell r="BQ382">
            <v>732</v>
          </cell>
          <cell r="BR382">
            <v>700</v>
          </cell>
          <cell r="BS382">
            <v>616</v>
          </cell>
          <cell r="BT382">
            <v>720</v>
          </cell>
          <cell r="BU382">
            <v>1476</v>
          </cell>
          <cell r="BV382">
            <v>2304</v>
          </cell>
          <cell r="BW382">
            <v>880</v>
          </cell>
          <cell r="BX382">
            <v>1006</v>
          </cell>
          <cell r="BY382">
            <v>770</v>
          </cell>
          <cell r="BZ382">
            <v>156</v>
          </cell>
          <cell r="CA382">
            <v>600</v>
          </cell>
          <cell r="CB382">
            <v>464</v>
          </cell>
          <cell r="CC382">
            <v>760</v>
          </cell>
          <cell r="CD382">
            <v>1058</v>
          </cell>
          <cell r="CE382">
            <v>624</v>
          </cell>
          <cell r="CF382">
            <v>589</v>
          </cell>
          <cell r="CG382">
            <v>2584</v>
          </cell>
          <cell r="CH382">
            <v>312</v>
          </cell>
          <cell r="CI382">
            <v>460</v>
          </cell>
          <cell r="CJ382">
            <v>648</v>
          </cell>
          <cell r="CK382">
            <v>584</v>
          </cell>
          <cell r="CL382">
            <v>760</v>
          </cell>
          <cell r="CM382">
            <v>788</v>
          </cell>
          <cell r="CN382">
            <v>976</v>
          </cell>
          <cell r="CO382">
            <v>892</v>
          </cell>
          <cell r="CP382">
            <v>935</v>
          </cell>
          <cell r="CQ382">
            <v>1084</v>
          </cell>
          <cell r="CR382">
            <v>1164</v>
          </cell>
          <cell r="CS382">
            <v>864</v>
          </cell>
          <cell r="CT382">
            <v>1504</v>
          </cell>
          <cell r="CU382">
            <v>440</v>
          </cell>
          <cell r="CV382">
            <v>884</v>
          </cell>
          <cell r="CW382">
            <v>653</v>
          </cell>
          <cell r="CX382">
            <v>888</v>
          </cell>
          <cell r="CY382">
            <v>544</v>
          </cell>
          <cell r="CZ382">
            <v>676</v>
          </cell>
          <cell r="DA382">
            <v>1016</v>
          </cell>
          <cell r="DB382">
            <v>1060</v>
          </cell>
          <cell r="DC382">
            <v>1384</v>
          </cell>
          <cell r="DD382">
            <v>1808</v>
          </cell>
          <cell r="DE382">
            <v>592</v>
          </cell>
          <cell r="DF382">
            <v>312</v>
          </cell>
          <cell r="DG382">
            <v>118.8</v>
          </cell>
          <cell r="DH382">
            <v>24</v>
          </cell>
          <cell r="DJ382">
            <v>96</v>
          </cell>
          <cell r="DK382">
            <v>120</v>
          </cell>
          <cell r="DL382">
            <v>105</v>
          </cell>
          <cell r="DM382">
            <v>80</v>
          </cell>
          <cell r="DN382">
            <v>52</v>
          </cell>
          <cell r="DO382">
            <v>88</v>
          </cell>
          <cell r="DP382">
            <v>204</v>
          </cell>
          <cell r="DQ382">
            <v>360</v>
          </cell>
          <cell r="DR382">
            <v>424</v>
          </cell>
          <cell r="DS382">
            <v>436</v>
          </cell>
          <cell r="DT382">
            <v>671</v>
          </cell>
          <cell r="DU382">
            <v>620</v>
          </cell>
          <cell r="DV382">
            <v>172</v>
          </cell>
          <cell r="DW382">
            <v>680</v>
          </cell>
          <cell r="DX382">
            <v>1216</v>
          </cell>
          <cell r="DY382">
            <v>752</v>
          </cell>
          <cell r="DZ382">
            <v>624</v>
          </cell>
          <cell r="EB382">
            <v>664</v>
          </cell>
          <cell r="EC382">
            <v>548</v>
          </cell>
          <cell r="ED382">
            <v>900</v>
          </cell>
          <cell r="EE382" t="str">
            <v>ACTIVO</v>
          </cell>
          <cell r="EF382" t="str">
            <v>A</v>
          </cell>
          <cell r="EG382">
            <v>480</v>
          </cell>
          <cell r="EH382">
            <v>394.11764705882354</v>
          </cell>
          <cell r="EI382">
            <v>65.686274509803923</v>
          </cell>
          <cell r="EJ382">
            <v>471.17426837171053</v>
          </cell>
          <cell r="EK382">
            <v>2320</v>
          </cell>
          <cell r="EL382">
            <v>9812672</v>
          </cell>
          <cell r="EM382">
            <v>5.8865671641791044</v>
          </cell>
          <cell r="EN382">
            <v>197.05882352941177</v>
          </cell>
          <cell r="EO382">
            <v>131.37254901960785</v>
          </cell>
          <cell r="EP382">
            <v>328.43137254901961</v>
          </cell>
        </row>
        <row r="383">
          <cell r="F383">
            <v>107303</v>
          </cell>
          <cell r="G383" t="str">
            <v>CURLS CHOCOLATE PURATOS</v>
          </cell>
          <cell r="H383">
            <v>4</v>
          </cell>
          <cell r="W383">
            <v>40</v>
          </cell>
          <cell r="X383">
            <v>4</v>
          </cell>
          <cell r="Y383">
            <v>0</v>
          </cell>
          <cell r="Z383">
            <v>16</v>
          </cell>
          <cell r="AA383">
            <v>4</v>
          </cell>
          <cell r="AB383">
            <v>36</v>
          </cell>
          <cell r="AC383">
            <v>20</v>
          </cell>
          <cell r="AD383">
            <v>56</v>
          </cell>
          <cell r="AF383">
            <v>32</v>
          </cell>
          <cell r="AG383">
            <v>20</v>
          </cell>
          <cell r="AH383">
            <v>12</v>
          </cell>
          <cell r="AI383">
            <v>20</v>
          </cell>
          <cell r="AJ383">
            <v>24</v>
          </cell>
          <cell r="AK383">
            <v>16</v>
          </cell>
          <cell r="AL383">
            <v>16</v>
          </cell>
          <cell r="AM383">
            <v>16</v>
          </cell>
          <cell r="AN383">
            <v>16</v>
          </cell>
          <cell r="AO383">
            <v>28</v>
          </cell>
          <cell r="AP383">
            <v>8</v>
          </cell>
          <cell r="AQ383">
            <v>20</v>
          </cell>
          <cell r="AR383">
            <v>12</v>
          </cell>
          <cell r="AS383">
            <v>16</v>
          </cell>
          <cell r="AT383">
            <v>12</v>
          </cell>
          <cell r="AU383">
            <v>16</v>
          </cell>
          <cell r="AV383">
            <v>16</v>
          </cell>
          <cell r="AW383">
            <v>36</v>
          </cell>
          <cell r="AX383">
            <v>12</v>
          </cell>
          <cell r="AZ383">
            <v>12</v>
          </cell>
          <cell r="BA383">
            <v>4</v>
          </cell>
          <cell r="BB383">
            <v>20</v>
          </cell>
          <cell r="BC383">
            <v>16</v>
          </cell>
          <cell r="BD383">
            <v>12</v>
          </cell>
          <cell r="BE383">
            <v>12</v>
          </cell>
          <cell r="BG383">
            <v>4</v>
          </cell>
          <cell r="BI383">
            <v>8</v>
          </cell>
          <cell r="BJ383">
            <v>16</v>
          </cell>
          <cell r="BK383">
            <v>16</v>
          </cell>
          <cell r="BL383">
            <v>16</v>
          </cell>
          <cell r="BM383">
            <v>16</v>
          </cell>
          <cell r="BN383">
            <v>4</v>
          </cell>
          <cell r="BO383">
            <v>12</v>
          </cell>
          <cell r="BP383">
            <v>4</v>
          </cell>
          <cell r="BQ383">
            <v>20</v>
          </cell>
          <cell r="BR383">
            <v>16</v>
          </cell>
          <cell r="BS383">
            <v>16</v>
          </cell>
          <cell r="BT383">
            <v>28</v>
          </cell>
          <cell r="BU383">
            <v>8</v>
          </cell>
          <cell r="BW383">
            <v>8</v>
          </cell>
          <cell r="BX383">
            <v>60</v>
          </cell>
          <cell r="BY383">
            <v>16</v>
          </cell>
          <cell r="BZ383">
            <v>4</v>
          </cell>
          <cell r="CA383">
            <v>28</v>
          </cell>
          <cell r="CB383">
            <v>8</v>
          </cell>
          <cell r="CC383">
            <v>32</v>
          </cell>
          <cell r="CD383">
            <v>12</v>
          </cell>
          <cell r="CE383">
            <v>12</v>
          </cell>
          <cell r="CF383">
            <v>8</v>
          </cell>
          <cell r="CG383">
            <v>20</v>
          </cell>
          <cell r="CH383">
            <v>12</v>
          </cell>
          <cell r="CI383">
            <v>12</v>
          </cell>
          <cell r="CJ383">
            <v>4</v>
          </cell>
          <cell r="CK383">
            <v>8</v>
          </cell>
          <cell r="CL383">
            <v>16</v>
          </cell>
          <cell r="CM383">
            <v>8</v>
          </cell>
          <cell r="CN383">
            <v>8</v>
          </cell>
          <cell r="CO383">
            <v>12</v>
          </cell>
          <cell r="CP383">
            <v>16</v>
          </cell>
          <cell r="CQ383">
            <v>12</v>
          </cell>
          <cell r="CR383">
            <v>16</v>
          </cell>
          <cell r="CS383">
            <v>12</v>
          </cell>
          <cell r="CT383">
            <v>28</v>
          </cell>
          <cell r="CU383">
            <v>4</v>
          </cell>
          <cell r="CV383">
            <v>16</v>
          </cell>
          <cell r="CW383">
            <v>16</v>
          </cell>
          <cell r="CX383">
            <v>20</v>
          </cell>
          <cell r="CY383">
            <v>8</v>
          </cell>
          <cell r="CZ383">
            <v>4</v>
          </cell>
          <cell r="DA383">
            <v>20</v>
          </cell>
          <cell r="DC383">
            <v>12</v>
          </cell>
          <cell r="DD383">
            <v>12</v>
          </cell>
          <cell r="DE383">
            <v>24</v>
          </cell>
          <cell r="DF383">
            <v>16</v>
          </cell>
          <cell r="DG383">
            <v>8</v>
          </cell>
          <cell r="DH383">
            <v>4</v>
          </cell>
          <cell r="DJ383">
            <v>12</v>
          </cell>
          <cell r="DK383">
            <v>28</v>
          </cell>
          <cell r="DL383">
            <v>28</v>
          </cell>
          <cell r="DM383">
            <v>12</v>
          </cell>
          <cell r="DN383">
            <v>20</v>
          </cell>
          <cell r="DO383">
            <v>20</v>
          </cell>
          <cell r="DP383">
            <v>24</v>
          </cell>
          <cell r="DQ383">
            <v>32</v>
          </cell>
          <cell r="DR383">
            <v>20</v>
          </cell>
          <cell r="DS383">
            <v>24</v>
          </cell>
          <cell r="DT383">
            <v>24</v>
          </cell>
          <cell r="DU383">
            <v>16</v>
          </cell>
          <cell r="DV383">
            <v>8</v>
          </cell>
          <cell r="DW383">
            <v>20</v>
          </cell>
          <cell r="DX383">
            <v>24</v>
          </cell>
          <cell r="DY383">
            <v>32</v>
          </cell>
          <cell r="DZ383">
            <v>36</v>
          </cell>
          <cell r="EB383">
            <v>24</v>
          </cell>
          <cell r="EC383">
            <v>20</v>
          </cell>
          <cell r="ED383">
            <v>28</v>
          </cell>
          <cell r="EE383" t="str">
            <v>ACTIVO</v>
          </cell>
          <cell r="EF383" t="str">
            <v>B</v>
          </cell>
          <cell r="EG383">
            <v>80</v>
          </cell>
          <cell r="EH383">
            <v>22.352941176470587</v>
          </cell>
          <cell r="EI383">
            <v>3.725490196078431</v>
          </cell>
          <cell r="EJ383">
            <v>9.4963795464269385</v>
          </cell>
          <cell r="EK383">
            <v>76</v>
          </cell>
          <cell r="EL383">
            <v>1744829.28</v>
          </cell>
          <cell r="EM383">
            <v>3.4000000000000004</v>
          </cell>
          <cell r="EN383">
            <v>11.176470588235293</v>
          </cell>
          <cell r="EO383">
            <v>7.450980392156862</v>
          </cell>
          <cell r="EP383">
            <v>18.627450980392155</v>
          </cell>
        </row>
        <row r="384">
          <cell r="F384">
            <v>107356</v>
          </cell>
          <cell r="G384" t="str">
            <v>CHOCOLATE SEMI AMARGO 54% MEL</v>
          </cell>
          <cell r="H384">
            <v>30</v>
          </cell>
          <cell r="V384">
            <v>45</v>
          </cell>
          <cell r="W384">
            <v>285</v>
          </cell>
          <cell r="X384">
            <v>44</v>
          </cell>
          <cell r="Y384">
            <v>120</v>
          </cell>
          <cell r="Z384">
            <v>90</v>
          </cell>
          <cell r="AA384">
            <v>170</v>
          </cell>
          <cell r="AB384">
            <v>250</v>
          </cell>
          <cell r="AC384">
            <v>170</v>
          </cell>
          <cell r="AD384">
            <v>390</v>
          </cell>
          <cell r="AE384">
            <v>100</v>
          </cell>
          <cell r="AF384">
            <v>190</v>
          </cell>
          <cell r="AG384">
            <v>160</v>
          </cell>
          <cell r="AH384">
            <v>200</v>
          </cell>
          <cell r="AI384">
            <v>170</v>
          </cell>
          <cell r="AJ384">
            <v>180</v>
          </cell>
          <cell r="AK384">
            <v>200</v>
          </cell>
          <cell r="AL384">
            <v>330</v>
          </cell>
          <cell r="AM384">
            <v>130</v>
          </cell>
          <cell r="AN384">
            <v>130</v>
          </cell>
          <cell r="AO384">
            <v>150</v>
          </cell>
          <cell r="AP384">
            <v>140</v>
          </cell>
          <cell r="AQ384">
            <v>280</v>
          </cell>
          <cell r="AR384">
            <v>210</v>
          </cell>
          <cell r="AS384">
            <v>70</v>
          </cell>
          <cell r="AT384">
            <v>70</v>
          </cell>
          <cell r="AU384">
            <v>160</v>
          </cell>
          <cell r="AV384">
            <v>56.5</v>
          </cell>
          <cell r="AZ384">
            <v>30</v>
          </cell>
          <cell r="BA384">
            <v>30</v>
          </cell>
          <cell r="BB384">
            <v>168</v>
          </cell>
          <cell r="BC384">
            <v>136.44</v>
          </cell>
          <cell r="BD384">
            <v>120</v>
          </cell>
          <cell r="BE384">
            <v>110</v>
          </cell>
          <cell r="BF384">
            <v>60</v>
          </cell>
          <cell r="BG384">
            <v>100</v>
          </cell>
          <cell r="BH384">
            <v>60</v>
          </cell>
          <cell r="BI384">
            <v>110</v>
          </cell>
          <cell r="BJ384">
            <v>84</v>
          </cell>
          <cell r="BK384">
            <v>120</v>
          </cell>
          <cell r="BL384">
            <v>20</v>
          </cell>
          <cell r="BM384">
            <v>50</v>
          </cell>
          <cell r="BN384">
            <v>40</v>
          </cell>
          <cell r="BO384">
            <v>60</v>
          </cell>
          <cell r="BP384">
            <v>80</v>
          </cell>
          <cell r="BQ384">
            <v>50</v>
          </cell>
          <cell r="BR384">
            <v>70</v>
          </cell>
          <cell r="BS384">
            <v>130</v>
          </cell>
          <cell r="BT384">
            <v>110</v>
          </cell>
          <cell r="BU384">
            <v>80</v>
          </cell>
          <cell r="BV384">
            <v>30</v>
          </cell>
          <cell r="BW384">
            <v>130</v>
          </cell>
          <cell r="BX384">
            <v>320</v>
          </cell>
          <cell r="BY384">
            <v>230</v>
          </cell>
          <cell r="BZ384">
            <v>30</v>
          </cell>
          <cell r="CA384">
            <v>200</v>
          </cell>
          <cell r="CB384">
            <v>110</v>
          </cell>
          <cell r="CC384">
            <v>210</v>
          </cell>
          <cell r="CD384">
            <v>60</v>
          </cell>
          <cell r="CE384">
            <v>60</v>
          </cell>
          <cell r="CF384">
            <v>50</v>
          </cell>
          <cell r="CG384">
            <v>180</v>
          </cell>
          <cell r="CH384">
            <v>80</v>
          </cell>
          <cell r="CI384">
            <v>80</v>
          </cell>
          <cell r="CJ384">
            <v>90</v>
          </cell>
          <cell r="CK384">
            <v>200</v>
          </cell>
          <cell r="CL384">
            <v>170</v>
          </cell>
          <cell r="CM384">
            <v>30</v>
          </cell>
          <cell r="CN384">
            <v>60</v>
          </cell>
          <cell r="CO384">
            <v>190</v>
          </cell>
          <cell r="CP384">
            <v>240</v>
          </cell>
          <cell r="CQ384">
            <v>110</v>
          </cell>
          <cell r="CR384">
            <v>160</v>
          </cell>
          <cell r="CS384">
            <v>80</v>
          </cell>
          <cell r="CT384">
            <v>210</v>
          </cell>
          <cell r="CU384">
            <v>30</v>
          </cell>
          <cell r="CV384">
            <v>200</v>
          </cell>
          <cell r="CW384">
            <v>110</v>
          </cell>
          <cell r="CX384">
            <v>100</v>
          </cell>
          <cell r="CY384">
            <v>80</v>
          </cell>
          <cell r="CZ384">
            <v>90</v>
          </cell>
          <cell r="DA384">
            <v>150</v>
          </cell>
          <cell r="DB384">
            <v>50</v>
          </cell>
          <cell r="DC384">
            <v>160</v>
          </cell>
          <cell r="DD384">
            <v>90</v>
          </cell>
          <cell r="DE384">
            <v>150</v>
          </cell>
          <cell r="DF384">
            <v>80</v>
          </cell>
          <cell r="DG384">
            <v>20</v>
          </cell>
          <cell r="DH384">
            <v>30</v>
          </cell>
          <cell r="DJ384">
            <v>190</v>
          </cell>
          <cell r="DK384">
            <v>140</v>
          </cell>
          <cell r="DL384">
            <v>190</v>
          </cell>
          <cell r="DM384">
            <v>80</v>
          </cell>
          <cell r="DN384">
            <v>110</v>
          </cell>
          <cell r="DO384">
            <v>140</v>
          </cell>
          <cell r="DP384">
            <v>120</v>
          </cell>
          <cell r="DQ384">
            <v>120</v>
          </cell>
          <cell r="DR384">
            <v>110</v>
          </cell>
          <cell r="DS384">
            <v>100</v>
          </cell>
          <cell r="DT384">
            <v>120</v>
          </cell>
          <cell r="DU384">
            <v>80</v>
          </cell>
          <cell r="DV384">
            <v>60</v>
          </cell>
          <cell r="DW384">
            <v>50</v>
          </cell>
          <cell r="DZ384">
            <v>98</v>
          </cell>
          <cell r="EB384">
            <v>62</v>
          </cell>
          <cell r="ED384">
            <v>100</v>
          </cell>
          <cell r="EE384" t="str">
            <v>ACTIVO</v>
          </cell>
          <cell r="EF384" t="str">
            <v>B</v>
          </cell>
          <cell r="EG384">
            <v>600</v>
          </cell>
          <cell r="EH384">
            <v>113.86666666666666</v>
          </cell>
          <cell r="EI384">
            <v>18.977777777777778</v>
          </cell>
          <cell r="EJ384">
            <v>66.984802123539595</v>
          </cell>
          <cell r="EK384">
            <v>200</v>
          </cell>
          <cell r="EL384">
            <v>2400000</v>
          </cell>
          <cell r="EM384">
            <v>1.7564402810304451</v>
          </cell>
          <cell r="EN384">
            <v>37.955555555555556</v>
          </cell>
          <cell r="EO384">
            <v>37.955555555555556</v>
          </cell>
          <cell r="EP384">
            <v>75.911111111111111</v>
          </cell>
        </row>
        <row r="385">
          <cell r="F385">
            <v>393400</v>
          </cell>
          <cell r="G385" t="str">
            <v>COVER PASTELERÍA U2 SEMIAMARGO GOTA PURATOS</v>
          </cell>
          <cell r="H385">
            <v>34</v>
          </cell>
          <cell r="J385">
            <v>24</v>
          </cell>
          <cell r="K385">
            <v>48</v>
          </cell>
          <cell r="L385">
            <v>12</v>
          </cell>
          <cell r="M385">
            <v>24</v>
          </cell>
          <cell r="N385">
            <v>60</v>
          </cell>
          <cell r="P385">
            <v>36</v>
          </cell>
          <cell r="Q385">
            <v>32</v>
          </cell>
          <cell r="S385">
            <v>10</v>
          </cell>
          <cell r="T385">
            <v>36</v>
          </cell>
          <cell r="U385">
            <v>72</v>
          </cell>
          <cell r="V385">
            <v>60</v>
          </cell>
          <cell r="W385">
            <v>36</v>
          </cell>
          <cell r="X385">
            <v>36</v>
          </cell>
          <cell r="Y385">
            <v>46</v>
          </cell>
          <cell r="Z385">
            <v>36</v>
          </cell>
          <cell r="AA385">
            <v>0</v>
          </cell>
          <cell r="AB385">
            <v>48</v>
          </cell>
          <cell r="AC385">
            <v>44</v>
          </cell>
          <cell r="AD385">
            <v>44</v>
          </cell>
          <cell r="AE385">
            <v>96</v>
          </cell>
          <cell r="AF385">
            <v>12</v>
          </cell>
          <cell r="AG385">
            <v>12</v>
          </cell>
          <cell r="AH385">
            <v>72</v>
          </cell>
          <cell r="AI385">
            <v>48</v>
          </cell>
          <cell r="AJ385">
            <v>48</v>
          </cell>
          <cell r="AK385">
            <v>44</v>
          </cell>
          <cell r="AL385">
            <v>36</v>
          </cell>
          <cell r="AM385">
            <v>60</v>
          </cell>
          <cell r="AN385">
            <v>60</v>
          </cell>
          <cell r="AO385">
            <v>72</v>
          </cell>
          <cell r="AP385">
            <v>48</v>
          </cell>
          <cell r="AQ385">
            <v>36</v>
          </cell>
          <cell r="AR385">
            <v>36</v>
          </cell>
          <cell r="AS385">
            <v>12</v>
          </cell>
          <cell r="AT385">
            <v>72</v>
          </cell>
          <cell r="AU385">
            <v>24</v>
          </cell>
          <cell r="AV385">
            <v>22</v>
          </cell>
          <cell r="AW385">
            <v>84</v>
          </cell>
          <cell r="AX385">
            <v>24</v>
          </cell>
          <cell r="AY385">
            <v>48</v>
          </cell>
          <cell r="AZ385">
            <v>84</v>
          </cell>
          <cell r="BA385">
            <v>36</v>
          </cell>
          <cell r="BB385">
            <v>76</v>
          </cell>
          <cell r="BD385">
            <v>48</v>
          </cell>
          <cell r="BE385">
            <v>24</v>
          </cell>
          <cell r="BF385">
            <v>84</v>
          </cell>
          <cell r="BG385">
            <v>80</v>
          </cell>
          <cell r="BH385">
            <v>12</v>
          </cell>
          <cell r="BI385">
            <v>60</v>
          </cell>
          <cell r="BJ385">
            <v>48</v>
          </cell>
          <cell r="BK385">
            <v>44</v>
          </cell>
          <cell r="BL385">
            <v>48</v>
          </cell>
          <cell r="BM385">
            <v>96</v>
          </cell>
          <cell r="BN385">
            <v>24</v>
          </cell>
          <cell r="BO385">
            <v>60</v>
          </cell>
          <cell r="BQ385">
            <v>72</v>
          </cell>
          <cell r="BR385">
            <v>72</v>
          </cell>
          <cell r="BS385">
            <v>54</v>
          </cell>
          <cell r="BU385">
            <v>72</v>
          </cell>
          <cell r="BV385">
            <v>48</v>
          </cell>
          <cell r="BW385">
            <v>36</v>
          </cell>
          <cell r="BX385">
            <v>36</v>
          </cell>
          <cell r="BY385">
            <v>36</v>
          </cell>
          <cell r="BZ385">
            <v>36</v>
          </cell>
          <cell r="CA385">
            <v>48</v>
          </cell>
          <cell r="CC385">
            <v>36</v>
          </cell>
          <cell r="CD385">
            <v>24</v>
          </cell>
          <cell r="CE385">
            <v>72</v>
          </cell>
          <cell r="CF385">
            <v>48</v>
          </cell>
          <cell r="CG385">
            <v>48</v>
          </cell>
          <cell r="CH385">
            <v>24</v>
          </cell>
          <cell r="CI385">
            <v>36</v>
          </cell>
          <cell r="CJ385">
            <v>36</v>
          </cell>
          <cell r="CK385">
            <v>48</v>
          </cell>
          <cell r="CL385">
            <v>36</v>
          </cell>
          <cell r="CM385">
            <v>48</v>
          </cell>
          <cell r="CN385">
            <v>30</v>
          </cell>
          <cell r="CO385">
            <v>24</v>
          </cell>
          <cell r="CP385">
            <v>48</v>
          </cell>
          <cell r="CQ385">
            <v>58</v>
          </cell>
          <cell r="CR385">
            <v>12</v>
          </cell>
          <cell r="CS385">
            <v>20</v>
          </cell>
          <cell r="CT385">
            <v>46</v>
          </cell>
          <cell r="CU385">
            <v>24</v>
          </cell>
          <cell r="CV385">
            <v>48</v>
          </cell>
          <cell r="CW385">
            <v>24</v>
          </cell>
          <cell r="CX385">
            <v>24</v>
          </cell>
          <cell r="CY385">
            <v>36</v>
          </cell>
          <cell r="CZ385">
            <v>36</v>
          </cell>
          <cell r="DA385">
            <v>24</v>
          </cell>
          <cell r="DB385">
            <v>36</v>
          </cell>
          <cell r="DC385">
            <v>36</v>
          </cell>
          <cell r="DD385">
            <v>36</v>
          </cell>
          <cell r="DE385">
            <v>36</v>
          </cell>
          <cell r="DF385">
            <v>36</v>
          </cell>
          <cell r="DG385">
            <v>36</v>
          </cell>
          <cell r="DH385">
            <v>24</v>
          </cell>
          <cell r="DI385">
            <v>12</v>
          </cell>
          <cell r="DJ385">
            <v>36</v>
          </cell>
          <cell r="DK385">
            <v>12</v>
          </cell>
          <cell r="DL385">
            <v>34</v>
          </cell>
          <cell r="DM385">
            <v>24</v>
          </cell>
          <cell r="DN385">
            <v>36</v>
          </cell>
          <cell r="DO385">
            <v>48</v>
          </cell>
          <cell r="DP385">
            <v>36</v>
          </cell>
          <cell r="DR385">
            <v>36</v>
          </cell>
          <cell r="DS385">
            <v>12</v>
          </cell>
          <cell r="DT385">
            <v>24</v>
          </cell>
          <cell r="DU385">
            <v>58</v>
          </cell>
          <cell r="DV385">
            <v>24</v>
          </cell>
          <cell r="DW385">
            <v>36</v>
          </cell>
          <cell r="DX385">
            <v>60</v>
          </cell>
          <cell r="DY385">
            <v>48</v>
          </cell>
          <cell r="DZ385">
            <v>36</v>
          </cell>
          <cell r="EA385">
            <v>60</v>
          </cell>
          <cell r="EB385">
            <v>24</v>
          </cell>
          <cell r="EC385">
            <v>22</v>
          </cell>
          <cell r="ED385">
            <v>43.84</v>
          </cell>
          <cell r="EE385" t="str">
            <v>ACTIVO</v>
          </cell>
          <cell r="EF385" t="str">
            <v>C</v>
          </cell>
          <cell r="EH385">
            <v>33.647058823529413</v>
          </cell>
          <cell r="EI385">
            <v>5.6078431372549025</v>
          </cell>
          <cell r="EJ385">
            <v>16.79280701213882</v>
          </cell>
          <cell r="EK385">
            <v>168</v>
          </cell>
          <cell r="EL385">
            <v>633360</v>
          </cell>
          <cell r="EM385">
            <v>4.9930069930069925</v>
          </cell>
          <cell r="EN385">
            <v>16.823529411764707</v>
          </cell>
          <cell r="EO385">
            <v>11.215686274509805</v>
          </cell>
          <cell r="EP385">
            <v>28.03921568627451</v>
          </cell>
        </row>
        <row r="386">
          <cell r="F386">
            <v>107302</v>
          </cell>
          <cell r="G386" t="str">
            <v>BELCOLADE AMARGO 55% PURATOS</v>
          </cell>
          <cell r="I386">
            <v>15</v>
          </cell>
          <cell r="J386">
            <v>15</v>
          </cell>
          <cell r="K386">
            <v>15</v>
          </cell>
          <cell r="M386">
            <v>45</v>
          </cell>
          <cell r="N386">
            <v>15</v>
          </cell>
          <cell r="O386">
            <v>30</v>
          </cell>
          <cell r="Q386">
            <v>45</v>
          </cell>
          <cell r="R386">
            <v>15</v>
          </cell>
          <cell r="S386">
            <v>30</v>
          </cell>
          <cell r="T386">
            <v>45</v>
          </cell>
          <cell r="U386">
            <v>75</v>
          </cell>
          <cell r="V386">
            <v>65</v>
          </cell>
          <cell r="W386">
            <v>43</v>
          </cell>
          <cell r="X386">
            <v>91</v>
          </cell>
          <cell r="Y386">
            <v>34</v>
          </cell>
          <cell r="AU386">
            <v>26.5</v>
          </cell>
          <cell r="AV386">
            <v>83.5</v>
          </cell>
          <cell r="AW386">
            <v>224</v>
          </cell>
          <cell r="AX386">
            <v>182</v>
          </cell>
          <cell r="AY386">
            <v>78</v>
          </cell>
          <cell r="AZ386">
            <v>73</v>
          </cell>
          <cell r="BA386">
            <v>24</v>
          </cell>
          <cell r="BB386">
            <v>26</v>
          </cell>
          <cell r="BC386">
            <v>20</v>
          </cell>
          <cell r="BG386">
            <v>20</v>
          </cell>
          <cell r="BK386">
            <v>60</v>
          </cell>
          <cell r="BL386">
            <v>170</v>
          </cell>
          <cell r="BM386">
            <v>80</v>
          </cell>
          <cell r="BN386">
            <v>40</v>
          </cell>
          <cell r="BO386">
            <v>70</v>
          </cell>
          <cell r="BP386">
            <v>20</v>
          </cell>
          <cell r="BQ386">
            <v>70</v>
          </cell>
          <cell r="BR386">
            <v>30</v>
          </cell>
          <cell r="BS386">
            <v>60</v>
          </cell>
          <cell r="BT386">
            <v>30</v>
          </cell>
          <cell r="BX386">
            <v>10</v>
          </cell>
          <cell r="DW386">
            <v>50</v>
          </cell>
          <cell r="DX386">
            <v>147</v>
          </cell>
          <cell r="DY386">
            <v>210</v>
          </cell>
          <cell r="DZ386">
            <v>104</v>
          </cell>
          <cell r="EB386">
            <v>64</v>
          </cell>
          <cell r="EC386">
            <v>178</v>
          </cell>
          <cell r="ED386">
            <v>77</v>
          </cell>
          <cell r="EE386" t="str">
            <v>ACTIVO</v>
          </cell>
          <cell r="EF386" t="str">
            <v>C</v>
          </cell>
          <cell r="EG386">
            <v>0</v>
          </cell>
          <cell r="EH386">
            <v>127.75</v>
          </cell>
          <cell r="EI386">
            <v>21.291666666666668</v>
          </cell>
          <cell r="EJ386">
            <v>43.547257506801003</v>
          </cell>
          <cell r="EK386">
            <v>125</v>
          </cell>
          <cell r="EL386">
            <v>1620000</v>
          </cell>
          <cell r="EM386">
            <v>0.97847358121330719</v>
          </cell>
          <cell r="EN386">
            <v>63.875</v>
          </cell>
          <cell r="EO386">
            <v>42.583333333333336</v>
          </cell>
          <cell r="EP386">
            <v>106.45833333333334</v>
          </cell>
        </row>
        <row r="387">
          <cell r="F387">
            <v>405350</v>
          </cell>
          <cell r="G387" t="str">
            <v>MOSTACILLA CIRCULO 6 COLORES AMBROSIA</v>
          </cell>
          <cell r="AL387">
            <v>72</v>
          </cell>
          <cell r="AM387">
            <v>128</v>
          </cell>
          <cell r="EE387" t="str">
            <v>SIN USO</v>
          </cell>
          <cell r="EF387" t="str">
            <v/>
          </cell>
          <cell r="EG387" t="str">
            <v/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</row>
        <row r="388">
          <cell r="F388">
            <v>101002</v>
          </cell>
          <cell r="G388" t="str">
            <v>CACAO AMARGO PURATOS</v>
          </cell>
          <cell r="H388">
            <v>25</v>
          </cell>
          <cell r="I388">
            <v>25</v>
          </cell>
          <cell r="K388">
            <v>25</v>
          </cell>
          <cell r="L388">
            <v>25</v>
          </cell>
          <cell r="M388">
            <v>25</v>
          </cell>
          <cell r="N388">
            <v>25</v>
          </cell>
          <cell r="O388">
            <v>25</v>
          </cell>
          <cell r="P388">
            <v>50</v>
          </cell>
          <cell r="Q388">
            <v>25</v>
          </cell>
          <cell r="R388">
            <v>25</v>
          </cell>
          <cell r="S388">
            <v>25</v>
          </cell>
          <cell r="U388">
            <v>25</v>
          </cell>
          <cell r="V388">
            <v>50</v>
          </cell>
          <cell r="W388">
            <v>25</v>
          </cell>
          <cell r="X388">
            <v>25</v>
          </cell>
          <cell r="AB388">
            <v>25</v>
          </cell>
          <cell r="AC388">
            <v>25</v>
          </cell>
          <cell r="AD388">
            <v>100</v>
          </cell>
          <cell r="AE388">
            <v>25</v>
          </cell>
          <cell r="AF388">
            <v>25</v>
          </cell>
          <cell r="AG388">
            <v>25</v>
          </cell>
          <cell r="AH388">
            <v>1</v>
          </cell>
          <cell r="AI388">
            <v>25</v>
          </cell>
          <cell r="AJ388">
            <v>50</v>
          </cell>
          <cell r="AM388">
            <v>50</v>
          </cell>
          <cell r="AN388">
            <v>25</v>
          </cell>
          <cell r="AO388">
            <v>25</v>
          </cell>
          <cell r="AQ388">
            <v>50</v>
          </cell>
          <cell r="AR388">
            <v>25</v>
          </cell>
          <cell r="AT388">
            <v>25</v>
          </cell>
          <cell r="AV388">
            <v>25</v>
          </cell>
          <cell r="AW388">
            <v>25</v>
          </cell>
          <cell r="AX388">
            <v>25</v>
          </cell>
          <cell r="AZ388">
            <v>25</v>
          </cell>
          <cell r="BA388">
            <v>25</v>
          </cell>
          <cell r="BB388">
            <v>25</v>
          </cell>
          <cell r="BD388">
            <v>25</v>
          </cell>
          <cell r="BE388">
            <v>25</v>
          </cell>
          <cell r="BF388">
            <v>25.83</v>
          </cell>
          <cell r="BG388">
            <v>25</v>
          </cell>
          <cell r="BI388">
            <v>25</v>
          </cell>
          <cell r="BJ388">
            <v>25</v>
          </cell>
          <cell r="BK388">
            <v>50</v>
          </cell>
          <cell r="BL388">
            <v>25</v>
          </cell>
          <cell r="BM388">
            <v>50</v>
          </cell>
          <cell r="BO388">
            <v>50</v>
          </cell>
          <cell r="BP388">
            <v>25</v>
          </cell>
          <cell r="BQ388">
            <v>25</v>
          </cell>
          <cell r="BU388">
            <v>25</v>
          </cell>
          <cell r="BW388">
            <v>25</v>
          </cell>
          <cell r="BX388">
            <v>56.489000000000004</v>
          </cell>
          <cell r="BY388">
            <v>25</v>
          </cell>
          <cell r="CA388">
            <v>75</v>
          </cell>
          <cell r="CD388">
            <v>25</v>
          </cell>
          <cell r="CF388">
            <v>25</v>
          </cell>
          <cell r="CH388">
            <v>75</v>
          </cell>
          <cell r="CM388">
            <v>75</v>
          </cell>
          <cell r="CN388">
            <v>25</v>
          </cell>
          <cell r="CP388">
            <v>25</v>
          </cell>
          <cell r="CQ388">
            <v>50</v>
          </cell>
          <cell r="CT388">
            <v>25</v>
          </cell>
          <cell r="CU388">
            <v>50</v>
          </cell>
          <cell r="CX388">
            <v>25</v>
          </cell>
          <cell r="CY388">
            <v>75</v>
          </cell>
          <cell r="DB388">
            <v>75</v>
          </cell>
          <cell r="DC388">
            <v>25</v>
          </cell>
          <cell r="DK388">
            <v>25</v>
          </cell>
          <cell r="DM388">
            <v>50</v>
          </cell>
          <cell r="DO388">
            <v>50</v>
          </cell>
          <cell r="DR388">
            <v>25</v>
          </cell>
          <cell r="DS388">
            <v>25</v>
          </cell>
          <cell r="DT388">
            <v>25</v>
          </cell>
          <cell r="DX388">
            <v>50</v>
          </cell>
          <cell r="DY388">
            <v>25</v>
          </cell>
          <cell r="EB388">
            <v>50</v>
          </cell>
          <cell r="EC388">
            <v>25</v>
          </cell>
          <cell r="ED388">
            <v>25</v>
          </cell>
          <cell r="EE388" t="str">
            <v>ACTIVO</v>
          </cell>
          <cell r="EF388" t="str">
            <v>C</v>
          </cell>
          <cell r="EG388">
            <v>375</v>
          </cell>
          <cell r="EH388">
            <v>34.375</v>
          </cell>
          <cell r="EI388">
            <v>5.729166666666667</v>
          </cell>
          <cell r="EJ388">
            <v>20.259743260010442</v>
          </cell>
          <cell r="EK388">
            <v>100</v>
          </cell>
          <cell r="EL388">
            <v>1277927</v>
          </cell>
          <cell r="EM388">
            <v>2.9090909090909092</v>
          </cell>
          <cell r="EN388">
            <v>17.1875</v>
          </cell>
          <cell r="EO388">
            <v>11.458333333333334</v>
          </cell>
          <cell r="EP388">
            <v>28.645833333333336</v>
          </cell>
        </row>
        <row r="389">
          <cell r="F389">
            <v>107108</v>
          </cell>
          <cell r="G389" t="str">
            <v>DECORCREM NEGRO PURATOS</v>
          </cell>
          <cell r="H389">
            <v>985.5</v>
          </cell>
          <cell r="I389">
            <v>603</v>
          </cell>
          <cell r="J389">
            <v>1012.5</v>
          </cell>
          <cell r="K389">
            <v>477</v>
          </cell>
          <cell r="L389">
            <v>652.5</v>
          </cell>
          <cell r="M389">
            <v>517.5</v>
          </cell>
          <cell r="N389">
            <v>504</v>
          </cell>
          <cell r="O389">
            <v>598.5</v>
          </cell>
          <cell r="P389">
            <v>400.5</v>
          </cell>
          <cell r="Q389">
            <v>774</v>
          </cell>
          <cell r="R389">
            <v>693</v>
          </cell>
          <cell r="S389">
            <v>423</v>
          </cell>
          <cell r="T389">
            <v>137.5</v>
          </cell>
          <cell r="U389">
            <v>792.5</v>
          </cell>
          <cell r="V389">
            <v>810</v>
          </cell>
          <cell r="W389">
            <v>639</v>
          </cell>
          <cell r="X389">
            <v>769.5</v>
          </cell>
          <cell r="Y389">
            <v>1215</v>
          </cell>
          <cell r="Z389">
            <v>940.5</v>
          </cell>
          <cell r="AA389">
            <v>418.5</v>
          </cell>
          <cell r="AB389">
            <v>877.5</v>
          </cell>
          <cell r="AC389">
            <v>986.5</v>
          </cell>
          <cell r="AD389">
            <v>936</v>
          </cell>
          <cell r="AE389">
            <v>922.5</v>
          </cell>
          <cell r="AF389">
            <v>391.5</v>
          </cell>
          <cell r="AG389">
            <v>756</v>
          </cell>
          <cell r="AH389">
            <v>517.5</v>
          </cell>
          <cell r="AI389">
            <v>1210.5</v>
          </cell>
          <cell r="AJ389">
            <v>1269</v>
          </cell>
          <cell r="AK389">
            <v>567</v>
          </cell>
          <cell r="AL389">
            <v>1557</v>
          </cell>
          <cell r="AM389">
            <v>603</v>
          </cell>
          <cell r="AN389">
            <v>765</v>
          </cell>
          <cell r="AO389">
            <v>616.5</v>
          </cell>
          <cell r="AP389">
            <v>738</v>
          </cell>
          <cell r="AQ389">
            <v>720</v>
          </cell>
          <cell r="AR389">
            <v>1089</v>
          </cell>
          <cell r="AS389">
            <v>297</v>
          </cell>
          <cell r="AT389">
            <v>855</v>
          </cell>
          <cell r="AU389">
            <v>576</v>
          </cell>
          <cell r="AV389">
            <v>805.5</v>
          </cell>
          <cell r="AW389">
            <v>652.5</v>
          </cell>
          <cell r="AX389">
            <v>760.5</v>
          </cell>
          <cell r="AY389">
            <v>706.5</v>
          </cell>
          <cell r="AZ389">
            <v>423</v>
          </cell>
          <cell r="BA389">
            <v>171</v>
          </cell>
          <cell r="BB389">
            <v>554.70000000000005</v>
          </cell>
          <cell r="BC389">
            <v>400.5</v>
          </cell>
          <cell r="BD389">
            <v>243</v>
          </cell>
          <cell r="BE389">
            <v>310.5</v>
          </cell>
          <cell r="BF389">
            <v>167.5</v>
          </cell>
          <cell r="BG389">
            <v>661.5</v>
          </cell>
          <cell r="BH389">
            <v>373.5</v>
          </cell>
          <cell r="BI389">
            <v>1012.5</v>
          </cell>
          <cell r="BJ389">
            <v>625.5</v>
          </cell>
          <cell r="BK389">
            <v>689.5</v>
          </cell>
          <cell r="BL389">
            <v>644.5</v>
          </cell>
          <cell r="BM389">
            <v>769.5</v>
          </cell>
          <cell r="BN389">
            <v>684.5</v>
          </cell>
          <cell r="BO389">
            <v>693</v>
          </cell>
          <cell r="BP389">
            <v>476.5</v>
          </cell>
          <cell r="BQ389">
            <v>647.5</v>
          </cell>
          <cell r="BR389">
            <v>808.5</v>
          </cell>
          <cell r="BS389">
            <v>501</v>
          </cell>
          <cell r="BT389">
            <v>751.5</v>
          </cell>
          <cell r="BU389">
            <v>634.5</v>
          </cell>
          <cell r="BV389">
            <v>1350</v>
          </cell>
          <cell r="BW389">
            <v>1719</v>
          </cell>
          <cell r="BX389">
            <v>1165.5</v>
          </cell>
          <cell r="BY389">
            <v>1255.5</v>
          </cell>
          <cell r="BZ389">
            <v>922.5</v>
          </cell>
          <cell r="CA389">
            <v>517.5</v>
          </cell>
          <cell r="CB389">
            <v>1624.5</v>
          </cell>
          <cell r="CC389">
            <v>963</v>
          </cell>
          <cell r="CD389">
            <v>2313</v>
          </cell>
          <cell r="CE389">
            <v>1399.5</v>
          </cell>
          <cell r="CF389">
            <v>927</v>
          </cell>
          <cell r="CG389">
            <v>814.5</v>
          </cell>
          <cell r="CH389">
            <v>1399.5</v>
          </cell>
          <cell r="CI389">
            <v>1993.5</v>
          </cell>
          <cell r="CJ389">
            <v>1039.5</v>
          </cell>
          <cell r="CK389">
            <v>1201.5</v>
          </cell>
          <cell r="CL389">
            <v>1494</v>
          </cell>
          <cell r="CM389">
            <v>1390.5</v>
          </cell>
          <cell r="CN389">
            <v>481.5</v>
          </cell>
          <cell r="CO389">
            <v>1251</v>
          </cell>
          <cell r="CP389">
            <v>1363.5</v>
          </cell>
          <cell r="CQ389">
            <v>1014</v>
          </cell>
          <cell r="CR389">
            <v>1660.5</v>
          </cell>
          <cell r="CS389">
            <v>711</v>
          </cell>
          <cell r="CT389">
            <v>1431</v>
          </cell>
          <cell r="CU389">
            <v>738</v>
          </cell>
          <cell r="CV389">
            <v>1588.5</v>
          </cell>
          <cell r="CW389">
            <v>829</v>
          </cell>
          <cell r="CX389">
            <v>918</v>
          </cell>
          <cell r="CY389">
            <v>922.5</v>
          </cell>
          <cell r="CZ389">
            <v>1669.5</v>
          </cell>
          <cell r="DA389">
            <v>913.5</v>
          </cell>
          <cell r="DB389">
            <v>769.5</v>
          </cell>
          <cell r="DC389">
            <v>895.5</v>
          </cell>
          <cell r="DD389">
            <v>1044</v>
          </cell>
          <cell r="DE389">
            <v>783</v>
          </cell>
          <cell r="DF389">
            <v>1747.5</v>
          </cell>
          <cell r="DG389">
            <v>1242</v>
          </cell>
          <cell r="DH389">
            <v>1030.5</v>
          </cell>
          <cell r="DI389">
            <v>117</v>
          </cell>
          <cell r="DJ389">
            <v>873</v>
          </cell>
          <cell r="DK389">
            <v>571.5</v>
          </cell>
          <cell r="DL389">
            <v>1345.5</v>
          </cell>
          <cell r="DM389">
            <v>792</v>
          </cell>
          <cell r="DN389">
            <v>1161</v>
          </cell>
          <cell r="DO389">
            <v>1440</v>
          </cell>
          <cell r="DP389">
            <v>1381.5</v>
          </cell>
          <cell r="DQ389">
            <v>1314</v>
          </cell>
          <cell r="DR389">
            <v>1462.5</v>
          </cell>
          <cell r="DS389">
            <v>567</v>
          </cell>
          <cell r="DT389">
            <v>562.5</v>
          </cell>
          <cell r="DU389">
            <v>1521</v>
          </cell>
          <cell r="DV389">
            <v>985.5</v>
          </cell>
          <cell r="DW389">
            <v>1431</v>
          </cell>
          <cell r="DX389">
            <v>1579.5</v>
          </cell>
          <cell r="DY389">
            <v>859.5</v>
          </cell>
          <cell r="DZ389">
            <v>1687.5</v>
          </cell>
          <cell r="EA389">
            <v>837</v>
          </cell>
          <cell r="EB389">
            <v>1026</v>
          </cell>
          <cell r="EC389">
            <v>2007</v>
          </cell>
          <cell r="ED389">
            <v>1557</v>
          </cell>
          <cell r="EE389" t="str">
            <v>ACTIVO</v>
          </cell>
          <cell r="EF389" t="str">
            <v>A</v>
          </cell>
          <cell r="EG389">
            <v>540</v>
          </cell>
          <cell r="EH389">
            <v>1091.75</v>
          </cell>
          <cell r="EI389">
            <v>181.95833333333334</v>
          </cell>
          <cell r="EJ389">
            <v>425.57855459606452</v>
          </cell>
          <cell r="EK389">
            <v>1017</v>
          </cell>
          <cell r="EL389">
            <v>4270616.91</v>
          </cell>
          <cell r="EM389">
            <v>0.93153194412640261</v>
          </cell>
          <cell r="EN389">
            <v>545.875</v>
          </cell>
          <cell r="EO389">
            <v>363.91666666666669</v>
          </cell>
          <cell r="EP389">
            <v>909.79166666666674</v>
          </cell>
        </row>
        <row r="390">
          <cell r="F390">
            <v>107127</v>
          </cell>
          <cell r="G390" t="str">
            <v>DECORCREM BLANCO 4k PURATOS</v>
          </cell>
          <cell r="H390">
            <v>264</v>
          </cell>
          <cell r="J390">
            <v>240</v>
          </cell>
          <cell r="L390">
            <v>140</v>
          </cell>
          <cell r="M390">
            <v>56</v>
          </cell>
          <cell r="N390">
            <v>144</v>
          </cell>
          <cell r="O390">
            <v>128</v>
          </cell>
          <cell r="P390">
            <v>8</v>
          </cell>
          <cell r="Q390">
            <v>24</v>
          </cell>
          <cell r="R390">
            <v>20</v>
          </cell>
          <cell r="S390">
            <v>244</v>
          </cell>
          <cell r="T390">
            <v>8</v>
          </cell>
          <cell r="U390">
            <v>144</v>
          </cell>
          <cell r="V390">
            <v>92</v>
          </cell>
          <cell r="W390">
            <v>92</v>
          </cell>
          <cell r="X390">
            <v>136</v>
          </cell>
          <cell r="Y390">
            <v>128</v>
          </cell>
          <cell r="Z390">
            <v>208</v>
          </cell>
          <cell r="AA390">
            <v>8</v>
          </cell>
          <cell r="AB390">
            <v>208</v>
          </cell>
          <cell r="AC390">
            <v>244</v>
          </cell>
          <cell r="AD390">
            <v>16</v>
          </cell>
          <cell r="AE390">
            <v>212</v>
          </cell>
          <cell r="AF390">
            <v>8</v>
          </cell>
          <cell r="AG390">
            <v>128</v>
          </cell>
          <cell r="AH390">
            <v>9</v>
          </cell>
          <cell r="AI390">
            <v>172</v>
          </cell>
          <cell r="AJ390">
            <v>220</v>
          </cell>
          <cell r="AK390">
            <v>12</v>
          </cell>
          <cell r="AL390">
            <v>248</v>
          </cell>
          <cell r="AM390">
            <v>16</v>
          </cell>
          <cell r="AN390">
            <v>248</v>
          </cell>
          <cell r="AO390">
            <v>156</v>
          </cell>
          <cell r="AP390">
            <v>4</v>
          </cell>
          <cell r="AQ390">
            <v>132</v>
          </cell>
          <cell r="AR390">
            <v>188</v>
          </cell>
          <cell r="AS390">
            <v>24</v>
          </cell>
          <cell r="AT390">
            <v>48</v>
          </cell>
          <cell r="AU390">
            <v>88</v>
          </cell>
          <cell r="AV390">
            <v>140</v>
          </cell>
          <cell r="AW390">
            <v>137</v>
          </cell>
          <cell r="AX390">
            <v>28</v>
          </cell>
          <cell r="AY390">
            <v>40</v>
          </cell>
          <cell r="AZ390">
            <v>103</v>
          </cell>
          <cell r="BA390">
            <v>24</v>
          </cell>
          <cell r="BB390">
            <v>104</v>
          </cell>
          <cell r="BC390">
            <v>148</v>
          </cell>
          <cell r="BD390">
            <v>24</v>
          </cell>
          <cell r="BE390">
            <v>24</v>
          </cell>
          <cell r="BF390">
            <v>104</v>
          </cell>
          <cell r="BG390">
            <v>100</v>
          </cell>
          <cell r="BH390">
            <v>20</v>
          </cell>
          <cell r="BI390">
            <v>48</v>
          </cell>
          <cell r="BJ390">
            <v>160</v>
          </cell>
          <cell r="BK390">
            <v>56</v>
          </cell>
          <cell r="BL390">
            <v>88</v>
          </cell>
          <cell r="BM390">
            <v>104</v>
          </cell>
          <cell r="BN390">
            <v>104</v>
          </cell>
          <cell r="BO390">
            <v>84</v>
          </cell>
          <cell r="BP390">
            <v>84</v>
          </cell>
          <cell r="BQ390">
            <v>20</v>
          </cell>
          <cell r="BR390">
            <v>188</v>
          </cell>
          <cell r="BS390">
            <v>24</v>
          </cell>
          <cell r="BT390">
            <v>84</v>
          </cell>
          <cell r="BU390">
            <v>124</v>
          </cell>
          <cell r="BV390">
            <v>108</v>
          </cell>
          <cell r="BW390">
            <v>156</v>
          </cell>
          <cell r="BX390">
            <v>28</v>
          </cell>
          <cell r="BY390">
            <v>84.5</v>
          </cell>
          <cell r="BZ390">
            <v>192</v>
          </cell>
          <cell r="CA390">
            <v>28</v>
          </cell>
          <cell r="CB390">
            <v>104</v>
          </cell>
          <cell r="CC390">
            <v>264</v>
          </cell>
          <cell r="CD390">
            <v>144</v>
          </cell>
          <cell r="CE390">
            <v>168.5</v>
          </cell>
          <cell r="CF390">
            <v>32</v>
          </cell>
          <cell r="CG390">
            <v>44</v>
          </cell>
          <cell r="CH390">
            <v>24</v>
          </cell>
          <cell r="CI390">
            <v>144</v>
          </cell>
          <cell r="CJ390">
            <v>24</v>
          </cell>
          <cell r="CK390">
            <v>92</v>
          </cell>
          <cell r="CL390">
            <v>16</v>
          </cell>
          <cell r="CM390">
            <v>12</v>
          </cell>
          <cell r="CN390">
            <v>4</v>
          </cell>
          <cell r="CQ390">
            <v>8</v>
          </cell>
          <cell r="CR390">
            <v>48</v>
          </cell>
          <cell r="CT390">
            <v>116</v>
          </cell>
          <cell r="CU390">
            <v>12</v>
          </cell>
          <cell r="CV390">
            <v>136</v>
          </cell>
          <cell r="CW390">
            <v>52</v>
          </cell>
          <cell r="CX390">
            <v>84</v>
          </cell>
          <cell r="CY390">
            <v>112</v>
          </cell>
          <cell r="CZ390">
            <v>140</v>
          </cell>
          <cell r="DA390">
            <v>24</v>
          </cell>
          <cell r="DB390">
            <v>104</v>
          </cell>
          <cell r="DC390">
            <v>88</v>
          </cell>
          <cell r="DD390">
            <v>36</v>
          </cell>
          <cell r="DE390">
            <v>80</v>
          </cell>
          <cell r="DF390">
            <v>40</v>
          </cell>
          <cell r="DG390">
            <v>100.5</v>
          </cell>
          <cell r="DH390">
            <v>12</v>
          </cell>
          <cell r="DI390">
            <v>20</v>
          </cell>
          <cell r="DJ390">
            <v>144</v>
          </cell>
          <cell r="DK390">
            <v>24</v>
          </cell>
          <cell r="DL390">
            <v>68</v>
          </cell>
          <cell r="DM390">
            <v>64</v>
          </cell>
          <cell r="DN390">
            <v>20</v>
          </cell>
          <cell r="DO390">
            <v>76</v>
          </cell>
          <cell r="DP390">
            <v>84</v>
          </cell>
          <cell r="DQ390">
            <v>20</v>
          </cell>
          <cell r="DR390">
            <v>280</v>
          </cell>
          <cell r="DS390">
            <v>84</v>
          </cell>
          <cell r="DT390">
            <v>76</v>
          </cell>
          <cell r="DU390">
            <v>31</v>
          </cell>
          <cell r="DV390">
            <v>88</v>
          </cell>
          <cell r="DX390">
            <v>144</v>
          </cell>
          <cell r="DY390">
            <v>208</v>
          </cell>
          <cell r="DZ390">
            <v>584</v>
          </cell>
          <cell r="EA390">
            <v>628</v>
          </cell>
          <cell r="EB390">
            <v>28</v>
          </cell>
          <cell r="EC390">
            <v>64</v>
          </cell>
          <cell r="ED390">
            <v>144</v>
          </cell>
          <cell r="EE390" t="str">
            <v>ACTIVO</v>
          </cell>
          <cell r="EF390" t="str">
            <v>B</v>
          </cell>
          <cell r="EG390">
            <v>480</v>
          </cell>
          <cell r="EH390">
            <v>118.52941176470588</v>
          </cell>
          <cell r="EI390">
            <v>19.754901960784313</v>
          </cell>
          <cell r="EJ390">
            <v>58.151060319881793</v>
          </cell>
          <cell r="EK390">
            <v>548</v>
          </cell>
          <cell r="EL390">
            <v>3428370.2</v>
          </cell>
          <cell r="EM390">
            <v>4.6233250620347395</v>
          </cell>
          <cell r="EN390">
            <v>59.264705882352942</v>
          </cell>
          <cell r="EO390">
            <v>39.509803921568626</v>
          </cell>
          <cell r="EP390">
            <v>98.774509803921575</v>
          </cell>
        </row>
        <row r="391">
          <cell r="F391">
            <v>107197</v>
          </cell>
          <cell r="G391" t="str">
            <v>COBERTURA CHOCOLATE BLANCO</v>
          </cell>
          <cell r="H391">
            <v>170</v>
          </cell>
          <cell r="I391">
            <v>130</v>
          </cell>
          <cell r="J391">
            <v>10</v>
          </cell>
          <cell r="K391">
            <v>10</v>
          </cell>
          <cell r="L391">
            <v>20</v>
          </cell>
          <cell r="O391">
            <v>20</v>
          </cell>
          <cell r="CK391">
            <v>244</v>
          </cell>
          <cell r="CL391">
            <v>24</v>
          </cell>
          <cell r="CM391">
            <v>24</v>
          </cell>
          <cell r="CN391">
            <v>40</v>
          </cell>
          <cell r="CO391">
            <v>168</v>
          </cell>
          <cell r="CP391">
            <v>144</v>
          </cell>
          <cell r="CQ391">
            <v>160</v>
          </cell>
          <cell r="CR391">
            <v>36</v>
          </cell>
          <cell r="CS391">
            <v>16</v>
          </cell>
          <cell r="CT391">
            <v>40</v>
          </cell>
          <cell r="CU391">
            <v>72</v>
          </cell>
          <cell r="CV391">
            <v>20</v>
          </cell>
          <cell r="CW391">
            <v>44</v>
          </cell>
          <cell r="CX391">
            <v>20</v>
          </cell>
          <cell r="CY391">
            <v>24</v>
          </cell>
          <cell r="CZ391">
            <v>12</v>
          </cell>
          <cell r="DA391">
            <v>12</v>
          </cell>
          <cell r="DC391">
            <v>20</v>
          </cell>
          <cell r="DE391">
            <v>36</v>
          </cell>
          <cell r="DF391">
            <v>25</v>
          </cell>
          <cell r="DG391">
            <v>20</v>
          </cell>
          <cell r="DN391">
            <v>72</v>
          </cell>
          <cell r="DO391">
            <v>24</v>
          </cell>
          <cell r="DP391">
            <v>60</v>
          </cell>
          <cell r="DQ391">
            <v>156</v>
          </cell>
          <cell r="DR391">
            <v>24</v>
          </cell>
          <cell r="DS391">
            <v>60</v>
          </cell>
          <cell r="DT391">
            <v>36</v>
          </cell>
          <cell r="DU391">
            <v>48</v>
          </cell>
          <cell r="DV391">
            <v>40</v>
          </cell>
          <cell r="DW391">
            <v>72</v>
          </cell>
          <cell r="EA391">
            <v>32</v>
          </cell>
          <cell r="EE391" t="str">
            <v>SIN USO</v>
          </cell>
          <cell r="EF391" t="str">
            <v>C</v>
          </cell>
          <cell r="EG391" t="str">
            <v/>
          </cell>
          <cell r="EH391">
            <v>59.2</v>
          </cell>
          <cell r="EI391">
            <v>9.8666666666666671</v>
          </cell>
          <cell r="EJ391">
            <v>64.350306174577796</v>
          </cell>
          <cell r="EK391">
            <v>420</v>
          </cell>
          <cell r="EL391">
            <v>2224593</v>
          </cell>
          <cell r="EM391">
            <v>7.0945945945945939</v>
          </cell>
          <cell r="EN391">
            <v>29.6</v>
          </cell>
          <cell r="EO391">
            <v>19.733333333333334</v>
          </cell>
          <cell r="EP391">
            <v>49.333333333333336</v>
          </cell>
        </row>
        <row r="392">
          <cell r="F392">
            <v>405529</v>
          </cell>
          <cell r="G392" t="str">
            <v>FLOR MANGUEADA GANACHE AMBROSIA</v>
          </cell>
          <cell r="BY392">
            <v>5000</v>
          </cell>
          <cell r="EE392" t="str">
            <v>SIN USO</v>
          </cell>
          <cell r="EF392" t="str">
            <v>C</v>
          </cell>
          <cell r="EG392" t="str">
            <v/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</row>
        <row r="393">
          <cell r="F393">
            <v>405541</v>
          </cell>
          <cell r="G393" t="str">
            <v>CÍRCULO BLANCO #80 DDM JUMBO 2025</v>
          </cell>
          <cell r="DD393">
            <v>0</v>
          </cell>
          <cell r="DH393">
            <v>2792</v>
          </cell>
          <cell r="EE393" t="str">
            <v>SIN USO</v>
          </cell>
          <cell r="EF393" t="str">
            <v>B</v>
          </cell>
          <cell r="EH393">
            <v>0</v>
          </cell>
          <cell r="EI393">
            <v>0</v>
          </cell>
          <cell r="EJ393">
            <v>1974.2421330728407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</row>
        <row r="394">
          <cell r="F394">
            <v>405134</v>
          </cell>
          <cell r="G394" t="str">
            <v>TRIANGULO NEGRO 45mm ZUKKER</v>
          </cell>
          <cell r="H394">
            <v>4000</v>
          </cell>
          <cell r="K394">
            <v>28000</v>
          </cell>
          <cell r="AQ394">
            <v>800</v>
          </cell>
          <cell r="AT394">
            <v>1200</v>
          </cell>
          <cell r="AW394">
            <v>400</v>
          </cell>
          <cell r="AX394">
            <v>10000</v>
          </cell>
          <cell r="AZ394">
            <v>3600</v>
          </cell>
          <cell r="BA394">
            <v>6400</v>
          </cell>
          <cell r="BD394">
            <v>6000</v>
          </cell>
          <cell r="BE394">
            <v>4400</v>
          </cell>
          <cell r="BJ394">
            <v>7200</v>
          </cell>
          <cell r="BL394">
            <v>4000</v>
          </cell>
          <cell r="BM394">
            <v>4000</v>
          </cell>
          <cell r="BN394">
            <v>400</v>
          </cell>
          <cell r="BO394">
            <v>8000</v>
          </cell>
          <cell r="BQ394">
            <v>1200</v>
          </cell>
          <cell r="BR394">
            <v>4000</v>
          </cell>
          <cell r="BU394">
            <v>6400</v>
          </cell>
          <cell r="BV394">
            <v>5200</v>
          </cell>
          <cell r="BW394">
            <v>10000</v>
          </cell>
          <cell r="BX394">
            <v>13200</v>
          </cell>
          <cell r="BY394">
            <v>6400</v>
          </cell>
          <cell r="BZ394">
            <v>2000</v>
          </cell>
          <cell r="CA394">
            <v>4800</v>
          </cell>
          <cell r="CB394">
            <v>10000</v>
          </cell>
          <cell r="CC394">
            <v>2800</v>
          </cell>
          <cell r="CD394">
            <v>13200</v>
          </cell>
          <cell r="CE394">
            <v>3200</v>
          </cell>
          <cell r="CF394">
            <v>14000</v>
          </cell>
          <cell r="CG394">
            <v>4800</v>
          </cell>
          <cell r="CH394">
            <v>5200</v>
          </cell>
          <cell r="CI394">
            <v>18800</v>
          </cell>
          <cell r="CJ394">
            <v>4400</v>
          </cell>
          <cell r="CK394">
            <v>7200</v>
          </cell>
          <cell r="CL394">
            <v>12000</v>
          </cell>
          <cell r="CM394">
            <v>3600</v>
          </cell>
          <cell r="CN394">
            <v>4000</v>
          </cell>
          <cell r="CO394">
            <v>8000</v>
          </cell>
          <cell r="CP394">
            <v>8800</v>
          </cell>
          <cell r="CQ394">
            <v>4800</v>
          </cell>
          <cell r="CR394">
            <v>14000</v>
          </cell>
          <cell r="CS394">
            <v>7200</v>
          </cell>
          <cell r="CT394">
            <v>4800</v>
          </cell>
          <cell r="CU394">
            <v>4800</v>
          </cell>
          <cell r="CV394">
            <v>8800</v>
          </cell>
          <cell r="CW394">
            <v>12800</v>
          </cell>
          <cell r="CY394">
            <v>2400</v>
          </cell>
          <cell r="CZ394">
            <v>12000</v>
          </cell>
          <cell r="DA394">
            <v>2400</v>
          </cell>
          <cell r="DB394">
            <v>7600</v>
          </cell>
          <cell r="DD394">
            <v>6000</v>
          </cell>
          <cell r="DE394">
            <v>4000</v>
          </cell>
          <cell r="DF394">
            <v>12000</v>
          </cell>
          <cell r="DH394">
            <v>8400</v>
          </cell>
          <cell r="DJ394">
            <v>4000</v>
          </cell>
          <cell r="DK394">
            <v>4000</v>
          </cell>
          <cell r="DL394">
            <v>8000</v>
          </cell>
          <cell r="DM394">
            <v>7600</v>
          </cell>
          <cell r="DN394">
            <v>8400</v>
          </cell>
          <cell r="DO394">
            <v>10400</v>
          </cell>
          <cell r="DP394">
            <v>4400</v>
          </cell>
          <cell r="DQ394">
            <v>6000</v>
          </cell>
          <cell r="DR394">
            <v>12400</v>
          </cell>
          <cell r="DS394">
            <v>4000</v>
          </cell>
          <cell r="DT394">
            <v>14000</v>
          </cell>
          <cell r="DU394">
            <v>6400</v>
          </cell>
          <cell r="DW394">
            <v>4400</v>
          </cell>
          <cell r="DX394">
            <v>12000</v>
          </cell>
          <cell r="DY394">
            <v>6000</v>
          </cell>
          <cell r="DZ394">
            <v>4800</v>
          </cell>
          <cell r="EB394">
            <v>6000</v>
          </cell>
          <cell r="EC394">
            <v>4400</v>
          </cell>
          <cell r="ED394">
            <v>10000</v>
          </cell>
          <cell r="EE394" t="str">
            <v>ACTIVO</v>
          </cell>
          <cell r="EF394" t="str">
            <v>C</v>
          </cell>
          <cell r="EG394">
            <v>0</v>
          </cell>
          <cell r="EH394">
            <v>7300</v>
          </cell>
          <cell r="EI394">
            <v>1216.6666666666667</v>
          </cell>
          <cell r="EJ394">
            <v>4103.2756470825607</v>
          </cell>
          <cell r="EK394">
            <v>21600</v>
          </cell>
          <cell r="EL394">
            <v>777600</v>
          </cell>
          <cell r="EM394">
            <v>2.9589041095890409</v>
          </cell>
          <cell r="EN394">
            <v>4866.666666666667</v>
          </cell>
          <cell r="EO394">
            <v>2433.3333333333335</v>
          </cell>
          <cell r="EP394">
            <v>7300</v>
          </cell>
        </row>
        <row r="395">
          <cell r="F395">
            <v>405409</v>
          </cell>
          <cell r="G395" t="str">
            <v>DECORCREM NEGRO BLOQUE PURATOS</v>
          </cell>
          <cell r="AT395">
            <v>10</v>
          </cell>
          <cell r="AZ395">
            <v>200.7</v>
          </cell>
          <cell r="BA395">
            <v>454.5</v>
          </cell>
          <cell r="BB395">
            <v>134.80000000000001</v>
          </cell>
          <cell r="BC395">
            <v>380</v>
          </cell>
          <cell r="BD395">
            <v>480</v>
          </cell>
          <cell r="BE395">
            <v>420</v>
          </cell>
          <cell r="BF395">
            <v>690</v>
          </cell>
          <cell r="BG395">
            <v>290</v>
          </cell>
          <cell r="EE395" t="str">
            <v>SIN USO</v>
          </cell>
          <cell r="EF395" t="str">
            <v/>
          </cell>
          <cell r="EH395">
            <v>0</v>
          </cell>
          <cell r="EI395">
            <v>0</v>
          </cell>
          <cell r="EJ395">
            <v>0</v>
          </cell>
          <cell r="EK395">
            <v>0</v>
          </cell>
          <cell r="EL395">
            <v>0</v>
          </cell>
          <cell r="EM395">
            <v>0</v>
          </cell>
          <cell r="EN395">
            <v>0</v>
          </cell>
          <cell r="EO395">
            <v>0</v>
          </cell>
          <cell r="EP395">
            <v>0</v>
          </cell>
        </row>
        <row r="396">
          <cell r="F396">
            <v>405371</v>
          </cell>
          <cell r="G396" t="str">
            <v>TRIANGULO BLANCO #45 MARMOLEADO NEGRO</v>
          </cell>
          <cell r="H396">
            <v>400</v>
          </cell>
          <cell r="AU396">
            <v>400</v>
          </cell>
          <cell r="AV396">
            <v>2000</v>
          </cell>
          <cell r="AW396">
            <v>1600</v>
          </cell>
          <cell r="AX396">
            <v>2800</v>
          </cell>
          <cell r="AY396">
            <v>2400</v>
          </cell>
          <cell r="AZ396">
            <v>2004</v>
          </cell>
          <cell r="BA396">
            <v>2912.5</v>
          </cell>
          <cell r="BB396">
            <v>2400</v>
          </cell>
          <cell r="BC396">
            <v>2400</v>
          </cell>
          <cell r="BD396">
            <v>2400</v>
          </cell>
          <cell r="BE396">
            <v>2400</v>
          </cell>
          <cell r="BF396">
            <v>2400</v>
          </cell>
          <cell r="BG396">
            <v>800</v>
          </cell>
          <cell r="BH396">
            <v>1200</v>
          </cell>
          <cell r="BI396">
            <v>2400</v>
          </cell>
          <cell r="BJ396">
            <v>800</v>
          </cell>
          <cell r="BK396">
            <v>2800</v>
          </cell>
          <cell r="BL396">
            <v>2400</v>
          </cell>
          <cell r="BM396">
            <v>2500</v>
          </cell>
          <cell r="BN396">
            <v>2400</v>
          </cell>
          <cell r="BO396">
            <v>2000</v>
          </cell>
          <cell r="BP396">
            <v>1600</v>
          </cell>
          <cell r="BQ396">
            <v>2000</v>
          </cell>
          <cell r="BR396">
            <v>2800</v>
          </cell>
          <cell r="BS396">
            <v>2400</v>
          </cell>
          <cell r="BT396">
            <v>2400</v>
          </cell>
          <cell r="BU396">
            <v>2400</v>
          </cell>
          <cell r="BV396">
            <v>2400</v>
          </cell>
          <cell r="BW396">
            <v>2400</v>
          </cell>
          <cell r="BX396">
            <v>2400</v>
          </cell>
          <cell r="BY396">
            <v>2000</v>
          </cell>
          <cell r="BZ396">
            <v>400</v>
          </cell>
          <cell r="CA396">
            <v>2400</v>
          </cell>
          <cell r="CB396">
            <v>2400</v>
          </cell>
          <cell r="CC396">
            <v>2400</v>
          </cell>
          <cell r="CD396">
            <v>2400</v>
          </cell>
          <cell r="CE396">
            <v>2500</v>
          </cell>
          <cell r="CF396">
            <v>2400</v>
          </cell>
          <cell r="CG396">
            <v>2800</v>
          </cell>
          <cell r="CH396">
            <v>2800</v>
          </cell>
          <cell r="CI396">
            <v>2400</v>
          </cell>
          <cell r="CJ396">
            <v>2800</v>
          </cell>
          <cell r="CK396">
            <v>2800</v>
          </cell>
          <cell r="CL396">
            <v>2400</v>
          </cell>
          <cell r="CM396">
            <v>2400</v>
          </cell>
          <cell r="CN396">
            <v>2400</v>
          </cell>
          <cell r="CO396">
            <v>3200</v>
          </cell>
          <cell r="CP396">
            <v>2400</v>
          </cell>
          <cell r="CQ396">
            <v>2400</v>
          </cell>
          <cell r="CR396">
            <v>2800</v>
          </cell>
          <cell r="CS396">
            <v>800</v>
          </cell>
          <cell r="CT396">
            <v>2400</v>
          </cell>
          <cell r="CU396">
            <v>2800</v>
          </cell>
          <cell r="CV396">
            <v>2400</v>
          </cell>
          <cell r="CW396">
            <v>2400</v>
          </cell>
          <cell r="CX396">
            <v>2400</v>
          </cell>
          <cell r="CY396">
            <v>2400</v>
          </cell>
          <cell r="CZ396">
            <v>2400</v>
          </cell>
          <cell r="DA396">
            <v>2800</v>
          </cell>
          <cell r="DB396">
            <v>2400</v>
          </cell>
          <cell r="DC396">
            <v>2400</v>
          </cell>
          <cell r="DD396">
            <v>2800</v>
          </cell>
          <cell r="DE396">
            <v>2400</v>
          </cell>
          <cell r="DF396">
            <v>2400</v>
          </cell>
          <cell r="DG396">
            <v>2400</v>
          </cell>
          <cell r="DH396">
            <v>1200</v>
          </cell>
          <cell r="DI396">
            <v>800</v>
          </cell>
          <cell r="DJ396">
            <v>2400</v>
          </cell>
          <cell r="DK396">
            <v>2400</v>
          </cell>
          <cell r="DL396">
            <v>2400</v>
          </cell>
          <cell r="DM396">
            <v>2400</v>
          </cell>
          <cell r="DN396">
            <v>2400</v>
          </cell>
          <cell r="DO396">
            <v>2400</v>
          </cell>
          <cell r="DP396">
            <v>2400</v>
          </cell>
          <cell r="DQ396">
            <v>2400</v>
          </cell>
          <cell r="DR396">
            <v>2400</v>
          </cell>
          <cell r="DS396">
            <v>2400</v>
          </cell>
          <cell r="DT396">
            <v>2400</v>
          </cell>
          <cell r="DU396">
            <v>2800</v>
          </cell>
          <cell r="DV396">
            <v>2400</v>
          </cell>
          <cell r="DW396">
            <v>2400</v>
          </cell>
          <cell r="DX396">
            <v>2400</v>
          </cell>
          <cell r="DY396">
            <v>2800</v>
          </cell>
          <cell r="DZ396">
            <v>3200</v>
          </cell>
          <cell r="EA396">
            <v>2000</v>
          </cell>
          <cell r="EB396">
            <v>3200</v>
          </cell>
          <cell r="EC396">
            <v>2800</v>
          </cell>
          <cell r="ED396">
            <v>2800</v>
          </cell>
          <cell r="EE396" t="str">
            <v>ACTIVO</v>
          </cell>
          <cell r="EF396" t="str">
            <v>C</v>
          </cell>
          <cell r="EG396">
            <v>0</v>
          </cell>
          <cell r="EH396">
            <v>2400</v>
          </cell>
          <cell r="EI396">
            <v>400</v>
          </cell>
          <cell r="EJ396">
            <v>536.74149910829647</v>
          </cell>
          <cell r="EK396">
            <v>5600</v>
          </cell>
          <cell r="EL396">
            <v>252000</v>
          </cell>
          <cell r="EM396">
            <v>2.3333333333333335</v>
          </cell>
          <cell r="EN396">
            <v>1600</v>
          </cell>
          <cell r="EO396">
            <v>800</v>
          </cell>
          <cell r="EP396">
            <v>2400</v>
          </cell>
        </row>
        <row r="397">
          <cell r="F397">
            <v>405373</v>
          </cell>
          <cell r="G397" t="str">
            <v>CINTA BICOLOR BNEGRO #500</v>
          </cell>
          <cell r="H397">
            <v>0.5</v>
          </cell>
          <cell r="AU397">
            <v>0.5</v>
          </cell>
          <cell r="AV397">
            <v>2.5</v>
          </cell>
          <cell r="AW397">
            <v>1.5</v>
          </cell>
          <cell r="AX397">
            <v>3.5</v>
          </cell>
          <cell r="AY397">
            <v>3</v>
          </cell>
          <cell r="AZ397">
            <v>119</v>
          </cell>
          <cell r="BA397">
            <v>77.39</v>
          </cell>
          <cell r="BB397">
            <v>3</v>
          </cell>
          <cell r="BC397">
            <v>3</v>
          </cell>
          <cell r="BD397">
            <v>3</v>
          </cell>
          <cell r="BE397">
            <v>3</v>
          </cell>
          <cell r="BF397">
            <v>3</v>
          </cell>
          <cell r="BG397">
            <v>1</v>
          </cell>
          <cell r="BH397">
            <v>1.5</v>
          </cell>
          <cell r="BI397">
            <v>3</v>
          </cell>
          <cell r="BJ397">
            <v>1</v>
          </cell>
          <cell r="BK397">
            <v>3.5</v>
          </cell>
          <cell r="BL397">
            <v>3</v>
          </cell>
          <cell r="BM397">
            <v>3</v>
          </cell>
          <cell r="BN397">
            <v>3</v>
          </cell>
          <cell r="BO397">
            <v>3</v>
          </cell>
          <cell r="BP397">
            <v>3</v>
          </cell>
          <cell r="BQ397">
            <v>2.5</v>
          </cell>
          <cell r="BR397">
            <v>3.5</v>
          </cell>
          <cell r="BS397">
            <v>3</v>
          </cell>
          <cell r="BT397">
            <v>3</v>
          </cell>
          <cell r="BU397">
            <v>3</v>
          </cell>
          <cell r="BV397">
            <v>3</v>
          </cell>
          <cell r="BW397">
            <v>3</v>
          </cell>
          <cell r="BX397">
            <v>3</v>
          </cell>
          <cell r="BY397">
            <v>2.5</v>
          </cell>
          <cell r="BZ397">
            <v>0.5</v>
          </cell>
          <cell r="CA397">
            <v>3</v>
          </cell>
          <cell r="CB397">
            <v>3</v>
          </cell>
          <cell r="CC397">
            <v>3</v>
          </cell>
          <cell r="CD397">
            <v>24.5</v>
          </cell>
          <cell r="CE397">
            <v>43.5</v>
          </cell>
          <cell r="CF397">
            <v>66</v>
          </cell>
          <cell r="CG397">
            <v>36.5</v>
          </cell>
          <cell r="CH397">
            <v>3.5</v>
          </cell>
          <cell r="CI397">
            <v>3</v>
          </cell>
          <cell r="CJ397">
            <v>3.5</v>
          </cell>
          <cell r="CK397">
            <v>3.5</v>
          </cell>
          <cell r="CL397">
            <v>3</v>
          </cell>
          <cell r="CM397">
            <v>40.5</v>
          </cell>
          <cell r="CN397">
            <v>3.5</v>
          </cell>
          <cell r="CO397">
            <v>28</v>
          </cell>
          <cell r="CP397">
            <v>26</v>
          </cell>
          <cell r="CQ397">
            <v>35</v>
          </cell>
          <cell r="CR397">
            <v>3.5</v>
          </cell>
          <cell r="CS397">
            <v>1</v>
          </cell>
          <cell r="CT397">
            <v>27</v>
          </cell>
          <cell r="CU397">
            <v>27.5</v>
          </cell>
          <cell r="CV397">
            <v>43</v>
          </cell>
          <cell r="CW397">
            <v>3</v>
          </cell>
          <cell r="CX397">
            <v>39</v>
          </cell>
          <cell r="CY397">
            <v>53</v>
          </cell>
          <cell r="CZ397">
            <v>103</v>
          </cell>
          <cell r="DA397">
            <v>26.5</v>
          </cell>
          <cell r="DB397">
            <v>107.5</v>
          </cell>
          <cell r="DC397">
            <v>43</v>
          </cell>
          <cell r="DD397">
            <v>3</v>
          </cell>
          <cell r="DE397">
            <v>3</v>
          </cell>
          <cell r="DF397">
            <v>3</v>
          </cell>
          <cell r="DG397">
            <v>3</v>
          </cell>
          <cell r="DH397">
            <v>1.5</v>
          </cell>
          <cell r="DI397">
            <v>1</v>
          </cell>
          <cell r="DJ397">
            <v>83</v>
          </cell>
          <cell r="DK397">
            <v>43</v>
          </cell>
          <cell r="DL397">
            <v>43</v>
          </cell>
          <cell r="DM397">
            <v>21</v>
          </cell>
          <cell r="DN397">
            <v>83</v>
          </cell>
          <cell r="DO397">
            <v>43</v>
          </cell>
          <cell r="DP397">
            <v>7.5</v>
          </cell>
          <cell r="DQ397">
            <v>3</v>
          </cell>
          <cell r="DR397">
            <v>43</v>
          </cell>
          <cell r="DS397">
            <v>43.5</v>
          </cell>
          <cell r="DT397">
            <v>136</v>
          </cell>
          <cell r="DU397">
            <v>142</v>
          </cell>
          <cell r="DV397">
            <v>55</v>
          </cell>
          <cell r="DW397">
            <v>75</v>
          </cell>
          <cell r="DX397">
            <v>106.5</v>
          </cell>
          <cell r="DY397">
            <v>3.5</v>
          </cell>
          <cell r="DZ397">
            <v>89</v>
          </cell>
          <cell r="EA397">
            <v>2.5</v>
          </cell>
          <cell r="EB397">
            <v>4</v>
          </cell>
          <cell r="EC397">
            <v>147.5</v>
          </cell>
          <cell r="ED397">
            <v>3.5</v>
          </cell>
          <cell r="EE397" t="str">
            <v>ACTIVO</v>
          </cell>
          <cell r="EF397" t="str">
            <v>C</v>
          </cell>
          <cell r="EG397">
            <v>0</v>
          </cell>
          <cell r="EH397">
            <v>56.722222222222221</v>
          </cell>
          <cell r="EI397">
            <v>9.4537037037037042</v>
          </cell>
          <cell r="EJ397">
            <v>24.373771414089756</v>
          </cell>
          <cell r="EK397">
            <v>376</v>
          </cell>
          <cell r="EL397">
            <v>5327047.68</v>
          </cell>
          <cell r="EM397">
            <v>6.6287952987267387</v>
          </cell>
          <cell r="EN397">
            <v>37.814814814814817</v>
          </cell>
          <cell r="EO397">
            <v>18.907407407407408</v>
          </cell>
          <cell r="EP397">
            <v>56.722222222222229</v>
          </cell>
        </row>
        <row r="398">
          <cell r="F398">
            <v>405307</v>
          </cell>
          <cell r="G398" t="str">
            <v>TRIANGULO NEGRO COCO RALLADO ZUKKER</v>
          </cell>
          <cell r="AV398">
            <v>600</v>
          </cell>
          <cell r="AW398">
            <v>2200</v>
          </cell>
          <cell r="AX398">
            <v>11600</v>
          </cell>
          <cell r="AY398">
            <v>1700</v>
          </cell>
          <cell r="AZ398">
            <v>1500</v>
          </cell>
          <cell r="BB398">
            <v>9600</v>
          </cell>
          <cell r="BC398">
            <v>400</v>
          </cell>
          <cell r="BF398">
            <v>9000</v>
          </cell>
          <cell r="BH398">
            <v>400</v>
          </cell>
          <cell r="BI398">
            <v>4800</v>
          </cell>
          <cell r="BJ398">
            <v>2400</v>
          </cell>
          <cell r="BK398">
            <v>6000</v>
          </cell>
          <cell r="BL398">
            <v>9100</v>
          </cell>
          <cell r="BN398">
            <v>11520</v>
          </cell>
          <cell r="BP398">
            <v>5700</v>
          </cell>
          <cell r="BQ398">
            <v>1600</v>
          </cell>
          <cell r="BR398">
            <v>10000</v>
          </cell>
          <cell r="BT398">
            <v>11700</v>
          </cell>
          <cell r="BU398">
            <v>9000</v>
          </cell>
          <cell r="BX398">
            <v>10500</v>
          </cell>
          <cell r="CA398">
            <v>300</v>
          </cell>
          <cell r="CB398">
            <v>11100</v>
          </cell>
          <cell r="CG398">
            <v>7200</v>
          </cell>
          <cell r="CI398">
            <v>5200</v>
          </cell>
          <cell r="CK398">
            <v>4400</v>
          </cell>
          <cell r="CL398">
            <v>3000</v>
          </cell>
          <cell r="CM398">
            <v>300</v>
          </cell>
          <cell r="CN398">
            <v>4400</v>
          </cell>
          <cell r="CO398">
            <v>1800</v>
          </cell>
          <cell r="CP398">
            <v>9900</v>
          </cell>
          <cell r="CR398">
            <v>600</v>
          </cell>
          <cell r="EE398" t="str">
            <v>SIN USO</v>
          </cell>
          <cell r="EF398" t="str">
            <v>C</v>
          </cell>
          <cell r="EH398">
            <v>0</v>
          </cell>
          <cell r="EI398">
            <v>0</v>
          </cell>
          <cell r="EJ398">
            <v>3988.9107154274807</v>
          </cell>
          <cell r="EK398">
            <v>0</v>
          </cell>
          <cell r="EL398">
            <v>0</v>
          </cell>
          <cell r="EM398">
            <v>0</v>
          </cell>
          <cell r="EN398">
            <v>0</v>
          </cell>
          <cell r="EO398">
            <v>0</v>
          </cell>
          <cell r="EP398">
            <v>0</v>
          </cell>
        </row>
        <row r="399">
          <cell r="F399">
            <v>405332</v>
          </cell>
          <cell r="G399" t="str">
            <v>GRANILLO DE COLORES MANAR</v>
          </cell>
          <cell r="CS399">
            <v>25</v>
          </cell>
          <cell r="EE399" t="str">
            <v>SIN USO</v>
          </cell>
          <cell r="EF399" t="str">
            <v>C</v>
          </cell>
          <cell r="EG399" t="str">
            <v/>
          </cell>
          <cell r="EH399">
            <v>0</v>
          </cell>
          <cell r="EI399">
            <v>0</v>
          </cell>
          <cell r="EJ399">
            <v>0</v>
          </cell>
          <cell r="EK399">
            <v>0</v>
          </cell>
          <cell r="EL399">
            <v>0</v>
          </cell>
          <cell r="EM399">
            <v>0</v>
          </cell>
          <cell r="EN399">
            <v>0</v>
          </cell>
          <cell r="EO399">
            <v>0</v>
          </cell>
          <cell r="EP399">
            <v>0</v>
          </cell>
        </row>
        <row r="400">
          <cell r="F400">
            <v>405311</v>
          </cell>
          <cell r="G400" t="str">
            <v>TRIANGULO BLANCO RAYADO ROJO</v>
          </cell>
          <cell r="BW400">
            <v>3648</v>
          </cell>
          <cell r="EE400" t="str">
            <v>SIN USO</v>
          </cell>
          <cell r="EF400" t="str">
            <v>C</v>
          </cell>
          <cell r="EG400" t="str">
            <v/>
          </cell>
          <cell r="EH400">
            <v>0</v>
          </cell>
          <cell r="EI400">
            <v>0</v>
          </cell>
          <cell r="EJ400">
            <v>0</v>
          </cell>
          <cell r="EK400">
            <v>0</v>
          </cell>
          <cell r="EL400">
            <v>0</v>
          </cell>
          <cell r="EM400">
            <v>0</v>
          </cell>
          <cell r="EN400">
            <v>0</v>
          </cell>
          <cell r="EO400">
            <v>0</v>
          </cell>
          <cell r="EP400">
            <v>0</v>
          </cell>
        </row>
        <row r="401">
          <cell r="F401">
            <v>107349</v>
          </cell>
          <cell r="G401" t="str">
            <v>FLOR DE LOTO CHOCOLATE MORADA AMBROSIA</v>
          </cell>
          <cell r="BW401">
            <v>50</v>
          </cell>
          <cell r="EE401" t="str">
            <v>SIN USO</v>
          </cell>
          <cell r="EF401" t="str">
            <v>C</v>
          </cell>
          <cell r="EG401" t="str">
            <v/>
          </cell>
          <cell r="EH401">
            <v>0</v>
          </cell>
          <cell r="EI401">
            <v>0</v>
          </cell>
          <cell r="EJ401">
            <v>0</v>
          </cell>
          <cell r="EK401">
            <v>0</v>
          </cell>
          <cell r="EL401">
            <v>0</v>
          </cell>
          <cell r="EM401">
            <v>0</v>
          </cell>
          <cell r="EN401">
            <v>0</v>
          </cell>
          <cell r="EO401">
            <v>0</v>
          </cell>
          <cell r="EP401">
            <v>0</v>
          </cell>
        </row>
        <row r="402">
          <cell r="F402">
            <v>107340</v>
          </cell>
          <cell r="G402" t="str">
            <v>CORAZÓN MANGUEADO GANACHE AMBROSIA</v>
          </cell>
          <cell r="BY402">
            <v>4200</v>
          </cell>
          <cell r="EE402" t="str">
            <v>SIN USO</v>
          </cell>
          <cell r="EF402" t="str">
            <v>C</v>
          </cell>
          <cell r="EG402" t="str">
            <v/>
          </cell>
          <cell r="EH402">
            <v>0</v>
          </cell>
          <cell r="EI402">
            <v>0</v>
          </cell>
          <cell r="EJ402">
            <v>0</v>
          </cell>
          <cell r="EK402">
            <v>0</v>
          </cell>
          <cell r="EL402">
            <v>0</v>
          </cell>
          <cell r="EM402">
            <v>0</v>
          </cell>
          <cell r="EN402">
            <v>0</v>
          </cell>
          <cell r="EO402">
            <v>0</v>
          </cell>
          <cell r="EP402">
            <v>0</v>
          </cell>
        </row>
        <row r="403">
          <cell r="F403">
            <v>101001</v>
          </cell>
          <cell r="G403" t="str">
            <v>CACAO AMARGO</v>
          </cell>
          <cell r="BQ403">
            <v>25</v>
          </cell>
          <cell r="BX403">
            <v>18.510999999999999</v>
          </cell>
          <cell r="EE403" t="str">
            <v>SIN USO</v>
          </cell>
          <cell r="EF403" t="str">
            <v>C</v>
          </cell>
          <cell r="EG403" t="str">
            <v/>
          </cell>
          <cell r="EH403">
            <v>0</v>
          </cell>
          <cell r="EI403">
            <v>0</v>
          </cell>
          <cell r="EJ403">
            <v>4.58841590311952</v>
          </cell>
          <cell r="EK403">
            <v>0</v>
          </cell>
          <cell r="EL403">
            <v>0</v>
          </cell>
          <cell r="EM403">
            <v>0</v>
          </cell>
          <cell r="EN403">
            <v>0</v>
          </cell>
          <cell r="EO403">
            <v>0</v>
          </cell>
          <cell r="EP403">
            <v>0</v>
          </cell>
        </row>
        <row r="404">
          <cell r="F404">
            <v>405526</v>
          </cell>
          <cell r="G404" t="str">
            <v>PASTA PISTACHO SIN AZUCAR SABORES Y FRAGANCIA</v>
          </cell>
          <cell r="BY404">
            <v>36</v>
          </cell>
          <cell r="EE404" t="str">
            <v>SIN USO</v>
          </cell>
          <cell r="EF404" t="str">
            <v>C</v>
          </cell>
          <cell r="EG404" t="str">
            <v/>
          </cell>
          <cell r="EH404">
            <v>0</v>
          </cell>
          <cell r="EI404">
            <v>0</v>
          </cell>
          <cell r="EJ404">
            <v>0</v>
          </cell>
          <cell r="EK404">
            <v>0</v>
          </cell>
          <cell r="EL404">
            <v>0</v>
          </cell>
          <cell r="EM404">
            <v>0</v>
          </cell>
          <cell r="EN404">
            <v>0</v>
          </cell>
          <cell r="EO404">
            <v>0</v>
          </cell>
          <cell r="EP404">
            <v>0</v>
          </cell>
        </row>
        <row r="405">
          <cell r="F405">
            <v>405530</v>
          </cell>
          <cell r="G405" t="str">
            <v>PISTACHO TROZO TOSTADO SIN SAL GRUPO CAMPOS</v>
          </cell>
          <cell r="BY405">
            <v>12</v>
          </cell>
          <cell r="EE405" t="str">
            <v>SIN USO</v>
          </cell>
          <cell r="EF405" t="str">
            <v>C</v>
          </cell>
          <cell r="EH405">
            <v>0</v>
          </cell>
          <cell r="EI405">
            <v>0</v>
          </cell>
          <cell r="EJ405">
            <v>0</v>
          </cell>
          <cell r="EK405">
            <v>0</v>
          </cell>
          <cell r="EL405">
            <v>0</v>
          </cell>
          <cell r="EM405">
            <v>0</v>
          </cell>
          <cell r="EN405">
            <v>0</v>
          </cell>
          <cell r="EO405">
            <v>0</v>
          </cell>
          <cell r="EP405">
            <v>0</v>
          </cell>
        </row>
        <row r="406">
          <cell r="F406">
            <v>405531</v>
          </cell>
          <cell r="G406" t="str">
            <v>RALLADO 3mm BICOLOR BLANCO-ROSADO ZUKKER</v>
          </cell>
          <cell r="DD406">
            <v>0</v>
          </cell>
          <cell r="EE406" t="str">
            <v>SIN USO</v>
          </cell>
          <cell r="EF406" t="str">
            <v>C</v>
          </cell>
          <cell r="EG406" t="str">
            <v/>
          </cell>
          <cell r="EH406">
            <v>0</v>
          </cell>
          <cell r="EI406">
            <v>0</v>
          </cell>
          <cell r="EJ406">
            <v>0</v>
          </cell>
          <cell r="EK406">
            <v>0</v>
          </cell>
          <cell r="EL406">
            <v>0</v>
          </cell>
          <cell r="EM406">
            <v>0</v>
          </cell>
          <cell r="EN406">
            <v>0</v>
          </cell>
          <cell r="EO406">
            <v>0</v>
          </cell>
          <cell r="EP406">
            <v>0</v>
          </cell>
        </row>
        <row r="407">
          <cell r="F407">
            <v>405508</v>
          </cell>
          <cell r="G407" t="str">
            <v>ZANAHORIA GANACHE CHOCOLATE AMBROSIA</v>
          </cell>
          <cell r="DD407">
            <v>0</v>
          </cell>
          <cell r="EE407" t="str">
            <v>SIN USO</v>
          </cell>
          <cell r="EF407" t="str">
            <v>C</v>
          </cell>
          <cell r="EH407">
            <v>0</v>
          </cell>
          <cell r="EI407">
            <v>0</v>
          </cell>
          <cell r="EJ407">
            <v>0</v>
          </cell>
          <cell r="EK407">
            <v>0</v>
          </cell>
          <cell r="EL407">
            <v>0</v>
          </cell>
          <cell r="EM407">
            <v>0</v>
          </cell>
          <cell r="EN407">
            <v>0</v>
          </cell>
          <cell r="EO407">
            <v>0</v>
          </cell>
          <cell r="EP407">
            <v>0</v>
          </cell>
        </row>
        <row r="408">
          <cell r="F408">
            <v>405695</v>
          </cell>
          <cell r="G408" t="str">
            <v>CÍRCULO DECORACIÓN NAVIDAD ZUKKER</v>
          </cell>
          <cell r="DF408">
            <v>0</v>
          </cell>
          <cell r="EE408" t="str">
            <v>SIN USO</v>
          </cell>
          <cell r="EF408" t="str">
            <v>C</v>
          </cell>
          <cell r="EG408" t="str">
            <v/>
          </cell>
          <cell r="EH408">
            <v>0</v>
          </cell>
          <cell r="EI408">
            <v>0</v>
          </cell>
          <cell r="EJ408">
            <v>0</v>
          </cell>
          <cell r="EK408">
            <v>0</v>
          </cell>
          <cell r="EL408">
            <v>0</v>
          </cell>
          <cell r="EM408">
            <v>0</v>
          </cell>
          <cell r="EN408">
            <v>0</v>
          </cell>
          <cell r="EO408">
            <v>0</v>
          </cell>
          <cell r="EP408">
            <v>0</v>
          </cell>
        </row>
        <row r="409">
          <cell r="F409">
            <v>405510</v>
          </cell>
          <cell r="G409" t="str">
            <v>CHIP SUCEDANEO DE COLORES CERRILLOS</v>
          </cell>
          <cell r="DF409">
            <v>0</v>
          </cell>
          <cell r="EE409" t="str">
            <v>SIN USO</v>
          </cell>
          <cell r="EF409" t="str">
            <v>C</v>
          </cell>
          <cell r="EG409" t="str">
            <v/>
          </cell>
          <cell r="EH409">
            <v>0</v>
          </cell>
          <cell r="EI409">
            <v>0</v>
          </cell>
          <cell r="EJ409">
            <v>0</v>
          </cell>
          <cell r="EK409">
            <v>0</v>
          </cell>
          <cell r="EL409">
            <v>0</v>
          </cell>
          <cell r="EM409">
            <v>0</v>
          </cell>
          <cell r="EN409">
            <v>0</v>
          </cell>
          <cell r="EO409">
            <v>0</v>
          </cell>
          <cell r="EP409">
            <v>0</v>
          </cell>
        </row>
        <row r="410">
          <cell r="F410">
            <v>405684</v>
          </cell>
          <cell r="G410" t="str">
            <v>ZANAHORIA BABY MINUTO VERDE</v>
          </cell>
          <cell r="DF410">
            <v>0</v>
          </cell>
          <cell r="EE410" t="str">
            <v>ACTIVO</v>
          </cell>
          <cell r="EF410" t="str">
            <v>C</v>
          </cell>
          <cell r="EG410">
            <v>0</v>
          </cell>
          <cell r="EH410">
            <v>0</v>
          </cell>
          <cell r="EI410">
            <v>0</v>
          </cell>
          <cell r="EJ410">
            <v>0</v>
          </cell>
          <cell r="EK410">
            <v>0</v>
          </cell>
          <cell r="EL410">
            <v>0</v>
          </cell>
          <cell r="EM410">
            <v>0</v>
          </cell>
          <cell r="EN410">
            <v>0</v>
          </cell>
          <cell r="EO410">
            <v>0</v>
          </cell>
          <cell r="EP410">
            <v>0</v>
          </cell>
        </row>
        <row r="411">
          <cell r="F411">
            <v>405697</v>
          </cell>
          <cell r="G411" t="str">
            <v>TRIANGULO CHOCOLATE PURATOS</v>
          </cell>
          <cell r="DJ411">
            <v>4.8199999999999994</v>
          </cell>
          <cell r="DK411">
            <v>3.5999999999999996</v>
          </cell>
          <cell r="DL411">
            <v>3.96</v>
          </cell>
          <cell r="DM411">
            <v>4.62</v>
          </cell>
          <cell r="DN411">
            <v>4.6800000000000006</v>
          </cell>
          <cell r="DO411">
            <v>5.18</v>
          </cell>
          <cell r="EE411" t="str">
            <v>SIN USO</v>
          </cell>
          <cell r="EF411" t="str">
            <v/>
          </cell>
          <cell r="EG411" t="str">
            <v/>
          </cell>
          <cell r="EH411">
            <v>4.4766666666666666</v>
          </cell>
          <cell r="EI411">
            <v>0.74611111111111106</v>
          </cell>
          <cell r="EJ411">
            <v>0</v>
          </cell>
          <cell r="EK411">
            <v>0</v>
          </cell>
          <cell r="EL411">
            <v>0</v>
          </cell>
          <cell r="EM411">
            <v>0</v>
          </cell>
          <cell r="EN411">
            <v>2.2383333333333333</v>
          </cell>
          <cell r="EO411">
            <v>1.4922222222222221</v>
          </cell>
          <cell r="EP411">
            <v>3.7305555555555552</v>
          </cell>
        </row>
        <row r="412">
          <cell r="F412">
            <v>405683</v>
          </cell>
          <cell r="G412" t="str">
            <v>TRIANGULO VERDE #85 MARMOLEADO AMARILLO</v>
          </cell>
          <cell r="DK412">
            <v>456</v>
          </cell>
          <cell r="DL412">
            <v>310</v>
          </cell>
          <cell r="DM412">
            <v>1210</v>
          </cell>
          <cell r="DO412">
            <v>608</v>
          </cell>
          <cell r="DS412">
            <v>2154</v>
          </cell>
          <cell r="DU412">
            <v>477</v>
          </cell>
          <cell r="DW412">
            <v>1113</v>
          </cell>
          <cell r="DX412">
            <v>608</v>
          </cell>
          <cell r="DY412">
            <v>1983</v>
          </cell>
          <cell r="EC412">
            <v>2984</v>
          </cell>
          <cell r="EE412" t="str">
            <v>ACTIVO</v>
          </cell>
          <cell r="EF412" t="str">
            <v/>
          </cell>
          <cell r="EG412" t="str">
            <v/>
          </cell>
          <cell r="EH412">
            <v>991</v>
          </cell>
          <cell r="EI412">
            <v>165.16666666666666</v>
          </cell>
          <cell r="EJ412">
            <v>0</v>
          </cell>
          <cell r="EK412">
            <v>6536</v>
          </cell>
          <cell r="EL412">
            <v>901968</v>
          </cell>
          <cell r="EM412">
            <v>6.5953582240161452</v>
          </cell>
          <cell r="EN412">
            <v>1156.1666666666665</v>
          </cell>
          <cell r="EO412">
            <v>330.33333333333331</v>
          </cell>
          <cell r="EP412">
            <v>1486.4999999999998</v>
          </cell>
        </row>
        <row r="413">
          <cell r="F413">
            <v>405729</v>
          </cell>
          <cell r="G413" t="str">
            <v>CORAZÓN GRANDE #4 ROSADO DDM ZUKKER</v>
          </cell>
          <cell r="DY413">
            <v>180</v>
          </cell>
          <cell r="DZ413">
            <v>390</v>
          </cell>
          <cell r="EA413">
            <v>2670</v>
          </cell>
          <cell r="EE413" t="str">
            <v>ACTIVO</v>
          </cell>
          <cell r="EF413" t="str">
            <v/>
          </cell>
          <cell r="EG413" t="str">
            <v/>
          </cell>
          <cell r="EH413">
            <v>285</v>
          </cell>
          <cell r="EI413">
            <v>47.5</v>
          </cell>
          <cell r="EJ413">
            <v>0</v>
          </cell>
          <cell r="EK413">
            <v>0</v>
          </cell>
          <cell r="EL413">
            <v>0</v>
          </cell>
          <cell r="EM413">
            <v>0</v>
          </cell>
          <cell r="EN413">
            <v>332.5</v>
          </cell>
          <cell r="EO413">
            <v>95</v>
          </cell>
          <cell r="EP413">
            <v>427.5</v>
          </cell>
        </row>
        <row r="414">
          <cell r="F414">
            <v>101108</v>
          </cell>
          <cell r="G414" t="str">
            <v>FIGURA DE CORAZON MANAR</v>
          </cell>
          <cell r="DZ414">
            <v>10</v>
          </cell>
          <cell r="EE414" t="str">
            <v>SIN USO</v>
          </cell>
          <cell r="EF414" t="str">
            <v/>
          </cell>
          <cell r="EG414" t="str">
            <v/>
          </cell>
          <cell r="EH414">
            <v>10</v>
          </cell>
          <cell r="EI414">
            <v>1.6666666666666667</v>
          </cell>
          <cell r="EJ414">
            <v>0</v>
          </cell>
          <cell r="EK414">
            <v>10</v>
          </cell>
          <cell r="EL414">
            <v>40600</v>
          </cell>
          <cell r="EM414">
            <v>1</v>
          </cell>
          <cell r="EN414">
            <v>5</v>
          </cell>
          <cell r="EO414">
            <v>3.3333333333333335</v>
          </cell>
          <cell r="EP414">
            <v>8.3333333333333339</v>
          </cell>
        </row>
        <row r="415">
          <cell r="F415">
            <v>405749</v>
          </cell>
          <cell r="G415" t="str">
            <v>CARAVELLA RELL FRÍO-CALIENTE AVELLANA 13 KG MASTER MARTINI</v>
          </cell>
          <cell r="ED415">
            <v>20</v>
          </cell>
          <cell r="EE415" t="str">
            <v>ACTIVO</v>
          </cell>
          <cell r="EF415" t="str">
            <v/>
          </cell>
          <cell r="EG415" t="str">
            <v/>
          </cell>
          <cell r="EH415">
            <v>0</v>
          </cell>
          <cell r="EI415">
            <v>0</v>
          </cell>
          <cell r="EJ415">
            <v>0</v>
          </cell>
          <cell r="EK415">
            <v>370</v>
          </cell>
          <cell r="EL415">
            <v>2220000</v>
          </cell>
          <cell r="EM415">
            <v>0</v>
          </cell>
          <cell r="EN415">
            <v>0</v>
          </cell>
          <cell r="EO415">
            <v>0</v>
          </cell>
          <cell r="EP415">
            <v>0</v>
          </cell>
        </row>
        <row r="416">
          <cell r="H416">
            <v>6357.52</v>
          </cell>
          <cell r="I416">
            <v>1380.1599999999999</v>
          </cell>
          <cell r="J416">
            <v>2017.3</v>
          </cell>
          <cell r="K416">
            <v>29347.8</v>
          </cell>
          <cell r="L416">
            <v>1327.44</v>
          </cell>
          <cell r="M416">
            <v>1082.3</v>
          </cell>
          <cell r="N416">
            <v>1380.52</v>
          </cell>
          <cell r="O416">
            <v>1788.6599999999999</v>
          </cell>
          <cell r="P416">
            <v>878.52</v>
          </cell>
          <cell r="Q416">
            <v>1662.52</v>
          </cell>
          <cell r="R416">
            <v>1390.1</v>
          </cell>
          <cell r="S416">
            <v>1082.44</v>
          </cell>
          <cell r="T416">
            <v>626.5</v>
          </cell>
          <cell r="U416">
            <v>1664.6599999999999</v>
          </cell>
          <cell r="V416">
            <v>1863.08</v>
          </cell>
          <cell r="W416">
            <v>2082.38</v>
          </cell>
          <cell r="X416">
            <v>2430.8200000000002</v>
          </cell>
          <cell r="Y416">
            <v>2380.7399999999998</v>
          </cell>
          <cell r="Z416">
            <v>1554.9</v>
          </cell>
          <cell r="AA416">
            <v>1369.94</v>
          </cell>
          <cell r="AB416">
            <v>2894.46</v>
          </cell>
          <cell r="AC416">
            <v>2471.66</v>
          </cell>
          <cell r="AD416">
            <v>2932.24</v>
          </cell>
          <cell r="AE416">
            <v>2519.7399999999998</v>
          </cell>
          <cell r="AF416">
            <v>1749.38</v>
          </cell>
          <cell r="AG416">
            <v>2420.96</v>
          </cell>
          <cell r="AH416">
            <v>2066.8000000000002</v>
          </cell>
          <cell r="AI416">
            <v>3085.46</v>
          </cell>
          <cell r="AJ416">
            <v>3060.74</v>
          </cell>
          <cell r="AK416">
            <v>2475.4</v>
          </cell>
          <cell r="AL416">
            <v>3368.46</v>
          </cell>
          <cell r="AM416">
            <v>2070.9</v>
          </cell>
          <cell r="AN416">
            <v>2605.7399999999998</v>
          </cell>
          <cell r="AO416">
            <v>2233.54</v>
          </cell>
          <cell r="AP416">
            <v>1948.96</v>
          </cell>
          <cell r="AQ416">
            <v>3377.82</v>
          </cell>
          <cell r="AR416">
            <v>2611.3199999999997</v>
          </cell>
          <cell r="AS416">
            <v>876.72</v>
          </cell>
          <cell r="AT416">
            <v>3321.9</v>
          </cell>
          <cell r="AU416">
            <v>2156.04</v>
          </cell>
          <cell r="AV416">
            <v>5004.32</v>
          </cell>
          <cell r="AW416">
            <v>6644.24</v>
          </cell>
          <cell r="AX416">
            <v>26213.68</v>
          </cell>
          <cell r="AY416">
            <v>5744.54</v>
          </cell>
          <cell r="AZ416">
            <v>9579.02</v>
          </cell>
          <cell r="BA416">
            <v>10875.789999999999</v>
          </cell>
          <cell r="BB416">
            <v>14526.82</v>
          </cell>
          <cell r="BC416">
            <v>5054.84</v>
          </cell>
          <cell r="BD416">
            <v>10427.68</v>
          </cell>
          <cell r="BE416">
            <v>8900.5400000000009</v>
          </cell>
          <cell r="BF416">
            <v>13925.17</v>
          </cell>
          <cell r="BG416">
            <v>3159.82</v>
          </cell>
          <cell r="BH416">
            <v>2548.88</v>
          </cell>
          <cell r="BI416">
            <v>9910.26</v>
          </cell>
          <cell r="BJ416">
            <v>12358.46</v>
          </cell>
          <cell r="BK416">
            <v>11323.32</v>
          </cell>
          <cell r="BL416">
            <v>18138.82</v>
          </cell>
          <cell r="BM416">
            <v>9300.18</v>
          </cell>
          <cell r="BN416">
            <v>16665.260000000002</v>
          </cell>
          <cell r="BO416">
            <v>12563.96</v>
          </cell>
          <cell r="BP416">
            <v>9016.18</v>
          </cell>
          <cell r="BQ416">
            <v>7258.96</v>
          </cell>
          <cell r="BR416">
            <v>19104.400000000001</v>
          </cell>
          <cell r="BS416">
            <v>4577.96</v>
          </cell>
          <cell r="BT416">
            <v>16218.46</v>
          </cell>
          <cell r="BU416">
            <v>21065.18</v>
          </cell>
          <cell r="BV416">
            <v>12054.32</v>
          </cell>
          <cell r="BW416">
            <v>19551.32</v>
          </cell>
          <cell r="BX416">
            <v>29721.539999999997</v>
          </cell>
          <cell r="BY416">
            <v>20733.54</v>
          </cell>
          <cell r="BZ416">
            <v>4043.4</v>
          </cell>
          <cell r="CA416">
            <v>10044.540000000001</v>
          </cell>
          <cell r="CB416">
            <v>26012.18</v>
          </cell>
          <cell r="CC416">
            <v>7985.32</v>
          </cell>
          <cell r="CD416">
            <v>19925.82</v>
          </cell>
          <cell r="CE416">
            <v>8410.9</v>
          </cell>
          <cell r="CF416">
            <v>19024.32</v>
          </cell>
          <cell r="CG416">
            <v>19137.32</v>
          </cell>
          <cell r="CH416">
            <v>10629.68</v>
          </cell>
          <cell r="CI416">
            <v>29214.46</v>
          </cell>
          <cell r="CJ416">
            <v>9659.68</v>
          </cell>
          <cell r="CK416">
            <v>17767.96</v>
          </cell>
          <cell r="CL416">
            <v>20169.96</v>
          </cell>
          <cell r="CM416">
            <v>9540.68</v>
          </cell>
          <cell r="CN416">
            <v>12889.68</v>
          </cell>
          <cell r="CO416">
            <v>16456.68</v>
          </cell>
          <cell r="CP416">
            <v>24698.82</v>
          </cell>
          <cell r="CQ416">
            <v>10915.68</v>
          </cell>
          <cell r="CR416">
            <v>20759.96</v>
          </cell>
          <cell r="CS416">
            <v>10132.720000000001</v>
          </cell>
          <cell r="CT416">
            <v>11316.96</v>
          </cell>
          <cell r="CU416">
            <v>9794.1</v>
          </cell>
          <cell r="CV416">
            <v>14715.74</v>
          </cell>
          <cell r="CW416">
            <v>17523.599999999999</v>
          </cell>
          <cell r="CX416">
            <v>5434.6</v>
          </cell>
          <cell r="CY416">
            <v>7139.74</v>
          </cell>
          <cell r="CZ416">
            <v>17673.38</v>
          </cell>
          <cell r="DA416">
            <v>7584.6</v>
          </cell>
          <cell r="DB416">
            <v>13078.24</v>
          </cell>
          <cell r="DC416">
            <v>5300.74</v>
          </cell>
          <cell r="DD416">
            <v>12258.6</v>
          </cell>
          <cell r="DE416">
            <v>8441.880000000001</v>
          </cell>
          <cell r="DF416">
            <v>16944.099999999999</v>
          </cell>
          <cell r="DG416">
            <v>4340.8999999999996</v>
          </cell>
          <cell r="DH416">
            <v>13591.44</v>
          </cell>
          <cell r="DI416">
            <v>990</v>
          </cell>
          <cell r="DJ416">
            <v>8313.82</v>
          </cell>
          <cell r="DK416">
            <v>8305.1</v>
          </cell>
          <cell r="DL416">
            <v>13106.46</v>
          </cell>
          <cell r="DM416">
            <v>13288.340000000002</v>
          </cell>
          <cell r="DN416">
            <v>12884.68</v>
          </cell>
          <cell r="DO416">
            <v>16221.26</v>
          </cell>
          <cell r="DP416">
            <v>9171.880000000001</v>
          </cell>
          <cell r="DQ416">
            <v>10782.24</v>
          </cell>
          <cell r="DR416">
            <v>17756.099999999999</v>
          </cell>
          <cell r="DS416">
            <v>10475.1</v>
          </cell>
          <cell r="DT416">
            <v>18853.82</v>
          </cell>
          <cell r="DU416">
            <v>12840.76</v>
          </cell>
          <cell r="DV416">
            <v>4461.82</v>
          </cell>
          <cell r="DW416">
            <v>10820.24</v>
          </cell>
          <cell r="DX416">
            <v>19021.96</v>
          </cell>
          <cell r="DY416">
            <v>13836.32</v>
          </cell>
          <cell r="DZ416">
            <v>12310.82</v>
          </cell>
          <cell r="EA416">
            <v>6284.54</v>
          </cell>
          <cell r="EB416">
            <v>11800.4</v>
          </cell>
          <cell r="EC416">
            <v>13633.779999999999</v>
          </cell>
          <cell r="ED416">
            <v>16111.74</v>
          </cell>
          <cell r="EE416" t="str">
            <v>ACTIVO</v>
          </cell>
          <cell r="EF416" t="str">
            <v/>
          </cell>
          <cell r="EG416" t="str">
            <v/>
          </cell>
          <cell r="EH416">
            <v>11857.81777777778</v>
          </cell>
          <cell r="EI416">
            <v>1976.3029629629634</v>
          </cell>
          <cell r="EJ416">
            <v>6403.0270377113839</v>
          </cell>
          <cell r="EK416">
            <v>0</v>
          </cell>
          <cell r="EL416">
            <v>0</v>
          </cell>
          <cell r="EM416">
            <v>0</v>
          </cell>
          <cell r="EN416">
            <v>0</v>
          </cell>
          <cell r="EO416">
            <v>3952.6059259259268</v>
          </cell>
          <cell r="EP416">
            <v>3952.6059259259268</v>
          </cell>
        </row>
        <row r="417">
          <cell r="F417">
            <v>104006</v>
          </cell>
          <cell r="G417" t="str">
            <v>AZUCAR GRANULADA EGC</v>
          </cell>
          <cell r="H417">
            <v>1175</v>
          </cell>
          <cell r="I417">
            <v>910</v>
          </cell>
          <cell r="J417">
            <v>736</v>
          </cell>
          <cell r="K417">
            <v>845</v>
          </cell>
          <cell r="L417">
            <v>1177</v>
          </cell>
          <cell r="M417">
            <v>1016</v>
          </cell>
          <cell r="N417">
            <v>793</v>
          </cell>
          <cell r="O417">
            <v>891</v>
          </cell>
          <cell r="P417">
            <v>848</v>
          </cell>
          <cell r="Q417">
            <v>1046</v>
          </cell>
          <cell r="R417">
            <v>1292</v>
          </cell>
          <cell r="S417">
            <v>826</v>
          </cell>
          <cell r="T417">
            <v>788</v>
          </cell>
          <cell r="U417">
            <v>1138</v>
          </cell>
          <cell r="V417">
            <v>1502</v>
          </cell>
          <cell r="W417">
            <v>979</v>
          </cell>
          <cell r="X417">
            <v>1257</v>
          </cell>
          <cell r="Y417">
            <v>1143</v>
          </cell>
          <cell r="Z417">
            <v>1760</v>
          </cell>
          <cell r="AA417">
            <v>994</v>
          </cell>
          <cell r="AB417">
            <v>1078</v>
          </cell>
          <cell r="AC417">
            <v>866</v>
          </cell>
          <cell r="AD417">
            <v>1303</v>
          </cell>
          <cell r="AE417">
            <v>1583</v>
          </cell>
          <cell r="AF417">
            <v>888</v>
          </cell>
          <cell r="AG417">
            <v>1097</v>
          </cell>
          <cell r="AH417">
            <v>1014</v>
          </cell>
          <cell r="AI417">
            <v>1083</v>
          </cell>
          <cell r="AJ417">
            <v>1262</v>
          </cell>
          <cell r="AK417">
            <v>1302</v>
          </cell>
          <cell r="AL417">
            <v>1183</v>
          </cell>
          <cell r="AM417">
            <v>1414</v>
          </cell>
          <cell r="AN417">
            <v>1153</v>
          </cell>
          <cell r="AO417">
            <v>1243</v>
          </cell>
          <cell r="AP417">
            <v>1216</v>
          </cell>
          <cell r="AQ417">
            <v>1193</v>
          </cell>
          <cell r="AR417">
            <v>1158</v>
          </cell>
          <cell r="AS417">
            <v>440</v>
          </cell>
          <cell r="AT417">
            <v>1414</v>
          </cell>
          <cell r="AU417">
            <v>1220</v>
          </cell>
          <cell r="AV417">
            <v>1187</v>
          </cell>
          <cell r="AW417">
            <v>997</v>
          </cell>
          <cell r="AX417">
            <v>1268</v>
          </cell>
          <cell r="AY417">
            <v>1153</v>
          </cell>
          <cell r="AZ417">
            <v>1378</v>
          </cell>
          <cell r="BA417">
            <v>1398</v>
          </cell>
          <cell r="BB417">
            <v>1271</v>
          </cell>
          <cell r="BC417">
            <v>1334</v>
          </cell>
          <cell r="BD417">
            <v>1729</v>
          </cell>
          <cell r="BE417">
            <v>1612</v>
          </cell>
          <cell r="BF417">
            <v>1788</v>
          </cell>
          <cell r="BG417">
            <v>1444</v>
          </cell>
          <cell r="BH417">
            <v>640</v>
          </cell>
          <cell r="BI417">
            <v>1317</v>
          </cell>
          <cell r="BJ417">
            <v>1142</v>
          </cell>
          <cell r="BK417">
            <v>1379</v>
          </cell>
          <cell r="BL417">
            <v>1265</v>
          </cell>
          <cell r="BM417">
            <v>1358</v>
          </cell>
          <cell r="BN417">
            <v>1345</v>
          </cell>
          <cell r="BO417">
            <v>1315</v>
          </cell>
          <cell r="BP417">
            <v>1157</v>
          </cell>
          <cell r="BQ417">
            <v>1095</v>
          </cell>
          <cell r="BR417">
            <v>1502</v>
          </cell>
          <cell r="BS417">
            <v>1314</v>
          </cell>
          <cell r="BT417">
            <v>1663</v>
          </cell>
          <cell r="BU417">
            <v>1223</v>
          </cell>
          <cell r="BV417">
            <v>1564</v>
          </cell>
          <cell r="BW417">
            <v>1286</v>
          </cell>
          <cell r="BX417">
            <v>1189</v>
          </cell>
          <cell r="BY417">
            <v>1569</v>
          </cell>
          <cell r="BZ417">
            <v>2032</v>
          </cell>
          <cell r="CA417">
            <v>1512</v>
          </cell>
          <cell r="CB417">
            <v>1326</v>
          </cell>
          <cell r="CC417">
            <v>1013</v>
          </cell>
          <cell r="CD417">
            <v>1320</v>
          </cell>
          <cell r="CE417">
            <v>1849</v>
          </cell>
          <cell r="CF417">
            <v>1146</v>
          </cell>
          <cell r="CG417">
            <v>1396</v>
          </cell>
          <cell r="CH417">
            <v>1137</v>
          </cell>
          <cell r="CI417">
            <v>1126</v>
          </cell>
          <cell r="CJ417">
            <v>1183</v>
          </cell>
          <cell r="CK417">
            <v>1166</v>
          </cell>
          <cell r="CL417">
            <v>1402</v>
          </cell>
          <cell r="CM417">
            <v>1286</v>
          </cell>
          <cell r="CN417">
            <v>1233</v>
          </cell>
          <cell r="CO417">
            <v>1220</v>
          </cell>
          <cell r="CP417">
            <v>1320</v>
          </cell>
          <cell r="CQ417">
            <v>1347</v>
          </cell>
          <cell r="CR417">
            <v>1292</v>
          </cell>
          <cell r="CS417">
            <v>745</v>
          </cell>
          <cell r="CT417">
            <v>1371</v>
          </cell>
          <cell r="CU417">
            <v>1473</v>
          </cell>
          <cell r="CV417">
            <v>1523</v>
          </cell>
          <cell r="CW417">
            <v>1176</v>
          </cell>
          <cell r="CX417">
            <v>1217</v>
          </cell>
          <cell r="CY417">
            <v>1233</v>
          </cell>
          <cell r="CZ417">
            <v>1352</v>
          </cell>
          <cell r="DA417">
            <v>1234</v>
          </cell>
          <cell r="DB417">
            <v>1157</v>
          </cell>
          <cell r="DC417">
            <v>1191</v>
          </cell>
          <cell r="DD417">
            <v>1075</v>
          </cell>
          <cell r="DE417">
            <v>1075</v>
          </cell>
          <cell r="DF417">
            <v>1691</v>
          </cell>
          <cell r="DG417">
            <v>1361</v>
          </cell>
          <cell r="DH417">
            <v>661</v>
          </cell>
          <cell r="DI417">
            <v>316</v>
          </cell>
          <cell r="DJ417">
            <v>1492</v>
          </cell>
          <cell r="DK417">
            <v>1329</v>
          </cell>
          <cell r="DL417">
            <v>1296</v>
          </cell>
          <cell r="DM417">
            <v>1147</v>
          </cell>
          <cell r="DN417">
            <v>1093</v>
          </cell>
          <cell r="DO417">
            <v>1251</v>
          </cell>
          <cell r="DP417">
            <v>992</v>
          </cell>
          <cell r="DQ417">
            <v>917</v>
          </cell>
          <cell r="DR417">
            <v>1015</v>
          </cell>
          <cell r="DS417">
            <v>1126</v>
          </cell>
          <cell r="DT417">
            <v>1388</v>
          </cell>
          <cell r="DU417">
            <v>1308</v>
          </cell>
          <cell r="DV417">
            <v>1139</v>
          </cell>
          <cell r="DW417">
            <v>1207</v>
          </cell>
          <cell r="DX417">
            <v>1319</v>
          </cell>
          <cell r="DY417">
            <v>1577</v>
          </cell>
          <cell r="DZ417">
            <v>1861</v>
          </cell>
          <cell r="EA417">
            <v>1472</v>
          </cell>
          <cell r="EB417">
            <v>1316</v>
          </cell>
          <cell r="EC417">
            <v>970</v>
          </cell>
          <cell r="ED417">
            <v>1260.42</v>
          </cell>
          <cell r="EE417" t="str">
            <v>ACTIVO</v>
          </cell>
          <cell r="EF417" t="str">
            <v>B</v>
          </cell>
          <cell r="EH417">
            <v>1209.6111111111111</v>
          </cell>
          <cell r="EI417">
            <v>201.60185185185185</v>
          </cell>
          <cell r="EJ417">
            <v>243.99311626303034</v>
          </cell>
          <cell r="EK417">
            <v>2120</v>
          </cell>
          <cell r="EL417">
            <v>1908000</v>
          </cell>
          <cell r="EM417">
            <v>1.7526294033895191</v>
          </cell>
          <cell r="EN417">
            <v>604.80555555555554</v>
          </cell>
          <cell r="EO417">
            <v>403.2037037037037</v>
          </cell>
          <cell r="EP417">
            <v>1008.0092592592592</v>
          </cell>
        </row>
        <row r="418">
          <cell r="F418">
            <v>104003</v>
          </cell>
          <cell r="G418" t="str">
            <v>AZUCAR FLOR ANTI-HUMEDAD MANAR</v>
          </cell>
          <cell r="AT418">
            <v>45.36</v>
          </cell>
          <cell r="CD418">
            <v>31.68</v>
          </cell>
          <cell r="CQ418">
            <v>22.68</v>
          </cell>
          <cell r="EE418" t="str">
            <v>SIN USO</v>
          </cell>
          <cell r="EF418" t="str">
            <v>C</v>
          </cell>
          <cell r="EG418" t="str">
            <v/>
          </cell>
          <cell r="EH418">
            <v>0</v>
          </cell>
          <cell r="EI418">
            <v>0</v>
          </cell>
          <cell r="EJ418">
            <v>6.3639610306789276</v>
          </cell>
          <cell r="EK418">
            <v>0</v>
          </cell>
          <cell r="EL418">
            <v>0</v>
          </cell>
          <cell r="EM418">
            <v>0</v>
          </cell>
          <cell r="EN418">
            <v>0</v>
          </cell>
          <cell r="EO418">
            <v>0</v>
          </cell>
          <cell r="EP418">
            <v>0</v>
          </cell>
        </row>
        <row r="419">
          <cell r="F419">
            <v>405418</v>
          </cell>
          <cell r="G419" t="str">
            <v>AZUCAR FLOR 5KG MEL ALIMENTOS</v>
          </cell>
          <cell r="DF419">
            <v>0</v>
          </cell>
          <cell r="DR419">
            <v>25</v>
          </cell>
          <cell r="DS419">
            <v>75</v>
          </cell>
          <cell r="DT419">
            <v>30</v>
          </cell>
          <cell r="DU419">
            <v>65</v>
          </cell>
          <cell r="DV419">
            <v>45</v>
          </cell>
          <cell r="DW419">
            <v>45</v>
          </cell>
          <cell r="DX419">
            <v>15</v>
          </cell>
          <cell r="DY419">
            <v>75</v>
          </cell>
          <cell r="DZ419">
            <v>90</v>
          </cell>
          <cell r="EA419">
            <v>95</v>
          </cell>
          <cell r="EB419">
            <v>90</v>
          </cell>
          <cell r="EC419">
            <v>40</v>
          </cell>
          <cell r="ED419">
            <v>95</v>
          </cell>
          <cell r="EE419" t="str">
            <v>ACTIVO</v>
          </cell>
          <cell r="EF419" t="str">
            <v>C</v>
          </cell>
          <cell r="EG419" t="str">
            <v/>
          </cell>
          <cell r="EH419">
            <v>51.666666666666664</v>
          </cell>
          <cell r="EI419">
            <v>8.6111111111111107</v>
          </cell>
          <cell r="EJ419">
            <v>0</v>
          </cell>
          <cell r="EK419">
            <v>510</v>
          </cell>
          <cell r="EL419">
            <v>699541.5</v>
          </cell>
          <cell r="EM419">
            <v>9.870967741935484</v>
          </cell>
          <cell r="EN419">
            <v>17.222222222222221</v>
          </cell>
          <cell r="EO419">
            <v>17.222222222222221</v>
          </cell>
          <cell r="EP419">
            <v>34.444444444444443</v>
          </cell>
        </row>
        <row r="420">
          <cell r="H420">
            <v>1175</v>
          </cell>
          <cell r="I420">
            <v>910</v>
          </cell>
          <cell r="J420">
            <v>736</v>
          </cell>
          <cell r="K420">
            <v>845</v>
          </cell>
          <cell r="L420">
            <v>1177</v>
          </cell>
          <cell r="M420">
            <v>1016</v>
          </cell>
          <cell r="N420">
            <v>793</v>
          </cell>
          <cell r="O420">
            <v>891</v>
          </cell>
          <cell r="P420">
            <v>848</v>
          </cell>
          <cell r="Q420">
            <v>1046</v>
          </cell>
          <cell r="R420">
            <v>1292</v>
          </cell>
          <cell r="S420">
            <v>826</v>
          </cell>
          <cell r="T420">
            <v>788</v>
          </cell>
          <cell r="U420">
            <v>1138</v>
          </cell>
          <cell r="V420">
            <v>1502</v>
          </cell>
          <cell r="W420">
            <v>979</v>
          </cell>
          <cell r="X420">
            <v>1257</v>
          </cell>
          <cell r="Y420">
            <v>1143</v>
          </cell>
          <cell r="Z420">
            <v>1760</v>
          </cell>
          <cell r="AA420">
            <v>994</v>
          </cell>
          <cell r="AB420">
            <v>1078</v>
          </cell>
          <cell r="AC420">
            <v>866</v>
          </cell>
          <cell r="AD420">
            <v>1303</v>
          </cell>
          <cell r="AE420">
            <v>1583</v>
          </cell>
          <cell r="AF420">
            <v>888</v>
          </cell>
          <cell r="AG420">
            <v>1097</v>
          </cell>
          <cell r="AH420">
            <v>1014</v>
          </cell>
          <cell r="AI420">
            <v>1083</v>
          </cell>
          <cell r="AJ420">
            <v>1262</v>
          </cell>
          <cell r="AK420">
            <v>1302</v>
          </cell>
          <cell r="AL420">
            <v>1183</v>
          </cell>
          <cell r="AM420">
            <v>1414</v>
          </cell>
          <cell r="AN420">
            <v>1153</v>
          </cell>
          <cell r="AO420">
            <v>1243</v>
          </cell>
          <cell r="AP420">
            <v>1216</v>
          </cell>
          <cell r="AQ420">
            <v>1193</v>
          </cell>
          <cell r="AR420">
            <v>1158</v>
          </cell>
          <cell r="AS420">
            <v>440</v>
          </cell>
          <cell r="AT420">
            <v>1459.36</v>
          </cell>
          <cell r="AU420">
            <v>1220</v>
          </cell>
          <cell r="AV420">
            <v>1187</v>
          </cell>
          <cell r="AW420">
            <v>997</v>
          </cell>
          <cell r="AX420">
            <v>1268</v>
          </cell>
          <cell r="AY420">
            <v>1153</v>
          </cell>
          <cell r="AZ420">
            <v>1378</v>
          </cell>
          <cell r="BA420">
            <v>1398</v>
          </cell>
          <cell r="BB420">
            <v>1271</v>
          </cell>
          <cell r="BC420">
            <v>1334</v>
          </cell>
          <cell r="BD420">
            <v>1729</v>
          </cell>
          <cell r="BE420">
            <v>1612</v>
          </cell>
          <cell r="BF420">
            <v>1788</v>
          </cell>
          <cell r="BG420">
            <v>1444</v>
          </cell>
          <cell r="BH420">
            <v>640</v>
          </cell>
          <cell r="BI420">
            <v>1317</v>
          </cell>
          <cell r="BJ420">
            <v>1142</v>
          </cell>
          <cell r="BK420">
            <v>1379</v>
          </cell>
          <cell r="BL420">
            <v>1265</v>
          </cell>
          <cell r="BM420">
            <v>1358</v>
          </cell>
          <cell r="BN420">
            <v>1345</v>
          </cell>
          <cell r="BO420">
            <v>1315</v>
          </cell>
          <cell r="BP420">
            <v>1157</v>
          </cell>
          <cell r="BQ420">
            <v>1095</v>
          </cell>
          <cell r="BR420">
            <v>1502</v>
          </cell>
          <cell r="BS420">
            <v>1314</v>
          </cell>
          <cell r="BT420">
            <v>1663</v>
          </cell>
          <cell r="BU420">
            <v>1223</v>
          </cell>
          <cell r="BV420">
            <v>1564</v>
          </cell>
          <cell r="BW420">
            <v>1286</v>
          </cell>
          <cell r="BX420">
            <v>1189</v>
          </cell>
          <cell r="BY420">
            <v>1569</v>
          </cell>
          <cell r="BZ420">
            <v>2032</v>
          </cell>
          <cell r="CA420">
            <v>1512</v>
          </cell>
          <cell r="CB420">
            <v>1326</v>
          </cell>
          <cell r="CC420">
            <v>1013</v>
          </cell>
          <cell r="CD420">
            <v>1351.68</v>
          </cell>
          <cell r="CE420">
            <v>1849</v>
          </cell>
          <cell r="CF420">
            <v>1146</v>
          </cell>
          <cell r="CG420">
            <v>1396</v>
          </cell>
          <cell r="CH420">
            <v>1137</v>
          </cell>
          <cell r="CI420">
            <v>1126</v>
          </cell>
          <cell r="CJ420">
            <v>1183</v>
          </cell>
          <cell r="CK420">
            <v>1166</v>
          </cell>
          <cell r="CL420">
            <v>1402</v>
          </cell>
          <cell r="CM420">
            <v>1286</v>
          </cell>
          <cell r="CN420">
            <v>1233</v>
          </cell>
          <cell r="CO420">
            <v>1220</v>
          </cell>
          <cell r="CP420">
            <v>1320</v>
          </cell>
          <cell r="CQ420">
            <v>1369.68</v>
          </cell>
          <cell r="CR420">
            <v>1292</v>
          </cell>
          <cell r="CS420">
            <v>745</v>
          </cell>
          <cell r="CT420">
            <v>1371</v>
          </cell>
          <cell r="CU420">
            <v>1473</v>
          </cell>
          <cell r="CV420">
            <v>1523</v>
          </cell>
          <cell r="CW420">
            <v>1176</v>
          </cell>
          <cell r="CX420">
            <v>1217</v>
          </cell>
          <cell r="CY420">
            <v>1233</v>
          </cell>
          <cell r="CZ420">
            <v>1352</v>
          </cell>
          <cell r="DA420">
            <v>1234</v>
          </cell>
          <cell r="DB420">
            <v>1157</v>
          </cell>
          <cell r="DC420">
            <v>1191</v>
          </cell>
          <cell r="DD420">
            <v>1075</v>
          </cell>
          <cell r="DE420">
            <v>1075</v>
          </cell>
          <cell r="DF420">
            <v>1691</v>
          </cell>
          <cell r="DG420">
            <v>1361</v>
          </cell>
          <cell r="DH420">
            <v>661</v>
          </cell>
          <cell r="DI420">
            <v>316</v>
          </cell>
          <cell r="DJ420">
            <v>1492</v>
          </cell>
          <cell r="DK420">
            <v>1329</v>
          </cell>
          <cell r="DL420">
            <v>1296</v>
          </cell>
          <cell r="DM420">
            <v>1147</v>
          </cell>
          <cell r="DN420">
            <v>1093</v>
          </cell>
          <cell r="DO420">
            <v>1251</v>
          </cell>
          <cell r="DP420">
            <v>992</v>
          </cell>
          <cell r="DQ420">
            <v>917</v>
          </cell>
          <cell r="DR420">
            <v>1040</v>
          </cell>
          <cell r="DS420">
            <v>1201</v>
          </cell>
          <cell r="DT420">
            <v>1418</v>
          </cell>
          <cell r="DU420">
            <v>1373</v>
          </cell>
          <cell r="DV420">
            <v>1184</v>
          </cell>
          <cell r="DW420">
            <v>1252</v>
          </cell>
          <cell r="DX420">
            <v>1334</v>
          </cell>
          <cell r="DY420">
            <v>1652</v>
          </cell>
          <cell r="DZ420">
            <v>1951</v>
          </cell>
          <cell r="EA420">
            <v>1567</v>
          </cell>
          <cell r="EB420">
            <v>1406</v>
          </cell>
          <cell r="EC420">
            <v>1010</v>
          </cell>
          <cell r="ED420">
            <v>1355.42</v>
          </cell>
          <cell r="EE420" t="str">
            <v>ACTIVO</v>
          </cell>
          <cell r="EF420" t="str">
            <v/>
          </cell>
          <cell r="EG420" t="str">
            <v/>
          </cell>
          <cell r="EH420">
            <v>1235.4444444444443</v>
          </cell>
          <cell r="EI420">
            <v>205.90740740740739</v>
          </cell>
          <cell r="EJ420">
            <v>244.24406388865958</v>
          </cell>
          <cell r="EK420">
            <v>0</v>
          </cell>
          <cell r="EL420">
            <v>0</v>
          </cell>
          <cell r="EM420">
            <v>0</v>
          </cell>
          <cell r="EN420">
            <v>0</v>
          </cell>
          <cell r="EO420">
            <v>411.81481481481478</v>
          </cell>
          <cell r="EP420">
            <v>411.81481481481478</v>
          </cell>
        </row>
        <row r="421">
          <cell r="F421">
            <v>405570</v>
          </cell>
          <cell r="G421" t="str">
            <v>PM CREAM VELVET BAKELS</v>
          </cell>
          <cell r="CO421">
            <v>900</v>
          </cell>
          <cell r="CR421">
            <v>1030</v>
          </cell>
          <cell r="CU421">
            <v>900</v>
          </cell>
          <cell r="CW421">
            <v>780</v>
          </cell>
          <cell r="DC421">
            <v>900</v>
          </cell>
          <cell r="DE421">
            <v>870</v>
          </cell>
          <cell r="DF421">
            <v>890</v>
          </cell>
          <cell r="DJ421">
            <v>900</v>
          </cell>
          <cell r="DM421">
            <v>1340</v>
          </cell>
          <cell r="DO421">
            <v>900</v>
          </cell>
          <cell r="DQ421">
            <v>800</v>
          </cell>
          <cell r="DS421">
            <v>800</v>
          </cell>
          <cell r="DT421">
            <v>2600</v>
          </cell>
          <cell r="DW421">
            <v>1390</v>
          </cell>
          <cell r="DX421">
            <v>1390</v>
          </cell>
          <cell r="EA421">
            <v>900</v>
          </cell>
          <cell r="EB421">
            <v>100</v>
          </cell>
          <cell r="EC421">
            <v>890</v>
          </cell>
          <cell r="EE421" t="str">
            <v>ACTIVO</v>
          </cell>
          <cell r="EF421" t="str">
            <v>C</v>
          </cell>
          <cell r="EG421" t="str">
            <v/>
          </cell>
          <cell r="EH421">
            <v>1265</v>
          </cell>
          <cell r="EI421">
            <v>210.83333333333334</v>
          </cell>
          <cell r="EJ421">
            <v>73.225028247893235</v>
          </cell>
          <cell r="EK421">
            <v>1450</v>
          </cell>
          <cell r="EL421">
            <v>2175000</v>
          </cell>
          <cell r="EM421">
            <v>1.1462450592885376</v>
          </cell>
          <cell r="EN421">
            <v>632.5</v>
          </cell>
          <cell r="EO421">
            <v>421.66666666666669</v>
          </cell>
          <cell r="EP421">
            <v>1054.1666666666667</v>
          </cell>
        </row>
        <row r="422">
          <cell r="F422">
            <v>107311</v>
          </cell>
          <cell r="G422" t="str">
            <v>HARINA ORO 2</v>
          </cell>
          <cell r="AI422">
            <v>1350</v>
          </cell>
          <cell r="EE422" t="str">
            <v>SIN USO</v>
          </cell>
          <cell r="EF422" t="str">
            <v/>
          </cell>
          <cell r="EG422" t="str">
            <v/>
          </cell>
          <cell r="EH422">
            <v>0</v>
          </cell>
          <cell r="EI422">
            <v>0</v>
          </cell>
          <cell r="EJ422">
            <v>0</v>
          </cell>
          <cell r="EK422">
            <v>0</v>
          </cell>
          <cell r="EL422">
            <v>0</v>
          </cell>
          <cell r="EM422">
            <v>0</v>
          </cell>
          <cell r="EN422">
            <v>0</v>
          </cell>
          <cell r="EO422">
            <v>0</v>
          </cell>
          <cell r="EP422">
            <v>0</v>
          </cell>
        </row>
        <row r="423">
          <cell r="F423">
            <v>107330</v>
          </cell>
          <cell r="G423" t="str">
            <v>HARINA NUEZ TRES ERRE</v>
          </cell>
          <cell r="L423">
            <v>30</v>
          </cell>
          <cell r="M423">
            <v>70</v>
          </cell>
          <cell r="V423">
            <v>60</v>
          </cell>
          <cell r="W423">
            <v>40</v>
          </cell>
          <cell r="X423">
            <v>20</v>
          </cell>
          <cell r="Y423">
            <v>15</v>
          </cell>
          <cell r="AC423">
            <v>60</v>
          </cell>
          <cell r="AD423">
            <v>30</v>
          </cell>
          <cell r="AE423">
            <v>45</v>
          </cell>
          <cell r="AF423">
            <v>15</v>
          </cell>
          <cell r="AG423">
            <v>10</v>
          </cell>
          <cell r="AH423">
            <v>30</v>
          </cell>
          <cell r="AI423">
            <v>35</v>
          </cell>
          <cell r="AJ423">
            <v>25</v>
          </cell>
          <cell r="AK423">
            <v>60</v>
          </cell>
          <cell r="AL423">
            <v>30</v>
          </cell>
          <cell r="AN423">
            <v>15</v>
          </cell>
          <cell r="AO423">
            <v>25</v>
          </cell>
          <cell r="BL423">
            <v>30</v>
          </cell>
          <cell r="BM423">
            <v>10</v>
          </cell>
          <cell r="BN423">
            <v>30</v>
          </cell>
          <cell r="BO423">
            <v>40</v>
          </cell>
          <cell r="BP423">
            <v>30</v>
          </cell>
          <cell r="BQ423">
            <v>20</v>
          </cell>
          <cell r="BR423">
            <v>10</v>
          </cell>
          <cell r="BS423">
            <v>50</v>
          </cell>
          <cell r="BT423">
            <v>20</v>
          </cell>
          <cell r="BU423">
            <v>15</v>
          </cell>
          <cell r="BV423">
            <v>60</v>
          </cell>
          <cell r="BW423">
            <v>80</v>
          </cell>
          <cell r="BX423">
            <v>20</v>
          </cell>
          <cell r="BY423">
            <v>10</v>
          </cell>
          <cell r="CA423">
            <v>10</v>
          </cell>
          <cell r="CB423">
            <v>40</v>
          </cell>
          <cell r="CC423">
            <v>45</v>
          </cell>
          <cell r="CD423">
            <v>35</v>
          </cell>
          <cell r="CE423">
            <v>10</v>
          </cell>
          <cell r="CF423">
            <v>30</v>
          </cell>
          <cell r="CG423">
            <v>60</v>
          </cell>
          <cell r="CH423">
            <v>10</v>
          </cell>
          <cell r="CI423">
            <v>10</v>
          </cell>
          <cell r="CJ423">
            <v>10</v>
          </cell>
          <cell r="CL423">
            <v>10</v>
          </cell>
          <cell r="CM423">
            <v>50</v>
          </cell>
          <cell r="CN423">
            <v>40</v>
          </cell>
          <cell r="CO423">
            <v>10</v>
          </cell>
          <cell r="CP423">
            <v>25</v>
          </cell>
          <cell r="CQ423">
            <v>25</v>
          </cell>
          <cell r="CR423">
            <v>35</v>
          </cell>
          <cell r="CS423">
            <v>20</v>
          </cell>
          <cell r="CT423">
            <v>20</v>
          </cell>
          <cell r="CU423">
            <v>35</v>
          </cell>
          <cell r="CV423">
            <v>10</v>
          </cell>
          <cell r="CW423">
            <v>50</v>
          </cell>
          <cell r="CY423">
            <v>40</v>
          </cell>
          <cell r="CZ423">
            <v>55</v>
          </cell>
          <cell r="DA423">
            <v>60</v>
          </cell>
          <cell r="DB423">
            <v>40</v>
          </cell>
          <cell r="DC423">
            <v>45</v>
          </cell>
          <cell r="DD423">
            <v>50</v>
          </cell>
          <cell r="DE423">
            <v>20</v>
          </cell>
          <cell r="DK423">
            <v>20</v>
          </cell>
          <cell r="DM423">
            <v>20</v>
          </cell>
          <cell r="DN423">
            <v>20</v>
          </cell>
          <cell r="DO423">
            <v>10</v>
          </cell>
          <cell r="DP423">
            <v>45</v>
          </cell>
          <cell r="DV423">
            <v>20</v>
          </cell>
          <cell r="DW423">
            <v>35</v>
          </cell>
          <cell r="DX423">
            <v>50</v>
          </cell>
          <cell r="DY423">
            <v>50</v>
          </cell>
          <cell r="DZ423">
            <v>10</v>
          </cell>
          <cell r="EE423" t="str">
            <v>ACTIVO</v>
          </cell>
          <cell r="EF423" t="str">
            <v>C</v>
          </cell>
          <cell r="EG423">
            <v>200</v>
          </cell>
          <cell r="EH423">
            <v>28</v>
          </cell>
          <cell r="EI423">
            <v>4.666666666666667</v>
          </cell>
          <cell r="EJ423">
            <v>18.058444554060323</v>
          </cell>
          <cell r="EK423">
            <v>140</v>
          </cell>
          <cell r="EL423">
            <v>280000</v>
          </cell>
          <cell r="EM423">
            <v>5</v>
          </cell>
          <cell r="EN423">
            <v>14</v>
          </cell>
          <cell r="EO423">
            <v>9.3333333333333339</v>
          </cell>
          <cell r="EP423">
            <v>23.333333333333336</v>
          </cell>
        </row>
        <row r="424">
          <cell r="F424">
            <v>403330</v>
          </cell>
          <cell r="G424" t="str">
            <v>MIX BIZCOCHO BLANCO PURATOS</v>
          </cell>
          <cell r="AT424">
            <v>1584</v>
          </cell>
          <cell r="EE424" t="str">
            <v>SIN USO</v>
          </cell>
          <cell r="EF424" t="str">
            <v/>
          </cell>
          <cell r="EG424" t="str">
            <v/>
          </cell>
          <cell r="EH424">
            <v>0</v>
          </cell>
          <cell r="EI424">
            <v>0</v>
          </cell>
          <cell r="EJ424">
            <v>0</v>
          </cell>
          <cell r="EK424">
            <v>0</v>
          </cell>
          <cell r="EL424">
            <v>0</v>
          </cell>
          <cell r="EM424">
            <v>0</v>
          </cell>
          <cell r="EN424">
            <v>0</v>
          </cell>
          <cell r="EO424">
            <v>0</v>
          </cell>
          <cell r="EP424">
            <v>0</v>
          </cell>
        </row>
        <row r="425">
          <cell r="F425">
            <v>403331</v>
          </cell>
          <cell r="G425" t="str">
            <v>MIX BIZCOCHO CHOCOLATE PURATOS</v>
          </cell>
          <cell r="AT425">
            <v>576</v>
          </cell>
          <cell r="EE425" t="str">
            <v>SIN USO</v>
          </cell>
          <cell r="EF425" t="str">
            <v/>
          </cell>
          <cell r="EG425" t="str">
            <v/>
          </cell>
          <cell r="EH425">
            <v>0</v>
          </cell>
          <cell r="EI425">
            <v>0</v>
          </cell>
          <cell r="EJ425">
            <v>0</v>
          </cell>
          <cell r="EK425">
            <v>0</v>
          </cell>
          <cell r="EL425">
            <v>0</v>
          </cell>
          <cell r="EM425">
            <v>0</v>
          </cell>
          <cell r="EN425">
            <v>0</v>
          </cell>
          <cell r="EO425">
            <v>0</v>
          </cell>
          <cell r="EP425">
            <v>0</v>
          </cell>
        </row>
        <row r="426">
          <cell r="F426">
            <v>405248</v>
          </cell>
          <cell r="G426" t="str">
            <v>MIX PANQUEQUE HUEVO POLVO SAN CRISTOBAL</v>
          </cell>
          <cell r="BE426">
            <v>2000</v>
          </cell>
          <cell r="EE426" t="str">
            <v>SIN USO</v>
          </cell>
          <cell r="EF426" t="str">
            <v/>
          </cell>
          <cell r="EH426">
            <v>0</v>
          </cell>
          <cell r="EI426">
            <v>0</v>
          </cell>
          <cell r="EJ426">
            <v>0</v>
          </cell>
          <cell r="EK426">
            <v>0</v>
          </cell>
          <cell r="EL426">
            <v>0</v>
          </cell>
          <cell r="EM426">
            <v>0</v>
          </cell>
          <cell r="EN426">
            <v>0</v>
          </cell>
          <cell r="EO426">
            <v>0</v>
          </cell>
          <cell r="EP426">
            <v>0</v>
          </cell>
        </row>
        <row r="427">
          <cell r="F427">
            <v>107285</v>
          </cell>
          <cell r="G427" t="str">
            <v>MIX PANQUEQUE CHOCOLATE SAN CRISTOBAL</v>
          </cell>
          <cell r="BE427">
            <v>900</v>
          </cell>
          <cell r="BP427">
            <v>1600</v>
          </cell>
          <cell r="BT427">
            <v>1600</v>
          </cell>
          <cell r="CS427">
            <v>800</v>
          </cell>
          <cell r="CU427">
            <v>1200</v>
          </cell>
          <cell r="EE427" t="str">
            <v>SIN USO</v>
          </cell>
          <cell r="EF427" t="str">
            <v>C</v>
          </cell>
          <cell r="EG427" t="str">
            <v/>
          </cell>
          <cell r="EH427">
            <v>0</v>
          </cell>
          <cell r="EI427">
            <v>0</v>
          </cell>
          <cell r="EJ427">
            <v>382.97084310253524</v>
          </cell>
          <cell r="EK427">
            <v>0</v>
          </cell>
          <cell r="EL427">
            <v>0</v>
          </cell>
          <cell r="EM427">
            <v>0</v>
          </cell>
          <cell r="EN427">
            <v>0</v>
          </cell>
          <cell r="EO427">
            <v>0</v>
          </cell>
          <cell r="EP427">
            <v>0</v>
          </cell>
        </row>
        <row r="428">
          <cell r="F428">
            <v>100104</v>
          </cell>
          <cell r="G428" t="str">
            <v>HARINA PLATA SAN CRISTOBAL</v>
          </cell>
          <cell r="BG428">
            <v>100</v>
          </cell>
          <cell r="DV428">
            <v>100</v>
          </cell>
          <cell r="EE428" t="str">
            <v>SIN USO</v>
          </cell>
          <cell r="EF428" t="str">
            <v/>
          </cell>
          <cell r="EG428" t="str">
            <v/>
          </cell>
          <cell r="EH428">
            <v>100</v>
          </cell>
          <cell r="EI428">
            <v>16.666666666666668</v>
          </cell>
          <cell r="EJ428">
            <v>0</v>
          </cell>
          <cell r="EK428">
            <v>0</v>
          </cell>
          <cell r="EL428">
            <v>0</v>
          </cell>
          <cell r="EM428">
            <v>0</v>
          </cell>
          <cell r="EN428">
            <v>50</v>
          </cell>
          <cell r="EO428">
            <v>33.333333333333336</v>
          </cell>
          <cell r="EP428">
            <v>83.333333333333343</v>
          </cell>
        </row>
        <row r="429">
          <cell r="L429">
            <v>30</v>
          </cell>
          <cell r="M429">
            <v>70</v>
          </cell>
          <cell r="V429">
            <v>60</v>
          </cell>
          <cell r="W429">
            <v>40</v>
          </cell>
          <cell r="X429">
            <v>20</v>
          </cell>
          <cell r="Y429">
            <v>15</v>
          </cell>
          <cell r="AC429">
            <v>60</v>
          </cell>
          <cell r="AD429">
            <v>30</v>
          </cell>
          <cell r="AE429">
            <v>45</v>
          </cell>
          <cell r="AF429">
            <v>15</v>
          </cell>
          <cell r="AG429">
            <v>10</v>
          </cell>
          <cell r="AH429">
            <v>30</v>
          </cell>
          <cell r="AI429">
            <v>1385</v>
          </cell>
          <cell r="AJ429">
            <v>25</v>
          </cell>
          <cell r="AK429">
            <v>60</v>
          </cell>
          <cell r="AL429">
            <v>30</v>
          </cell>
          <cell r="AN429">
            <v>15</v>
          </cell>
          <cell r="AO429">
            <v>25</v>
          </cell>
          <cell r="AT429">
            <v>2160</v>
          </cell>
          <cell r="BE429">
            <v>2900</v>
          </cell>
          <cell r="BG429">
            <v>100</v>
          </cell>
          <cell r="BL429">
            <v>30</v>
          </cell>
          <cell r="BM429">
            <v>10</v>
          </cell>
          <cell r="BN429">
            <v>30</v>
          </cell>
          <cell r="BO429">
            <v>40</v>
          </cell>
          <cell r="BP429">
            <v>1630</v>
          </cell>
          <cell r="BQ429">
            <v>20</v>
          </cell>
          <cell r="BR429">
            <v>10</v>
          </cell>
          <cell r="BS429">
            <v>50</v>
          </cell>
          <cell r="BT429">
            <v>1620</v>
          </cell>
          <cell r="BU429">
            <v>15</v>
          </cell>
          <cell r="BV429">
            <v>60</v>
          </cell>
          <cell r="BW429">
            <v>80</v>
          </cell>
          <cell r="BX429">
            <v>20</v>
          </cell>
          <cell r="BY429">
            <v>10</v>
          </cell>
          <cell r="CA429">
            <v>10</v>
          </cell>
          <cell r="CB429">
            <v>40</v>
          </cell>
          <cell r="CC429">
            <v>45</v>
          </cell>
          <cell r="CD429">
            <v>35</v>
          </cell>
          <cell r="CE429">
            <v>10</v>
          </cell>
          <cell r="CF429">
            <v>30</v>
          </cell>
          <cell r="CG429">
            <v>60</v>
          </cell>
          <cell r="CH429">
            <v>10</v>
          </cell>
          <cell r="CI429">
            <v>10</v>
          </cell>
          <cell r="CJ429">
            <v>10</v>
          </cell>
          <cell r="CL429">
            <v>10</v>
          </cell>
          <cell r="CM429">
            <v>50</v>
          </cell>
          <cell r="CN429">
            <v>40</v>
          </cell>
          <cell r="CO429">
            <v>910</v>
          </cell>
          <cell r="CP429">
            <v>25</v>
          </cell>
          <cell r="CQ429">
            <v>25</v>
          </cell>
          <cell r="CR429">
            <v>1065</v>
          </cell>
          <cell r="CS429">
            <v>820</v>
          </cell>
          <cell r="CT429">
            <v>20</v>
          </cell>
          <cell r="CU429">
            <v>2135</v>
          </cell>
          <cell r="CV429">
            <v>10</v>
          </cell>
          <cell r="CW429">
            <v>830</v>
          </cell>
          <cell r="CY429">
            <v>40</v>
          </cell>
          <cell r="CZ429">
            <v>55</v>
          </cell>
          <cell r="DA429">
            <v>60</v>
          </cell>
          <cell r="DB429">
            <v>40</v>
          </cell>
          <cell r="DC429">
            <v>945</v>
          </cell>
          <cell r="DD429">
            <v>50</v>
          </cell>
          <cell r="DE429">
            <v>890</v>
          </cell>
          <cell r="DF429">
            <v>890</v>
          </cell>
          <cell r="DJ429">
            <v>900</v>
          </cell>
          <cell r="DK429">
            <v>20</v>
          </cell>
          <cell r="DM429">
            <v>1360</v>
          </cell>
          <cell r="DN429">
            <v>20</v>
          </cell>
          <cell r="DO429">
            <v>910</v>
          </cell>
          <cell r="DP429">
            <v>45</v>
          </cell>
          <cell r="DQ429">
            <v>800</v>
          </cell>
          <cell r="DS429">
            <v>800</v>
          </cell>
          <cell r="DT429">
            <v>2600</v>
          </cell>
          <cell r="DV429">
            <v>120</v>
          </cell>
          <cell r="DW429">
            <v>1425</v>
          </cell>
          <cell r="DX429">
            <v>1440</v>
          </cell>
          <cell r="DY429">
            <v>50</v>
          </cell>
          <cell r="DZ429">
            <v>10</v>
          </cell>
          <cell r="EA429">
            <v>900</v>
          </cell>
          <cell r="EB429">
            <v>100</v>
          </cell>
          <cell r="EC429">
            <v>890</v>
          </cell>
          <cell r="EE429" t="str">
            <v>ACTIVO</v>
          </cell>
          <cell r="EF429" t="str">
            <v/>
          </cell>
          <cell r="EG429" t="str">
            <v/>
          </cell>
          <cell r="EH429">
            <v>750</v>
          </cell>
          <cell r="EI429">
            <v>125</v>
          </cell>
          <cell r="EJ429">
            <v>527.49952406218824</v>
          </cell>
          <cell r="EK429">
            <v>0</v>
          </cell>
          <cell r="EL429">
            <v>0</v>
          </cell>
          <cell r="EM429">
            <v>0</v>
          </cell>
          <cell r="EN429">
            <v>0</v>
          </cell>
          <cell r="EO429">
            <v>250</v>
          </cell>
          <cell r="EP429">
            <v>250</v>
          </cell>
        </row>
        <row r="430">
          <cell r="F430">
            <v>107247</v>
          </cell>
          <cell r="G430" t="str">
            <v>DULCE DE LECHE MASTER MARTINI</v>
          </cell>
          <cell r="H430">
            <v>880</v>
          </cell>
          <cell r="I430">
            <v>770</v>
          </cell>
          <cell r="J430">
            <v>710</v>
          </cell>
          <cell r="K430">
            <v>840</v>
          </cell>
          <cell r="L430">
            <v>500</v>
          </cell>
          <cell r="N430">
            <v>480</v>
          </cell>
          <cell r="O430">
            <v>780</v>
          </cell>
          <cell r="P430">
            <v>850</v>
          </cell>
          <cell r="Q430">
            <v>830</v>
          </cell>
          <cell r="R430">
            <v>870</v>
          </cell>
          <cell r="S430">
            <v>340</v>
          </cell>
          <cell r="T430">
            <v>230</v>
          </cell>
          <cell r="U430">
            <v>810</v>
          </cell>
          <cell r="V430">
            <v>840</v>
          </cell>
          <cell r="W430">
            <v>700</v>
          </cell>
          <cell r="X430">
            <v>696</v>
          </cell>
          <cell r="Y430">
            <v>880</v>
          </cell>
          <cell r="Z430">
            <v>2030</v>
          </cell>
          <cell r="AA430">
            <v>840</v>
          </cell>
          <cell r="AB430">
            <v>900</v>
          </cell>
          <cell r="AC430">
            <v>761</v>
          </cell>
          <cell r="AD430">
            <v>880</v>
          </cell>
          <cell r="AE430">
            <v>2300</v>
          </cell>
          <cell r="AF430">
            <v>450</v>
          </cell>
          <cell r="AG430">
            <v>99</v>
          </cell>
          <cell r="AI430">
            <v>580</v>
          </cell>
          <cell r="AJ430">
            <v>1170</v>
          </cell>
          <cell r="AK430">
            <v>1170</v>
          </cell>
          <cell r="AL430">
            <v>920</v>
          </cell>
          <cell r="AM430">
            <v>1600</v>
          </cell>
          <cell r="AN430">
            <v>1090</v>
          </cell>
          <cell r="AO430">
            <v>1180</v>
          </cell>
          <cell r="AP430">
            <v>1020</v>
          </cell>
          <cell r="AQ430">
            <v>1230</v>
          </cell>
          <cell r="AR430">
            <v>1220</v>
          </cell>
          <cell r="AS430">
            <v>280</v>
          </cell>
          <cell r="AT430">
            <v>1261.52</v>
          </cell>
          <cell r="AU430">
            <v>990</v>
          </cell>
          <cell r="AV430">
            <v>1074</v>
          </cell>
          <cell r="AW430">
            <v>1040</v>
          </cell>
          <cell r="AX430">
            <v>1180</v>
          </cell>
          <cell r="AY430">
            <v>1220</v>
          </cell>
          <cell r="AZ430">
            <v>1427</v>
          </cell>
          <cell r="BA430">
            <v>1160</v>
          </cell>
          <cell r="BB430">
            <v>1880</v>
          </cell>
          <cell r="BC430">
            <v>900</v>
          </cell>
          <cell r="BD430">
            <v>900</v>
          </cell>
          <cell r="BF430">
            <v>1070</v>
          </cell>
          <cell r="BG430">
            <v>661</v>
          </cell>
          <cell r="BH430">
            <v>430</v>
          </cell>
          <cell r="BI430">
            <v>1370</v>
          </cell>
          <cell r="BJ430">
            <v>690</v>
          </cell>
          <cell r="BK430">
            <v>1450</v>
          </cell>
          <cell r="BL430">
            <v>940</v>
          </cell>
          <cell r="BM430">
            <v>1130</v>
          </cell>
          <cell r="BN430">
            <v>940</v>
          </cell>
          <cell r="BO430">
            <v>1020</v>
          </cell>
          <cell r="BP430">
            <v>850</v>
          </cell>
          <cell r="BQ430">
            <v>1210</v>
          </cell>
          <cell r="BR430">
            <v>1030</v>
          </cell>
          <cell r="BS430">
            <v>420</v>
          </cell>
          <cell r="BV430">
            <v>1000</v>
          </cell>
          <cell r="BW430">
            <v>1150</v>
          </cell>
          <cell r="BX430">
            <v>950</v>
          </cell>
          <cell r="BY430">
            <v>1260</v>
          </cell>
          <cell r="BZ430">
            <v>1930</v>
          </cell>
          <cell r="CA430">
            <v>1160</v>
          </cell>
          <cell r="CB430">
            <v>810</v>
          </cell>
          <cell r="CC430">
            <v>880</v>
          </cell>
          <cell r="CD430">
            <v>1000</v>
          </cell>
          <cell r="CF430">
            <v>130</v>
          </cell>
          <cell r="CG430">
            <v>120</v>
          </cell>
          <cell r="CI430">
            <v>110</v>
          </cell>
          <cell r="CK430">
            <v>110</v>
          </cell>
          <cell r="CL430">
            <v>110</v>
          </cell>
          <cell r="CM430">
            <v>130</v>
          </cell>
          <cell r="CO430">
            <v>70</v>
          </cell>
          <cell r="CP430">
            <v>650</v>
          </cell>
          <cell r="CQ430">
            <v>1160</v>
          </cell>
          <cell r="CR430">
            <v>840</v>
          </cell>
          <cell r="CS430">
            <v>230</v>
          </cell>
          <cell r="CT430">
            <v>740</v>
          </cell>
          <cell r="CU430">
            <v>860</v>
          </cell>
          <cell r="CV430">
            <v>1140</v>
          </cell>
          <cell r="CW430">
            <v>800</v>
          </cell>
          <cell r="CX430">
            <v>700</v>
          </cell>
          <cell r="CY430">
            <v>880</v>
          </cell>
          <cell r="CZ430">
            <v>1220</v>
          </cell>
          <cell r="DA430">
            <v>1080</v>
          </cell>
          <cell r="DB430">
            <v>860</v>
          </cell>
          <cell r="DC430">
            <v>920</v>
          </cell>
          <cell r="DD430">
            <v>1050</v>
          </cell>
          <cell r="DE430">
            <v>770</v>
          </cell>
          <cell r="DF430">
            <v>1246</v>
          </cell>
          <cell r="DG430">
            <v>880</v>
          </cell>
          <cell r="DH430">
            <v>470</v>
          </cell>
          <cell r="DI430">
            <v>290</v>
          </cell>
          <cell r="DJ430">
            <v>1080</v>
          </cell>
          <cell r="DK430">
            <v>1130</v>
          </cell>
          <cell r="DL430">
            <v>890</v>
          </cell>
          <cell r="DM430">
            <v>1040</v>
          </cell>
          <cell r="DN430">
            <v>885</v>
          </cell>
          <cell r="DO430">
            <v>1005</v>
          </cell>
          <cell r="DP430">
            <v>825</v>
          </cell>
          <cell r="DQ430">
            <v>870</v>
          </cell>
          <cell r="DR430">
            <v>950</v>
          </cell>
          <cell r="DS430">
            <v>850</v>
          </cell>
          <cell r="DT430">
            <v>990</v>
          </cell>
          <cell r="DU430">
            <v>960</v>
          </cell>
          <cell r="DV430">
            <v>970</v>
          </cell>
          <cell r="DW430">
            <v>990</v>
          </cell>
          <cell r="DX430">
            <v>1070</v>
          </cell>
          <cell r="DY430">
            <v>670</v>
          </cell>
          <cell r="EA430">
            <v>140</v>
          </cell>
          <cell r="EB430">
            <v>1090</v>
          </cell>
          <cell r="EC430">
            <v>280</v>
          </cell>
          <cell r="ED430">
            <v>920</v>
          </cell>
          <cell r="EE430" t="str">
            <v>ACTIVO</v>
          </cell>
          <cell r="EF430" t="str">
            <v>A</v>
          </cell>
          <cell r="EH430">
            <v>909.70588235294122</v>
          </cell>
          <cell r="EI430">
            <v>151.61764705882354</v>
          </cell>
          <cell r="EJ430">
            <v>413.47623582839634</v>
          </cell>
          <cell r="EK430">
            <v>1170</v>
          </cell>
          <cell r="EL430">
            <v>3615300</v>
          </cell>
          <cell r="EM430">
            <v>1.2861299709020368</v>
          </cell>
          <cell r="EN430">
            <v>303.23529411764707</v>
          </cell>
          <cell r="EO430">
            <v>303.23529411764707</v>
          </cell>
          <cell r="EP430">
            <v>606.47058823529414</v>
          </cell>
        </row>
        <row r="431">
          <cell r="F431">
            <v>403334</v>
          </cell>
          <cell r="G431" t="str">
            <v>DULCE DE LECHE MANAR</v>
          </cell>
          <cell r="AF431">
            <v>260</v>
          </cell>
          <cell r="AG431">
            <v>1021</v>
          </cell>
          <cell r="AH431">
            <v>470</v>
          </cell>
          <cell r="BD431">
            <v>250</v>
          </cell>
          <cell r="BE431">
            <v>1290</v>
          </cell>
          <cell r="BF431">
            <v>101</v>
          </cell>
          <cell r="BG431">
            <v>299</v>
          </cell>
          <cell r="BS431">
            <v>610</v>
          </cell>
          <cell r="BT431">
            <v>1180</v>
          </cell>
          <cell r="BU431">
            <v>990</v>
          </cell>
          <cell r="BV431">
            <v>410</v>
          </cell>
          <cell r="DO431">
            <v>300</v>
          </cell>
          <cell r="DY431">
            <v>510</v>
          </cell>
          <cell r="DZ431">
            <v>1260</v>
          </cell>
          <cell r="EA431">
            <v>1540</v>
          </cell>
          <cell r="EB431">
            <v>130</v>
          </cell>
          <cell r="EC431">
            <v>650</v>
          </cell>
          <cell r="ED431">
            <v>160</v>
          </cell>
          <cell r="EE431" t="str">
            <v>SIN USO</v>
          </cell>
          <cell r="EF431" t="str">
            <v>C</v>
          </cell>
          <cell r="EG431">
            <v>1000</v>
          </cell>
          <cell r="EH431">
            <v>690</v>
          </cell>
          <cell r="EI431">
            <v>115</v>
          </cell>
          <cell r="EJ431">
            <v>350.55907728465206</v>
          </cell>
          <cell r="EK431">
            <v>0</v>
          </cell>
          <cell r="EL431">
            <v>0</v>
          </cell>
          <cell r="EM431">
            <v>0</v>
          </cell>
          <cell r="EN431">
            <v>230</v>
          </cell>
          <cell r="EO431">
            <v>230</v>
          </cell>
          <cell r="EP431">
            <v>460</v>
          </cell>
        </row>
        <row r="432">
          <cell r="F432">
            <v>107265</v>
          </cell>
          <cell r="G432" t="str">
            <v>DULCE DE LECHE BAKELS</v>
          </cell>
          <cell r="L432">
            <v>320</v>
          </cell>
          <cell r="M432">
            <v>1050</v>
          </cell>
          <cell r="N432">
            <v>230</v>
          </cell>
          <cell r="AH432">
            <v>550</v>
          </cell>
          <cell r="AI432">
            <v>450</v>
          </cell>
          <cell r="EE432" t="str">
            <v>SIN USO</v>
          </cell>
          <cell r="EF432" t="str">
            <v/>
          </cell>
          <cell r="EG432" t="str">
            <v/>
          </cell>
          <cell r="EH432">
            <v>0</v>
          </cell>
          <cell r="EI432">
            <v>0</v>
          </cell>
          <cell r="EJ432">
            <v>0</v>
          </cell>
          <cell r="EK432">
            <v>0</v>
          </cell>
          <cell r="EL432">
            <v>0</v>
          </cell>
          <cell r="EM432">
            <v>0</v>
          </cell>
          <cell r="EN432">
            <v>0</v>
          </cell>
          <cell r="EO432">
            <v>0</v>
          </cell>
          <cell r="EP432">
            <v>0</v>
          </cell>
        </row>
        <row r="433">
          <cell r="F433">
            <v>107334</v>
          </cell>
          <cell r="G433" t="str">
            <v>MANJAR RECETA CASERA NESTLE</v>
          </cell>
          <cell r="L433">
            <v>108</v>
          </cell>
          <cell r="M433">
            <v>108</v>
          </cell>
          <cell r="EE433" t="str">
            <v>SIN USO</v>
          </cell>
          <cell r="EF433" t="str">
            <v/>
          </cell>
          <cell r="EG433" t="str">
            <v/>
          </cell>
          <cell r="EH433">
            <v>0</v>
          </cell>
          <cell r="EI433">
            <v>0</v>
          </cell>
          <cell r="EJ433">
            <v>0</v>
          </cell>
          <cell r="EK433">
            <v>0</v>
          </cell>
          <cell r="EL433">
            <v>0</v>
          </cell>
          <cell r="EM433">
            <v>0</v>
          </cell>
          <cell r="EN433">
            <v>0</v>
          </cell>
          <cell r="EO433">
            <v>0</v>
          </cell>
          <cell r="EP433">
            <v>0</v>
          </cell>
        </row>
        <row r="434">
          <cell r="F434">
            <v>107109</v>
          </cell>
          <cell r="G434" t="str">
            <v>MANJAR ARTESANAL DIWATTS</v>
          </cell>
          <cell r="H434">
            <v>7665</v>
          </cell>
          <cell r="I434">
            <v>4710</v>
          </cell>
          <cell r="J434">
            <v>4375</v>
          </cell>
          <cell r="K434">
            <v>4970</v>
          </cell>
          <cell r="L434">
            <v>5180</v>
          </cell>
          <cell r="M434">
            <v>6620</v>
          </cell>
          <cell r="N434">
            <v>5165</v>
          </cell>
          <cell r="O434">
            <v>5295</v>
          </cell>
          <cell r="P434">
            <v>5485</v>
          </cell>
          <cell r="Q434">
            <v>5445</v>
          </cell>
          <cell r="R434">
            <v>6020</v>
          </cell>
          <cell r="S434">
            <v>3515</v>
          </cell>
          <cell r="T434">
            <v>3595</v>
          </cell>
          <cell r="U434">
            <v>5913</v>
          </cell>
          <cell r="V434">
            <v>6275</v>
          </cell>
          <cell r="W434">
            <v>5920</v>
          </cell>
          <cell r="X434">
            <v>6745</v>
          </cell>
          <cell r="Y434">
            <v>10485</v>
          </cell>
          <cell r="Z434">
            <v>13840</v>
          </cell>
          <cell r="AA434">
            <v>6515</v>
          </cell>
          <cell r="AB434">
            <v>7100</v>
          </cell>
          <cell r="AC434">
            <v>6461</v>
          </cell>
          <cell r="AD434">
            <v>11155</v>
          </cell>
          <cell r="AE434">
            <v>10085</v>
          </cell>
          <cell r="AF434">
            <v>6015</v>
          </cell>
          <cell r="AG434">
            <v>8280</v>
          </cell>
          <cell r="AH434">
            <v>8255</v>
          </cell>
          <cell r="AI434">
            <v>9080</v>
          </cell>
          <cell r="AJ434">
            <v>9595</v>
          </cell>
          <cell r="AK434">
            <v>8995</v>
          </cell>
          <cell r="AL434">
            <v>14330</v>
          </cell>
          <cell r="AM434">
            <v>9475</v>
          </cell>
          <cell r="AN434">
            <v>9405</v>
          </cell>
          <cell r="AO434">
            <v>9330</v>
          </cell>
          <cell r="AP434">
            <v>8955</v>
          </cell>
          <cell r="AQ434">
            <v>9267</v>
          </cell>
          <cell r="AR434">
            <v>9780</v>
          </cell>
          <cell r="AS434">
            <v>3495</v>
          </cell>
          <cell r="AT434">
            <v>11480</v>
          </cell>
          <cell r="AU434">
            <v>10325</v>
          </cell>
          <cell r="AV434">
            <v>9335</v>
          </cell>
          <cell r="AW434">
            <v>7485</v>
          </cell>
          <cell r="AX434">
            <v>9664</v>
          </cell>
          <cell r="AY434">
            <v>9210</v>
          </cell>
          <cell r="AZ434">
            <v>10115</v>
          </cell>
          <cell r="BA434">
            <v>10395</v>
          </cell>
          <cell r="BB434">
            <v>9260</v>
          </cell>
          <cell r="BC434">
            <v>9190</v>
          </cell>
          <cell r="BD434">
            <v>9685</v>
          </cell>
          <cell r="BE434">
            <v>10145</v>
          </cell>
          <cell r="BF434">
            <v>12620</v>
          </cell>
          <cell r="BG434">
            <v>13150</v>
          </cell>
          <cell r="BH434">
            <v>5295</v>
          </cell>
          <cell r="BI434">
            <v>9180</v>
          </cell>
          <cell r="BJ434">
            <v>7070</v>
          </cell>
          <cell r="BK434">
            <v>9005</v>
          </cell>
          <cell r="BL434">
            <v>9690</v>
          </cell>
          <cell r="BM434">
            <v>9575</v>
          </cell>
          <cell r="BN434">
            <v>11160</v>
          </cell>
          <cell r="BO434">
            <v>9030</v>
          </cell>
          <cell r="BP434">
            <v>9365</v>
          </cell>
          <cell r="BQ434">
            <v>9070</v>
          </cell>
          <cell r="BR434">
            <v>11600</v>
          </cell>
          <cell r="BS434">
            <v>8505</v>
          </cell>
          <cell r="BT434">
            <v>9460</v>
          </cell>
          <cell r="BU434">
            <v>10295</v>
          </cell>
          <cell r="BV434">
            <v>10015</v>
          </cell>
          <cell r="BW434">
            <v>9835</v>
          </cell>
          <cell r="BX434">
            <v>9220</v>
          </cell>
          <cell r="BY434">
            <v>12145</v>
          </cell>
          <cell r="BZ434">
            <v>16480</v>
          </cell>
          <cell r="CA434">
            <v>9625</v>
          </cell>
          <cell r="CB434">
            <v>8755</v>
          </cell>
          <cell r="CC434">
            <v>9220</v>
          </cell>
          <cell r="CD434">
            <v>8455</v>
          </cell>
          <cell r="CE434">
            <v>20250</v>
          </cell>
          <cell r="CF434">
            <v>8175</v>
          </cell>
          <cell r="CG434">
            <v>10895</v>
          </cell>
          <cell r="CH434">
            <v>8610</v>
          </cell>
          <cell r="CI434">
            <v>9786</v>
          </cell>
          <cell r="CJ434">
            <v>8800</v>
          </cell>
          <cell r="CK434">
            <v>9065</v>
          </cell>
          <cell r="CL434">
            <v>9432</v>
          </cell>
          <cell r="CM434">
            <v>11340</v>
          </cell>
          <cell r="CN434">
            <v>9524</v>
          </cell>
          <cell r="CO434">
            <v>10900</v>
          </cell>
          <cell r="CP434">
            <v>9315</v>
          </cell>
          <cell r="CQ434">
            <v>8745</v>
          </cell>
          <cell r="CR434">
            <v>9630</v>
          </cell>
          <cell r="CS434">
            <v>6010</v>
          </cell>
          <cell r="CT434">
            <v>9910</v>
          </cell>
          <cell r="CU434">
            <v>8780</v>
          </cell>
          <cell r="CV434">
            <v>9855</v>
          </cell>
          <cell r="CW434">
            <v>6846</v>
          </cell>
          <cell r="CX434">
            <v>7750</v>
          </cell>
          <cell r="CY434">
            <v>8745</v>
          </cell>
          <cell r="CZ434">
            <v>8025</v>
          </cell>
          <cell r="DA434">
            <v>8315</v>
          </cell>
          <cell r="DB434">
            <v>7745</v>
          </cell>
          <cell r="DC434">
            <v>8535</v>
          </cell>
          <cell r="DD434">
            <v>7565</v>
          </cell>
          <cell r="DE434">
            <v>8335</v>
          </cell>
          <cell r="DF434">
            <v>11235</v>
          </cell>
          <cell r="DG434">
            <v>13410</v>
          </cell>
          <cell r="DH434">
            <v>4360</v>
          </cell>
          <cell r="DI434">
            <v>3050</v>
          </cell>
          <cell r="DJ434">
            <v>7605</v>
          </cell>
          <cell r="DK434">
            <v>6760</v>
          </cell>
          <cell r="DL434">
            <v>6425</v>
          </cell>
          <cell r="DM434">
            <v>7205</v>
          </cell>
          <cell r="DN434">
            <v>7540</v>
          </cell>
          <cell r="DO434">
            <v>8545</v>
          </cell>
          <cell r="DP434">
            <v>6535</v>
          </cell>
          <cell r="DQ434">
            <v>8055</v>
          </cell>
          <cell r="DR434">
            <v>7120</v>
          </cell>
          <cell r="DS434">
            <v>7480</v>
          </cell>
          <cell r="DT434">
            <v>8120</v>
          </cell>
          <cell r="DU434">
            <v>9760</v>
          </cell>
          <cell r="DV434">
            <v>8390</v>
          </cell>
          <cell r="DW434">
            <v>8530</v>
          </cell>
          <cell r="DX434">
            <v>8415</v>
          </cell>
          <cell r="DY434">
            <v>8865</v>
          </cell>
          <cell r="DZ434">
            <v>16965</v>
          </cell>
          <cell r="EA434">
            <v>11400</v>
          </cell>
          <cell r="EB434">
            <v>9395</v>
          </cell>
          <cell r="EC434">
            <v>8230</v>
          </cell>
          <cell r="ED434">
            <v>11175</v>
          </cell>
          <cell r="EE434" t="str">
            <v>ACTIVO</v>
          </cell>
          <cell r="EF434" t="str">
            <v>A</v>
          </cell>
          <cell r="EG434">
            <v>1040</v>
          </cell>
          <cell r="EH434">
            <v>8075.833333333333</v>
          </cell>
          <cell r="EI434">
            <v>1345.9722222222222</v>
          </cell>
          <cell r="EJ434">
            <v>2397.6159120433781</v>
          </cell>
          <cell r="EK434">
            <v>5065</v>
          </cell>
          <cell r="EL434">
            <v>11765995</v>
          </cell>
          <cell r="EM434">
            <v>0.62717985759983497</v>
          </cell>
          <cell r="EN434">
            <v>4037.9166666666665</v>
          </cell>
          <cell r="EO434">
            <v>2691.9444444444443</v>
          </cell>
          <cell r="EP434">
            <v>6729.8611111111113</v>
          </cell>
        </row>
        <row r="435">
          <cell r="F435">
            <v>107147</v>
          </cell>
          <cell r="G435" t="str">
            <v>MANJAR GRADO 3 LANGER</v>
          </cell>
          <cell r="H435">
            <v>2880</v>
          </cell>
          <cell r="I435">
            <v>2856</v>
          </cell>
          <cell r="J435">
            <v>4584</v>
          </cell>
          <cell r="K435">
            <v>2856</v>
          </cell>
          <cell r="L435">
            <v>3012</v>
          </cell>
          <cell r="M435">
            <v>2496</v>
          </cell>
          <cell r="N435">
            <v>2556</v>
          </cell>
          <cell r="O435">
            <v>2748</v>
          </cell>
          <cell r="P435">
            <v>3720</v>
          </cell>
          <cell r="Q435">
            <v>4348</v>
          </cell>
          <cell r="R435">
            <v>5148</v>
          </cell>
          <cell r="S435">
            <v>2772</v>
          </cell>
          <cell r="T435">
            <v>2076</v>
          </cell>
          <cell r="U435">
            <v>5296</v>
          </cell>
          <cell r="V435">
            <v>5040</v>
          </cell>
          <cell r="W435">
            <v>5340</v>
          </cell>
          <cell r="X435">
            <v>4404</v>
          </cell>
          <cell r="Y435">
            <v>6060</v>
          </cell>
          <cell r="Z435">
            <v>2400</v>
          </cell>
          <cell r="AA435">
            <v>3648</v>
          </cell>
          <cell r="AB435">
            <v>4728</v>
          </cell>
          <cell r="AC435">
            <v>4717</v>
          </cell>
          <cell r="AD435">
            <v>396</v>
          </cell>
          <cell r="AF435">
            <v>2160</v>
          </cell>
          <cell r="AJ435">
            <v>1476</v>
          </cell>
          <cell r="DO435">
            <v>1</v>
          </cell>
          <cell r="EE435" t="str">
            <v>SIN USO</v>
          </cell>
          <cell r="EF435" t="str">
            <v/>
          </cell>
          <cell r="EH435">
            <v>1</v>
          </cell>
          <cell r="EI435">
            <v>0.16666666666666666</v>
          </cell>
          <cell r="EJ435">
            <v>0</v>
          </cell>
          <cell r="EK435">
            <v>0</v>
          </cell>
          <cell r="EL435">
            <v>0</v>
          </cell>
          <cell r="EM435">
            <v>0</v>
          </cell>
          <cell r="EN435">
            <v>0.33333333333333331</v>
          </cell>
          <cell r="EO435">
            <v>0.33333333333333331</v>
          </cell>
          <cell r="EP435">
            <v>0.66666666666666663</v>
          </cell>
        </row>
        <row r="436">
          <cell r="H436">
            <v>11425</v>
          </cell>
          <cell r="I436">
            <v>8336</v>
          </cell>
          <cell r="J436">
            <v>9669</v>
          </cell>
          <cell r="K436">
            <v>8666</v>
          </cell>
          <cell r="L436">
            <v>9120</v>
          </cell>
          <cell r="M436">
            <v>10274</v>
          </cell>
          <cell r="N436">
            <v>8431</v>
          </cell>
          <cell r="O436">
            <v>8823</v>
          </cell>
          <cell r="P436">
            <v>10055</v>
          </cell>
          <cell r="Q436">
            <v>10623</v>
          </cell>
          <cell r="R436">
            <v>12038</v>
          </cell>
          <cell r="S436">
            <v>6627</v>
          </cell>
          <cell r="T436">
            <v>5901</v>
          </cell>
          <cell r="U436">
            <v>12019</v>
          </cell>
          <cell r="V436">
            <v>12155</v>
          </cell>
          <cell r="W436">
            <v>11960</v>
          </cell>
          <cell r="X436">
            <v>11845</v>
          </cell>
          <cell r="Y436">
            <v>17425</v>
          </cell>
          <cell r="Z436">
            <v>18270</v>
          </cell>
          <cell r="AA436">
            <v>11003</v>
          </cell>
          <cell r="AB436">
            <v>12728</v>
          </cell>
          <cell r="AC436">
            <v>11939</v>
          </cell>
          <cell r="AD436">
            <v>12431</v>
          </cell>
          <cell r="AE436">
            <v>12385</v>
          </cell>
          <cell r="AF436">
            <v>8885</v>
          </cell>
          <cell r="AG436">
            <v>9400</v>
          </cell>
          <cell r="AH436">
            <v>9275</v>
          </cell>
          <cell r="AI436">
            <v>10110</v>
          </cell>
          <cell r="AJ436">
            <v>12241</v>
          </cell>
          <cell r="AK436">
            <v>10165</v>
          </cell>
          <cell r="AL436">
            <v>15250</v>
          </cell>
          <cell r="AM436">
            <v>11075</v>
          </cell>
          <cell r="AN436">
            <v>10495</v>
          </cell>
          <cell r="AO436">
            <v>10510</v>
          </cell>
          <cell r="AP436">
            <v>9975</v>
          </cell>
          <cell r="AQ436">
            <v>10497</v>
          </cell>
          <cell r="AR436">
            <v>11000</v>
          </cell>
          <cell r="AS436">
            <v>3775</v>
          </cell>
          <cell r="AT436">
            <v>12741.52</v>
          </cell>
          <cell r="AU436">
            <v>11315</v>
          </cell>
          <cell r="AV436">
            <v>10409</v>
          </cell>
          <cell r="AW436">
            <v>8525</v>
          </cell>
          <cell r="AX436">
            <v>10844</v>
          </cell>
          <cell r="AY436">
            <v>10430</v>
          </cell>
          <cell r="AZ436">
            <v>11542</v>
          </cell>
          <cell r="BA436">
            <v>11555</v>
          </cell>
          <cell r="BB436">
            <v>11140</v>
          </cell>
          <cell r="BC436">
            <v>10090</v>
          </cell>
          <cell r="BD436">
            <v>10835</v>
          </cell>
          <cell r="BE436">
            <v>11435</v>
          </cell>
          <cell r="BF436">
            <v>13791</v>
          </cell>
          <cell r="BG436">
            <v>14110</v>
          </cell>
          <cell r="BH436">
            <v>5725</v>
          </cell>
          <cell r="BI436">
            <v>10550</v>
          </cell>
          <cell r="BJ436">
            <v>7760</v>
          </cell>
          <cell r="BK436">
            <v>10455</v>
          </cell>
          <cell r="BL436">
            <v>10630</v>
          </cell>
          <cell r="BM436">
            <v>10705</v>
          </cell>
          <cell r="BN436">
            <v>12100</v>
          </cell>
          <cell r="BO436">
            <v>10050</v>
          </cell>
          <cell r="BP436">
            <v>10215</v>
          </cell>
          <cell r="BQ436">
            <v>10280</v>
          </cell>
          <cell r="BR436">
            <v>12630</v>
          </cell>
          <cell r="BS436">
            <v>9535</v>
          </cell>
          <cell r="BT436">
            <v>10640</v>
          </cell>
          <cell r="BU436">
            <v>11285</v>
          </cell>
          <cell r="BV436">
            <v>11425</v>
          </cell>
          <cell r="BW436">
            <v>10985</v>
          </cell>
          <cell r="BX436">
            <v>10170</v>
          </cell>
          <cell r="BY436">
            <v>13405</v>
          </cell>
          <cell r="BZ436">
            <v>18410</v>
          </cell>
          <cell r="CA436">
            <v>10785</v>
          </cell>
          <cell r="CB436">
            <v>9565</v>
          </cell>
          <cell r="CC436">
            <v>10100</v>
          </cell>
          <cell r="CD436">
            <v>9455</v>
          </cell>
          <cell r="CE436">
            <v>20250</v>
          </cell>
          <cell r="CF436">
            <v>8305</v>
          </cell>
          <cell r="CG436">
            <v>11015</v>
          </cell>
          <cell r="CH436">
            <v>8610</v>
          </cell>
          <cell r="CI436">
            <v>9896</v>
          </cell>
          <cell r="CJ436">
            <v>8800</v>
          </cell>
          <cell r="CK436">
            <v>9175</v>
          </cell>
          <cell r="CL436">
            <v>9542</v>
          </cell>
          <cell r="CM436">
            <v>11470</v>
          </cell>
          <cell r="CN436">
            <v>9524</v>
          </cell>
          <cell r="CO436">
            <v>10970</v>
          </cell>
          <cell r="CP436">
            <v>9965</v>
          </cell>
          <cell r="CQ436">
            <v>9905</v>
          </cell>
          <cell r="CR436">
            <v>10470</v>
          </cell>
          <cell r="CS436">
            <v>6240</v>
          </cell>
          <cell r="CT436">
            <v>10650</v>
          </cell>
          <cell r="CU436">
            <v>9640</v>
          </cell>
          <cell r="CV436">
            <v>10995</v>
          </cell>
          <cell r="CW436">
            <v>7646</v>
          </cell>
          <cell r="CX436">
            <v>8450</v>
          </cell>
          <cell r="CY436">
            <v>9625</v>
          </cell>
          <cell r="CZ436">
            <v>9245</v>
          </cell>
          <cell r="DA436">
            <v>9395</v>
          </cell>
          <cell r="DB436">
            <v>8605</v>
          </cell>
          <cell r="DC436">
            <v>9455</v>
          </cell>
          <cell r="DD436">
            <v>8615</v>
          </cell>
          <cell r="DE436">
            <v>9105</v>
          </cell>
          <cell r="DF436">
            <v>12481</v>
          </cell>
          <cell r="DG436">
            <v>14290</v>
          </cell>
          <cell r="DH436">
            <v>4830</v>
          </cell>
          <cell r="DI436">
            <v>3340</v>
          </cell>
          <cell r="DJ436">
            <v>8685</v>
          </cell>
          <cell r="DK436">
            <v>7890</v>
          </cell>
          <cell r="DL436">
            <v>7315</v>
          </cell>
          <cell r="DM436">
            <v>8245</v>
          </cell>
          <cell r="DN436">
            <v>8425</v>
          </cell>
          <cell r="DO436">
            <v>9851</v>
          </cell>
          <cell r="DP436">
            <v>7360</v>
          </cell>
          <cell r="DQ436">
            <v>8925</v>
          </cell>
          <cell r="DR436">
            <v>8070</v>
          </cell>
          <cell r="DS436">
            <v>8330</v>
          </cell>
          <cell r="DT436">
            <v>9110</v>
          </cell>
          <cell r="DU436">
            <v>10720</v>
          </cell>
          <cell r="DV436">
            <v>9360</v>
          </cell>
          <cell r="DW436">
            <v>9520</v>
          </cell>
          <cell r="DX436">
            <v>9485</v>
          </cell>
          <cell r="DY436">
            <v>10045</v>
          </cell>
          <cell r="DZ436">
            <v>18225</v>
          </cell>
          <cell r="EA436">
            <v>13080</v>
          </cell>
          <cell r="EB436">
            <v>10615</v>
          </cell>
          <cell r="EC436">
            <v>9160</v>
          </cell>
          <cell r="ED436">
            <v>12255</v>
          </cell>
          <cell r="EE436" t="str">
            <v>ACTIVO</v>
          </cell>
          <cell r="EF436" t="str">
            <v/>
          </cell>
          <cell r="EG436" t="str">
            <v/>
          </cell>
          <cell r="EH436">
            <v>9050.0555555555547</v>
          </cell>
          <cell r="EI436">
            <v>1508.3425925925924</v>
          </cell>
          <cell r="EJ436">
            <v>2476.546737663482</v>
          </cell>
          <cell r="EK436">
            <v>0</v>
          </cell>
          <cell r="EL436">
            <v>0</v>
          </cell>
          <cell r="EM436">
            <v>0</v>
          </cell>
          <cell r="EN436">
            <v>0</v>
          </cell>
          <cell r="EO436">
            <v>3016.6851851851848</v>
          </cell>
          <cell r="EP436">
            <v>3016.6851851851848</v>
          </cell>
        </row>
        <row r="437">
          <cell r="F437">
            <v>107222</v>
          </cell>
          <cell r="G437" t="str">
            <v>MANTEQUILLA SIN SAL SOPROLE</v>
          </cell>
          <cell r="W437">
            <v>75</v>
          </cell>
          <cell r="X437">
            <v>40</v>
          </cell>
          <cell r="Y437">
            <v>25</v>
          </cell>
          <cell r="EE437" t="str">
            <v>SIN USO</v>
          </cell>
          <cell r="EF437" t="str">
            <v/>
          </cell>
          <cell r="EG437" t="str">
            <v/>
          </cell>
          <cell r="EH437">
            <v>0</v>
          </cell>
          <cell r="EI437">
            <v>0</v>
          </cell>
          <cell r="EJ437">
            <v>0</v>
          </cell>
          <cell r="EK437">
            <v>0</v>
          </cell>
          <cell r="EL437">
            <v>0</v>
          </cell>
          <cell r="EM437">
            <v>0</v>
          </cell>
          <cell r="EN437">
            <v>0</v>
          </cell>
          <cell r="EO437">
            <v>0</v>
          </cell>
          <cell r="EP437">
            <v>0</v>
          </cell>
        </row>
        <row r="438">
          <cell r="F438">
            <v>103006</v>
          </cell>
          <cell r="G438" t="str">
            <v>MARGARINA HORNITO DIWATTS</v>
          </cell>
          <cell r="AI438">
            <v>1600</v>
          </cell>
          <cell r="AJ438">
            <v>360</v>
          </cell>
          <cell r="AP438">
            <v>800</v>
          </cell>
          <cell r="AR438">
            <v>800</v>
          </cell>
          <cell r="BK438">
            <v>70</v>
          </cell>
          <cell r="BO438">
            <v>1200</v>
          </cell>
          <cell r="BR438">
            <v>1500</v>
          </cell>
          <cell r="DK438">
            <v>800</v>
          </cell>
          <cell r="EC438">
            <v>1600</v>
          </cell>
          <cell r="EE438" t="str">
            <v>SIN USO</v>
          </cell>
          <cell r="EF438" t="str">
            <v>C</v>
          </cell>
          <cell r="EG438" t="str">
            <v/>
          </cell>
          <cell r="EH438">
            <v>800</v>
          </cell>
          <cell r="EI438">
            <v>133.33333333333334</v>
          </cell>
          <cell r="EJ438">
            <v>754.07780323606744</v>
          </cell>
          <cell r="EK438">
            <v>0</v>
          </cell>
          <cell r="EL438">
            <v>0</v>
          </cell>
          <cell r="EM438">
            <v>0</v>
          </cell>
          <cell r="EN438">
            <v>400</v>
          </cell>
          <cell r="EO438">
            <v>266.66666666666669</v>
          </cell>
          <cell r="EP438">
            <v>666.66666666666674</v>
          </cell>
        </row>
        <row r="439">
          <cell r="F439">
            <v>103007</v>
          </cell>
          <cell r="G439" t="str">
            <v>MARGARINA HORNITO CERRILLOS</v>
          </cell>
          <cell r="AB439">
            <v>950</v>
          </cell>
          <cell r="AW439">
            <v>500</v>
          </cell>
          <cell r="AX439">
            <v>1500</v>
          </cell>
          <cell r="EE439" t="str">
            <v>SIN USO</v>
          </cell>
          <cell r="EF439" t="str">
            <v/>
          </cell>
          <cell r="EH439">
            <v>0</v>
          </cell>
          <cell r="EI439">
            <v>0</v>
          </cell>
          <cell r="EJ439">
            <v>0</v>
          </cell>
          <cell r="EK439">
            <v>0</v>
          </cell>
          <cell r="EL439">
            <v>0</v>
          </cell>
          <cell r="EM439">
            <v>0</v>
          </cell>
          <cell r="EN439">
            <v>0</v>
          </cell>
          <cell r="EO439">
            <v>0</v>
          </cell>
          <cell r="EP439">
            <v>0</v>
          </cell>
        </row>
        <row r="440">
          <cell r="F440">
            <v>405555</v>
          </cell>
          <cell r="G440" t="str">
            <v>MARGARINA DE HOJA FERRON</v>
          </cell>
          <cell r="CC440">
            <v>40</v>
          </cell>
          <cell r="EE440" t="str">
            <v>SIN USO</v>
          </cell>
          <cell r="EF440" t="str">
            <v>C</v>
          </cell>
          <cell r="EG440" t="str">
            <v/>
          </cell>
          <cell r="EH440">
            <v>0</v>
          </cell>
          <cell r="EI440">
            <v>0</v>
          </cell>
          <cell r="EJ440">
            <v>0</v>
          </cell>
          <cell r="EK440">
            <v>0</v>
          </cell>
          <cell r="EL440">
            <v>0</v>
          </cell>
          <cell r="EM440">
            <v>0</v>
          </cell>
          <cell r="EN440">
            <v>0</v>
          </cell>
          <cell r="EO440">
            <v>0</v>
          </cell>
          <cell r="EP440">
            <v>0</v>
          </cell>
        </row>
        <row r="441">
          <cell r="F441">
            <v>201007</v>
          </cell>
          <cell r="G441" t="str">
            <v>MARGARINA HOJA MASTER MARTINI</v>
          </cell>
          <cell r="CF441">
            <v>40</v>
          </cell>
          <cell r="EE441" t="str">
            <v>SIN USO</v>
          </cell>
          <cell r="EF441" t="str">
            <v>C</v>
          </cell>
          <cell r="EG441" t="str">
            <v/>
          </cell>
          <cell r="EH441">
            <v>0</v>
          </cell>
          <cell r="EI441">
            <v>0</v>
          </cell>
          <cell r="EJ441">
            <v>0</v>
          </cell>
          <cell r="EK441">
            <v>0</v>
          </cell>
          <cell r="EL441">
            <v>0</v>
          </cell>
          <cell r="EM441">
            <v>0</v>
          </cell>
          <cell r="EN441">
            <v>0</v>
          </cell>
          <cell r="EO441">
            <v>0</v>
          </cell>
          <cell r="EP441">
            <v>0</v>
          </cell>
        </row>
        <row r="442">
          <cell r="F442">
            <v>405638</v>
          </cell>
          <cell r="G442" t="str">
            <v>MANTEQUILLA SIN SAL WATT</v>
          </cell>
          <cell r="CY442">
            <v>200</v>
          </cell>
          <cell r="EE442" t="str">
            <v>SIN USO</v>
          </cell>
          <cell r="EF442" t="str">
            <v>C</v>
          </cell>
          <cell r="EG442" t="str">
            <v/>
          </cell>
          <cell r="EH442">
            <v>0</v>
          </cell>
          <cell r="EI442">
            <v>0</v>
          </cell>
          <cell r="EJ442">
            <v>0</v>
          </cell>
          <cell r="EK442">
            <v>0</v>
          </cell>
          <cell r="EL442">
            <v>0</v>
          </cell>
          <cell r="EM442">
            <v>0</v>
          </cell>
          <cell r="EN442">
            <v>0</v>
          </cell>
          <cell r="EO442">
            <v>0</v>
          </cell>
          <cell r="EP442">
            <v>0</v>
          </cell>
        </row>
        <row r="443">
          <cell r="F443">
            <v>107331</v>
          </cell>
          <cell r="G443" t="str">
            <v>MANTEQUILLA WATTS</v>
          </cell>
          <cell r="L443">
            <v>40</v>
          </cell>
          <cell r="M443">
            <v>130</v>
          </cell>
          <cell r="V443">
            <v>80</v>
          </cell>
          <cell r="AB443">
            <v>40</v>
          </cell>
          <cell r="AC443">
            <v>80</v>
          </cell>
          <cell r="AD443">
            <v>40</v>
          </cell>
          <cell r="AE443">
            <v>65</v>
          </cell>
          <cell r="AF443">
            <v>20</v>
          </cell>
          <cell r="AG443">
            <v>20</v>
          </cell>
          <cell r="AH443">
            <v>20</v>
          </cell>
          <cell r="AI443">
            <v>60</v>
          </cell>
          <cell r="AJ443">
            <v>20</v>
          </cell>
          <cell r="AK443">
            <v>80</v>
          </cell>
          <cell r="AL443">
            <v>140</v>
          </cell>
          <cell r="AM443">
            <v>140</v>
          </cell>
          <cell r="AN443">
            <v>20</v>
          </cell>
          <cell r="AO443">
            <v>20</v>
          </cell>
          <cell r="AX443">
            <v>580</v>
          </cell>
          <cell r="BL443">
            <v>40</v>
          </cell>
          <cell r="BM443">
            <v>20</v>
          </cell>
          <cell r="BN443">
            <v>60</v>
          </cell>
          <cell r="BO443">
            <v>60</v>
          </cell>
          <cell r="BP443">
            <v>60</v>
          </cell>
          <cell r="BQ443">
            <v>40</v>
          </cell>
          <cell r="BR443">
            <v>20</v>
          </cell>
          <cell r="BS443">
            <v>80</v>
          </cell>
          <cell r="BT443">
            <v>40</v>
          </cell>
          <cell r="BU443">
            <v>20</v>
          </cell>
          <cell r="BV443">
            <v>120</v>
          </cell>
          <cell r="BW443">
            <v>140</v>
          </cell>
          <cell r="BX443">
            <v>40</v>
          </cell>
          <cell r="CA443">
            <v>20</v>
          </cell>
          <cell r="CB443">
            <v>60</v>
          </cell>
          <cell r="CC443">
            <v>60</v>
          </cell>
          <cell r="CD443">
            <v>60</v>
          </cell>
          <cell r="CE443">
            <v>20</v>
          </cell>
          <cell r="CF443">
            <v>60</v>
          </cell>
          <cell r="CG443">
            <v>160</v>
          </cell>
          <cell r="CH443">
            <v>220</v>
          </cell>
          <cell r="CI443">
            <v>40</v>
          </cell>
          <cell r="CJ443">
            <v>20</v>
          </cell>
          <cell r="CL443">
            <v>20</v>
          </cell>
          <cell r="CM443">
            <v>80</v>
          </cell>
          <cell r="CN443">
            <v>60</v>
          </cell>
          <cell r="CO443">
            <v>20</v>
          </cell>
          <cell r="CP443">
            <v>40</v>
          </cell>
          <cell r="CQ443">
            <v>80</v>
          </cell>
          <cell r="CR443">
            <v>80</v>
          </cell>
          <cell r="CS443">
            <v>40</v>
          </cell>
          <cell r="CT443">
            <v>20</v>
          </cell>
          <cell r="CU443">
            <v>60</v>
          </cell>
          <cell r="CV443">
            <v>40</v>
          </cell>
          <cell r="CW443">
            <v>100</v>
          </cell>
          <cell r="CY443">
            <v>280</v>
          </cell>
          <cell r="CZ443">
            <v>80</v>
          </cell>
          <cell r="DA443">
            <v>100</v>
          </cell>
          <cell r="DB443">
            <v>80</v>
          </cell>
          <cell r="DC443">
            <v>80</v>
          </cell>
          <cell r="DD443">
            <v>100</v>
          </cell>
          <cell r="DE443">
            <v>20</v>
          </cell>
          <cell r="DK443">
            <v>40</v>
          </cell>
          <cell r="DM443">
            <v>40</v>
          </cell>
          <cell r="DN443">
            <v>40</v>
          </cell>
          <cell r="DO443">
            <v>20</v>
          </cell>
          <cell r="DP443">
            <v>60</v>
          </cell>
          <cell r="DR443">
            <v>40</v>
          </cell>
          <cell r="DV443">
            <v>40</v>
          </cell>
          <cell r="DW443">
            <v>300</v>
          </cell>
          <cell r="DX443">
            <v>60</v>
          </cell>
          <cell r="DY443">
            <v>160</v>
          </cell>
          <cell r="DZ443">
            <v>40</v>
          </cell>
          <cell r="EA443">
            <v>40</v>
          </cell>
          <cell r="EB443">
            <v>30</v>
          </cell>
          <cell r="ED443">
            <v>20</v>
          </cell>
          <cell r="EE443" t="str">
            <v>ACTIVO</v>
          </cell>
          <cell r="EF443" t="str">
            <v>C</v>
          </cell>
          <cell r="EG443" t="str">
            <v/>
          </cell>
          <cell r="EH443">
            <v>76.36363636363636</v>
          </cell>
          <cell r="EI443">
            <v>12.727272727272727</v>
          </cell>
          <cell r="EJ443">
            <v>53.729654064586313</v>
          </cell>
          <cell r="EK443">
            <v>220</v>
          </cell>
          <cell r="EL443">
            <v>1275991.2</v>
          </cell>
          <cell r="EM443">
            <v>2.8809523809523809</v>
          </cell>
          <cell r="EN443">
            <v>38.18181818181818</v>
          </cell>
          <cell r="EO443">
            <v>25.454545454545453</v>
          </cell>
          <cell r="EP443">
            <v>63.636363636363633</v>
          </cell>
        </row>
        <row r="444">
          <cell r="L444">
            <v>40</v>
          </cell>
          <cell r="M444">
            <v>130</v>
          </cell>
          <cell r="V444">
            <v>80</v>
          </cell>
          <cell r="W444">
            <v>75</v>
          </cell>
          <cell r="X444">
            <v>40</v>
          </cell>
          <cell r="Y444">
            <v>25</v>
          </cell>
          <cell r="AB444">
            <v>990</v>
          </cell>
          <cell r="AC444">
            <v>80</v>
          </cell>
          <cell r="AD444">
            <v>40</v>
          </cell>
          <cell r="AE444">
            <v>65</v>
          </cell>
          <cell r="AF444">
            <v>20</v>
          </cell>
          <cell r="AG444">
            <v>20</v>
          </cell>
          <cell r="AH444">
            <v>20</v>
          </cell>
          <cell r="AI444">
            <v>1660</v>
          </cell>
          <cell r="AJ444">
            <v>380</v>
          </cell>
          <cell r="AK444">
            <v>80</v>
          </cell>
          <cell r="AL444">
            <v>140</v>
          </cell>
          <cell r="AM444">
            <v>140</v>
          </cell>
          <cell r="AN444">
            <v>20</v>
          </cell>
          <cell r="AO444">
            <v>20</v>
          </cell>
          <cell r="AP444">
            <v>800</v>
          </cell>
          <cell r="AR444">
            <v>800</v>
          </cell>
          <cell r="AW444">
            <v>500</v>
          </cell>
          <cell r="AX444">
            <v>2080</v>
          </cell>
          <cell r="BK444">
            <v>70</v>
          </cell>
          <cell r="BL444">
            <v>40</v>
          </cell>
          <cell r="BM444">
            <v>20</v>
          </cell>
          <cell r="BN444">
            <v>60</v>
          </cell>
          <cell r="BO444">
            <v>1260</v>
          </cell>
          <cell r="BP444">
            <v>60</v>
          </cell>
          <cell r="BQ444">
            <v>40</v>
          </cell>
          <cell r="BR444">
            <v>1520</v>
          </cell>
          <cell r="BS444">
            <v>80</v>
          </cell>
          <cell r="BT444">
            <v>40</v>
          </cell>
          <cell r="BU444">
            <v>20</v>
          </cell>
          <cell r="BV444">
            <v>120</v>
          </cell>
          <cell r="BW444">
            <v>140</v>
          </cell>
          <cell r="BX444">
            <v>40</v>
          </cell>
          <cell r="CA444">
            <v>20</v>
          </cell>
          <cell r="CB444">
            <v>60</v>
          </cell>
          <cell r="CC444">
            <v>100</v>
          </cell>
          <cell r="CD444">
            <v>60</v>
          </cell>
          <cell r="CE444">
            <v>20</v>
          </cell>
          <cell r="CF444">
            <v>100</v>
          </cell>
          <cell r="CG444">
            <v>160</v>
          </cell>
          <cell r="CH444">
            <v>220</v>
          </cell>
          <cell r="CI444">
            <v>40</v>
          </cell>
          <cell r="CJ444">
            <v>20</v>
          </cell>
          <cell r="CL444">
            <v>20</v>
          </cell>
          <cell r="CM444">
            <v>80</v>
          </cell>
          <cell r="CN444">
            <v>60</v>
          </cell>
          <cell r="CO444">
            <v>20</v>
          </cell>
          <cell r="CP444">
            <v>40</v>
          </cell>
          <cell r="CQ444">
            <v>80</v>
          </cell>
          <cell r="CR444">
            <v>80</v>
          </cell>
          <cell r="CS444">
            <v>40</v>
          </cell>
          <cell r="CT444">
            <v>20</v>
          </cell>
          <cell r="CU444">
            <v>60</v>
          </cell>
          <cell r="CV444">
            <v>40</v>
          </cell>
          <cell r="CW444">
            <v>100</v>
          </cell>
          <cell r="CY444">
            <v>480</v>
          </cell>
          <cell r="CZ444">
            <v>80</v>
          </cell>
          <cell r="DA444">
            <v>100</v>
          </cell>
          <cell r="DB444">
            <v>80</v>
          </cell>
          <cell r="DC444">
            <v>80</v>
          </cell>
          <cell r="DD444">
            <v>100</v>
          </cell>
          <cell r="DE444">
            <v>20</v>
          </cell>
          <cell r="DK444">
            <v>840</v>
          </cell>
          <cell r="DM444">
            <v>40</v>
          </cell>
          <cell r="DN444">
            <v>40</v>
          </cell>
          <cell r="DO444">
            <v>20</v>
          </cell>
          <cell r="DP444">
            <v>60</v>
          </cell>
          <cell r="DR444">
            <v>40</v>
          </cell>
          <cell r="DV444">
            <v>40</v>
          </cell>
          <cell r="DW444">
            <v>300</v>
          </cell>
          <cell r="DX444">
            <v>60</v>
          </cell>
          <cell r="DY444">
            <v>160</v>
          </cell>
          <cell r="DZ444">
            <v>40</v>
          </cell>
          <cell r="EA444">
            <v>40</v>
          </cell>
          <cell r="EB444">
            <v>30</v>
          </cell>
          <cell r="EC444">
            <v>1600</v>
          </cell>
          <cell r="ED444">
            <v>20</v>
          </cell>
          <cell r="EE444" t="str">
            <v>ACTIVO</v>
          </cell>
          <cell r="EF444" t="str">
            <v/>
          </cell>
          <cell r="EG444" t="str">
            <v/>
          </cell>
          <cell r="EH444">
            <v>149.09090909090909</v>
          </cell>
          <cell r="EI444">
            <v>24.848484848484848</v>
          </cell>
          <cell r="EJ444">
            <v>291.43760978753426</v>
          </cell>
          <cell r="EK444">
            <v>0</v>
          </cell>
          <cell r="EL444">
            <v>0</v>
          </cell>
          <cell r="EM444">
            <v>0</v>
          </cell>
          <cell r="EN444">
            <v>0</v>
          </cell>
          <cell r="EO444">
            <v>49.696969696969695</v>
          </cell>
          <cell r="EP444">
            <v>49.696969696969695</v>
          </cell>
        </row>
        <row r="445">
          <cell r="F445">
            <v>405246</v>
          </cell>
          <cell r="G445" t="str">
            <v>HUEVO EN POLVO OVOSUR</v>
          </cell>
          <cell r="J445">
            <v>500</v>
          </cell>
          <cell r="K445">
            <v>500</v>
          </cell>
          <cell r="L445">
            <v>500</v>
          </cell>
          <cell r="M445">
            <v>500</v>
          </cell>
          <cell r="N445">
            <v>500</v>
          </cell>
          <cell r="O445">
            <v>400</v>
          </cell>
          <cell r="P445">
            <v>800</v>
          </cell>
          <cell r="Q445">
            <v>800</v>
          </cell>
          <cell r="R445">
            <v>800</v>
          </cell>
          <cell r="S445">
            <v>800</v>
          </cell>
          <cell r="U445">
            <v>500</v>
          </cell>
          <cell r="W445">
            <v>500</v>
          </cell>
          <cell r="X445">
            <v>500</v>
          </cell>
          <cell r="Y445">
            <v>500</v>
          </cell>
          <cell r="AA445">
            <v>500</v>
          </cell>
          <cell r="AB445">
            <v>600</v>
          </cell>
          <cell r="AC445">
            <v>600</v>
          </cell>
          <cell r="AD445">
            <v>600</v>
          </cell>
          <cell r="AF445">
            <v>600</v>
          </cell>
          <cell r="AH445">
            <v>600</v>
          </cell>
          <cell r="AI445">
            <v>800</v>
          </cell>
          <cell r="AJ445">
            <v>600</v>
          </cell>
          <cell r="AK445">
            <v>600</v>
          </cell>
          <cell r="AL445">
            <v>800</v>
          </cell>
          <cell r="AM445">
            <v>660</v>
          </cell>
          <cell r="AN445">
            <v>660</v>
          </cell>
          <cell r="AO445">
            <v>660</v>
          </cell>
          <cell r="AR445">
            <v>600</v>
          </cell>
          <cell r="AU445">
            <v>600</v>
          </cell>
          <cell r="AV445">
            <v>600</v>
          </cell>
          <cell r="AW445">
            <v>800</v>
          </cell>
          <cell r="AX445">
            <v>700</v>
          </cell>
          <cell r="AZ445">
            <v>600</v>
          </cell>
          <cell r="BA445">
            <v>1200</v>
          </cell>
          <cell r="BC445">
            <v>800</v>
          </cell>
          <cell r="BE445">
            <v>1400</v>
          </cell>
          <cell r="BF445">
            <v>760</v>
          </cell>
          <cell r="BI445">
            <v>1560</v>
          </cell>
          <cell r="BJ445">
            <v>980</v>
          </cell>
          <cell r="BO445">
            <v>1800</v>
          </cell>
          <cell r="BP445">
            <v>1000</v>
          </cell>
          <cell r="BS445">
            <v>800</v>
          </cell>
          <cell r="BT445">
            <v>600</v>
          </cell>
          <cell r="BX445">
            <v>700</v>
          </cell>
          <cell r="BY445">
            <v>700</v>
          </cell>
          <cell r="BZ445">
            <v>700</v>
          </cell>
          <cell r="CC445">
            <v>600</v>
          </cell>
          <cell r="CD445">
            <v>700</v>
          </cell>
          <cell r="CG445">
            <v>600</v>
          </cell>
          <cell r="CH445">
            <v>600</v>
          </cell>
          <cell r="CI445">
            <v>400</v>
          </cell>
          <cell r="CK445">
            <v>1200</v>
          </cell>
          <cell r="CM445">
            <v>1260</v>
          </cell>
          <cell r="CN445">
            <v>600</v>
          </cell>
          <cell r="CQ445">
            <v>600</v>
          </cell>
          <cell r="CR445">
            <v>600</v>
          </cell>
          <cell r="CT445">
            <v>600</v>
          </cell>
          <cell r="CU445">
            <v>600</v>
          </cell>
          <cell r="CW445">
            <v>1200</v>
          </cell>
          <cell r="CX445">
            <v>500</v>
          </cell>
          <cell r="CZ445">
            <v>600</v>
          </cell>
          <cell r="DA445">
            <v>800</v>
          </cell>
          <cell r="DD445">
            <v>600</v>
          </cell>
          <cell r="DE445">
            <v>600</v>
          </cell>
          <cell r="DG445">
            <v>600</v>
          </cell>
          <cell r="DH445">
            <v>600</v>
          </cell>
          <cell r="DK445">
            <v>600</v>
          </cell>
          <cell r="DN445">
            <v>500</v>
          </cell>
          <cell r="DO445">
            <v>600</v>
          </cell>
          <cell r="DP445">
            <v>600</v>
          </cell>
          <cell r="DQ445">
            <v>500</v>
          </cell>
          <cell r="DR445">
            <v>600</v>
          </cell>
          <cell r="DS445">
            <v>600</v>
          </cell>
          <cell r="DU445">
            <v>500</v>
          </cell>
          <cell r="DV445">
            <v>500</v>
          </cell>
          <cell r="DX445">
            <v>1000</v>
          </cell>
          <cell r="DZ445">
            <v>260</v>
          </cell>
          <cell r="EA445">
            <v>600</v>
          </cell>
          <cell r="EB445">
            <v>800</v>
          </cell>
          <cell r="EC445">
            <v>600</v>
          </cell>
          <cell r="ED445">
            <v>600</v>
          </cell>
          <cell r="EE445" t="str">
            <v>SIN USO</v>
          </cell>
          <cell r="EF445" t="str">
            <v>A</v>
          </cell>
          <cell r="EG445" t="str">
            <v/>
          </cell>
          <cell r="EH445">
            <v>569.09090909090912</v>
          </cell>
          <cell r="EI445">
            <v>94.848484848484858</v>
          </cell>
          <cell r="EJ445">
            <v>328.57806804172054</v>
          </cell>
          <cell r="EK445">
            <v>0</v>
          </cell>
          <cell r="EL445">
            <v>0</v>
          </cell>
          <cell r="EM445">
            <v>0</v>
          </cell>
          <cell r="EN445">
            <v>284.54545454545456</v>
          </cell>
          <cell r="EO445">
            <v>189.69696969696972</v>
          </cell>
          <cell r="EP445">
            <v>474.24242424242425</v>
          </cell>
        </row>
        <row r="446">
          <cell r="J446">
            <v>500</v>
          </cell>
          <cell r="K446">
            <v>500</v>
          </cell>
          <cell r="L446">
            <v>500</v>
          </cell>
          <cell r="M446">
            <v>500</v>
          </cell>
          <cell r="N446">
            <v>500</v>
          </cell>
          <cell r="O446">
            <v>400</v>
          </cell>
          <cell r="P446">
            <v>800</v>
          </cell>
          <cell r="Q446">
            <v>800</v>
          </cell>
          <cell r="R446">
            <v>800</v>
          </cell>
          <cell r="S446">
            <v>800</v>
          </cell>
          <cell r="U446">
            <v>500</v>
          </cell>
          <cell r="W446">
            <v>500</v>
          </cell>
          <cell r="X446">
            <v>500</v>
          </cell>
          <cell r="Y446">
            <v>500</v>
          </cell>
          <cell r="AA446">
            <v>500</v>
          </cell>
          <cell r="AB446">
            <v>600</v>
          </cell>
          <cell r="AC446">
            <v>600</v>
          </cell>
          <cell r="AD446">
            <v>600</v>
          </cell>
          <cell r="AF446">
            <v>600</v>
          </cell>
          <cell r="AH446">
            <v>600</v>
          </cell>
          <cell r="AI446">
            <v>800</v>
          </cell>
          <cell r="AJ446">
            <v>600</v>
          </cell>
          <cell r="AK446">
            <v>600</v>
          </cell>
          <cell r="AL446">
            <v>800</v>
          </cell>
          <cell r="AM446">
            <v>660</v>
          </cell>
          <cell r="AN446">
            <v>660</v>
          </cell>
          <cell r="AO446">
            <v>660</v>
          </cell>
          <cell r="AR446">
            <v>600</v>
          </cell>
          <cell r="AU446">
            <v>600</v>
          </cell>
          <cell r="AV446">
            <v>600</v>
          </cell>
          <cell r="AW446">
            <v>800</v>
          </cell>
          <cell r="AX446">
            <v>700</v>
          </cell>
          <cell r="AZ446">
            <v>600</v>
          </cell>
          <cell r="BA446">
            <v>1200</v>
          </cell>
          <cell r="BC446">
            <v>800</v>
          </cell>
          <cell r="BE446">
            <v>1400</v>
          </cell>
          <cell r="BF446">
            <v>760</v>
          </cell>
          <cell r="BI446">
            <v>1560</v>
          </cell>
          <cell r="BJ446">
            <v>980</v>
          </cell>
          <cell r="BO446">
            <v>1800</v>
          </cell>
          <cell r="BP446">
            <v>1000</v>
          </cell>
          <cell r="BS446">
            <v>800</v>
          </cell>
          <cell r="BT446">
            <v>600</v>
          </cell>
          <cell r="BX446">
            <v>700</v>
          </cell>
          <cell r="BY446">
            <v>700</v>
          </cell>
          <cell r="BZ446">
            <v>700</v>
          </cell>
          <cell r="CC446">
            <v>600</v>
          </cell>
          <cell r="CD446">
            <v>700</v>
          </cell>
          <cell r="CG446">
            <v>600</v>
          </cell>
          <cell r="CH446">
            <v>600</v>
          </cell>
          <cell r="CI446">
            <v>400</v>
          </cell>
          <cell r="CK446">
            <v>1200</v>
          </cell>
          <cell r="CM446">
            <v>1260</v>
          </cell>
          <cell r="CN446">
            <v>600</v>
          </cell>
          <cell r="CQ446">
            <v>600</v>
          </cell>
          <cell r="CR446">
            <v>600</v>
          </cell>
          <cell r="CT446">
            <v>600</v>
          </cell>
          <cell r="CU446">
            <v>600</v>
          </cell>
          <cell r="CW446">
            <v>1200</v>
          </cell>
          <cell r="CX446">
            <v>500</v>
          </cell>
          <cell r="CZ446">
            <v>600</v>
          </cell>
          <cell r="DA446">
            <v>800</v>
          </cell>
          <cell r="DD446">
            <v>600</v>
          </cell>
          <cell r="DE446">
            <v>600</v>
          </cell>
          <cell r="DG446">
            <v>600</v>
          </cell>
          <cell r="DH446">
            <v>600</v>
          </cell>
          <cell r="DK446">
            <v>600</v>
          </cell>
          <cell r="DN446">
            <v>500</v>
          </cell>
          <cell r="DO446">
            <v>600</v>
          </cell>
          <cell r="DP446">
            <v>600</v>
          </cell>
          <cell r="DQ446">
            <v>500</v>
          </cell>
          <cell r="DR446">
            <v>600</v>
          </cell>
          <cell r="DS446">
            <v>600</v>
          </cell>
          <cell r="DU446">
            <v>500</v>
          </cell>
          <cell r="DV446">
            <v>500</v>
          </cell>
          <cell r="DX446">
            <v>1000</v>
          </cell>
          <cell r="DZ446">
            <v>260</v>
          </cell>
          <cell r="EA446">
            <v>600</v>
          </cell>
          <cell r="EB446">
            <v>800</v>
          </cell>
          <cell r="EC446">
            <v>600</v>
          </cell>
          <cell r="ED446">
            <v>600</v>
          </cell>
          <cell r="EE446" t="str">
            <v>ACTIVO</v>
          </cell>
          <cell r="EF446" t="str">
            <v/>
          </cell>
          <cell r="EG446" t="str">
            <v/>
          </cell>
          <cell r="EH446">
            <v>569.09090909090912</v>
          </cell>
          <cell r="EI446">
            <v>94.848484848484858</v>
          </cell>
          <cell r="EJ446">
            <v>328.57806804172054</v>
          </cell>
          <cell r="EK446">
            <v>0</v>
          </cell>
          <cell r="EL446">
            <v>0</v>
          </cell>
          <cell r="EM446">
            <v>0</v>
          </cell>
          <cell r="EN446">
            <v>0</v>
          </cell>
          <cell r="EO446">
            <v>189.69696969696972</v>
          </cell>
          <cell r="EP446">
            <v>189.69696969696972</v>
          </cell>
        </row>
        <row r="447">
          <cell r="F447">
            <v>107174</v>
          </cell>
          <cell r="G447" t="str">
            <v>YOGURT FRUTILLA SOPROLE</v>
          </cell>
          <cell r="O447">
            <v>179</v>
          </cell>
          <cell r="P447">
            <v>238</v>
          </cell>
          <cell r="R447">
            <v>290</v>
          </cell>
          <cell r="AB447">
            <v>611</v>
          </cell>
          <cell r="AC447">
            <v>189</v>
          </cell>
          <cell r="AI447">
            <v>294.7</v>
          </cell>
          <cell r="AJ447">
            <v>512</v>
          </cell>
          <cell r="AM447">
            <v>1259</v>
          </cell>
          <cell r="AN447">
            <v>177</v>
          </cell>
          <cell r="AO447">
            <v>311</v>
          </cell>
          <cell r="AP447">
            <v>388</v>
          </cell>
          <cell r="AR447">
            <v>167</v>
          </cell>
          <cell r="AT447">
            <v>192</v>
          </cell>
          <cell r="CC447">
            <v>170</v>
          </cell>
          <cell r="CD447">
            <v>430</v>
          </cell>
          <cell r="CE447">
            <v>1448</v>
          </cell>
          <cell r="CF447">
            <v>250</v>
          </cell>
          <cell r="CG447">
            <v>531</v>
          </cell>
          <cell r="CM447">
            <v>331</v>
          </cell>
          <cell r="CN447">
            <v>153</v>
          </cell>
          <cell r="EE447" t="str">
            <v>ACTIVO</v>
          </cell>
          <cell r="EF447" t="str">
            <v>C</v>
          </cell>
          <cell r="EG447" t="str">
            <v/>
          </cell>
          <cell r="EH447">
            <v>0</v>
          </cell>
          <cell r="EI447">
            <v>0</v>
          </cell>
          <cell r="EJ447">
            <v>450.913781221242</v>
          </cell>
          <cell r="EK447">
            <v>0</v>
          </cell>
          <cell r="EL447">
            <v>0</v>
          </cell>
          <cell r="EM447">
            <v>0</v>
          </cell>
          <cell r="EN447">
            <v>0</v>
          </cell>
          <cell r="EO447">
            <v>0</v>
          </cell>
          <cell r="EP447">
            <v>0</v>
          </cell>
        </row>
        <row r="448">
          <cell r="F448">
            <v>107164</v>
          </cell>
          <cell r="G448" t="str">
            <v>YOGURT FRUTILLA DIWATTS</v>
          </cell>
          <cell r="H448">
            <v>1101</v>
          </cell>
          <cell r="I448">
            <v>1099</v>
          </cell>
          <cell r="J448">
            <v>1059</v>
          </cell>
          <cell r="K448">
            <v>1140</v>
          </cell>
          <cell r="L448">
            <v>1186</v>
          </cell>
          <cell r="M448">
            <v>1373</v>
          </cell>
          <cell r="N448">
            <v>1268</v>
          </cell>
          <cell r="O448">
            <v>1012</v>
          </cell>
          <cell r="P448">
            <v>798</v>
          </cell>
          <cell r="Q448">
            <v>1070</v>
          </cell>
          <cell r="R448">
            <v>857</v>
          </cell>
          <cell r="S448">
            <v>1412</v>
          </cell>
          <cell r="T448">
            <v>1168</v>
          </cell>
          <cell r="U448">
            <v>1314</v>
          </cell>
          <cell r="V448">
            <v>1144</v>
          </cell>
          <cell r="W448">
            <v>968</v>
          </cell>
          <cell r="X448">
            <v>1238</v>
          </cell>
          <cell r="Y448">
            <v>1385</v>
          </cell>
          <cell r="Z448">
            <v>1669</v>
          </cell>
          <cell r="AA448">
            <v>983</v>
          </cell>
          <cell r="AB448">
            <v>614</v>
          </cell>
          <cell r="AC448">
            <v>982</v>
          </cell>
          <cell r="AD448">
            <v>1243</v>
          </cell>
          <cell r="AE448">
            <v>1115</v>
          </cell>
          <cell r="AF448">
            <v>1021</v>
          </cell>
          <cell r="AG448">
            <v>1304</v>
          </cell>
          <cell r="AH448">
            <v>1360</v>
          </cell>
          <cell r="AI448">
            <v>908.29365499999994</v>
          </cell>
          <cell r="AJ448">
            <v>743.70634500000006</v>
          </cell>
          <cell r="AK448">
            <v>1131</v>
          </cell>
          <cell r="AL448">
            <v>1081</v>
          </cell>
          <cell r="AM448">
            <v>416</v>
          </cell>
          <cell r="AN448">
            <v>1252</v>
          </cell>
          <cell r="AO448">
            <v>725</v>
          </cell>
          <cell r="AP448">
            <v>587</v>
          </cell>
          <cell r="AQ448">
            <v>966</v>
          </cell>
          <cell r="AR448">
            <v>738</v>
          </cell>
          <cell r="AS448">
            <v>178</v>
          </cell>
          <cell r="AT448">
            <v>937</v>
          </cell>
          <cell r="AU448">
            <v>875</v>
          </cell>
          <cell r="AV448">
            <v>712</v>
          </cell>
          <cell r="AW448">
            <v>811</v>
          </cell>
          <cell r="AX448">
            <v>815</v>
          </cell>
          <cell r="AY448">
            <v>697</v>
          </cell>
          <cell r="AZ448">
            <v>1205</v>
          </cell>
          <cell r="BA448">
            <v>904</v>
          </cell>
          <cell r="BB448">
            <v>848</v>
          </cell>
          <cell r="BC448">
            <v>1282</v>
          </cell>
          <cell r="BD448">
            <v>914</v>
          </cell>
          <cell r="BE448">
            <v>815</v>
          </cell>
          <cell r="BF448">
            <v>1007</v>
          </cell>
          <cell r="BG448">
            <v>921</v>
          </cell>
          <cell r="BH448">
            <v>773</v>
          </cell>
          <cell r="BI448">
            <v>844</v>
          </cell>
          <cell r="BJ448">
            <v>685</v>
          </cell>
          <cell r="BK448">
            <v>960</v>
          </cell>
          <cell r="BL448">
            <v>813</v>
          </cell>
          <cell r="BM448">
            <v>939</v>
          </cell>
          <cell r="BN448">
            <v>1075</v>
          </cell>
          <cell r="BO448">
            <v>727</v>
          </cell>
          <cell r="BP448">
            <v>761</v>
          </cell>
          <cell r="BQ448">
            <v>684</v>
          </cell>
          <cell r="BR448">
            <v>834</v>
          </cell>
          <cell r="BS448">
            <v>811</v>
          </cell>
          <cell r="BT448">
            <v>641</v>
          </cell>
          <cell r="BU448">
            <v>865</v>
          </cell>
          <cell r="BV448">
            <v>790</v>
          </cell>
          <cell r="BW448">
            <v>850</v>
          </cell>
          <cell r="BX448">
            <v>1010</v>
          </cell>
          <cell r="BY448">
            <v>1189</v>
          </cell>
          <cell r="BZ448">
            <v>1909</v>
          </cell>
          <cell r="CA448">
            <v>880</v>
          </cell>
          <cell r="CB448">
            <v>849</v>
          </cell>
          <cell r="CC448">
            <v>708</v>
          </cell>
          <cell r="CD448">
            <v>430</v>
          </cell>
          <cell r="CE448">
            <v>170</v>
          </cell>
          <cell r="CF448">
            <v>542</v>
          </cell>
          <cell r="CG448">
            <v>395</v>
          </cell>
          <cell r="CH448">
            <v>939</v>
          </cell>
          <cell r="CI448">
            <v>1071</v>
          </cell>
          <cell r="CJ448">
            <v>906</v>
          </cell>
          <cell r="CK448">
            <v>1120</v>
          </cell>
          <cell r="CL448">
            <v>1050</v>
          </cell>
          <cell r="CM448">
            <v>997</v>
          </cell>
          <cell r="CN448">
            <v>935</v>
          </cell>
          <cell r="CO448">
            <v>1062</v>
          </cell>
          <cell r="CP448">
            <v>1161</v>
          </cell>
          <cell r="CQ448">
            <v>670</v>
          </cell>
          <cell r="CR448">
            <v>829</v>
          </cell>
          <cell r="CS448">
            <v>222</v>
          </cell>
          <cell r="CT448">
            <v>1345</v>
          </cell>
          <cell r="CU448">
            <v>1392</v>
          </cell>
          <cell r="CV448">
            <v>1814</v>
          </cell>
          <cell r="CW448">
            <v>1251</v>
          </cell>
          <cell r="CX448">
            <v>1293</v>
          </cell>
          <cell r="CY448">
            <v>1258</v>
          </cell>
          <cell r="CZ448">
            <v>1032</v>
          </cell>
          <cell r="DA448">
            <v>1267</v>
          </cell>
          <cell r="DB448">
            <v>1007</v>
          </cell>
          <cell r="DC448">
            <v>1058</v>
          </cell>
          <cell r="DD448">
            <v>1017</v>
          </cell>
          <cell r="DE448">
            <v>893</v>
          </cell>
          <cell r="DF448">
            <v>1290</v>
          </cell>
          <cell r="DG448">
            <v>894</v>
          </cell>
          <cell r="DH448">
            <v>504</v>
          </cell>
          <cell r="DI448">
            <v>281</v>
          </cell>
          <cell r="DJ448">
            <v>1091</v>
          </cell>
          <cell r="DK448">
            <v>1049</v>
          </cell>
          <cell r="DL448">
            <v>1012</v>
          </cell>
          <cell r="DM448">
            <v>1078</v>
          </cell>
          <cell r="DN448">
            <v>942</v>
          </cell>
          <cell r="DO448">
            <v>1041</v>
          </cell>
          <cell r="DP448">
            <v>952</v>
          </cell>
          <cell r="DQ448">
            <v>1008</v>
          </cell>
          <cell r="DR448">
            <v>1007</v>
          </cell>
          <cell r="DS448">
            <v>1031</v>
          </cell>
          <cell r="DT448">
            <v>1004</v>
          </cell>
          <cell r="DU448">
            <v>1168</v>
          </cell>
          <cell r="DV448">
            <v>1088</v>
          </cell>
          <cell r="DW448">
            <v>987</v>
          </cell>
          <cell r="DX448">
            <v>1161</v>
          </cell>
          <cell r="DY448">
            <v>995</v>
          </cell>
          <cell r="DZ448">
            <v>1178</v>
          </cell>
          <cell r="EA448">
            <v>1159</v>
          </cell>
          <cell r="EB448">
            <v>1062</v>
          </cell>
          <cell r="EC448">
            <v>876</v>
          </cell>
          <cell r="ED448">
            <v>990</v>
          </cell>
          <cell r="EE448" t="str">
            <v>ACTIVO</v>
          </cell>
          <cell r="EF448" t="str">
            <v>B</v>
          </cell>
          <cell r="EG448">
            <v>600</v>
          </cell>
          <cell r="EH448">
            <v>1004.0555555555555</v>
          </cell>
          <cell r="EI448">
            <v>167.34259259259258</v>
          </cell>
          <cell r="EJ448">
            <v>323.80106531387975</v>
          </cell>
          <cell r="EK448">
            <v>1250</v>
          </cell>
          <cell r="EL448">
            <v>1411250</v>
          </cell>
          <cell r="EM448">
            <v>1.2449510319260777</v>
          </cell>
          <cell r="EN448">
            <v>502.02777777777771</v>
          </cell>
          <cell r="EO448">
            <v>334.68518518518516</v>
          </cell>
          <cell r="EP448">
            <v>836.71296296296282</v>
          </cell>
        </row>
        <row r="449">
          <cell r="H449">
            <v>1101</v>
          </cell>
          <cell r="I449">
            <v>1099</v>
          </cell>
          <cell r="J449">
            <v>1059</v>
          </cell>
          <cell r="K449">
            <v>1140</v>
          </cell>
          <cell r="L449">
            <v>1186</v>
          </cell>
          <cell r="M449">
            <v>1373</v>
          </cell>
          <cell r="N449">
            <v>1268</v>
          </cell>
          <cell r="O449">
            <v>1191</v>
          </cell>
          <cell r="P449">
            <v>1036</v>
          </cell>
          <cell r="Q449">
            <v>1070</v>
          </cell>
          <cell r="R449">
            <v>1147</v>
          </cell>
          <cell r="S449">
            <v>1412</v>
          </cell>
          <cell r="T449">
            <v>1168</v>
          </cell>
          <cell r="U449">
            <v>1314</v>
          </cell>
          <cell r="V449">
            <v>1144</v>
          </cell>
          <cell r="W449">
            <v>968</v>
          </cell>
          <cell r="X449">
            <v>1238</v>
          </cell>
          <cell r="Y449">
            <v>1385</v>
          </cell>
          <cell r="Z449">
            <v>1669</v>
          </cell>
          <cell r="AA449">
            <v>983</v>
          </cell>
          <cell r="AB449">
            <v>1225</v>
          </cell>
          <cell r="AC449">
            <v>1171</v>
          </cell>
          <cell r="AD449">
            <v>1243</v>
          </cell>
          <cell r="AE449">
            <v>1115</v>
          </cell>
          <cell r="AF449">
            <v>1021</v>
          </cell>
          <cell r="AG449">
            <v>1304</v>
          </cell>
          <cell r="AH449">
            <v>1360</v>
          </cell>
          <cell r="AI449">
            <v>1202.993655</v>
          </cell>
          <cell r="AJ449">
            <v>1255.7063450000001</v>
          </cell>
          <cell r="AK449">
            <v>1131</v>
          </cell>
          <cell r="AL449">
            <v>1081</v>
          </cell>
          <cell r="AM449">
            <v>1675</v>
          </cell>
          <cell r="AN449">
            <v>1429</v>
          </cell>
          <cell r="AO449">
            <v>1036</v>
          </cell>
          <cell r="AP449">
            <v>975</v>
          </cell>
          <cell r="AQ449">
            <v>966</v>
          </cell>
          <cell r="AR449">
            <v>905</v>
          </cell>
          <cell r="AS449">
            <v>178</v>
          </cell>
          <cell r="AT449">
            <v>1129</v>
          </cell>
          <cell r="AU449">
            <v>875</v>
          </cell>
          <cell r="AV449">
            <v>712</v>
          </cell>
          <cell r="AW449">
            <v>811</v>
          </cell>
          <cell r="AX449">
            <v>815</v>
          </cell>
          <cell r="AY449">
            <v>697</v>
          </cell>
          <cell r="AZ449">
            <v>1205</v>
          </cell>
          <cell r="BA449">
            <v>904</v>
          </cell>
          <cell r="BB449">
            <v>848</v>
          </cell>
          <cell r="BC449">
            <v>1282</v>
          </cell>
          <cell r="BD449">
            <v>914</v>
          </cell>
          <cell r="BE449">
            <v>815</v>
          </cell>
          <cell r="BF449">
            <v>1007</v>
          </cell>
          <cell r="BG449">
            <v>921</v>
          </cell>
          <cell r="BH449">
            <v>773</v>
          </cell>
          <cell r="BI449">
            <v>844</v>
          </cell>
          <cell r="BJ449">
            <v>685</v>
          </cell>
          <cell r="BK449">
            <v>960</v>
          </cell>
          <cell r="BL449">
            <v>813</v>
          </cell>
          <cell r="BM449">
            <v>939</v>
          </cell>
          <cell r="BN449">
            <v>1075</v>
          </cell>
          <cell r="BO449">
            <v>727</v>
          </cell>
          <cell r="BP449">
            <v>761</v>
          </cell>
          <cell r="BQ449">
            <v>684</v>
          </cell>
          <cell r="BR449">
            <v>834</v>
          </cell>
          <cell r="BS449">
            <v>811</v>
          </cell>
          <cell r="BT449">
            <v>641</v>
          </cell>
          <cell r="BU449">
            <v>865</v>
          </cell>
          <cell r="BV449">
            <v>790</v>
          </cell>
          <cell r="BW449">
            <v>850</v>
          </cell>
          <cell r="BX449">
            <v>1010</v>
          </cell>
          <cell r="BY449">
            <v>1189</v>
          </cell>
          <cell r="BZ449">
            <v>1909</v>
          </cell>
          <cell r="CA449">
            <v>880</v>
          </cell>
          <cell r="CB449">
            <v>849</v>
          </cell>
          <cell r="CC449">
            <v>878</v>
          </cell>
          <cell r="CD449">
            <v>860</v>
          </cell>
          <cell r="CE449">
            <v>1618</v>
          </cell>
          <cell r="CF449">
            <v>792</v>
          </cell>
          <cell r="CG449">
            <v>926</v>
          </cell>
          <cell r="CH449">
            <v>939</v>
          </cell>
          <cell r="CI449">
            <v>1071</v>
          </cell>
          <cell r="CJ449">
            <v>906</v>
          </cell>
          <cell r="CK449">
            <v>1120</v>
          </cell>
          <cell r="CL449">
            <v>1050</v>
          </cell>
          <cell r="CM449">
            <v>1328</v>
          </cell>
          <cell r="CN449">
            <v>1088</v>
          </cell>
          <cell r="CO449">
            <v>1062</v>
          </cell>
          <cell r="CP449">
            <v>1161</v>
          </cell>
          <cell r="CQ449">
            <v>670</v>
          </cell>
          <cell r="CR449">
            <v>829</v>
          </cell>
          <cell r="CS449">
            <v>222</v>
          </cell>
          <cell r="CT449">
            <v>1345</v>
          </cell>
          <cell r="CU449">
            <v>1392</v>
          </cell>
          <cell r="CV449">
            <v>1814</v>
          </cell>
          <cell r="CW449">
            <v>1251</v>
          </cell>
          <cell r="CX449">
            <v>1293</v>
          </cell>
          <cell r="CY449">
            <v>1258</v>
          </cell>
          <cell r="CZ449">
            <v>1032</v>
          </cell>
          <cell r="DA449">
            <v>1267</v>
          </cell>
          <cell r="DB449">
            <v>1007</v>
          </cell>
          <cell r="DC449">
            <v>1058</v>
          </cell>
          <cell r="DD449">
            <v>1017</v>
          </cell>
          <cell r="DE449">
            <v>893</v>
          </cell>
          <cell r="DF449">
            <v>1290</v>
          </cell>
          <cell r="DG449">
            <v>894</v>
          </cell>
          <cell r="DH449">
            <v>504</v>
          </cell>
          <cell r="DI449">
            <v>281</v>
          </cell>
          <cell r="DJ449">
            <v>1091</v>
          </cell>
          <cell r="DK449">
            <v>1049</v>
          </cell>
          <cell r="DL449">
            <v>1012</v>
          </cell>
          <cell r="DM449">
            <v>1078</v>
          </cell>
          <cell r="DN449">
            <v>942</v>
          </cell>
          <cell r="DO449">
            <v>1041</v>
          </cell>
          <cell r="DP449">
            <v>952</v>
          </cell>
          <cell r="DQ449">
            <v>1008</v>
          </cell>
          <cell r="DR449">
            <v>1007</v>
          </cell>
          <cell r="DS449">
            <v>1031</v>
          </cell>
          <cell r="DT449">
            <v>1004</v>
          </cell>
          <cell r="DU449">
            <v>1168</v>
          </cell>
          <cell r="DV449">
            <v>1088</v>
          </cell>
          <cell r="DW449">
            <v>987</v>
          </cell>
          <cell r="DX449">
            <v>1161</v>
          </cell>
          <cell r="DY449">
            <v>995</v>
          </cell>
          <cell r="DZ449">
            <v>1178</v>
          </cell>
          <cell r="EA449">
            <v>1159</v>
          </cell>
          <cell r="EB449">
            <v>1062</v>
          </cell>
          <cell r="EC449">
            <v>876</v>
          </cell>
          <cell r="ED449">
            <v>990</v>
          </cell>
          <cell r="EE449" t="str">
            <v>ACTIVO</v>
          </cell>
          <cell r="EF449" t="str">
            <v/>
          </cell>
          <cell r="EG449" t="str">
            <v/>
          </cell>
          <cell r="EH449">
            <v>1004.0555555555555</v>
          </cell>
          <cell r="EI449">
            <v>167.34259259259258</v>
          </cell>
          <cell r="EJ449">
            <v>297.26440952914987</v>
          </cell>
          <cell r="EK449">
            <v>0</v>
          </cell>
          <cell r="EL449">
            <v>0</v>
          </cell>
          <cell r="EM449">
            <v>0</v>
          </cell>
          <cell r="EN449">
            <v>0</v>
          </cell>
          <cell r="EO449">
            <v>334.68518518518516</v>
          </cell>
          <cell r="EP449">
            <v>334.68518518518516</v>
          </cell>
        </row>
        <row r="450">
          <cell r="F450">
            <v>107355</v>
          </cell>
          <cell r="G450" t="str">
            <v>JUGO DE LIMÓN ALTA FRUTA</v>
          </cell>
          <cell r="H450">
            <v>56</v>
          </cell>
          <cell r="AB450">
            <v>8</v>
          </cell>
          <cell r="AC450">
            <v>28</v>
          </cell>
          <cell r="AD450">
            <v>87</v>
          </cell>
          <cell r="AE450">
            <v>217</v>
          </cell>
          <cell r="BF450">
            <v>48</v>
          </cell>
          <cell r="BG450">
            <v>31</v>
          </cell>
          <cell r="BH450">
            <v>177</v>
          </cell>
          <cell r="BI450">
            <v>238</v>
          </cell>
          <cell r="BJ450">
            <v>142</v>
          </cell>
          <cell r="BK450">
            <v>109</v>
          </cell>
          <cell r="BL450">
            <v>197</v>
          </cell>
          <cell r="CD450">
            <v>5</v>
          </cell>
          <cell r="CE450">
            <v>110</v>
          </cell>
          <cell r="CF450">
            <v>319</v>
          </cell>
          <cell r="CG450">
            <v>459</v>
          </cell>
          <cell r="CH450">
            <v>279</v>
          </cell>
          <cell r="CI450">
            <v>329</v>
          </cell>
          <cell r="CJ450">
            <v>212.8</v>
          </cell>
          <cell r="CL450">
            <v>14</v>
          </cell>
          <cell r="CM450">
            <v>354</v>
          </cell>
          <cell r="CN450">
            <v>200</v>
          </cell>
          <cell r="CO450">
            <v>280</v>
          </cell>
          <cell r="CP450">
            <v>289</v>
          </cell>
          <cell r="CQ450">
            <v>306</v>
          </cell>
          <cell r="CR450">
            <v>320</v>
          </cell>
          <cell r="CS450">
            <v>140</v>
          </cell>
          <cell r="CT450">
            <v>323</v>
          </cell>
          <cell r="CU450">
            <v>277</v>
          </cell>
          <cell r="CV450">
            <v>312</v>
          </cell>
          <cell r="CW450">
            <v>223</v>
          </cell>
          <cell r="CX450">
            <v>59</v>
          </cell>
          <cell r="DL450">
            <v>10</v>
          </cell>
          <cell r="DM450">
            <v>29</v>
          </cell>
          <cell r="DN450">
            <v>168</v>
          </cell>
          <cell r="DO450">
            <v>215</v>
          </cell>
          <cell r="DP450">
            <v>142</v>
          </cell>
          <cell r="DQ450">
            <v>180</v>
          </cell>
          <cell r="DR450">
            <v>201</v>
          </cell>
          <cell r="DS450">
            <v>236</v>
          </cell>
          <cell r="DT450">
            <v>9</v>
          </cell>
          <cell r="DW450">
            <v>18</v>
          </cell>
          <cell r="DY450">
            <v>6</v>
          </cell>
          <cell r="DZ450">
            <v>221</v>
          </cell>
          <cell r="EA450">
            <v>286</v>
          </cell>
          <cell r="EB450">
            <v>211</v>
          </cell>
          <cell r="EC450">
            <v>286</v>
          </cell>
          <cell r="ED450">
            <v>223</v>
          </cell>
          <cell r="EE450" t="str">
            <v>ACTIVO</v>
          </cell>
          <cell r="EF450" t="str">
            <v>B</v>
          </cell>
          <cell r="EG450" t="str">
            <v/>
          </cell>
          <cell r="EH450">
            <v>119.58333333333333</v>
          </cell>
          <cell r="EI450">
            <v>19.930555555555554</v>
          </cell>
          <cell r="EJ450">
            <v>112.13098412124987</v>
          </cell>
          <cell r="EK450">
            <v>856</v>
          </cell>
          <cell r="EL450">
            <v>2412208</v>
          </cell>
          <cell r="EM450">
            <v>7.1581881533101051</v>
          </cell>
          <cell r="EN450">
            <v>59.791666666666657</v>
          </cell>
          <cell r="EO450">
            <v>39.861111111111107</v>
          </cell>
          <cell r="EP450">
            <v>99.652777777777771</v>
          </cell>
        </row>
        <row r="451">
          <cell r="F451">
            <v>405330</v>
          </cell>
          <cell r="G451" t="str">
            <v>JUGO EN POLVO FRUTILLA</v>
          </cell>
          <cell r="AJ451">
            <v>15</v>
          </cell>
          <cell r="EE451" t="str">
            <v>SIN USO</v>
          </cell>
          <cell r="EF451" t="str">
            <v/>
          </cell>
          <cell r="EG451" t="str">
            <v/>
          </cell>
          <cell r="EH451">
            <v>0</v>
          </cell>
          <cell r="EI451">
            <v>0</v>
          </cell>
          <cell r="EJ451">
            <v>0</v>
          </cell>
          <cell r="EK451">
            <v>0</v>
          </cell>
          <cell r="EL451">
            <v>0</v>
          </cell>
          <cell r="EM451">
            <v>0</v>
          </cell>
          <cell r="EN451">
            <v>0</v>
          </cell>
          <cell r="EO451">
            <v>0</v>
          </cell>
          <cell r="EP451">
            <v>0</v>
          </cell>
        </row>
        <row r="452">
          <cell r="F452">
            <v>405331</v>
          </cell>
          <cell r="G452" t="str">
            <v>JUGO EN POLVO DURAZNO</v>
          </cell>
          <cell r="AJ452">
            <v>20</v>
          </cell>
          <cell r="BK452">
            <v>7.2</v>
          </cell>
          <cell r="BU452">
            <v>9.6</v>
          </cell>
          <cell r="BZ452">
            <v>16.8</v>
          </cell>
          <cell r="CK452">
            <v>16.8</v>
          </cell>
          <cell r="EE452" t="str">
            <v>SIN USO</v>
          </cell>
          <cell r="EF452" t="str">
            <v>C</v>
          </cell>
          <cell r="EG452" t="str">
            <v/>
          </cell>
          <cell r="EH452">
            <v>0</v>
          </cell>
          <cell r="EI452">
            <v>0</v>
          </cell>
          <cell r="EJ452">
            <v>4.9477267507411868</v>
          </cell>
          <cell r="EK452">
            <v>0</v>
          </cell>
          <cell r="EL452">
            <v>0</v>
          </cell>
          <cell r="EM452">
            <v>0</v>
          </cell>
          <cell r="EN452">
            <v>0</v>
          </cell>
          <cell r="EO452">
            <v>0</v>
          </cell>
          <cell r="EP452">
            <v>0</v>
          </cell>
        </row>
        <row r="453">
          <cell r="F453">
            <v>405446</v>
          </cell>
          <cell r="G453" t="str">
            <v>JUGO POLVO DURAZNO</v>
          </cell>
          <cell r="BB453">
            <v>7.2</v>
          </cell>
          <cell r="BF453">
            <v>7.2</v>
          </cell>
          <cell r="EE453" t="str">
            <v>SIN USO</v>
          </cell>
          <cell r="EF453" t="str">
            <v/>
          </cell>
          <cell r="EG453" t="str">
            <v/>
          </cell>
          <cell r="EH453">
            <v>0</v>
          </cell>
          <cell r="EI453">
            <v>0</v>
          </cell>
          <cell r="EJ453">
            <v>0</v>
          </cell>
          <cell r="EK453">
            <v>0</v>
          </cell>
          <cell r="EL453">
            <v>0</v>
          </cell>
          <cell r="EM453">
            <v>0</v>
          </cell>
          <cell r="EN453">
            <v>0</v>
          </cell>
          <cell r="EO453">
            <v>0</v>
          </cell>
          <cell r="EP453">
            <v>0</v>
          </cell>
        </row>
        <row r="454">
          <cell r="F454">
            <v>405465</v>
          </cell>
          <cell r="G454" t="str">
            <v>JUGO POLVO FRUTILLA</v>
          </cell>
          <cell r="BB454">
            <v>7.2</v>
          </cell>
          <cell r="CT454">
            <v>2.1</v>
          </cell>
          <cell r="EE454" t="str">
            <v>SIN USO</v>
          </cell>
          <cell r="EF454" t="str">
            <v>C</v>
          </cell>
          <cell r="EG454" t="str">
            <v/>
          </cell>
          <cell r="EH454">
            <v>0</v>
          </cell>
          <cell r="EI454">
            <v>0</v>
          </cell>
          <cell r="EJ454">
            <v>0</v>
          </cell>
          <cell r="EK454">
            <v>0</v>
          </cell>
          <cell r="EL454">
            <v>0</v>
          </cell>
          <cell r="EM454">
            <v>0</v>
          </cell>
          <cell r="EN454">
            <v>0</v>
          </cell>
          <cell r="EO454">
            <v>0</v>
          </cell>
          <cell r="EP454">
            <v>0</v>
          </cell>
        </row>
        <row r="455">
          <cell r="F455">
            <v>405320</v>
          </cell>
          <cell r="G455" t="str">
            <v>JUGO DE LIMÓN CONGELADO WATT</v>
          </cell>
          <cell r="AE455">
            <v>37</v>
          </cell>
          <cell r="AF455">
            <v>81</v>
          </cell>
          <cell r="AG455">
            <v>139</v>
          </cell>
          <cell r="AH455">
            <v>195</v>
          </cell>
          <cell r="AI455">
            <v>227</v>
          </cell>
          <cell r="AJ455">
            <v>207</v>
          </cell>
          <cell r="AK455">
            <v>214</v>
          </cell>
          <cell r="AL455">
            <v>201</v>
          </cell>
          <cell r="AM455">
            <v>289</v>
          </cell>
          <cell r="AN455">
            <v>240</v>
          </cell>
          <cell r="AO455">
            <v>226</v>
          </cell>
          <cell r="AP455">
            <v>256</v>
          </cell>
          <cell r="AQ455">
            <v>261</v>
          </cell>
          <cell r="AR455">
            <v>263</v>
          </cell>
          <cell r="AS455">
            <v>166</v>
          </cell>
          <cell r="AT455">
            <v>312</v>
          </cell>
          <cell r="AU455">
            <v>266</v>
          </cell>
          <cell r="AV455">
            <v>261</v>
          </cell>
          <cell r="AW455">
            <v>214</v>
          </cell>
          <cell r="AX455">
            <v>285</v>
          </cell>
          <cell r="AY455">
            <v>267</v>
          </cell>
          <cell r="AZ455">
            <v>268</v>
          </cell>
          <cell r="BA455">
            <v>269</v>
          </cell>
          <cell r="BB455">
            <v>213</v>
          </cell>
          <cell r="BC455">
            <v>252</v>
          </cell>
          <cell r="BD455">
            <v>243</v>
          </cell>
          <cell r="BE455">
            <v>249</v>
          </cell>
          <cell r="BF455">
            <v>175</v>
          </cell>
          <cell r="BG455">
            <v>195</v>
          </cell>
          <cell r="BJ455">
            <v>3</v>
          </cell>
          <cell r="BK455">
            <v>73</v>
          </cell>
          <cell r="BL455">
            <v>7</v>
          </cell>
          <cell r="BM455">
            <v>209</v>
          </cell>
          <cell r="BN455">
            <v>222</v>
          </cell>
          <cell r="BO455">
            <v>230</v>
          </cell>
          <cell r="BP455">
            <v>229</v>
          </cell>
          <cell r="BQ455">
            <v>232</v>
          </cell>
          <cell r="BR455">
            <v>286</v>
          </cell>
          <cell r="BS455">
            <v>223</v>
          </cell>
          <cell r="BT455">
            <v>280</v>
          </cell>
          <cell r="BU455">
            <v>263</v>
          </cell>
          <cell r="BV455">
            <v>273</v>
          </cell>
          <cell r="BW455">
            <v>278</v>
          </cell>
          <cell r="BX455">
            <v>286</v>
          </cell>
          <cell r="BY455">
            <v>439</v>
          </cell>
          <cell r="BZ455">
            <v>445</v>
          </cell>
          <cell r="CA455">
            <v>251</v>
          </cell>
          <cell r="CB455">
            <v>283</v>
          </cell>
          <cell r="CC455">
            <v>340</v>
          </cell>
          <cell r="CD455">
            <v>360</v>
          </cell>
          <cell r="CE455">
            <v>425</v>
          </cell>
          <cell r="CJ455">
            <v>136.19999999999999</v>
          </cell>
          <cell r="CK455">
            <v>538</v>
          </cell>
          <cell r="CL455">
            <v>314</v>
          </cell>
          <cell r="CM455">
            <v>11.8</v>
          </cell>
          <cell r="CV455">
            <v>80</v>
          </cell>
          <cell r="CW455">
            <v>19</v>
          </cell>
          <cell r="CX455">
            <v>188</v>
          </cell>
          <cell r="CY455">
            <v>240</v>
          </cell>
          <cell r="CZ455">
            <v>228</v>
          </cell>
          <cell r="DA455">
            <v>215</v>
          </cell>
          <cell r="DB455">
            <v>202</v>
          </cell>
          <cell r="DC455">
            <v>260</v>
          </cell>
          <cell r="DD455">
            <v>211</v>
          </cell>
          <cell r="DE455">
            <v>256</v>
          </cell>
          <cell r="DF455">
            <v>292</v>
          </cell>
          <cell r="DG455">
            <v>213</v>
          </cell>
          <cell r="DH455">
            <v>142</v>
          </cell>
          <cell r="DI455">
            <v>71</v>
          </cell>
          <cell r="DJ455">
            <v>286</v>
          </cell>
          <cell r="DK455">
            <v>224</v>
          </cell>
          <cell r="DL455">
            <v>211</v>
          </cell>
          <cell r="DM455">
            <v>226</v>
          </cell>
          <cell r="DN455">
            <v>4</v>
          </cell>
          <cell r="DS455">
            <v>13</v>
          </cell>
          <cell r="DT455">
            <v>177</v>
          </cell>
          <cell r="DU455">
            <v>231</v>
          </cell>
          <cell r="DV455">
            <v>319</v>
          </cell>
          <cell r="DW455">
            <v>247</v>
          </cell>
          <cell r="DX455">
            <v>238</v>
          </cell>
          <cell r="DY455">
            <v>232</v>
          </cell>
          <cell r="DZ455">
            <v>102</v>
          </cell>
          <cell r="EE455" t="str">
            <v>ACTIVO</v>
          </cell>
          <cell r="EF455" t="str">
            <v>B</v>
          </cell>
          <cell r="EG455">
            <v>400</v>
          </cell>
          <cell r="EH455">
            <v>184.35714285714286</v>
          </cell>
          <cell r="EI455">
            <v>30.726190476190478</v>
          </cell>
          <cell r="EJ455">
            <v>119.37770358555375</v>
          </cell>
          <cell r="EK455">
            <v>0</v>
          </cell>
          <cell r="EL455">
            <v>0</v>
          </cell>
          <cell r="EM455">
            <v>0</v>
          </cell>
          <cell r="EN455">
            <v>92.178571428571431</v>
          </cell>
          <cell r="EO455">
            <v>61.452380952380956</v>
          </cell>
          <cell r="EP455">
            <v>153.63095238095238</v>
          </cell>
        </row>
        <row r="456">
          <cell r="F456">
            <v>405723</v>
          </cell>
          <cell r="G456" t="str">
            <v>NECTAR SABOR NARANJA WATTS</v>
          </cell>
          <cell r="DS456">
            <v>7.5</v>
          </cell>
          <cell r="DZ456">
            <v>7.5</v>
          </cell>
          <cell r="EA456">
            <v>4.5</v>
          </cell>
          <cell r="EB456">
            <v>25.5</v>
          </cell>
          <cell r="ED456">
            <v>16.5</v>
          </cell>
          <cell r="EE456" t="str">
            <v>ACTIVO</v>
          </cell>
          <cell r="EF456" t="str">
            <v/>
          </cell>
          <cell r="EG456" t="str">
            <v/>
          </cell>
          <cell r="EH456">
            <v>7.5</v>
          </cell>
          <cell r="EI456">
            <v>1.25</v>
          </cell>
          <cell r="EJ456">
            <v>0</v>
          </cell>
          <cell r="EK456">
            <v>54</v>
          </cell>
          <cell r="EL456">
            <v>44695.8</v>
          </cell>
          <cell r="EM456">
            <v>7.2</v>
          </cell>
          <cell r="EN456">
            <v>3.75</v>
          </cell>
          <cell r="EO456">
            <v>2.5</v>
          </cell>
          <cell r="EP456">
            <v>6.25</v>
          </cell>
        </row>
        <row r="457">
          <cell r="H457">
            <v>56</v>
          </cell>
          <cell r="AB457">
            <v>8</v>
          </cell>
          <cell r="AC457">
            <v>28</v>
          </cell>
          <cell r="AD457">
            <v>87</v>
          </cell>
          <cell r="AE457">
            <v>254</v>
          </cell>
          <cell r="AF457">
            <v>81</v>
          </cell>
          <cell r="AG457">
            <v>139</v>
          </cell>
          <cell r="AH457">
            <v>195</v>
          </cell>
          <cell r="AI457">
            <v>227</v>
          </cell>
          <cell r="AJ457">
            <v>242</v>
          </cell>
          <cell r="AK457">
            <v>214</v>
          </cell>
          <cell r="AL457">
            <v>201</v>
          </cell>
          <cell r="AM457">
            <v>289</v>
          </cell>
          <cell r="AN457">
            <v>240</v>
          </cell>
          <cell r="AO457">
            <v>226</v>
          </cell>
          <cell r="AP457">
            <v>256</v>
          </cell>
          <cell r="AQ457">
            <v>261</v>
          </cell>
          <cell r="AR457">
            <v>263</v>
          </cell>
          <cell r="AS457">
            <v>166</v>
          </cell>
          <cell r="AT457">
            <v>312</v>
          </cell>
          <cell r="AU457">
            <v>266</v>
          </cell>
          <cell r="AV457">
            <v>261</v>
          </cell>
          <cell r="AW457">
            <v>214</v>
          </cell>
          <cell r="AX457">
            <v>285</v>
          </cell>
          <cell r="AY457">
            <v>267</v>
          </cell>
          <cell r="AZ457">
            <v>268</v>
          </cell>
          <cell r="BA457">
            <v>269</v>
          </cell>
          <cell r="BB457">
            <v>227.4</v>
          </cell>
          <cell r="BC457">
            <v>252</v>
          </cell>
          <cell r="BD457">
            <v>243</v>
          </cell>
          <cell r="BE457">
            <v>249</v>
          </cell>
          <cell r="BF457">
            <v>230.2</v>
          </cell>
          <cell r="BG457">
            <v>226</v>
          </cell>
          <cell r="BH457">
            <v>177</v>
          </cell>
          <cell r="BI457">
            <v>238</v>
          </cell>
          <cell r="BJ457">
            <v>145</v>
          </cell>
          <cell r="BK457">
            <v>189.2</v>
          </cell>
          <cell r="BL457">
            <v>204</v>
          </cell>
          <cell r="BM457">
            <v>209</v>
          </cell>
          <cell r="BN457">
            <v>222</v>
          </cell>
          <cell r="BO457">
            <v>230</v>
          </cell>
          <cell r="BP457">
            <v>229</v>
          </cell>
          <cell r="BQ457">
            <v>232</v>
          </cell>
          <cell r="BR457">
            <v>286</v>
          </cell>
          <cell r="BS457">
            <v>223</v>
          </cell>
          <cell r="BT457">
            <v>280</v>
          </cell>
          <cell r="BU457">
            <v>272.60000000000002</v>
          </cell>
          <cell r="BV457">
            <v>273</v>
          </cell>
          <cell r="BW457">
            <v>278</v>
          </cell>
          <cell r="BX457">
            <v>286</v>
          </cell>
          <cell r="BY457">
            <v>439</v>
          </cell>
          <cell r="BZ457">
            <v>461.8</v>
          </cell>
          <cell r="CA457">
            <v>251</v>
          </cell>
          <cell r="CB457">
            <v>283</v>
          </cell>
          <cell r="CC457">
            <v>340</v>
          </cell>
          <cell r="CD457">
            <v>365</v>
          </cell>
          <cell r="CE457">
            <v>535</v>
          </cell>
          <cell r="CF457">
            <v>319</v>
          </cell>
          <cell r="CG457">
            <v>459</v>
          </cell>
          <cell r="CH457">
            <v>279</v>
          </cell>
          <cell r="CI457">
            <v>329</v>
          </cell>
          <cell r="CJ457">
            <v>349</v>
          </cell>
          <cell r="CK457">
            <v>554.79999999999995</v>
          </cell>
          <cell r="CL457">
            <v>328</v>
          </cell>
          <cell r="CM457">
            <v>365.8</v>
          </cell>
          <cell r="CN457">
            <v>200</v>
          </cell>
          <cell r="CO457">
            <v>280</v>
          </cell>
          <cell r="CP457">
            <v>289</v>
          </cell>
          <cell r="CQ457">
            <v>306</v>
          </cell>
          <cell r="CR457">
            <v>320</v>
          </cell>
          <cell r="CS457">
            <v>140</v>
          </cell>
          <cell r="CT457">
            <v>325.10000000000002</v>
          </cell>
          <cell r="CU457">
            <v>277</v>
          </cell>
          <cell r="CV457">
            <v>392</v>
          </cell>
          <cell r="CW457">
            <v>242</v>
          </cell>
          <cell r="CX457">
            <v>247</v>
          </cell>
          <cell r="CY457">
            <v>240</v>
          </cell>
          <cell r="CZ457">
            <v>228</v>
          </cell>
          <cell r="DA457">
            <v>215</v>
          </cell>
          <cell r="DB457">
            <v>202</v>
          </cell>
          <cell r="DC457">
            <v>260</v>
          </cell>
          <cell r="DD457">
            <v>211</v>
          </cell>
          <cell r="DE457">
            <v>256</v>
          </cell>
          <cell r="DF457">
            <v>292</v>
          </cell>
          <cell r="DG457">
            <v>213</v>
          </cell>
          <cell r="DH457">
            <v>142</v>
          </cell>
          <cell r="DI457">
            <v>71</v>
          </cell>
          <cell r="DJ457">
            <v>286</v>
          </cell>
          <cell r="DK457">
            <v>224</v>
          </cell>
          <cell r="DL457">
            <v>221</v>
          </cell>
          <cell r="DM457">
            <v>255</v>
          </cell>
          <cell r="DN457">
            <v>172</v>
          </cell>
          <cell r="DO457">
            <v>215</v>
          </cell>
          <cell r="DP457">
            <v>142</v>
          </cell>
          <cell r="DQ457">
            <v>180</v>
          </cell>
          <cell r="DR457">
            <v>201</v>
          </cell>
          <cell r="DS457">
            <v>256.5</v>
          </cell>
          <cell r="DT457">
            <v>186</v>
          </cell>
          <cell r="DU457">
            <v>231</v>
          </cell>
          <cell r="DV457">
            <v>319</v>
          </cell>
          <cell r="DW457">
            <v>265</v>
          </cell>
          <cell r="DX457">
            <v>238</v>
          </cell>
          <cell r="DY457">
            <v>238</v>
          </cell>
          <cell r="DZ457">
            <v>330.5</v>
          </cell>
          <cell r="EA457">
            <v>290.5</v>
          </cell>
          <cell r="EB457">
            <v>236.5</v>
          </cell>
          <cell r="EC457">
            <v>286</v>
          </cell>
          <cell r="ED457">
            <v>239.5</v>
          </cell>
          <cell r="EE457" t="str">
            <v>ACTIVO</v>
          </cell>
          <cell r="EF457" t="str">
            <v/>
          </cell>
          <cell r="EG457" t="str">
            <v/>
          </cell>
          <cell r="EH457">
            <v>223.94444444444446</v>
          </cell>
          <cell r="EI457">
            <v>37.324074074074076</v>
          </cell>
          <cell r="EJ457">
            <v>89.249942574979741</v>
          </cell>
          <cell r="EK457">
            <v>0</v>
          </cell>
          <cell r="EL457">
            <v>0</v>
          </cell>
          <cell r="EM457">
            <v>0</v>
          </cell>
          <cell r="EN457">
            <v>0</v>
          </cell>
          <cell r="EO457">
            <v>74.648148148148152</v>
          </cell>
          <cell r="EP457">
            <v>74.648148148148152</v>
          </cell>
        </row>
        <row r="458">
          <cell r="F458">
            <v>402255</v>
          </cell>
          <cell r="G458" t="str">
            <v>CINTA DE EMBALAJE 72x100 SOLUTION</v>
          </cell>
          <cell r="H458">
            <v>64</v>
          </cell>
          <cell r="I458">
            <v>48</v>
          </cell>
          <cell r="K458">
            <v>96</v>
          </cell>
          <cell r="N458">
            <v>96</v>
          </cell>
          <cell r="O458">
            <v>96</v>
          </cell>
          <cell r="P458">
            <v>64</v>
          </cell>
          <cell r="S458">
            <v>64</v>
          </cell>
          <cell r="U458">
            <v>64</v>
          </cell>
          <cell r="V458">
            <v>64</v>
          </cell>
          <cell r="W458">
            <v>64</v>
          </cell>
          <cell r="Z458">
            <v>96</v>
          </cell>
          <cell r="AB458">
            <v>320</v>
          </cell>
          <cell r="AD458">
            <v>256</v>
          </cell>
          <cell r="AE458">
            <v>136</v>
          </cell>
          <cell r="AF458">
            <v>24</v>
          </cell>
          <cell r="AG458">
            <v>160</v>
          </cell>
          <cell r="AJ458">
            <v>64</v>
          </cell>
          <cell r="AK458">
            <v>160</v>
          </cell>
          <cell r="AL458">
            <v>155</v>
          </cell>
          <cell r="AO458">
            <v>32</v>
          </cell>
          <cell r="AP458">
            <v>160</v>
          </cell>
          <cell r="AQ458">
            <v>64</v>
          </cell>
          <cell r="AR458">
            <v>384</v>
          </cell>
          <cell r="AS458">
            <v>256</v>
          </cell>
          <cell r="AT458">
            <v>448</v>
          </cell>
          <cell r="AU458">
            <v>352</v>
          </cell>
          <cell r="AV458">
            <v>512</v>
          </cell>
          <cell r="AW458">
            <v>384</v>
          </cell>
          <cell r="AX458">
            <v>544</v>
          </cell>
          <cell r="AY458">
            <v>448</v>
          </cell>
          <cell r="AZ458">
            <v>480</v>
          </cell>
          <cell r="BA458">
            <v>448</v>
          </cell>
          <cell r="BB458">
            <v>384</v>
          </cell>
          <cell r="BC458">
            <v>288</v>
          </cell>
          <cell r="BD458">
            <v>320</v>
          </cell>
          <cell r="BE458">
            <v>480</v>
          </cell>
          <cell r="BF458">
            <v>384</v>
          </cell>
          <cell r="BG458">
            <v>416</v>
          </cell>
          <cell r="BH458">
            <v>160</v>
          </cell>
          <cell r="BI458">
            <v>384</v>
          </cell>
          <cell r="BJ458">
            <v>448</v>
          </cell>
          <cell r="BK458">
            <v>448</v>
          </cell>
          <cell r="BL458">
            <v>384</v>
          </cell>
          <cell r="BM458">
            <v>352</v>
          </cell>
          <cell r="BN458">
            <v>481</v>
          </cell>
          <cell r="BO458">
            <v>290</v>
          </cell>
          <cell r="BP458">
            <v>224</v>
          </cell>
          <cell r="BQ458">
            <v>352</v>
          </cell>
          <cell r="BR458">
            <v>256</v>
          </cell>
          <cell r="BS458">
            <v>288</v>
          </cell>
          <cell r="BT458">
            <v>784</v>
          </cell>
          <cell r="BU458">
            <v>448</v>
          </cell>
          <cell r="BV458">
            <v>256</v>
          </cell>
          <cell r="BW458">
            <v>512</v>
          </cell>
          <cell r="BX458">
            <v>480</v>
          </cell>
          <cell r="BY458">
            <v>192</v>
          </cell>
          <cell r="BZ458">
            <v>544</v>
          </cell>
          <cell r="CA458">
            <v>352</v>
          </cell>
          <cell r="CB458">
            <v>320</v>
          </cell>
          <cell r="CC458">
            <v>288</v>
          </cell>
          <cell r="CD458">
            <v>251.8</v>
          </cell>
          <cell r="CE458">
            <v>352</v>
          </cell>
          <cell r="CF458">
            <v>320</v>
          </cell>
          <cell r="CG458">
            <v>416</v>
          </cell>
          <cell r="CH458">
            <v>332</v>
          </cell>
          <cell r="CI458">
            <v>192</v>
          </cell>
          <cell r="CJ458">
            <v>384</v>
          </cell>
          <cell r="CK458">
            <v>320</v>
          </cell>
          <cell r="CL458">
            <v>224</v>
          </cell>
          <cell r="CM458">
            <v>288</v>
          </cell>
          <cell r="CN458">
            <v>192</v>
          </cell>
          <cell r="CO458">
            <v>384</v>
          </cell>
          <cell r="CP458">
            <v>384</v>
          </cell>
          <cell r="CQ458">
            <v>288</v>
          </cell>
          <cell r="CR458">
            <v>320</v>
          </cell>
          <cell r="CS458">
            <v>96</v>
          </cell>
          <cell r="CT458">
            <v>352</v>
          </cell>
          <cell r="CU458">
            <v>256</v>
          </cell>
          <cell r="CV458">
            <v>256</v>
          </cell>
          <cell r="CW458">
            <v>224</v>
          </cell>
          <cell r="CX458">
            <v>251.8</v>
          </cell>
          <cell r="CY458">
            <v>224</v>
          </cell>
          <cell r="CZ458">
            <v>237.9</v>
          </cell>
          <cell r="DA458">
            <v>256</v>
          </cell>
          <cell r="DB458">
            <v>160</v>
          </cell>
          <cell r="DC458">
            <v>288</v>
          </cell>
          <cell r="DD458">
            <v>256</v>
          </cell>
          <cell r="DE458">
            <v>288</v>
          </cell>
          <cell r="DF458">
            <v>288</v>
          </cell>
          <cell r="DG458">
            <v>256</v>
          </cell>
          <cell r="DH458">
            <v>96</v>
          </cell>
          <cell r="DI458">
            <v>71</v>
          </cell>
          <cell r="DJ458">
            <v>168</v>
          </cell>
          <cell r="DK458">
            <v>180</v>
          </cell>
          <cell r="DL458">
            <v>248</v>
          </cell>
          <cell r="DM458">
            <v>268</v>
          </cell>
          <cell r="DN458">
            <v>344</v>
          </cell>
          <cell r="DO458">
            <v>288</v>
          </cell>
          <cell r="DP458">
            <v>192</v>
          </cell>
          <cell r="DQ458">
            <v>256</v>
          </cell>
          <cell r="DR458">
            <v>224</v>
          </cell>
          <cell r="DS458">
            <v>288</v>
          </cell>
          <cell r="DT458">
            <v>248</v>
          </cell>
          <cell r="DU458">
            <v>352</v>
          </cell>
          <cell r="DV458">
            <v>256</v>
          </cell>
          <cell r="DW458">
            <v>224</v>
          </cell>
          <cell r="DX458">
            <v>224</v>
          </cell>
          <cell r="DY458">
            <v>320</v>
          </cell>
          <cell r="DZ458">
            <v>320</v>
          </cell>
          <cell r="EA458">
            <v>480</v>
          </cell>
          <cell r="EB458">
            <v>256</v>
          </cell>
          <cell r="EC458">
            <v>256</v>
          </cell>
          <cell r="ED458">
            <v>352</v>
          </cell>
          <cell r="EE458" t="str">
            <v>ACTIVO</v>
          </cell>
          <cell r="EF458" t="str">
            <v>B</v>
          </cell>
          <cell r="EG458">
            <v>600</v>
          </cell>
          <cell r="EH458">
            <v>248.38888888888889</v>
          </cell>
          <cell r="EI458">
            <v>41.398148148148145</v>
          </cell>
          <cell r="EJ458">
            <v>118.22431681186133</v>
          </cell>
          <cell r="EK458">
            <v>576</v>
          </cell>
          <cell r="EL458">
            <v>743040</v>
          </cell>
          <cell r="EM458">
            <v>2.3189443077611274</v>
          </cell>
          <cell r="EN458">
            <v>124.19444444444443</v>
          </cell>
          <cell r="EO458">
            <v>82.796296296296291</v>
          </cell>
          <cell r="EP458">
            <v>206.9907407407407</v>
          </cell>
        </row>
        <row r="459">
          <cell r="F459">
            <v>405336</v>
          </cell>
          <cell r="G459" t="str">
            <v>CINTA DE EMBALAJE 72x100 REMINISEN</v>
          </cell>
          <cell r="DJ459">
            <v>36</v>
          </cell>
          <cell r="DK459">
            <v>208</v>
          </cell>
          <cell r="DL459">
            <v>108</v>
          </cell>
          <cell r="EE459" t="str">
            <v>ACTIVO</v>
          </cell>
          <cell r="EF459" t="str">
            <v/>
          </cell>
          <cell r="EG459" t="str">
            <v/>
          </cell>
          <cell r="EH459">
            <v>117.33333333333333</v>
          </cell>
          <cell r="EI459">
            <v>19.555555555555554</v>
          </cell>
          <cell r="EJ459">
            <v>0</v>
          </cell>
          <cell r="EK459">
            <v>0</v>
          </cell>
          <cell r="EL459">
            <v>0</v>
          </cell>
          <cell r="EM459">
            <v>0</v>
          </cell>
          <cell r="EN459">
            <v>58.666666666666657</v>
          </cell>
          <cell r="EO459">
            <v>39.111111111111107</v>
          </cell>
          <cell r="EP459">
            <v>97.777777777777771</v>
          </cell>
        </row>
        <row r="460">
          <cell r="H460">
            <v>64</v>
          </cell>
          <cell r="I460">
            <v>48</v>
          </cell>
          <cell r="K460">
            <v>96</v>
          </cell>
          <cell r="N460">
            <v>96</v>
          </cell>
          <cell r="O460">
            <v>96</v>
          </cell>
          <cell r="P460">
            <v>64</v>
          </cell>
          <cell r="S460">
            <v>64</v>
          </cell>
          <cell r="U460">
            <v>64</v>
          </cell>
          <cell r="V460">
            <v>64</v>
          </cell>
          <cell r="W460">
            <v>64</v>
          </cell>
          <cell r="Z460">
            <v>96</v>
          </cell>
          <cell r="AB460">
            <v>320</v>
          </cell>
          <cell r="AD460">
            <v>256</v>
          </cell>
          <cell r="AE460">
            <v>136</v>
          </cell>
          <cell r="AF460">
            <v>24</v>
          </cell>
          <cell r="AG460">
            <v>160</v>
          </cell>
          <cell r="AJ460">
            <v>64</v>
          </cell>
          <cell r="AK460">
            <v>160</v>
          </cell>
          <cell r="AL460">
            <v>155</v>
          </cell>
          <cell r="AO460">
            <v>32</v>
          </cell>
          <cell r="AP460">
            <v>160</v>
          </cell>
          <cell r="AQ460">
            <v>64</v>
          </cell>
          <cell r="AR460">
            <v>384</v>
          </cell>
          <cell r="AS460">
            <v>256</v>
          </cell>
          <cell r="AT460">
            <v>448</v>
          </cell>
          <cell r="AU460">
            <v>352</v>
          </cell>
          <cell r="AV460">
            <v>512</v>
          </cell>
          <cell r="AW460">
            <v>384</v>
          </cell>
          <cell r="AX460">
            <v>544</v>
          </cell>
          <cell r="AY460">
            <v>448</v>
          </cell>
          <cell r="AZ460">
            <v>480</v>
          </cell>
          <cell r="BA460">
            <v>448</v>
          </cell>
          <cell r="BB460">
            <v>384</v>
          </cell>
          <cell r="BC460">
            <v>288</v>
          </cell>
          <cell r="BD460">
            <v>320</v>
          </cell>
          <cell r="BE460">
            <v>480</v>
          </cell>
          <cell r="BF460">
            <v>384</v>
          </cell>
          <cell r="BG460">
            <v>416</v>
          </cell>
          <cell r="BH460">
            <v>160</v>
          </cell>
          <cell r="BI460">
            <v>384</v>
          </cell>
          <cell r="BJ460">
            <v>448</v>
          </cell>
          <cell r="BK460">
            <v>448</v>
          </cell>
          <cell r="BL460">
            <v>384</v>
          </cell>
          <cell r="BM460">
            <v>352</v>
          </cell>
          <cell r="BN460">
            <v>481</v>
          </cell>
          <cell r="BO460">
            <v>290</v>
          </cell>
          <cell r="BP460">
            <v>224</v>
          </cell>
          <cell r="BQ460">
            <v>352</v>
          </cell>
          <cell r="BR460">
            <v>256</v>
          </cell>
          <cell r="BS460">
            <v>288</v>
          </cell>
          <cell r="BT460">
            <v>784</v>
          </cell>
          <cell r="BU460">
            <v>448</v>
          </cell>
          <cell r="BV460">
            <v>256</v>
          </cell>
          <cell r="BW460">
            <v>512</v>
          </cell>
          <cell r="BX460">
            <v>480</v>
          </cell>
          <cell r="BY460">
            <v>192</v>
          </cell>
          <cell r="BZ460">
            <v>544</v>
          </cell>
          <cell r="CA460">
            <v>352</v>
          </cell>
          <cell r="CB460">
            <v>320</v>
          </cell>
          <cell r="CC460">
            <v>288</v>
          </cell>
          <cell r="CD460">
            <v>251.8</v>
          </cell>
          <cell r="CE460">
            <v>352</v>
          </cell>
          <cell r="CF460">
            <v>320</v>
          </cell>
          <cell r="CG460">
            <v>416</v>
          </cell>
          <cell r="CH460">
            <v>332</v>
          </cell>
          <cell r="CI460">
            <v>192</v>
          </cell>
          <cell r="CJ460">
            <v>384</v>
          </cell>
          <cell r="CK460">
            <v>320</v>
          </cell>
          <cell r="CL460">
            <v>224</v>
          </cell>
          <cell r="CM460">
            <v>288</v>
          </cell>
          <cell r="CN460">
            <v>192</v>
          </cell>
          <cell r="CO460">
            <v>384</v>
          </cell>
          <cell r="CP460">
            <v>384</v>
          </cell>
          <cell r="CQ460">
            <v>288</v>
          </cell>
          <cell r="CR460">
            <v>320</v>
          </cell>
          <cell r="CS460">
            <v>96</v>
          </cell>
          <cell r="CT460">
            <v>352</v>
          </cell>
          <cell r="CU460">
            <v>256</v>
          </cell>
          <cell r="CV460">
            <v>256</v>
          </cell>
          <cell r="CW460">
            <v>224</v>
          </cell>
          <cell r="CX460">
            <v>251.8</v>
          </cell>
          <cell r="CY460">
            <v>224</v>
          </cell>
          <cell r="CZ460">
            <v>237.9</v>
          </cell>
          <cell r="DA460">
            <v>256</v>
          </cell>
          <cell r="DB460">
            <v>160</v>
          </cell>
          <cell r="DC460">
            <v>288</v>
          </cell>
          <cell r="DD460">
            <v>256</v>
          </cell>
          <cell r="DE460">
            <v>288</v>
          </cell>
          <cell r="DF460">
            <v>288</v>
          </cell>
          <cell r="DG460">
            <v>256</v>
          </cell>
          <cell r="DH460">
            <v>96</v>
          </cell>
          <cell r="DI460">
            <v>71</v>
          </cell>
          <cell r="DJ460">
            <v>204</v>
          </cell>
          <cell r="DK460">
            <v>388</v>
          </cell>
          <cell r="DL460">
            <v>356</v>
          </cell>
          <cell r="DM460">
            <v>268</v>
          </cell>
          <cell r="DN460">
            <v>344</v>
          </cell>
          <cell r="DO460">
            <v>288</v>
          </cell>
          <cell r="DP460">
            <v>192</v>
          </cell>
          <cell r="DQ460">
            <v>256</v>
          </cell>
          <cell r="DR460">
            <v>224</v>
          </cell>
          <cell r="DS460">
            <v>288</v>
          </cell>
          <cell r="DT460">
            <v>248</v>
          </cell>
          <cell r="DU460">
            <v>352</v>
          </cell>
          <cell r="DV460">
            <v>256</v>
          </cell>
          <cell r="DW460">
            <v>224</v>
          </cell>
          <cell r="DX460">
            <v>224</v>
          </cell>
          <cell r="DY460">
            <v>320</v>
          </cell>
          <cell r="DZ460">
            <v>320</v>
          </cell>
          <cell r="EA460">
            <v>480</v>
          </cell>
          <cell r="EB460">
            <v>256</v>
          </cell>
          <cell r="EC460">
            <v>256</v>
          </cell>
          <cell r="ED460">
            <v>352</v>
          </cell>
          <cell r="EE460" t="str">
            <v>ACTIVO</v>
          </cell>
          <cell r="EF460" t="str">
            <v/>
          </cell>
          <cell r="EG460" t="str">
            <v/>
          </cell>
          <cell r="EH460">
            <v>267.94444444444446</v>
          </cell>
          <cell r="EI460">
            <v>44.657407407407412</v>
          </cell>
          <cell r="EJ460">
            <v>118.22431681186133</v>
          </cell>
          <cell r="EK460">
            <v>0</v>
          </cell>
          <cell r="EL460">
            <v>0</v>
          </cell>
          <cell r="EM460">
            <v>0</v>
          </cell>
          <cell r="EN460">
            <v>0</v>
          </cell>
          <cell r="EO460">
            <v>89.314814814814824</v>
          </cell>
          <cell r="EP460">
            <v>89.314814814814824</v>
          </cell>
        </row>
        <row r="461">
          <cell r="F461">
            <v>402130</v>
          </cell>
          <cell r="G461" t="str">
            <v>NUEZ PICADILLO LAS TRES ERRES</v>
          </cell>
          <cell r="H461">
            <v>5</v>
          </cell>
          <cell r="O461">
            <v>60</v>
          </cell>
          <cell r="AU461">
            <v>10</v>
          </cell>
          <cell r="AV461">
            <v>20</v>
          </cell>
          <cell r="AW461">
            <v>45</v>
          </cell>
          <cell r="AX461">
            <v>40</v>
          </cell>
          <cell r="AY461">
            <v>45</v>
          </cell>
          <cell r="AZ461">
            <v>90</v>
          </cell>
          <cell r="BA461">
            <v>30</v>
          </cell>
          <cell r="BB461">
            <v>145</v>
          </cell>
          <cell r="BC461">
            <v>45</v>
          </cell>
          <cell r="BD461">
            <v>35</v>
          </cell>
          <cell r="BE461">
            <v>60</v>
          </cell>
          <cell r="BF461">
            <v>30</v>
          </cell>
          <cell r="BG461">
            <v>20</v>
          </cell>
          <cell r="BH461">
            <v>15</v>
          </cell>
          <cell r="BI461">
            <v>110</v>
          </cell>
          <cell r="BJ461">
            <v>10</v>
          </cell>
          <cell r="BK461">
            <v>130</v>
          </cell>
          <cell r="BL461">
            <v>40</v>
          </cell>
          <cell r="BM461">
            <v>65</v>
          </cell>
          <cell r="BN461">
            <v>30</v>
          </cell>
          <cell r="BO461">
            <v>35</v>
          </cell>
          <cell r="BP461">
            <v>140</v>
          </cell>
          <cell r="BQ461">
            <v>40</v>
          </cell>
          <cell r="BR461">
            <v>35</v>
          </cell>
          <cell r="BS461">
            <v>65</v>
          </cell>
          <cell r="BT461">
            <v>45</v>
          </cell>
          <cell r="BU461">
            <v>49</v>
          </cell>
          <cell r="BV461">
            <v>60</v>
          </cell>
          <cell r="BW461">
            <v>30</v>
          </cell>
          <cell r="BX461">
            <v>30</v>
          </cell>
          <cell r="BY461">
            <v>20</v>
          </cell>
          <cell r="BZ461">
            <v>5</v>
          </cell>
          <cell r="CA461">
            <v>85</v>
          </cell>
          <cell r="CB461">
            <v>30</v>
          </cell>
          <cell r="CC461">
            <v>50</v>
          </cell>
          <cell r="CD461">
            <v>65</v>
          </cell>
          <cell r="CE461">
            <v>35</v>
          </cell>
          <cell r="CF461">
            <v>45</v>
          </cell>
          <cell r="CG461">
            <v>45</v>
          </cell>
          <cell r="CH461">
            <v>30</v>
          </cell>
          <cell r="CI461">
            <v>45</v>
          </cell>
          <cell r="CJ461">
            <v>30</v>
          </cell>
          <cell r="CK461">
            <v>45</v>
          </cell>
          <cell r="CL461">
            <v>15</v>
          </cell>
          <cell r="CM461">
            <v>10</v>
          </cell>
          <cell r="CN461">
            <v>25</v>
          </cell>
          <cell r="CO461">
            <v>40</v>
          </cell>
          <cell r="CP461">
            <v>45</v>
          </cell>
          <cell r="CQ461">
            <v>5</v>
          </cell>
          <cell r="DX461">
            <v>25</v>
          </cell>
          <cell r="DY461">
            <v>5</v>
          </cell>
          <cell r="DZ461">
            <v>10</v>
          </cell>
          <cell r="EA461">
            <v>5</v>
          </cell>
          <cell r="EB461">
            <v>10</v>
          </cell>
          <cell r="EE461" t="str">
            <v>ACTIVO</v>
          </cell>
          <cell r="EF461" t="str">
            <v>C</v>
          </cell>
          <cell r="EG461">
            <v>0</v>
          </cell>
          <cell r="EH461">
            <v>13.333333333333334</v>
          </cell>
          <cell r="EI461">
            <v>2.2222222222222223</v>
          </cell>
          <cell r="EJ461">
            <v>31.043172702360362</v>
          </cell>
          <cell r="EK461">
            <v>145</v>
          </cell>
          <cell r="EL461">
            <v>725000</v>
          </cell>
          <cell r="EM461">
            <v>10.875</v>
          </cell>
          <cell r="EN461">
            <v>4.4444444444444446</v>
          </cell>
          <cell r="EO461">
            <v>4.4444444444444446</v>
          </cell>
          <cell r="EP461">
            <v>8.8888888888888893</v>
          </cell>
        </row>
        <row r="462">
          <cell r="F462">
            <v>405543</v>
          </cell>
          <cell r="G462" t="str">
            <v>NUEZ PICADILLO CAMPOS</v>
          </cell>
          <cell r="CL462">
            <v>30</v>
          </cell>
          <cell r="CM462">
            <v>50</v>
          </cell>
          <cell r="CN462">
            <v>15</v>
          </cell>
          <cell r="CQ462">
            <v>80</v>
          </cell>
          <cell r="CR462">
            <v>80</v>
          </cell>
          <cell r="CS462">
            <v>10</v>
          </cell>
          <cell r="CT462">
            <v>40</v>
          </cell>
          <cell r="CU462">
            <v>45</v>
          </cell>
          <cell r="CV462">
            <v>60</v>
          </cell>
          <cell r="CW462">
            <v>70</v>
          </cell>
          <cell r="CX462">
            <v>35</v>
          </cell>
          <cell r="CY462">
            <v>55</v>
          </cell>
          <cell r="CZ462">
            <v>90</v>
          </cell>
          <cell r="DA462">
            <v>70</v>
          </cell>
          <cell r="DB462">
            <v>35</v>
          </cell>
          <cell r="DC462">
            <v>40</v>
          </cell>
          <cell r="DD462">
            <v>40</v>
          </cell>
          <cell r="DE462">
            <v>50</v>
          </cell>
          <cell r="DF462">
            <v>55</v>
          </cell>
          <cell r="DG462">
            <v>50</v>
          </cell>
          <cell r="DH462">
            <v>35</v>
          </cell>
          <cell r="DI462">
            <v>10</v>
          </cell>
          <cell r="DJ462">
            <v>45</v>
          </cell>
          <cell r="DK462">
            <v>50</v>
          </cell>
          <cell r="DL462">
            <v>45</v>
          </cell>
          <cell r="DM462">
            <v>50</v>
          </cell>
          <cell r="DN462">
            <v>30</v>
          </cell>
          <cell r="DO462">
            <v>30</v>
          </cell>
          <cell r="DP462">
            <v>30</v>
          </cell>
          <cell r="DQ462">
            <v>30</v>
          </cell>
          <cell r="DR462">
            <v>50</v>
          </cell>
          <cell r="DS462">
            <v>30</v>
          </cell>
          <cell r="DT462">
            <v>50</v>
          </cell>
          <cell r="DU462">
            <v>40</v>
          </cell>
          <cell r="DV462">
            <v>40</v>
          </cell>
          <cell r="DW462">
            <v>45</v>
          </cell>
          <cell r="DX462">
            <v>40</v>
          </cell>
          <cell r="DY462">
            <v>60</v>
          </cell>
          <cell r="DZ462">
            <v>40</v>
          </cell>
          <cell r="EA462">
            <v>25</v>
          </cell>
          <cell r="EB462">
            <v>40</v>
          </cell>
          <cell r="EC462">
            <v>30</v>
          </cell>
          <cell r="ED462">
            <v>40</v>
          </cell>
          <cell r="EE462" t="str">
            <v>ACTIVO</v>
          </cell>
          <cell r="EF462" t="str">
            <v>C</v>
          </cell>
          <cell r="EG462" t="str">
            <v/>
          </cell>
          <cell r="EH462">
            <v>39.722222222222221</v>
          </cell>
          <cell r="EI462">
            <v>6.6203703703703702</v>
          </cell>
          <cell r="EJ462">
            <v>20.693339162983964</v>
          </cell>
          <cell r="EK462">
            <v>60</v>
          </cell>
          <cell r="EL462">
            <v>413401.2</v>
          </cell>
          <cell r="EM462">
            <v>1.5104895104895104</v>
          </cell>
          <cell r="EN462">
            <v>13.24074074074074</v>
          </cell>
          <cell r="EO462">
            <v>13.24074074074074</v>
          </cell>
          <cell r="EP462">
            <v>26.481481481481481</v>
          </cell>
        </row>
        <row r="463">
          <cell r="F463">
            <v>405305</v>
          </cell>
          <cell r="G463" t="str">
            <v>ESENCIA CAFE CARAMELO SABORES Y FRAGANCIA</v>
          </cell>
          <cell r="AO463">
            <v>20</v>
          </cell>
          <cell r="BB463">
            <v>20</v>
          </cell>
          <cell r="BD463">
            <v>20</v>
          </cell>
          <cell r="BY463">
            <v>20</v>
          </cell>
          <cell r="CI463">
            <v>20</v>
          </cell>
          <cell r="CY463">
            <v>20</v>
          </cell>
          <cell r="EE463" t="str">
            <v>SIN USO</v>
          </cell>
          <cell r="EF463" t="str">
            <v>C</v>
          </cell>
          <cell r="EG463">
            <v>20</v>
          </cell>
          <cell r="EH463">
            <v>0</v>
          </cell>
          <cell r="EI463">
            <v>0</v>
          </cell>
          <cell r="EJ463">
            <v>0</v>
          </cell>
          <cell r="EK463">
            <v>20</v>
          </cell>
          <cell r="EL463">
            <v>418978</v>
          </cell>
          <cell r="EM463">
            <v>0</v>
          </cell>
          <cell r="EN463">
            <v>0</v>
          </cell>
          <cell r="EO463">
            <v>0</v>
          </cell>
          <cell r="EP463">
            <v>0</v>
          </cell>
        </row>
        <row r="464">
          <cell r="F464">
            <v>106302</v>
          </cell>
          <cell r="G464" t="str">
            <v>CANELA EN POLVO ALTO LA CRUZ</v>
          </cell>
          <cell r="O464">
            <v>10</v>
          </cell>
          <cell r="EE464" t="str">
            <v>SIN USO</v>
          </cell>
          <cell r="EF464" t="str">
            <v/>
          </cell>
          <cell r="EG464" t="str">
            <v/>
          </cell>
          <cell r="EH464">
            <v>0</v>
          </cell>
          <cell r="EI464">
            <v>0</v>
          </cell>
          <cell r="EJ464">
            <v>0</v>
          </cell>
          <cell r="EK464">
            <v>0</v>
          </cell>
          <cell r="EL464">
            <v>0</v>
          </cell>
          <cell r="EM464">
            <v>0</v>
          </cell>
          <cell r="EN464">
            <v>0</v>
          </cell>
          <cell r="EO464">
            <v>0</v>
          </cell>
          <cell r="EP464">
            <v>0</v>
          </cell>
        </row>
        <row r="465">
          <cell r="F465">
            <v>106401</v>
          </cell>
          <cell r="G465" t="str">
            <v>CAFE POLVO WINKLER</v>
          </cell>
          <cell r="H465">
            <v>1</v>
          </cell>
          <cell r="I465">
            <v>7.5</v>
          </cell>
          <cell r="J465">
            <v>5</v>
          </cell>
          <cell r="K465">
            <v>13</v>
          </cell>
          <cell r="L465">
            <v>5.5</v>
          </cell>
          <cell r="M465">
            <v>5</v>
          </cell>
          <cell r="N465">
            <v>7</v>
          </cell>
          <cell r="O465">
            <v>13</v>
          </cell>
          <cell r="P465">
            <v>6</v>
          </cell>
          <cell r="Q465">
            <v>9</v>
          </cell>
          <cell r="R465">
            <v>4</v>
          </cell>
          <cell r="S465">
            <v>4.5</v>
          </cell>
          <cell r="T465">
            <v>6.5</v>
          </cell>
          <cell r="U465">
            <v>4.5</v>
          </cell>
          <cell r="W465">
            <v>2</v>
          </cell>
          <cell r="X465">
            <v>9.5</v>
          </cell>
          <cell r="Y465">
            <v>3.5</v>
          </cell>
          <cell r="Z465">
            <v>0.5</v>
          </cell>
          <cell r="AA465">
            <v>8</v>
          </cell>
          <cell r="AB465">
            <v>12</v>
          </cell>
          <cell r="AC465">
            <v>7.5</v>
          </cell>
          <cell r="AD465">
            <v>5.5</v>
          </cell>
          <cell r="AE465">
            <v>4</v>
          </cell>
          <cell r="AF465">
            <v>6.5</v>
          </cell>
          <cell r="AG465">
            <v>4.5</v>
          </cell>
          <cell r="AH465">
            <v>6</v>
          </cell>
          <cell r="AI465">
            <v>14.5</v>
          </cell>
          <cell r="AJ465">
            <v>4</v>
          </cell>
          <cell r="AK465">
            <v>9.5</v>
          </cell>
          <cell r="AL465">
            <v>7.5</v>
          </cell>
          <cell r="AM465">
            <v>1</v>
          </cell>
          <cell r="AN465">
            <v>8.5</v>
          </cell>
          <cell r="AO465">
            <v>11</v>
          </cell>
          <cell r="AP465">
            <v>13.5</v>
          </cell>
          <cell r="AQ465">
            <v>14</v>
          </cell>
          <cell r="AR465">
            <v>8</v>
          </cell>
          <cell r="AS465">
            <v>7</v>
          </cell>
          <cell r="AT465">
            <v>5</v>
          </cell>
          <cell r="AU465">
            <v>10</v>
          </cell>
          <cell r="AV465">
            <v>9</v>
          </cell>
          <cell r="AW465">
            <v>26</v>
          </cell>
          <cell r="AX465">
            <v>10</v>
          </cell>
          <cell r="AY465">
            <v>8</v>
          </cell>
          <cell r="AZ465">
            <v>10.5</v>
          </cell>
          <cell r="BA465">
            <v>7.5</v>
          </cell>
          <cell r="BB465">
            <v>98</v>
          </cell>
          <cell r="BC465">
            <v>5.5</v>
          </cell>
          <cell r="BD465">
            <v>19.5</v>
          </cell>
          <cell r="BE465">
            <v>12.5</v>
          </cell>
          <cell r="BF465">
            <v>9.5</v>
          </cell>
          <cell r="BG465">
            <v>20</v>
          </cell>
          <cell r="BH465">
            <v>3.5</v>
          </cell>
          <cell r="BI465">
            <v>5.5</v>
          </cell>
          <cell r="BJ465">
            <v>4</v>
          </cell>
          <cell r="BK465">
            <v>24</v>
          </cell>
          <cell r="BL465">
            <v>7</v>
          </cell>
          <cell r="BM465">
            <v>19</v>
          </cell>
          <cell r="BN465">
            <v>19</v>
          </cell>
          <cell r="BO465">
            <v>5</v>
          </cell>
          <cell r="BP465">
            <v>6</v>
          </cell>
          <cell r="BQ465">
            <v>41</v>
          </cell>
          <cell r="BR465">
            <v>14</v>
          </cell>
          <cell r="BS465">
            <v>19.5</v>
          </cell>
          <cell r="BT465">
            <v>51.5</v>
          </cell>
          <cell r="BU465">
            <v>7</v>
          </cell>
          <cell r="BV465">
            <v>19</v>
          </cell>
          <cell r="BW465">
            <v>8.5</v>
          </cell>
          <cell r="BX465">
            <v>11</v>
          </cell>
          <cell r="BY465">
            <v>16.5</v>
          </cell>
          <cell r="BZ465">
            <v>6</v>
          </cell>
          <cell r="CA465">
            <v>8</v>
          </cell>
          <cell r="CB465">
            <v>0.5</v>
          </cell>
          <cell r="CC465">
            <v>12</v>
          </cell>
          <cell r="CD465">
            <v>4.5</v>
          </cell>
          <cell r="CE465">
            <v>20.5</v>
          </cell>
          <cell r="CF465">
            <v>43.5</v>
          </cell>
          <cell r="CG465">
            <v>3.5</v>
          </cell>
          <cell r="CH465">
            <v>10</v>
          </cell>
          <cell r="CI465">
            <v>16</v>
          </cell>
          <cell r="CJ465">
            <v>2.5</v>
          </cell>
          <cell r="CK465">
            <v>15</v>
          </cell>
          <cell r="CL465">
            <v>9</v>
          </cell>
          <cell r="CM465">
            <v>6</v>
          </cell>
          <cell r="CN465">
            <v>15</v>
          </cell>
          <cell r="CO465">
            <v>10.5</v>
          </cell>
          <cell r="CP465">
            <v>9</v>
          </cell>
          <cell r="CQ465">
            <v>7</v>
          </cell>
          <cell r="CR465">
            <v>4.5</v>
          </cell>
          <cell r="CS465">
            <v>4</v>
          </cell>
          <cell r="CT465">
            <v>9</v>
          </cell>
          <cell r="CU465">
            <v>9.5</v>
          </cell>
          <cell r="CX465">
            <v>10</v>
          </cell>
          <cell r="CZ465">
            <v>8</v>
          </cell>
          <cell r="DD465">
            <v>8.5</v>
          </cell>
          <cell r="DG465">
            <v>10</v>
          </cell>
          <cell r="DJ465">
            <v>3.5</v>
          </cell>
          <cell r="DL465">
            <v>7</v>
          </cell>
          <cell r="DM465">
            <v>4</v>
          </cell>
          <cell r="DN465">
            <v>3.5</v>
          </cell>
          <cell r="DO465">
            <v>8</v>
          </cell>
          <cell r="DP465">
            <v>4.5</v>
          </cell>
          <cell r="DQ465">
            <v>3.5</v>
          </cell>
          <cell r="DR465">
            <v>6</v>
          </cell>
          <cell r="DS465">
            <v>7</v>
          </cell>
          <cell r="DT465">
            <v>14</v>
          </cell>
          <cell r="DU465">
            <v>1</v>
          </cell>
          <cell r="DV465">
            <v>8.5</v>
          </cell>
          <cell r="DX465">
            <v>4.5</v>
          </cell>
          <cell r="DY465">
            <v>1.5</v>
          </cell>
          <cell r="DZ465">
            <v>7.5</v>
          </cell>
          <cell r="EE465" t="str">
            <v>ACTIVO</v>
          </cell>
          <cell r="EF465" t="str">
            <v>C</v>
          </cell>
          <cell r="EG465">
            <v>300</v>
          </cell>
          <cell r="EH465">
            <v>5.6</v>
          </cell>
          <cell r="EI465">
            <v>0.93333333333333324</v>
          </cell>
          <cell r="EJ465">
            <v>10.623456236561998</v>
          </cell>
          <cell r="EK465">
            <v>37</v>
          </cell>
          <cell r="EL465">
            <v>808236.88</v>
          </cell>
          <cell r="EM465">
            <v>6.6071428571428577</v>
          </cell>
          <cell r="EN465">
            <v>2.8</v>
          </cell>
          <cell r="EO465">
            <v>1.8666666666666665</v>
          </cell>
          <cell r="EP465">
            <v>4.6666666666666661</v>
          </cell>
        </row>
        <row r="466">
          <cell r="F466">
            <v>107134</v>
          </cell>
          <cell r="G466" t="str">
            <v>COCO RALLADO ALTO LA CRUZ</v>
          </cell>
          <cell r="H466">
            <v>130</v>
          </cell>
          <cell r="I466">
            <v>110</v>
          </cell>
          <cell r="J466">
            <v>190</v>
          </cell>
          <cell r="K466">
            <v>290</v>
          </cell>
          <cell r="L466">
            <v>140</v>
          </cell>
          <cell r="M466">
            <v>145</v>
          </cell>
          <cell r="N466">
            <v>70</v>
          </cell>
          <cell r="O466">
            <v>302.52</v>
          </cell>
          <cell r="P466">
            <v>110</v>
          </cell>
          <cell r="Q466">
            <v>135</v>
          </cell>
          <cell r="R466">
            <v>130</v>
          </cell>
          <cell r="S466">
            <v>140</v>
          </cell>
          <cell r="T466">
            <v>90</v>
          </cell>
          <cell r="U466">
            <v>140</v>
          </cell>
          <cell r="V466">
            <v>105</v>
          </cell>
          <cell r="W466">
            <v>135</v>
          </cell>
          <cell r="X466">
            <v>250</v>
          </cell>
          <cell r="Y466">
            <v>110</v>
          </cell>
          <cell r="Z466">
            <v>50</v>
          </cell>
          <cell r="AA466">
            <v>105</v>
          </cell>
          <cell r="AB466">
            <v>125</v>
          </cell>
          <cell r="AC466">
            <v>115</v>
          </cell>
          <cell r="AD466">
            <v>180</v>
          </cell>
          <cell r="AE466">
            <v>140</v>
          </cell>
          <cell r="AF466">
            <v>115</v>
          </cell>
          <cell r="AG466">
            <v>115</v>
          </cell>
          <cell r="AH466">
            <v>130</v>
          </cell>
          <cell r="AI466">
            <v>155</v>
          </cell>
          <cell r="AJ466">
            <v>130.16</v>
          </cell>
          <cell r="AK466">
            <v>115</v>
          </cell>
          <cell r="AL466">
            <v>220</v>
          </cell>
          <cell r="AM466">
            <v>150</v>
          </cell>
          <cell r="AN466">
            <v>90</v>
          </cell>
          <cell r="AO466">
            <v>85</v>
          </cell>
          <cell r="AP466">
            <v>130</v>
          </cell>
          <cell r="AQ466">
            <v>90</v>
          </cell>
          <cell r="AR466">
            <v>100</v>
          </cell>
          <cell r="AS466">
            <v>100</v>
          </cell>
          <cell r="AT466">
            <v>85</v>
          </cell>
          <cell r="AU466">
            <v>95</v>
          </cell>
          <cell r="AV466">
            <v>100</v>
          </cell>
          <cell r="AW466">
            <v>155</v>
          </cell>
          <cell r="AX466">
            <v>200</v>
          </cell>
          <cell r="AY466">
            <v>95</v>
          </cell>
          <cell r="AZ466">
            <v>100</v>
          </cell>
          <cell r="BA466">
            <v>105</v>
          </cell>
          <cell r="BB466">
            <v>185</v>
          </cell>
          <cell r="BC466">
            <v>100</v>
          </cell>
          <cell r="BD466">
            <v>110</v>
          </cell>
          <cell r="BE466">
            <v>100</v>
          </cell>
          <cell r="BF466">
            <v>119</v>
          </cell>
          <cell r="BG466">
            <v>140</v>
          </cell>
          <cell r="BH466">
            <v>60</v>
          </cell>
          <cell r="BI466">
            <v>110</v>
          </cell>
          <cell r="BJ466">
            <v>80</v>
          </cell>
          <cell r="BK466">
            <v>170</v>
          </cell>
          <cell r="BL466">
            <v>165</v>
          </cell>
          <cell r="BM466">
            <v>100</v>
          </cell>
          <cell r="BN466">
            <v>190</v>
          </cell>
          <cell r="BO466">
            <v>155</v>
          </cell>
          <cell r="BP466">
            <v>120</v>
          </cell>
          <cell r="BQ466">
            <v>80</v>
          </cell>
          <cell r="BR466">
            <v>200</v>
          </cell>
          <cell r="BS466">
            <v>170</v>
          </cell>
          <cell r="BT466">
            <v>230</v>
          </cell>
          <cell r="BU466">
            <v>100</v>
          </cell>
          <cell r="BV466">
            <v>105</v>
          </cell>
          <cell r="BW466">
            <v>145</v>
          </cell>
          <cell r="BX466">
            <v>255</v>
          </cell>
          <cell r="BY466">
            <v>115</v>
          </cell>
          <cell r="BZ466">
            <v>25</v>
          </cell>
          <cell r="CA466">
            <v>80</v>
          </cell>
          <cell r="CB466">
            <v>160</v>
          </cell>
          <cell r="CC466">
            <v>125</v>
          </cell>
          <cell r="CD466">
            <v>80</v>
          </cell>
          <cell r="CE466">
            <v>30</v>
          </cell>
          <cell r="CF466">
            <v>180</v>
          </cell>
          <cell r="CG466">
            <v>151</v>
          </cell>
          <cell r="CH466">
            <v>40</v>
          </cell>
          <cell r="CI466">
            <v>150</v>
          </cell>
          <cell r="CK466">
            <v>195</v>
          </cell>
          <cell r="CL466">
            <v>110</v>
          </cell>
          <cell r="CM466">
            <v>115</v>
          </cell>
          <cell r="CN466">
            <v>165</v>
          </cell>
          <cell r="CO466">
            <v>135</v>
          </cell>
          <cell r="CP466">
            <v>175</v>
          </cell>
          <cell r="CQ466">
            <v>180</v>
          </cell>
          <cell r="CR466">
            <v>205</v>
          </cell>
          <cell r="CS466">
            <v>95</v>
          </cell>
          <cell r="CT466">
            <v>110</v>
          </cell>
          <cell r="CU466">
            <v>10</v>
          </cell>
          <cell r="CV466">
            <v>135</v>
          </cell>
          <cell r="CW466">
            <v>75</v>
          </cell>
          <cell r="CX466">
            <v>130</v>
          </cell>
          <cell r="CY466">
            <v>80</v>
          </cell>
          <cell r="CZ466">
            <v>80</v>
          </cell>
          <cell r="DA466">
            <v>185</v>
          </cell>
          <cell r="DB466">
            <v>180</v>
          </cell>
          <cell r="DC466">
            <v>120</v>
          </cell>
          <cell r="DD466">
            <v>70</v>
          </cell>
          <cell r="DE466">
            <v>135</v>
          </cell>
          <cell r="DF466">
            <v>30</v>
          </cell>
          <cell r="DG466">
            <v>10</v>
          </cell>
          <cell r="DH466">
            <v>10</v>
          </cell>
          <cell r="DI466">
            <v>10</v>
          </cell>
          <cell r="DJ466">
            <v>135</v>
          </cell>
          <cell r="DK466">
            <v>120</v>
          </cell>
          <cell r="DL466">
            <v>115</v>
          </cell>
          <cell r="DM466">
            <v>120</v>
          </cell>
          <cell r="DN466">
            <v>160</v>
          </cell>
          <cell r="DO466">
            <v>90</v>
          </cell>
          <cell r="DP466">
            <v>140</v>
          </cell>
          <cell r="DQ466">
            <v>110</v>
          </cell>
          <cell r="DR466">
            <v>100</v>
          </cell>
          <cell r="DS466">
            <v>90</v>
          </cell>
          <cell r="DT466">
            <v>55</v>
          </cell>
          <cell r="DU466">
            <v>115</v>
          </cell>
          <cell r="DV466">
            <v>60</v>
          </cell>
          <cell r="DW466">
            <v>75</v>
          </cell>
          <cell r="DX466">
            <v>160</v>
          </cell>
          <cell r="DY466">
            <v>250</v>
          </cell>
          <cell r="DZ466">
            <v>90</v>
          </cell>
          <cell r="EB466">
            <v>120</v>
          </cell>
          <cell r="EC466">
            <v>95</v>
          </cell>
          <cell r="ED466">
            <v>160</v>
          </cell>
          <cell r="EE466" t="str">
            <v>ACTIVO</v>
          </cell>
          <cell r="EF466" t="str">
            <v>B</v>
          </cell>
          <cell r="EG466">
            <v>300</v>
          </cell>
          <cell r="EH466">
            <v>110.83333333333333</v>
          </cell>
          <cell r="EI466">
            <v>18.472222222222221</v>
          </cell>
          <cell r="EJ466">
            <v>58.620118136839963</v>
          </cell>
          <cell r="EK466">
            <v>390</v>
          </cell>
          <cell r="EL466">
            <v>1403988.3</v>
          </cell>
          <cell r="EM466">
            <v>3.518796992481203</v>
          </cell>
          <cell r="EN466">
            <v>36.944444444444443</v>
          </cell>
          <cell r="EO466">
            <v>36.944444444444443</v>
          </cell>
          <cell r="EP466">
            <v>73.888888888888886</v>
          </cell>
        </row>
        <row r="467">
          <cell r="F467">
            <v>107326</v>
          </cell>
          <cell r="G467" t="str">
            <v>QUINOA PERLA DE COLORES ZUKKER</v>
          </cell>
          <cell r="AL467">
            <v>31</v>
          </cell>
          <cell r="AM467">
            <v>55</v>
          </cell>
          <cell r="EE467" t="str">
            <v>SIN USO</v>
          </cell>
          <cell r="EF467" t="str">
            <v>C</v>
          </cell>
          <cell r="EG467">
            <v>3200</v>
          </cell>
          <cell r="EH467">
            <v>0</v>
          </cell>
          <cell r="EI467">
            <v>0</v>
          </cell>
          <cell r="EJ467">
            <v>0</v>
          </cell>
          <cell r="EK467">
            <v>0</v>
          </cell>
          <cell r="EL467">
            <v>0</v>
          </cell>
          <cell r="EM467">
            <v>0</v>
          </cell>
          <cell r="EN467">
            <v>0</v>
          </cell>
          <cell r="EO467">
            <v>0</v>
          </cell>
          <cell r="EP467">
            <v>0</v>
          </cell>
        </row>
        <row r="468">
          <cell r="F468">
            <v>107148</v>
          </cell>
          <cell r="G468" t="str">
            <v>SABOR AROMA LUCUMA FRANCIAAROMA</v>
          </cell>
          <cell r="AQ468">
            <v>20</v>
          </cell>
          <cell r="BQ468">
            <v>20</v>
          </cell>
          <cell r="CA468">
            <v>20</v>
          </cell>
          <cell r="CF468">
            <v>20</v>
          </cell>
          <cell r="CK468">
            <v>20</v>
          </cell>
          <cell r="CR468">
            <v>20</v>
          </cell>
          <cell r="CZ468">
            <v>20</v>
          </cell>
          <cell r="DF468">
            <v>20</v>
          </cell>
          <cell r="DS468">
            <v>25</v>
          </cell>
          <cell r="DY468">
            <v>20</v>
          </cell>
          <cell r="ED468">
            <v>20</v>
          </cell>
          <cell r="EE468" t="str">
            <v>ACTIVO</v>
          </cell>
          <cell r="EF468" t="str">
            <v>C</v>
          </cell>
          <cell r="EG468">
            <v>20</v>
          </cell>
          <cell r="EH468">
            <v>22.5</v>
          </cell>
          <cell r="EI468">
            <v>3.75</v>
          </cell>
          <cell r="EJ468">
            <v>0</v>
          </cell>
          <cell r="EK468">
            <v>40</v>
          </cell>
          <cell r="EL468">
            <v>836000</v>
          </cell>
          <cell r="EM468">
            <v>1.7777777777777777</v>
          </cell>
          <cell r="EN468">
            <v>15</v>
          </cell>
          <cell r="EO468">
            <v>7.5</v>
          </cell>
          <cell r="EP468">
            <v>22.5</v>
          </cell>
        </row>
        <row r="469">
          <cell r="F469">
            <v>405482</v>
          </cell>
          <cell r="G469" t="str">
            <v>ALMENDRAS FILETEADAS EGC</v>
          </cell>
          <cell r="BG469">
            <v>22.678000000000001</v>
          </cell>
          <cell r="BN469">
            <v>11.34</v>
          </cell>
          <cell r="BR469">
            <v>11.34</v>
          </cell>
          <cell r="BU469">
            <v>11.33</v>
          </cell>
          <cell r="BW469">
            <v>11.34</v>
          </cell>
          <cell r="EE469" t="str">
            <v>SIN USO</v>
          </cell>
          <cell r="EF469" t="str">
            <v>C</v>
          </cell>
          <cell r="EG469" t="str">
            <v/>
          </cell>
          <cell r="EH469">
            <v>0</v>
          </cell>
          <cell r="EI469">
            <v>0</v>
          </cell>
          <cell r="EJ469">
            <v>4.9999999999998934E-3</v>
          </cell>
          <cell r="EK469">
            <v>146</v>
          </cell>
          <cell r="EL469">
            <v>1642501.46</v>
          </cell>
          <cell r="EM469">
            <v>0</v>
          </cell>
          <cell r="EN469">
            <v>0</v>
          </cell>
          <cell r="EO469">
            <v>0</v>
          </cell>
          <cell r="EP469">
            <v>0</v>
          </cell>
        </row>
        <row r="470">
          <cell r="F470">
            <v>405682</v>
          </cell>
          <cell r="G470" t="str">
            <v>ALMENDRAS FILETEADAS TOSTADAS ALTO LA CRUZ</v>
          </cell>
          <cell r="DF470">
            <v>0</v>
          </cell>
          <cell r="DR470">
            <v>10</v>
          </cell>
          <cell r="DV470">
            <v>10</v>
          </cell>
          <cell r="DY470">
            <v>10</v>
          </cell>
          <cell r="EA470">
            <v>10</v>
          </cell>
          <cell r="EC470">
            <v>10</v>
          </cell>
          <cell r="EE470" t="str">
            <v>ACTIVO</v>
          </cell>
          <cell r="EF470" t="str">
            <v>C</v>
          </cell>
          <cell r="EG470" t="str">
            <v/>
          </cell>
          <cell r="EH470">
            <v>10</v>
          </cell>
          <cell r="EI470">
            <v>1.6666666666666667</v>
          </cell>
          <cell r="EJ470">
            <v>0</v>
          </cell>
          <cell r="EK470">
            <v>60</v>
          </cell>
          <cell r="EL470">
            <v>641400</v>
          </cell>
          <cell r="EM470">
            <v>6</v>
          </cell>
          <cell r="EN470">
            <v>3.3333333333333335</v>
          </cell>
          <cell r="EO470">
            <v>3.3333333333333335</v>
          </cell>
          <cell r="EP470">
            <v>6.666666666666667</v>
          </cell>
        </row>
        <row r="471">
          <cell r="F471">
            <v>405652</v>
          </cell>
          <cell r="G471" t="str">
            <v>ESENCIA DE VAINILLA TRAVERSO EGC</v>
          </cell>
          <cell r="DF471">
            <v>0</v>
          </cell>
          <cell r="DR471">
            <v>1</v>
          </cell>
          <cell r="DS471">
            <v>2</v>
          </cell>
          <cell r="DT471">
            <v>1</v>
          </cell>
          <cell r="DU471">
            <v>2</v>
          </cell>
          <cell r="DX471">
            <v>1</v>
          </cell>
          <cell r="DY471">
            <v>3</v>
          </cell>
          <cell r="DZ471">
            <v>2</v>
          </cell>
          <cell r="EA471">
            <v>2</v>
          </cell>
          <cell r="EB471">
            <v>7</v>
          </cell>
          <cell r="EC471">
            <v>1</v>
          </cell>
          <cell r="ED471">
            <v>2</v>
          </cell>
          <cell r="EE471" t="str">
            <v>ACTIVO</v>
          </cell>
          <cell r="EF471" t="str">
            <v>C</v>
          </cell>
          <cell r="EG471" t="str">
            <v/>
          </cell>
          <cell r="EH471">
            <v>1.7142857142857142</v>
          </cell>
          <cell r="EI471">
            <v>0.2857142857142857</v>
          </cell>
          <cell r="EJ471">
            <v>0</v>
          </cell>
          <cell r="EK471">
            <v>24</v>
          </cell>
          <cell r="EL471">
            <v>47283.12</v>
          </cell>
          <cell r="EM471">
            <v>14</v>
          </cell>
          <cell r="EN471">
            <v>0.5714285714285714</v>
          </cell>
          <cell r="EO471">
            <v>0.5714285714285714</v>
          </cell>
          <cell r="EP471">
            <v>1.1428571428571428</v>
          </cell>
        </row>
        <row r="472">
          <cell r="F472">
            <v>405650</v>
          </cell>
          <cell r="G472" t="str">
            <v>NUEZ MARIPOSA CLARA CAMPOS</v>
          </cell>
          <cell r="DF472">
            <v>0</v>
          </cell>
          <cell r="DR472">
            <v>5</v>
          </cell>
          <cell r="DS472">
            <v>10</v>
          </cell>
          <cell r="DT472">
            <v>5</v>
          </cell>
          <cell r="DV472">
            <v>5</v>
          </cell>
          <cell r="DW472">
            <v>5</v>
          </cell>
          <cell r="DY472">
            <v>10</v>
          </cell>
          <cell r="EA472">
            <v>10</v>
          </cell>
          <cell r="EB472">
            <v>5</v>
          </cell>
          <cell r="ED472">
            <v>5</v>
          </cell>
          <cell r="EE472" t="str">
            <v>ACTIVO</v>
          </cell>
          <cell r="EF472" t="str">
            <v>C</v>
          </cell>
          <cell r="EG472" t="str">
            <v/>
          </cell>
          <cell r="EH472">
            <v>6.666666666666667</v>
          </cell>
          <cell r="EI472">
            <v>1.1111111111111112</v>
          </cell>
          <cell r="EJ472">
            <v>0</v>
          </cell>
          <cell r="EK472">
            <v>20</v>
          </cell>
          <cell r="EL472">
            <v>159800</v>
          </cell>
          <cell r="EM472">
            <v>3</v>
          </cell>
          <cell r="EN472">
            <v>2.2222222222222223</v>
          </cell>
          <cell r="EO472">
            <v>2.2222222222222223</v>
          </cell>
          <cell r="EP472">
            <v>4.4444444444444446</v>
          </cell>
        </row>
        <row r="473">
          <cell r="F473">
            <v>405651</v>
          </cell>
          <cell r="G473" t="str">
            <v>SEMILLA DE AMAPOLA CAMPOS</v>
          </cell>
          <cell r="DF473">
            <v>0</v>
          </cell>
          <cell r="DR473">
            <v>10</v>
          </cell>
          <cell r="DS473">
            <v>15</v>
          </cell>
          <cell r="DU473">
            <v>10</v>
          </cell>
          <cell r="DV473">
            <v>10</v>
          </cell>
          <cell r="DW473">
            <v>10</v>
          </cell>
          <cell r="DX473">
            <v>25</v>
          </cell>
          <cell r="EC473">
            <v>5</v>
          </cell>
          <cell r="EE473" t="str">
            <v>ACTIVO</v>
          </cell>
          <cell r="EF473" t="str">
            <v>C</v>
          </cell>
          <cell r="EG473" t="str">
            <v/>
          </cell>
          <cell r="EH473">
            <v>13.333333333333334</v>
          </cell>
          <cell r="EI473">
            <v>2.2222222222222223</v>
          </cell>
          <cell r="EJ473">
            <v>0</v>
          </cell>
          <cell r="EK473">
            <v>50</v>
          </cell>
          <cell r="EL473">
            <v>349502</v>
          </cell>
          <cell r="EM473">
            <v>3.75</v>
          </cell>
          <cell r="EN473">
            <v>4.4444444444444446</v>
          </cell>
          <cell r="EO473">
            <v>4.4444444444444446</v>
          </cell>
          <cell r="EP473">
            <v>8.8888888888888893</v>
          </cell>
        </row>
        <row r="474">
          <cell r="H474">
            <v>136</v>
          </cell>
          <cell r="I474">
            <v>117.5</v>
          </cell>
          <cell r="J474">
            <v>195</v>
          </cell>
          <cell r="K474">
            <v>303</v>
          </cell>
          <cell r="L474">
            <v>145.5</v>
          </cell>
          <cell r="M474">
            <v>150</v>
          </cell>
          <cell r="N474">
            <v>77</v>
          </cell>
          <cell r="O474">
            <v>385.52</v>
          </cell>
          <cell r="P474">
            <v>116</v>
          </cell>
          <cell r="Q474">
            <v>144</v>
          </cell>
          <cell r="R474">
            <v>134</v>
          </cell>
          <cell r="S474">
            <v>144.5</v>
          </cell>
          <cell r="T474">
            <v>96.5</v>
          </cell>
          <cell r="U474">
            <v>144.5</v>
          </cell>
          <cell r="V474">
            <v>105</v>
          </cell>
          <cell r="W474">
            <v>137</v>
          </cell>
          <cell r="X474">
            <v>259.5</v>
          </cell>
          <cell r="Y474">
            <v>113.5</v>
          </cell>
          <cell r="Z474">
            <v>50.5</v>
          </cell>
          <cell r="AA474">
            <v>113</v>
          </cell>
          <cell r="AB474">
            <v>137</v>
          </cell>
          <cell r="AC474">
            <v>122.5</v>
          </cell>
          <cell r="AD474">
            <v>185.5</v>
          </cell>
          <cell r="AE474">
            <v>144</v>
          </cell>
          <cell r="AF474">
            <v>121.5</v>
          </cell>
          <cell r="AG474">
            <v>119.5</v>
          </cell>
          <cell r="AH474">
            <v>136</v>
          </cell>
          <cell r="AI474">
            <v>169.5</v>
          </cell>
          <cell r="AJ474">
            <v>134.16</v>
          </cell>
          <cell r="AK474">
            <v>124.5</v>
          </cell>
          <cell r="AL474">
            <v>258.5</v>
          </cell>
          <cell r="AM474">
            <v>206</v>
          </cell>
          <cell r="AN474">
            <v>98.5</v>
          </cell>
          <cell r="AO474">
            <v>116</v>
          </cell>
          <cell r="AP474">
            <v>143.5</v>
          </cell>
          <cell r="AQ474">
            <v>124</v>
          </cell>
          <cell r="AR474">
            <v>108</v>
          </cell>
          <cell r="AS474">
            <v>107</v>
          </cell>
          <cell r="AT474">
            <v>90</v>
          </cell>
          <cell r="AU474">
            <v>115</v>
          </cell>
          <cell r="AV474">
            <v>129</v>
          </cell>
          <cell r="AW474">
            <v>226</v>
          </cell>
          <cell r="AX474">
            <v>250</v>
          </cell>
          <cell r="AY474">
            <v>148</v>
          </cell>
          <cell r="AZ474">
            <v>200.5</v>
          </cell>
          <cell r="BA474">
            <v>142.5</v>
          </cell>
          <cell r="BB474">
            <v>448</v>
          </cell>
          <cell r="BC474">
            <v>150.5</v>
          </cell>
          <cell r="BD474">
            <v>184.5</v>
          </cell>
          <cell r="BE474">
            <v>172.5</v>
          </cell>
          <cell r="BF474">
            <v>158.5</v>
          </cell>
          <cell r="BG474">
            <v>202.678</v>
          </cell>
          <cell r="BH474">
            <v>78.5</v>
          </cell>
          <cell r="BI474">
            <v>225.5</v>
          </cell>
          <cell r="BJ474">
            <v>94</v>
          </cell>
          <cell r="BK474">
            <v>324</v>
          </cell>
          <cell r="BL474">
            <v>212</v>
          </cell>
          <cell r="BM474">
            <v>184</v>
          </cell>
          <cell r="BN474">
            <v>250.34</v>
          </cell>
          <cell r="BO474">
            <v>195</v>
          </cell>
          <cell r="BP474">
            <v>266</v>
          </cell>
          <cell r="BQ474">
            <v>181</v>
          </cell>
          <cell r="BR474">
            <v>260.33999999999997</v>
          </cell>
          <cell r="BS474">
            <v>254.5</v>
          </cell>
          <cell r="BT474">
            <v>326.5</v>
          </cell>
          <cell r="BU474">
            <v>167.33</v>
          </cell>
          <cell r="BV474">
            <v>184</v>
          </cell>
          <cell r="BW474">
            <v>194.84</v>
          </cell>
          <cell r="BX474">
            <v>296</v>
          </cell>
          <cell r="BY474">
            <v>171.5</v>
          </cell>
          <cell r="BZ474">
            <v>36</v>
          </cell>
          <cell r="CA474">
            <v>193</v>
          </cell>
          <cell r="CB474">
            <v>190.5</v>
          </cell>
          <cell r="CC474">
            <v>187</v>
          </cell>
          <cell r="CD474">
            <v>149.5</v>
          </cell>
          <cell r="CE474">
            <v>85.5</v>
          </cell>
          <cell r="CF474">
            <v>288.5</v>
          </cell>
          <cell r="CG474">
            <v>199.5</v>
          </cell>
          <cell r="CH474">
            <v>80</v>
          </cell>
          <cell r="CI474">
            <v>231</v>
          </cell>
          <cell r="CJ474">
            <v>32.5</v>
          </cell>
          <cell r="CK474">
            <v>275</v>
          </cell>
          <cell r="CL474">
            <v>164</v>
          </cell>
          <cell r="CM474">
            <v>181</v>
          </cell>
          <cell r="CN474">
            <v>220</v>
          </cell>
          <cell r="CO474">
            <v>185.5</v>
          </cell>
          <cell r="CP474">
            <v>229</v>
          </cell>
          <cell r="CQ474">
            <v>272</v>
          </cell>
          <cell r="CR474">
            <v>309.5</v>
          </cell>
          <cell r="CS474">
            <v>109</v>
          </cell>
          <cell r="CT474">
            <v>159</v>
          </cell>
          <cell r="CU474">
            <v>64.5</v>
          </cell>
          <cell r="CV474">
            <v>195</v>
          </cell>
          <cell r="CW474">
            <v>145</v>
          </cell>
          <cell r="CX474">
            <v>175</v>
          </cell>
          <cell r="CY474">
            <v>155</v>
          </cell>
          <cell r="CZ474">
            <v>198</v>
          </cell>
          <cell r="DA474">
            <v>255</v>
          </cell>
          <cell r="DB474">
            <v>215</v>
          </cell>
          <cell r="DC474">
            <v>160</v>
          </cell>
          <cell r="DD474">
            <v>118.5</v>
          </cell>
          <cell r="DE474">
            <v>185</v>
          </cell>
          <cell r="DF474">
            <v>105</v>
          </cell>
          <cell r="DG474">
            <v>70</v>
          </cell>
          <cell r="DH474">
            <v>45</v>
          </cell>
          <cell r="DI474">
            <v>20</v>
          </cell>
          <cell r="DJ474">
            <v>183.5</v>
          </cell>
          <cell r="DK474">
            <v>170</v>
          </cell>
          <cell r="DL474">
            <v>167</v>
          </cell>
          <cell r="DM474">
            <v>174</v>
          </cell>
          <cell r="DN474">
            <v>193.5</v>
          </cell>
          <cell r="DO474">
            <v>128</v>
          </cell>
          <cell r="DP474">
            <v>174.5</v>
          </cell>
          <cell r="DQ474">
            <v>143.5</v>
          </cell>
          <cell r="DR474">
            <v>182</v>
          </cell>
          <cell r="DS474">
            <v>179</v>
          </cell>
          <cell r="DT474">
            <v>125</v>
          </cell>
          <cell r="DU474">
            <v>168</v>
          </cell>
          <cell r="DV474">
            <v>133.5</v>
          </cell>
          <cell r="DW474">
            <v>135</v>
          </cell>
          <cell r="DX474">
            <v>255.5</v>
          </cell>
          <cell r="DY474">
            <v>359.5</v>
          </cell>
          <cell r="DZ474">
            <v>149.5</v>
          </cell>
          <cell r="EA474">
            <v>52</v>
          </cell>
          <cell r="EB474">
            <v>182</v>
          </cell>
          <cell r="EC474">
            <v>141</v>
          </cell>
          <cell r="ED474">
            <v>227</v>
          </cell>
          <cell r="EE474" t="str">
            <v>ACTIVO</v>
          </cell>
          <cell r="EF474" t="str">
            <v/>
          </cell>
          <cell r="EG474" t="str">
            <v/>
          </cell>
          <cell r="EH474">
            <v>168.94444444444446</v>
          </cell>
          <cell r="EI474">
            <v>28.157407407407408</v>
          </cell>
          <cell r="EJ474">
            <v>74.041618032501304</v>
          </cell>
          <cell r="EK474">
            <v>0</v>
          </cell>
          <cell r="EL474">
            <v>0</v>
          </cell>
          <cell r="EM474">
            <v>0</v>
          </cell>
          <cell r="EN474">
            <v>0</v>
          </cell>
          <cell r="EO474">
            <v>56.314814814814817</v>
          </cell>
          <cell r="EP474">
            <v>56.314814814814817</v>
          </cell>
        </row>
        <row r="475">
          <cell r="F475">
            <v>107335</v>
          </cell>
          <cell r="G475" t="str">
            <v>GALLETA VINO NESTLE</v>
          </cell>
          <cell r="CB475">
            <v>199.64</v>
          </cell>
          <cell r="CC475">
            <v>199.64</v>
          </cell>
          <cell r="EE475" t="str">
            <v>SIN USO</v>
          </cell>
          <cell r="EF475" t="str">
            <v>C</v>
          </cell>
          <cell r="EG475" t="str">
            <v/>
          </cell>
          <cell r="EH475">
            <v>0</v>
          </cell>
          <cell r="EI475">
            <v>0</v>
          </cell>
          <cell r="EJ475">
            <v>0</v>
          </cell>
          <cell r="EK475">
            <v>0</v>
          </cell>
          <cell r="EL475">
            <v>0</v>
          </cell>
          <cell r="EM475">
            <v>0</v>
          </cell>
          <cell r="EN475">
            <v>0</v>
          </cell>
          <cell r="EO475">
            <v>0</v>
          </cell>
          <cell r="EP475">
            <v>0</v>
          </cell>
        </row>
        <row r="476">
          <cell r="F476">
            <v>405634</v>
          </cell>
          <cell r="G476" t="str">
            <v>COSTA CHOCOLATE 24X140 GRS EGC</v>
          </cell>
          <cell r="CY476">
            <v>18.79</v>
          </cell>
          <cell r="CZ476">
            <v>48.690000000000005</v>
          </cell>
          <cell r="EE476" t="str">
            <v>ACTIVO</v>
          </cell>
          <cell r="EF476" t="str">
            <v>C</v>
          </cell>
          <cell r="EG476" t="str">
            <v/>
          </cell>
          <cell r="EH476">
            <v>0</v>
          </cell>
          <cell r="EI476">
            <v>0</v>
          </cell>
          <cell r="EJ476">
            <v>21.142492757477772</v>
          </cell>
          <cell r="EK476">
            <v>0</v>
          </cell>
          <cell r="EL476">
            <v>0</v>
          </cell>
          <cell r="EM476">
            <v>0</v>
          </cell>
          <cell r="EN476">
            <v>0</v>
          </cell>
          <cell r="EO476">
            <v>0</v>
          </cell>
          <cell r="EP476">
            <v>0</v>
          </cell>
        </row>
        <row r="477">
          <cell r="F477">
            <v>405560</v>
          </cell>
          <cell r="G477" t="str">
            <v>COSTA CHOCOLATE 24X140 GRS CAROZZI</v>
          </cell>
          <cell r="DA477">
            <v>97.299999999999983</v>
          </cell>
          <cell r="DB477">
            <v>97.97999999999999</v>
          </cell>
          <cell r="DC477">
            <v>96.32</v>
          </cell>
          <cell r="DD477">
            <v>99.2</v>
          </cell>
          <cell r="DE477">
            <v>47.94</v>
          </cell>
          <cell r="DH477">
            <v>23.94</v>
          </cell>
          <cell r="DJ477">
            <v>72.239999999999995</v>
          </cell>
          <cell r="DK477">
            <v>48.019999999999996</v>
          </cell>
          <cell r="DL477">
            <v>77.97999999999999</v>
          </cell>
          <cell r="DM477">
            <v>100.52</v>
          </cell>
          <cell r="DN477">
            <v>72.94</v>
          </cell>
          <cell r="DO477">
            <v>49</v>
          </cell>
          <cell r="DP477">
            <v>49</v>
          </cell>
          <cell r="DQ477">
            <v>48.5</v>
          </cell>
          <cell r="EE477" t="str">
            <v>ACTIVO</v>
          </cell>
          <cell r="EF477" t="str">
            <v>C</v>
          </cell>
          <cell r="EG477" t="str">
            <v/>
          </cell>
          <cell r="EH477">
            <v>64.775000000000006</v>
          </cell>
          <cell r="EI477">
            <v>10.795833333333334</v>
          </cell>
          <cell r="EJ477">
            <v>32.796716095771941</v>
          </cell>
          <cell r="EK477">
            <v>181.16</v>
          </cell>
          <cell r="EL477">
            <v>697158.02800000005</v>
          </cell>
          <cell r="EM477">
            <v>2.7967580084909298</v>
          </cell>
          <cell r="EN477">
            <v>32.387500000000003</v>
          </cell>
          <cell r="EO477">
            <v>21.591666666666669</v>
          </cell>
          <cell r="EP477">
            <v>53.979166666666671</v>
          </cell>
        </row>
        <row r="478">
          <cell r="F478">
            <v>107336</v>
          </cell>
          <cell r="G478" t="str">
            <v>GALLETA VINO CAROZZI</v>
          </cell>
          <cell r="L478">
            <v>337.92</v>
          </cell>
          <cell r="V478">
            <v>281.60000000000002</v>
          </cell>
          <cell r="X478">
            <v>337.92</v>
          </cell>
          <cell r="EE478" t="str">
            <v>SIN USO</v>
          </cell>
          <cell r="EF478" t="str">
            <v/>
          </cell>
          <cell r="EG478" t="str">
            <v/>
          </cell>
          <cell r="EH478">
            <v>0</v>
          </cell>
          <cell r="EI478">
            <v>0</v>
          </cell>
          <cell r="EJ478">
            <v>0</v>
          </cell>
          <cell r="EK478">
            <v>0</v>
          </cell>
          <cell r="EL478">
            <v>0</v>
          </cell>
          <cell r="EM478">
            <v>0</v>
          </cell>
          <cell r="EN478">
            <v>0</v>
          </cell>
          <cell r="EO478">
            <v>0</v>
          </cell>
          <cell r="EP478">
            <v>0</v>
          </cell>
        </row>
        <row r="479">
          <cell r="F479">
            <v>405333</v>
          </cell>
          <cell r="G479" t="str">
            <v>GALLETA OREO REGULAR BEZANILLA</v>
          </cell>
          <cell r="AF479">
            <v>22.68</v>
          </cell>
          <cell r="AQ479">
            <v>27</v>
          </cell>
          <cell r="AR479">
            <v>27</v>
          </cell>
          <cell r="AS479">
            <v>10.69228</v>
          </cell>
          <cell r="AT479">
            <v>38.664000000000001</v>
          </cell>
          <cell r="AU479">
            <v>197.35599999999997</v>
          </cell>
          <cell r="AW479">
            <v>106.92</v>
          </cell>
          <cell r="AX479">
            <v>35.64</v>
          </cell>
          <cell r="AY479">
            <v>71.28</v>
          </cell>
          <cell r="AZ479">
            <v>116.64000000000001</v>
          </cell>
          <cell r="BC479">
            <v>199.71600000000001</v>
          </cell>
          <cell r="BD479">
            <v>84.240000000000009</v>
          </cell>
          <cell r="BE479">
            <v>42.120000000000005</v>
          </cell>
          <cell r="BH479">
            <v>97.2</v>
          </cell>
          <cell r="BI479">
            <v>42.120000000000005</v>
          </cell>
          <cell r="BJ479">
            <v>42.120000000000005</v>
          </cell>
          <cell r="BK479">
            <v>181.44</v>
          </cell>
          <cell r="BL479">
            <v>46.548000000000002</v>
          </cell>
          <cell r="BM479">
            <v>46.872</v>
          </cell>
          <cell r="BO479">
            <v>181.87200000000001</v>
          </cell>
          <cell r="BR479">
            <v>134.78</v>
          </cell>
          <cell r="BS479">
            <v>35.64</v>
          </cell>
          <cell r="BT479">
            <v>39.527999999999999</v>
          </cell>
          <cell r="BX479">
            <v>7.5600000000000005</v>
          </cell>
          <cell r="CB479">
            <v>17.61</v>
          </cell>
          <cell r="EE479" t="str">
            <v>SIN USO</v>
          </cell>
          <cell r="EF479" t="str">
            <v>C</v>
          </cell>
          <cell r="EG479">
            <v>0</v>
          </cell>
          <cell r="EH479">
            <v>0</v>
          </cell>
          <cell r="EI479">
            <v>0</v>
          </cell>
          <cell r="EJ479">
            <v>61.178027805344605</v>
          </cell>
          <cell r="EK479">
            <v>0</v>
          </cell>
          <cell r="EL479">
            <v>0</v>
          </cell>
          <cell r="EM479">
            <v>0</v>
          </cell>
          <cell r="EN479">
            <v>0</v>
          </cell>
          <cell r="EO479">
            <v>0</v>
          </cell>
          <cell r="EP479">
            <v>0</v>
          </cell>
        </row>
        <row r="480">
          <cell r="F480">
            <v>405334</v>
          </cell>
          <cell r="G480" t="str">
            <v>OREO MEDIUM CRUMBS (TROZOS) BEZANILLA</v>
          </cell>
          <cell r="AF480">
            <v>8</v>
          </cell>
          <cell r="AQ480">
            <v>36</v>
          </cell>
          <cell r="AR480">
            <v>48</v>
          </cell>
          <cell r="AS480">
            <v>16</v>
          </cell>
          <cell r="AT480">
            <v>56</v>
          </cell>
          <cell r="AU480">
            <v>252</v>
          </cell>
          <cell r="AV480">
            <v>80</v>
          </cell>
          <cell r="AW480">
            <v>220</v>
          </cell>
          <cell r="AX480">
            <v>188</v>
          </cell>
          <cell r="AY480">
            <v>216</v>
          </cell>
          <cell r="AZ480">
            <v>200</v>
          </cell>
          <cell r="BC480">
            <v>416</v>
          </cell>
          <cell r="BD480">
            <v>144</v>
          </cell>
          <cell r="BE480">
            <v>76</v>
          </cell>
          <cell r="BH480">
            <v>244</v>
          </cell>
          <cell r="BI480">
            <v>72</v>
          </cell>
          <cell r="BJ480">
            <v>72</v>
          </cell>
          <cell r="BK480">
            <v>372</v>
          </cell>
          <cell r="BL480">
            <v>192</v>
          </cell>
          <cell r="BM480">
            <v>72</v>
          </cell>
          <cell r="BO480">
            <v>392</v>
          </cell>
          <cell r="BR480">
            <v>100</v>
          </cell>
          <cell r="EE480" t="str">
            <v>SIN USO</v>
          </cell>
          <cell r="EF480" t="str">
            <v>C</v>
          </cell>
          <cell r="EG480">
            <v>0</v>
          </cell>
          <cell r="EH480">
            <v>0</v>
          </cell>
          <cell r="EI480">
            <v>0</v>
          </cell>
          <cell r="EJ480">
            <v>134.54579677036153</v>
          </cell>
          <cell r="EK480">
            <v>0</v>
          </cell>
          <cell r="EL480">
            <v>0</v>
          </cell>
          <cell r="EM480">
            <v>0</v>
          </cell>
          <cell r="EN480">
            <v>0</v>
          </cell>
          <cell r="EO480">
            <v>0</v>
          </cell>
          <cell r="EP480">
            <v>0</v>
          </cell>
        </row>
        <row r="481">
          <cell r="F481">
            <v>405507</v>
          </cell>
          <cell r="G481" t="str">
            <v>OREO MEDIUM CRUMBS (TROZOS) ALCA</v>
          </cell>
          <cell r="BR481">
            <v>64</v>
          </cell>
          <cell r="BS481">
            <v>60</v>
          </cell>
          <cell r="BT481">
            <v>684</v>
          </cell>
          <cell r="BU481">
            <v>4</v>
          </cell>
          <cell r="BX481">
            <v>188</v>
          </cell>
          <cell r="CB481">
            <v>156</v>
          </cell>
          <cell r="CC481">
            <v>288</v>
          </cell>
          <cell r="CD481">
            <v>52</v>
          </cell>
          <cell r="CE481">
            <v>224</v>
          </cell>
          <cell r="CG481">
            <v>204</v>
          </cell>
          <cell r="CJ481">
            <v>164</v>
          </cell>
          <cell r="CL481">
            <v>132</v>
          </cell>
          <cell r="CM481">
            <v>132</v>
          </cell>
          <cell r="CN481">
            <v>168</v>
          </cell>
          <cell r="CO481">
            <v>324</v>
          </cell>
          <cell r="CP481">
            <v>556</v>
          </cell>
          <cell r="CT481">
            <v>300</v>
          </cell>
          <cell r="CU481">
            <v>96</v>
          </cell>
          <cell r="CW481">
            <v>392</v>
          </cell>
          <cell r="CX481">
            <v>88</v>
          </cell>
          <cell r="CY481">
            <v>88</v>
          </cell>
          <cell r="DA481">
            <v>232</v>
          </cell>
          <cell r="DC481">
            <v>184</v>
          </cell>
          <cell r="DE481">
            <v>100</v>
          </cell>
          <cell r="DF481">
            <v>200</v>
          </cell>
          <cell r="DH481">
            <v>12</v>
          </cell>
          <cell r="DJ481">
            <v>264</v>
          </cell>
          <cell r="DK481">
            <v>12</v>
          </cell>
          <cell r="DL481">
            <v>92</v>
          </cell>
          <cell r="DM481">
            <v>92</v>
          </cell>
          <cell r="DN481">
            <v>204</v>
          </cell>
          <cell r="DO481">
            <v>108</v>
          </cell>
          <cell r="DP481">
            <v>184</v>
          </cell>
          <cell r="DQ481">
            <v>276</v>
          </cell>
          <cell r="DR481">
            <v>144</v>
          </cell>
          <cell r="DS481">
            <v>334</v>
          </cell>
          <cell r="DU481">
            <v>204</v>
          </cell>
          <cell r="DV481">
            <v>120</v>
          </cell>
          <cell r="DW481">
            <v>256</v>
          </cell>
          <cell r="DX481">
            <v>4</v>
          </cell>
          <cell r="DY481">
            <v>24</v>
          </cell>
          <cell r="EB481">
            <v>248</v>
          </cell>
          <cell r="EC481">
            <v>108</v>
          </cell>
          <cell r="ED481">
            <v>228</v>
          </cell>
          <cell r="EE481" t="str">
            <v>ACTIVO</v>
          </cell>
          <cell r="EF481" t="str">
            <v>B</v>
          </cell>
          <cell r="EG481" t="str">
            <v/>
          </cell>
          <cell r="EH481">
            <v>154.53333333333333</v>
          </cell>
          <cell r="EI481">
            <v>25.755555555555556</v>
          </cell>
          <cell r="EJ481">
            <v>158.2038412448174</v>
          </cell>
          <cell r="EK481">
            <v>140</v>
          </cell>
          <cell r="EL481">
            <v>743750</v>
          </cell>
          <cell r="EM481">
            <v>0.90595340811044001</v>
          </cell>
          <cell r="EN481">
            <v>77.266666666666666</v>
          </cell>
          <cell r="EO481">
            <v>51.511111111111113</v>
          </cell>
          <cell r="EP481">
            <v>128.77777777777777</v>
          </cell>
        </row>
        <row r="482">
          <cell r="F482">
            <v>405506</v>
          </cell>
          <cell r="G482" t="str">
            <v>GALLETA OREO REGULAR ALCA</v>
          </cell>
          <cell r="BT482">
            <v>162</v>
          </cell>
          <cell r="BU482">
            <v>0.54</v>
          </cell>
          <cell r="BX482">
            <v>100.44</v>
          </cell>
          <cell r="CA482">
            <v>1.84</v>
          </cell>
          <cell r="CB482">
            <v>75.53</v>
          </cell>
          <cell r="CC482">
            <v>167.4</v>
          </cell>
          <cell r="CD482">
            <v>1.3</v>
          </cell>
          <cell r="CE482">
            <v>89.639999999999986</v>
          </cell>
          <cell r="CG482">
            <v>84.895999999999987</v>
          </cell>
          <cell r="CJ482">
            <v>89.86</v>
          </cell>
          <cell r="CK482">
            <v>2.16</v>
          </cell>
          <cell r="CL482">
            <v>45.36</v>
          </cell>
          <cell r="CM482">
            <v>110.87</v>
          </cell>
          <cell r="CN482">
            <v>97.2</v>
          </cell>
          <cell r="CO482">
            <v>138.01</v>
          </cell>
          <cell r="CP482">
            <v>239.32999999999998</v>
          </cell>
          <cell r="CS482">
            <v>0.22</v>
          </cell>
          <cell r="CT482">
            <v>113.4</v>
          </cell>
          <cell r="CU482">
            <v>56.7</v>
          </cell>
          <cell r="CV482">
            <v>0.432</v>
          </cell>
          <cell r="CW482">
            <v>117.07</v>
          </cell>
          <cell r="CX482">
            <v>54</v>
          </cell>
          <cell r="CY482">
            <v>63.72</v>
          </cell>
          <cell r="DA482">
            <v>78.3</v>
          </cell>
          <cell r="DC482">
            <v>108</v>
          </cell>
          <cell r="DF482">
            <v>110</v>
          </cell>
          <cell r="DJ482">
            <v>108</v>
          </cell>
          <cell r="DK482">
            <v>1.4</v>
          </cell>
          <cell r="DL482">
            <v>59.617999999999995</v>
          </cell>
          <cell r="DM482">
            <v>54.54</v>
          </cell>
          <cell r="DN482">
            <v>54.5</v>
          </cell>
          <cell r="DO482">
            <v>55.58</v>
          </cell>
          <cell r="DP482">
            <v>115.5</v>
          </cell>
          <cell r="DQ482">
            <v>109</v>
          </cell>
          <cell r="DR482">
            <v>27</v>
          </cell>
          <cell r="DS482">
            <v>114.51</v>
          </cell>
          <cell r="DU482">
            <v>115.48</v>
          </cell>
          <cell r="DW482">
            <v>109</v>
          </cell>
          <cell r="DZ482">
            <v>0.11</v>
          </cell>
          <cell r="EB482">
            <v>100.98</v>
          </cell>
          <cell r="EC482">
            <v>6.48</v>
          </cell>
          <cell r="ED482">
            <v>113.4</v>
          </cell>
          <cell r="EE482" t="str">
            <v>ACTIVO</v>
          </cell>
          <cell r="EF482" t="str">
            <v>C</v>
          </cell>
          <cell r="EG482" t="str">
            <v/>
          </cell>
          <cell r="EH482">
            <v>71.095230769230767</v>
          </cell>
          <cell r="EI482">
            <v>11.849205128205128</v>
          </cell>
          <cell r="EJ482">
            <v>59.738120468437387</v>
          </cell>
          <cell r="EK482">
            <v>292.464</v>
          </cell>
          <cell r="EL482">
            <v>1534523.5123000001</v>
          </cell>
          <cell r="EM482">
            <v>4.113693658992597</v>
          </cell>
          <cell r="EN482">
            <v>35.547615384615384</v>
          </cell>
          <cell r="EO482">
            <v>23.698410256410256</v>
          </cell>
          <cell r="EP482">
            <v>59.246025641025639</v>
          </cell>
        </row>
        <row r="483">
          <cell r="L483">
            <v>337.92</v>
          </cell>
          <cell r="V483">
            <v>281.60000000000002</v>
          </cell>
          <cell r="X483">
            <v>337.92</v>
          </cell>
          <cell r="AF483">
            <v>30.68</v>
          </cell>
          <cell r="AQ483">
            <v>63</v>
          </cell>
          <cell r="AR483">
            <v>75</v>
          </cell>
          <cell r="AS483">
            <v>26.69228</v>
          </cell>
          <cell r="AT483">
            <v>94.664000000000001</v>
          </cell>
          <cell r="AU483">
            <v>449.35599999999999</v>
          </cell>
          <cell r="AV483">
            <v>80</v>
          </cell>
          <cell r="AW483">
            <v>326.92</v>
          </cell>
          <cell r="AX483">
            <v>223.64</v>
          </cell>
          <cell r="AY483">
            <v>287.27999999999997</v>
          </cell>
          <cell r="AZ483">
            <v>316.64</v>
          </cell>
          <cell r="BC483">
            <v>615.71600000000001</v>
          </cell>
          <cell r="BD483">
            <v>228.24</v>
          </cell>
          <cell r="BE483">
            <v>118.12</v>
          </cell>
          <cell r="BH483">
            <v>341.2</v>
          </cell>
          <cell r="BI483">
            <v>114.12</v>
          </cell>
          <cell r="BJ483">
            <v>114.12</v>
          </cell>
          <cell r="BK483">
            <v>553.44000000000005</v>
          </cell>
          <cell r="BL483">
            <v>238.548</v>
          </cell>
          <cell r="BM483">
            <v>118.872</v>
          </cell>
          <cell r="BO483">
            <v>573.87200000000007</v>
          </cell>
          <cell r="BR483">
            <v>298.77999999999997</v>
          </cell>
          <cell r="BS483">
            <v>95.64</v>
          </cell>
          <cell r="BT483">
            <v>885.52800000000002</v>
          </cell>
          <cell r="BU483">
            <v>4.54</v>
          </cell>
          <cell r="BX483">
            <v>296</v>
          </cell>
          <cell r="CA483">
            <v>1.84</v>
          </cell>
          <cell r="CB483">
            <v>448.78</v>
          </cell>
          <cell r="CC483">
            <v>655.04</v>
          </cell>
          <cell r="CD483">
            <v>53.3</v>
          </cell>
          <cell r="CE483">
            <v>313.64</v>
          </cell>
          <cell r="CG483">
            <v>288.89599999999996</v>
          </cell>
          <cell r="CJ483">
            <v>253.86</v>
          </cell>
          <cell r="CK483">
            <v>2.16</v>
          </cell>
          <cell r="CL483">
            <v>177.36</v>
          </cell>
          <cell r="CM483">
            <v>242.87</v>
          </cell>
          <cell r="CN483">
            <v>265.2</v>
          </cell>
          <cell r="CO483">
            <v>462.01</v>
          </cell>
          <cell r="CP483">
            <v>795.32999999999993</v>
          </cell>
          <cell r="CS483">
            <v>0.22</v>
          </cell>
          <cell r="CT483">
            <v>413.4</v>
          </cell>
          <cell r="CU483">
            <v>152.69999999999999</v>
          </cell>
          <cell r="CV483">
            <v>0.432</v>
          </cell>
          <cell r="CW483">
            <v>509.07</v>
          </cell>
          <cell r="CX483">
            <v>142</v>
          </cell>
          <cell r="CY483">
            <v>170.51</v>
          </cell>
          <cell r="CZ483">
            <v>48.690000000000005</v>
          </cell>
          <cell r="DA483">
            <v>407.59999999999997</v>
          </cell>
          <cell r="DB483">
            <v>97.97999999999999</v>
          </cell>
          <cell r="DC483">
            <v>388.32</v>
          </cell>
          <cell r="DD483">
            <v>99.2</v>
          </cell>
          <cell r="DE483">
            <v>147.94</v>
          </cell>
          <cell r="DF483">
            <v>310</v>
          </cell>
          <cell r="DH483">
            <v>35.94</v>
          </cell>
          <cell r="DJ483">
            <v>444.24</v>
          </cell>
          <cell r="DK483">
            <v>61.419999999999995</v>
          </cell>
          <cell r="DL483">
            <v>229.59799999999998</v>
          </cell>
          <cell r="DM483">
            <v>247.05999999999997</v>
          </cell>
          <cell r="DN483">
            <v>331.44</v>
          </cell>
          <cell r="DO483">
            <v>212.57999999999998</v>
          </cell>
          <cell r="DP483">
            <v>348.5</v>
          </cell>
          <cell r="DQ483">
            <v>433.5</v>
          </cell>
          <cell r="DR483">
            <v>171</v>
          </cell>
          <cell r="DS483">
            <v>448.51</v>
          </cell>
          <cell r="DU483">
            <v>319.48</v>
          </cell>
          <cell r="DV483">
            <v>120</v>
          </cell>
          <cell r="DW483">
            <v>365</v>
          </cell>
          <cell r="DX483">
            <v>4</v>
          </cell>
          <cell r="DY483">
            <v>24</v>
          </cell>
          <cell r="DZ483">
            <v>0.11</v>
          </cell>
          <cell r="EB483">
            <v>348.98</v>
          </cell>
          <cell r="EC483">
            <v>114.48</v>
          </cell>
          <cell r="ED483">
            <v>341.4</v>
          </cell>
          <cell r="EE483" t="str">
            <v>ACTIVO</v>
          </cell>
          <cell r="EF483" t="str">
            <v/>
          </cell>
          <cell r="EG483" t="str">
            <v/>
          </cell>
          <cell r="EH483">
            <v>235.02737500000001</v>
          </cell>
          <cell r="EI483">
            <v>39.17122916666667</v>
          </cell>
          <cell r="EJ483">
            <v>220.72954788251727</v>
          </cell>
          <cell r="EK483">
            <v>0</v>
          </cell>
          <cell r="EL483">
            <v>0</v>
          </cell>
          <cell r="EM483">
            <v>0</v>
          </cell>
          <cell r="EN483">
            <v>0</v>
          </cell>
          <cell r="EO483">
            <v>78.34245833333334</v>
          </cell>
          <cell r="EP483">
            <v>78.34245833333334</v>
          </cell>
        </row>
        <row r="484">
          <cell r="F484">
            <v>102103</v>
          </cell>
          <cell r="G484" t="str">
            <v>PROPIONATO DE SODIO WINKLER</v>
          </cell>
          <cell r="J484">
            <v>56</v>
          </cell>
          <cell r="L484">
            <v>56</v>
          </cell>
          <cell r="R484">
            <v>56</v>
          </cell>
          <cell r="V484">
            <v>56</v>
          </cell>
          <cell r="Y484">
            <v>56</v>
          </cell>
          <cell r="AB484">
            <v>56</v>
          </cell>
          <cell r="AF484">
            <v>70</v>
          </cell>
          <cell r="AH484">
            <v>14</v>
          </cell>
          <cell r="AI484">
            <v>70</v>
          </cell>
          <cell r="AN484">
            <v>56</v>
          </cell>
          <cell r="AQ484">
            <v>70</v>
          </cell>
          <cell r="AU484">
            <v>56</v>
          </cell>
          <cell r="BA484">
            <v>56</v>
          </cell>
          <cell r="BC484">
            <v>70</v>
          </cell>
          <cell r="DR484">
            <v>56</v>
          </cell>
          <cell r="DW484">
            <v>56</v>
          </cell>
          <cell r="DX484">
            <v>14</v>
          </cell>
          <cell r="EE484" t="str">
            <v>SIN USO</v>
          </cell>
          <cell r="EF484" t="str">
            <v/>
          </cell>
          <cell r="EG484">
            <v>0</v>
          </cell>
          <cell r="EH484">
            <v>42</v>
          </cell>
          <cell r="EI484">
            <v>7</v>
          </cell>
          <cell r="EJ484">
            <v>0</v>
          </cell>
          <cell r="EK484">
            <v>0</v>
          </cell>
          <cell r="EL484">
            <v>0</v>
          </cell>
          <cell r="EM484">
            <v>0</v>
          </cell>
          <cell r="EN484">
            <v>21</v>
          </cell>
          <cell r="EO484">
            <v>14</v>
          </cell>
          <cell r="EP484">
            <v>35</v>
          </cell>
        </row>
        <row r="485">
          <cell r="F485">
            <v>403269</v>
          </cell>
          <cell r="G485" t="str">
            <v>PROPIONATO DE CALCIO 14 KG WINKLER</v>
          </cell>
          <cell r="BJ485">
            <v>56</v>
          </cell>
          <cell r="BW485">
            <v>56</v>
          </cell>
          <cell r="CA485">
            <v>56</v>
          </cell>
          <cell r="CC485">
            <v>0</v>
          </cell>
          <cell r="CD485">
            <v>14</v>
          </cell>
          <cell r="CE485">
            <v>56</v>
          </cell>
          <cell r="CH485">
            <v>42</v>
          </cell>
          <cell r="CL485">
            <v>56</v>
          </cell>
          <cell r="CN485">
            <v>56</v>
          </cell>
          <cell r="CR485">
            <v>56</v>
          </cell>
          <cell r="CW485">
            <v>56</v>
          </cell>
          <cell r="CZ485">
            <v>56</v>
          </cell>
          <cell r="DD485">
            <v>56</v>
          </cell>
          <cell r="DH485">
            <v>56</v>
          </cell>
          <cell r="DM485">
            <v>42</v>
          </cell>
          <cell r="DN485">
            <v>28</v>
          </cell>
          <cell r="DO485">
            <v>56</v>
          </cell>
          <cell r="DY485">
            <v>70</v>
          </cell>
          <cell r="DZ485">
            <v>42</v>
          </cell>
          <cell r="EC485">
            <v>56</v>
          </cell>
          <cell r="EE485" t="str">
            <v>SIN USO</v>
          </cell>
          <cell r="EF485" t="str">
            <v>C</v>
          </cell>
          <cell r="EG485" t="str">
            <v/>
          </cell>
          <cell r="EH485">
            <v>47.6</v>
          </cell>
          <cell r="EI485">
            <v>7.9333333333333336</v>
          </cell>
          <cell r="EJ485">
            <v>17.974340685458344</v>
          </cell>
          <cell r="EK485">
            <v>0</v>
          </cell>
          <cell r="EL485">
            <v>0</v>
          </cell>
          <cell r="EM485">
            <v>0</v>
          </cell>
          <cell r="EN485">
            <v>23.8</v>
          </cell>
          <cell r="EO485">
            <v>15.866666666666667</v>
          </cell>
          <cell r="EP485">
            <v>39.666666666666671</v>
          </cell>
        </row>
        <row r="486">
          <cell r="F486">
            <v>405504</v>
          </cell>
          <cell r="G486" t="str">
            <v>PROPIONATO DE CALCIO ALCHEM</v>
          </cell>
          <cell r="BN486">
            <v>50</v>
          </cell>
          <cell r="BP486">
            <v>50</v>
          </cell>
          <cell r="EE486" t="str">
            <v>SIN USO</v>
          </cell>
          <cell r="EF486" t="str">
            <v>C</v>
          </cell>
          <cell r="EG486" t="str">
            <v/>
          </cell>
          <cell r="EH486">
            <v>0</v>
          </cell>
          <cell r="EI486">
            <v>0</v>
          </cell>
          <cell r="EJ486">
            <v>0</v>
          </cell>
          <cell r="EK486">
            <v>0</v>
          </cell>
          <cell r="EL486">
            <v>0</v>
          </cell>
          <cell r="EM486">
            <v>0</v>
          </cell>
          <cell r="EN486">
            <v>0</v>
          </cell>
          <cell r="EO486">
            <v>0</v>
          </cell>
          <cell r="EP486">
            <v>0</v>
          </cell>
        </row>
        <row r="487">
          <cell r="J487">
            <v>56</v>
          </cell>
          <cell r="L487">
            <v>56</v>
          </cell>
          <cell r="R487">
            <v>56</v>
          </cell>
          <cell r="V487">
            <v>56</v>
          </cell>
          <cell r="Y487">
            <v>56</v>
          </cell>
          <cell r="AB487">
            <v>56</v>
          </cell>
          <cell r="AF487">
            <v>70</v>
          </cell>
          <cell r="AH487">
            <v>14</v>
          </cell>
          <cell r="AI487">
            <v>70</v>
          </cell>
          <cell r="AN487">
            <v>56</v>
          </cell>
          <cell r="AQ487">
            <v>70</v>
          </cell>
          <cell r="AU487">
            <v>56</v>
          </cell>
          <cell r="BA487">
            <v>56</v>
          </cell>
          <cell r="BC487">
            <v>70</v>
          </cell>
          <cell r="BJ487">
            <v>56</v>
          </cell>
          <cell r="BN487">
            <v>50</v>
          </cell>
          <cell r="BP487">
            <v>50</v>
          </cell>
          <cell r="BW487">
            <v>56</v>
          </cell>
          <cell r="CA487">
            <v>56</v>
          </cell>
          <cell r="CC487">
            <v>0</v>
          </cell>
          <cell r="CD487">
            <v>14</v>
          </cell>
          <cell r="CE487">
            <v>56</v>
          </cell>
          <cell r="CH487">
            <v>42</v>
          </cell>
          <cell r="CL487">
            <v>56</v>
          </cell>
          <cell r="CN487">
            <v>56</v>
          </cell>
          <cell r="CR487">
            <v>56</v>
          </cell>
          <cell r="CW487">
            <v>56</v>
          </cell>
          <cell r="CZ487">
            <v>56</v>
          </cell>
          <cell r="DD487">
            <v>56</v>
          </cell>
          <cell r="DH487">
            <v>56</v>
          </cell>
          <cell r="DM487">
            <v>42</v>
          </cell>
          <cell r="DN487">
            <v>28</v>
          </cell>
          <cell r="DO487">
            <v>56</v>
          </cell>
          <cell r="DR487">
            <v>56</v>
          </cell>
          <cell r="DW487">
            <v>56</v>
          </cell>
          <cell r="DX487">
            <v>14</v>
          </cell>
          <cell r="DY487">
            <v>70</v>
          </cell>
          <cell r="DZ487">
            <v>42</v>
          </cell>
          <cell r="EC487">
            <v>56</v>
          </cell>
          <cell r="EE487" t="str">
            <v>ACTIVO</v>
          </cell>
          <cell r="EF487" t="str">
            <v/>
          </cell>
          <cell r="EG487" t="str">
            <v/>
          </cell>
          <cell r="EH487">
            <v>45.5</v>
          </cell>
          <cell r="EI487">
            <v>7.583333333333333</v>
          </cell>
          <cell r="EJ487">
            <v>16.747139059154751</v>
          </cell>
          <cell r="EK487">
            <v>0</v>
          </cell>
          <cell r="EL487">
            <v>0</v>
          </cell>
          <cell r="EM487">
            <v>0</v>
          </cell>
          <cell r="EN487">
            <v>0</v>
          </cell>
          <cell r="EO487">
            <v>15.166666666666666</v>
          </cell>
          <cell r="EP487">
            <v>15.166666666666666</v>
          </cell>
        </row>
        <row r="488">
          <cell r="F488" t="str">
            <v>403355</v>
          </cell>
          <cell r="G488" t="str">
            <v>COGÑAC TRES PALOS DE 1LT</v>
          </cell>
          <cell r="H488">
            <v>10</v>
          </cell>
          <cell r="I488">
            <v>20</v>
          </cell>
          <cell r="J488">
            <v>13</v>
          </cell>
          <cell r="K488">
            <v>25</v>
          </cell>
          <cell r="L488">
            <v>15</v>
          </cell>
          <cell r="M488">
            <v>19</v>
          </cell>
          <cell r="N488">
            <v>22</v>
          </cell>
          <cell r="O488">
            <v>27</v>
          </cell>
          <cell r="P488">
            <v>14</v>
          </cell>
          <cell r="Q488">
            <v>21</v>
          </cell>
          <cell r="R488">
            <v>29</v>
          </cell>
          <cell r="S488">
            <v>8</v>
          </cell>
          <cell r="T488">
            <v>14</v>
          </cell>
          <cell r="U488">
            <v>15</v>
          </cell>
          <cell r="V488">
            <v>29</v>
          </cell>
          <cell r="W488">
            <v>12</v>
          </cell>
          <cell r="X488">
            <v>21</v>
          </cell>
          <cell r="Y488">
            <v>11</v>
          </cell>
          <cell r="Z488">
            <v>6</v>
          </cell>
          <cell r="AA488">
            <v>19</v>
          </cell>
          <cell r="AB488">
            <v>19</v>
          </cell>
          <cell r="AC488">
            <v>18</v>
          </cell>
          <cell r="AD488">
            <v>25</v>
          </cell>
          <cell r="AE488">
            <v>17</v>
          </cell>
          <cell r="AF488">
            <v>14</v>
          </cell>
          <cell r="AG488">
            <v>20</v>
          </cell>
          <cell r="AH488">
            <v>18</v>
          </cell>
          <cell r="AI488">
            <v>26</v>
          </cell>
          <cell r="AJ488">
            <v>5</v>
          </cell>
          <cell r="AK488">
            <v>31</v>
          </cell>
          <cell r="BO488">
            <v>33</v>
          </cell>
          <cell r="BP488">
            <v>15</v>
          </cell>
          <cell r="BQ488">
            <v>9</v>
          </cell>
          <cell r="BR488">
            <v>2</v>
          </cell>
          <cell r="BU488">
            <v>5</v>
          </cell>
          <cell r="BV488">
            <v>3</v>
          </cell>
          <cell r="BW488">
            <v>18</v>
          </cell>
          <cell r="BX488">
            <v>16</v>
          </cell>
          <cell r="BY488">
            <v>10</v>
          </cell>
          <cell r="BZ488">
            <v>11</v>
          </cell>
          <cell r="CA488">
            <v>21</v>
          </cell>
          <cell r="CC488">
            <v>6</v>
          </cell>
          <cell r="CD488">
            <v>17</v>
          </cell>
          <cell r="CF488">
            <v>24</v>
          </cell>
          <cell r="CH488">
            <v>16</v>
          </cell>
          <cell r="CK488">
            <v>6</v>
          </cell>
          <cell r="CM488">
            <v>17</v>
          </cell>
          <cell r="CN488">
            <v>6</v>
          </cell>
          <cell r="CO488">
            <v>15</v>
          </cell>
          <cell r="CQ488">
            <v>29</v>
          </cell>
          <cell r="CS488">
            <v>12</v>
          </cell>
          <cell r="CT488">
            <v>16</v>
          </cell>
          <cell r="CU488">
            <v>12</v>
          </cell>
          <cell r="CW488">
            <v>10</v>
          </cell>
          <cell r="CX488">
            <v>15</v>
          </cell>
          <cell r="CY488">
            <v>10</v>
          </cell>
          <cell r="DB488">
            <v>22</v>
          </cell>
          <cell r="DF488">
            <v>10</v>
          </cell>
          <cell r="DK488">
            <v>8</v>
          </cell>
          <cell r="DM488">
            <v>15</v>
          </cell>
          <cell r="DN488">
            <v>6</v>
          </cell>
          <cell r="DO488">
            <v>12</v>
          </cell>
          <cell r="DP488">
            <v>4</v>
          </cell>
          <cell r="DR488">
            <v>12</v>
          </cell>
          <cell r="DS488">
            <v>10</v>
          </cell>
          <cell r="DT488">
            <v>16</v>
          </cell>
          <cell r="DU488">
            <v>6</v>
          </cell>
          <cell r="DV488">
            <v>5</v>
          </cell>
          <cell r="DW488">
            <v>6</v>
          </cell>
          <cell r="DX488">
            <v>24</v>
          </cell>
          <cell r="DY488">
            <v>19</v>
          </cell>
          <cell r="DZ488">
            <v>7</v>
          </cell>
          <cell r="EA488">
            <v>8</v>
          </cell>
          <cell r="EB488">
            <v>25</v>
          </cell>
          <cell r="EC488">
            <v>5</v>
          </cell>
          <cell r="ED488">
            <v>12</v>
          </cell>
          <cell r="EE488" t="str">
            <v>ACTIVO</v>
          </cell>
          <cell r="EF488" t="str">
            <v>C</v>
          </cell>
          <cell r="EG488" t="str">
            <v/>
          </cell>
          <cell r="EH488">
            <v>10.714285714285714</v>
          </cell>
          <cell r="EI488">
            <v>1.7857142857142856</v>
          </cell>
          <cell r="EJ488">
            <v>7.4304535670199972</v>
          </cell>
          <cell r="EK488">
            <v>14.4</v>
          </cell>
          <cell r="EL488">
            <v>31402.944</v>
          </cell>
          <cell r="EM488">
            <v>1.3440000000000001</v>
          </cell>
          <cell r="EN488">
            <v>0</v>
          </cell>
          <cell r="EO488">
            <v>3.5714285714285712</v>
          </cell>
          <cell r="EP488">
            <v>3.5714285714285712</v>
          </cell>
        </row>
        <row r="489">
          <cell r="F489">
            <v>107239</v>
          </cell>
          <cell r="G489" t="str">
            <v>COGÑAC TILICURA</v>
          </cell>
          <cell r="H489">
            <v>2</v>
          </cell>
          <cell r="AJ489">
            <v>12</v>
          </cell>
          <cell r="AL489">
            <v>20</v>
          </cell>
          <cell r="AM489">
            <v>15</v>
          </cell>
          <cell r="AN489">
            <v>16</v>
          </cell>
          <cell r="AO489">
            <v>22</v>
          </cell>
          <cell r="AP489">
            <v>15</v>
          </cell>
          <cell r="AQ489">
            <v>23</v>
          </cell>
          <cell r="AR489">
            <v>19</v>
          </cell>
          <cell r="AS489">
            <v>2</v>
          </cell>
          <cell r="AT489">
            <v>17</v>
          </cell>
          <cell r="AU489">
            <v>16</v>
          </cell>
          <cell r="AV489">
            <v>15</v>
          </cell>
          <cell r="AW489">
            <v>43</v>
          </cell>
          <cell r="AX489">
            <v>11</v>
          </cell>
          <cell r="AY489">
            <v>10</v>
          </cell>
          <cell r="AZ489">
            <v>24</v>
          </cell>
          <cell r="BA489">
            <v>17</v>
          </cell>
          <cell r="BB489">
            <v>26</v>
          </cell>
          <cell r="BC489">
            <v>10</v>
          </cell>
          <cell r="BD489">
            <v>28</v>
          </cell>
          <cell r="BE489">
            <v>22</v>
          </cell>
          <cell r="BF489">
            <v>17.369999999999997</v>
          </cell>
          <cell r="BG489">
            <v>26</v>
          </cell>
          <cell r="BH489">
            <v>5</v>
          </cell>
          <cell r="BI489">
            <v>11</v>
          </cell>
          <cell r="BJ489">
            <v>12</v>
          </cell>
          <cell r="BK489">
            <v>25</v>
          </cell>
          <cell r="BL489">
            <v>16</v>
          </cell>
          <cell r="BM489">
            <v>25</v>
          </cell>
          <cell r="BN489">
            <v>12</v>
          </cell>
          <cell r="BR489">
            <v>12</v>
          </cell>
          <cell r="BS489">
            <v>26</v>
          </cell>
          <cell r="BU489">
            <v>11</v>
          </cell>
          <cell r="BV489">
            <v>15</v>
          </cell>
          <cell r="CD489">
            <v>3</v>
          </cell>
          <cell r="EE489" t="str">
            <v>ACTIVO</v>
          </cell>
          <cell r="EF489" t="str">
            <v>C</v>
          </cell>
          <cell r="EG489">
            <v>72</v>
          </cell>
          <cell r="EH489">
            <v>0</v>
          </cell>
          <cell r="EI489">
            <v>0</v>
          </cell>
          <cell r="EJ489">
            <v>7.5131198377884054</v>
          </cell>
          <cell r="EK489">
            <v>0</v>
          </cell>
          <cell r="EL489">
            <v>0</v>
          </cell>
          <cell r="EM489">
            <v>0</v>
          </cell>
          <cell r="EN489">
            <v>0</v>
          </cell>
          <cell r="EO489">
            <v>0</v>
          </cell>
          <cell r="EP489">
            <v>0</v>
          </cell>
        </row>
        <row r="490">
          <cell r="F490">
            <v>107176</v>
          </cell>
          <cell r="G490" t="str">
            <v>RON TILICURA</v>
          </cell>
          <cell r="BB490">
            <v>36</v>
          </cell>
          <cell r="BF490">
            <v>18</v>
          </cell>
          <cell r="BL490">
            <v>12</v>
          </cell>
          <cell r="BM490">
            <v>12</v>
          </cell>
          <cell r="EE490" t="str">
            <v>SIN USO</v>
          </cell>
          <cell r="EF490" t="str">
            <v>C</v>
          </cell>
          <cell r="EG490" t="str">
            <v/>
          </cell>
          <cell r="EH490">
            <v>0</v>
          </cell>
          <cell r="EI490">
            <v>0</v>
          </cell>
          <cell r="EJ490">
            <v>0</v>
          </cell>
          <cell r="EK490">
            <v>0</v>
          </cell>
          <cell r="EL490">
            <v>0</v>
          </cell>
          <cell r="EM490">
            <v>0</v>
          </cell>
          <cell r="EN490">
            <v>0</v>
          </cell>
          <cell r="EO490">
            <v>0</v>
          </cell>
          <cell r="EP490">
            <v>0</v>
          </cell>
        </row>
        <row r="491">
          <cell r="F491">
            <v>170174</v>
          </cell>
          <cell r="G491" t="str">
            <v>RON DORADO</v>
          </cell>
          <cell r="BX491">
            <v>24</v>
          </cell>
          <cell r="EE491" t="str">
            <v>SIN USO</v>
          </cell>
          <cell r="EF491" t="str">
            <v>C</v>
          </cell>
          <cell r="EG491" t="str">
            <v/>
          </cell>
          <cell r="EH491">
            <v>0</v>
          </cell>
          <cell r="EI491">
            <v>0</v>
          </cell>
          <cell r="EJ491">
            <v>0</v>
          </cell>
          <cell r="EK491">
            <v>0</v>
          </cell>
          <cell r="EL491">
            <v>0</v>
          </cell>
          <cell r="EM491">
            <v>0</v>
          </cell>
          <cell r="EN491">
            <v>0</v>
          </cell>
          <cell r="EO491">
            <v>0</v>
          </cell>
          <cell r="EP491">
            <v>0</v>
          </cell>
        </row>
        <row r="492">
          <cell r="H492">
            <v>12</v>
          </cell>
          <cell r="I492">
            <v>20</v>
          </cell>
          <cell r="J492">
            <v>13</v>
          </cell>
          <cell r="K492">
            <v>25</v>
          </cell>
          <cell r="L492">
            <v>15</v>
          </cell>
          <cell r="M492">
            <v>19</v>
          </cell>
          <cell r="N492">
            <v>22</v>
          </cell>
          <cell r="O492">
            <v>27</v>
          </cell>
          <cell r="P492">
            <v>14</v>
          </cell>
          <cell r="Q492">
            <v>21</v>
          </cell>
          <cell r="R492">
            <v>29</v>
          </cell>
          <cell r="S492">
            <v>8</v>
          </cell>
          <cell r="T492">
            <v>14</v>
          </cell>
          <cell r="U492">
            <v>15</v>
          </cell>
          <cell r="V492">
            <v>29</v>
          </cell>
          <cell r="W492">
            <v>12</v>
          </cell>
          <cell r="X492">
            <v>21</v>
          </cell>
          <cell r="Y492">
            <v>11</v>
          </cell>
          <cell r="Z492">
            <v>6</v>
          </cell>
          <cell r="AA492">
            <v>19</v>
          </cell>
          <cell r="AB492">
            <v>19</v>
          </cell>
          <cell r="AC492">
            <v>18</v>
          </cell>
          <cell r="AD492">
            <v>25</v>
          </cell>
          <cell r="AE492">
            <v>17</v>
          </cell>
          <cell r="AF492">
            <v>14</v>
          </cell>
          <cell r="AG492">
            <v>20</v>
          </cell>
          <cell r="AH492">
            <v>18</v>
          </cell>
          <cell r="AI492">
            <v>26</v>
          </cell>
          <cell r="AJ492">
            <v>17</v>
          </cell>
          <cell r="AK492">
            <v>31</v>
          </cell>
          <cell r="AL492">
            <v>20</v>
          </cell>
          <cell r="AM492">
            <v>15</v>
          </cell>
          <cell r="AN492">
            <v>16</v>
          </cell>
          <cell r="AO492">
            <v>22</v>
          </cell>
          <cell r="AP492">
            <v>15</v>
          </cell>
          <cell r="AQ492">
            <v>23</v>
          </cell>
          <cell r="AR492">
            <v>19</v>
          </cell>
          <cell r="AS492">
            <v>2</v>
          </cell>
          <cell r="AT492">
            <v>17</v>
          </cell>
          <cell r="AU492">
            <v>16</v>
          </cell>
          <cell r="AV492">
            <v>15</v>
          </cell>
          <cell r="AW492">
            <v>43</v>
          </cell>
          <cell r="AX492">
            <v>11</v>
          </cell>
          <cell r="AY492">
            <v>10</v>
          </cell>
          <cell r="AZ492">
            <v>24</v>
          </cell>
          <cell r="BA492">
            <v>17</v>
          </cell>
          <cell r="BB492">
            <v>62</v>
          </cell>
          <cell r="BC492">
            <v>10</v>
          </cell>
          <cell r="BD492">
            <v>28</v>
          </cell>
          <cell r="BE492">
            <v>22</v>
          </cell>
          <cell r="BF492">
            <v>35.369999999999997</v>
          </cell>
          <cell r="BG492">
            <v>26</v>
          </cell>
          <cell r="BH492">
            <v>5</v>
          </cell>
          <cell r="BI492">
            <v>11</v>
          </cell>
          <cell r="BJ492">
            <v>12</v>
          </cell>
          <cell r="BK492">
            <v>25</v>
          </cell>
          <cell r="BL492">
            <v>28</v>
          </cell>
          <cell r="BM492">
            <v>37</v>
          </cell>
          <cell r="BN492">
            <v>12</v>
          </cell>
          <cell r="BO492">
            <v>33</v>
          </cell>
          <cell r="BP492">
            <v>15</v>
          </cell>
          <cell r="BQ492">
            <v>9</v>
          </cell>
          <cell r="BR492">
            <v>14</v>
          </cell>
          <cell r="BS492">
            <v>26</v>
          </cell>
          <cell r="BU492">
            <v>16</v>
          </cell>
          <cell r="BV492">
            <v>18</v>
          </cell>
          <cell r="BW492">
            <v>18</v>
          </cell>
          <cell r="BX492">
            <v>40</v>
          </cell>
          <cell r="BY492">
            <v>10</v>
          </cell>
          <cell r="BZ492">
            <v>11</v>
          </cell>
          <cell r="CA492">
            <v>21</v>
          </cell>
          <cell r="CC492">
            <v>6</v>
          </cell>
          <cell r="CD492">
            <v>20</v>
          </cell>
          <cell r="CF492">
            <v>24</v>
          </cell>
          <cell r="CH492">
            <v>16</v>
          </cell>
          <cell r="CK492">
            <v>6</v>
          </cell>
          <cell r="CM492">
            <v>17</v>
          </cell>
          <cell r="CN492">
            <v>6</v>
          </cell>
          <cell r="CO492">
            <v>15</v>
          </cell>
          <cell r="CQ492">
            <v>29</v>
          </cell>
          <cell r="CS492">
            <v>12</v>
          </cell>
          <cell r="CT492">
            <v>16</v>
          </cell>
          <cell r="CU492">
            <v>12</v>
          </cell>
          <cell r="CW492">
            <v>10</v>
          </cell>
          <cell r="CX492">
            <v>15</v>
          </cell>
          <cell r="CY492">
            <v>10</v>
          </cell>
          <cell r="DB492">
            <v>22</v>
          </cell>
          <cell r="DF492">
            <v>10</v>
          </cell>
          <cell r="DK492">
            <v>8</v>
          </cell>
          <cell r="DM492">
            <v>15</v>
          </cell>
          <cell r="DN492">
            <v>6</v>
          </cell>
          <cell r="DO492">
            <v>12</v>
          </cell>
          <cell r="DP492">
            <v>4</v>
          </cell>
          <cell r="DR492">
            <v>12</v>
          </cell>
          <cell r="DS492">
            <v>10</v>
          </cell>
          <cell r="DT492">
            <v>16</v>
          </cell>
          <cell r="DU492">
            <v>6</v>
          </cell>
          <cell r="DV492">
            <v>5</v>
          </cell>
          <cell r="DW492">
            <v>6</v>
          </cell>
          <cell r="DX492">
            <v>24</v>
          </cell>
          <cell r="DY492">
            <v>19</v>
          </cell>
          <cell r="DZ492">
            <v>7</v>
          </cell>
          <cell r="EA492">
            <v>8</v>
          </cell>
          <cell r="EB492">
            <v>25</v>
          </cell>
          <cell r="EC492">
            <v>5</v>
          </cell>
          <cell r="ED492">
            <v>12</v>
          </cell>
          <cell r="EE492" t="str">
            <v>ACTIVO</v>
          </cell>
          <cell r="EF492" t="str">
            <v/>
          </cell>
          <cell r="EG492" t="str">
            <v/>
          </cell>
          <cell r="EH492">
            <v>10.714285714285714</v>
          </cell>
          <cell r="EI492">
            <v>1.7857142857142856</v>
          </cell>
          <cell r="EJ492">
            <v>8.7150207860674254</v>
          </cell>
          <cell r="EK492">
            <v>0</v>
          </cell>
          <cell r="EL492">
            <v>0</v>
          </cell>
          <cell r="EM492">
            <v>0</v>
          </cell>
          <cell r="EN492">
            <v>0</v>
          </cell>
          <cell r="EO492">
            <v>3.5714285714285712</v>
          </cell>
          <cell r="EP492">
            <v>3.5714285714285712</v>
          </cell>
        </row>
        <row r="493">
          <cell r="F493">
            <v>405407</v>
          </cell>
          <cell r="G493" t="str">
            <v>CARAT NUXEL HAZELNUT</v>
          </cell>
          <cell r="BD493">
            <v>100</v>
          </cell>
          <cell r="BJ493">
            <v>40</v>
          </cell>
          <cell r="BO493">
            <v>15</v>
          </cell>
          <cell r="BQ493">
            <v>25</v>
          </cell>
          <cell r="BT493">
            <v>15</v>
          </cell>
          <cell r="BU493">
            <v>15</v>
          </cell>
          <cell r="BW493">
            <v>35</v>
          </cell>
          <cell r="EE493" t="str">
            <v>SIN USO</v>
          </cell>
          <cell r="EF493" t="str">
            <v>C</v>
          </cell>
          <cell r="EG493" t="str">
            <v/>
          </cell>
          <cell r="EH493">
            <v>0</v>
          </cell>
          <cell r="EI493">
            <v>0</v>
          </cell>
          <cell r="EJ493">
            <v>11.143009766964521</v>
          </cell>
          <cell r="EK493">
            <v>0</v>
          </cell>
          <cell r="EL493">
            <v>0</v>
          </cell>
          <cell r="EM493">
            <v>0</v>
          </cell>
          <cell r="EN493">
            <v>0</v>
          </cell>
          <cell r="EO493">
            <v>0</v>
          </cell>
          <cell r="EP493">
            <v>0</v>
          </cell>
        </row>
        <row r="494">
          <cell r="F494">
            <v>405406</v>
          </cell>
          <cell r="G494" t="str">
            <v>PRALINE ALM-AVELL 50% PURATOS</v>
          </cell>
          <cell r="H494">
            <v>45</v>
          </cell>
          <cell r="AZ494">
            <v>130</v>
          </cell>
          <cell r="BF494">
            <v>50</v>
          </cell>
          <cell r="BJ494">
            <v>45</v>
          </cell>
          <cell r="BN494">
            <v>130</v>
          </cell>
          <cell r="BO494">
            <v>30</v>
          </cell>
          <cell r="BU494">
            <v>50</v>
          </cell>
          <cell r="BV494">
            <v>40</v>
          </cell>
          <cell r="EE494" t="str">
            <v>SIN USO</v>
          </cell>
          <cell r="EF494" t="str">
            <v>C</v>
          </cell>
          <cell r="EG494">
            <v>0</v>
          </cell>
          <cell r="EH494">
            <v>0</v>
          </cell>
          <cell r="EI494">
            <v>0</v>
          </cell>
          <cell r="EJ494">
            <v>40.373258476372698</v>
          </cell>
          <cell r="EK494">
            <v>0</v>
          </cell>
          <cell r="EL494">
            <v>0</v>
          </cell>
          <cell r="EM494">
            <v>0</v>
          </cell>
          <cell r="EN494">
            <v>0</v>
          </cell>
          <cell r="EO494">
            <v>0</v>
          </cell>
          <cell r="EP494">
            <v>0</v>
          </cell>
        </row>
        <row r="495">
          <cell r="F495">
            <v>405405</v>
          </cell>
          <cell r="G495" t="str">
            <v>PF PRALICRAC CARAM. PURATOS</v>
          </cell>
          <cell r="BD495">
            <v>99</v>
          </cell>
          <cell r="BJ495">
            <v>36</v>
          </cell>
          <cell r="BO495">
            <v>27</v>
          </cell>
          <cell r="BT495">
            <v>13.5</v>
          </cell>
          <cell r="BW495">
            <v>31.5</v>
          </cell>
          <cell r="EE495" t="str">
            <v>SIN USO</v>
          </cell>
          <cell r="EF495" t="str">
            <v>C</v>
          </cell>
          <cell r="EG495" t="str">
            <v/>
          </cell>
          <cell r="EH495">
            <v>0</v>
          </cell>
          <cell r="EI495">
            <v>0</v>
          </cell>
          <cell r="EJ495">
            <v>9.7211110476117906</v>
          </cell>
          <cell r="EK495">
            <v>0</v>
          </cell>
          <cell r="EL495">
            <v>0</v>
          </cell>
          <cell r="EM495">
            <v>0</v>
          </cell>
          <cell r="EN495">
            <v>0</v>
          </cell>
          <cell r="EO495">
            <v>0</v>
          </cell>
          <cell r="EP495">
            <v>0</v>
          </cell>
        </row>
        <row r="496">
          <cell r="H496">
            <v>45</v>
          </cell>
          <cell r="AZ496">
            <v>130</v>
          </cell>
          <cell r="BD496">
            <v>199</v>
          </cell>
          <cell r="BF496">
            <v>50</v>
          </cell>
          <cell r="BJ496">
            <v>121</v>
          </cell>
          <cell r="BN496">
            <v>130</v>
          </cell>
          <cell r="BO496">
            <v>72</v>
          </cell>
          <cell r="BQ496">
            <v>25</v>
          </cell>
          <cell r="BT496">
            <v>28.5</v>
          </cell>
          <cell r="BU496">
            <v>65</v>
          </cell>
          <cell r="BV496">
            <v>40</v>
          </cell>
          <cell r="BW496">
            <v>66.5</v>
          </cell>
          <cell r="EE496" t="str">
            <v>ACTIVO</v>
          </cell>
          <cell r="EF496" t="str">
            <v/>
          </cell>
          <cell r="EG496" t="str">
            <v/>
          </cell>
          <cell r="EH496">
            <v>0</v>
          </cell>
          <cell r="EI496">
            <v>0</v>
          </cell>
          <cell r="EJ496">
            <v>39.409027247211121</v>
          </cell>
          <cell r="EK496">
            <v>0</v>
          </cell>
          <cell r="EL496">
            <v>0</v>
          </cell>
          <cell r="EM496">
            <v>0</v>
          </cell>
          <cell r="EN496">
            <v>0</v>
          </cell>
          <cell r="EO496">
            <v>0</v>
          </cell>
          <cell r="EP496">
            <v>0</v>
          </cell>
        </row>
        <row r="497">
          <cell r="F497">
            <v>402122</v>
          </cell>
          <cell r="G497" t="str">
            <v>COLORANTE FRAMBUESA QU-867 FLORAMATIC</v>
          </cell>
          <cell r="O497">
            <v>10</v>
          </cell>
          <cell r="V497">
            <v>20</v>
          </cell>
          <cell r="EE497" t="str">
            <v>SIN USO</v>
          </cell>
          <cell r="EF497" t="str">
            <v>C</v>
          </cell>
          <cell r="EG497">
            <v>300</v>
          </cell>
          <cell r="EH497">
            <v>0</v>
          </cell>
          <cell r="EI497">
            <v>0</v>
          </cell>
          <cell r="EJ497">
            <v>0</v>
          </cell>
          <cell r="EK497">
            <v>0</v>
          </cell>
          <cell r="EL497">
            <v>0</v>
          </cell>
          <cell r="EM497">
            <v>0</v>
          </cell>
          <cell r="EN497">
            <v>0</v>
          </cell>
          <cell r="EO497">
            <v>0</v>
          </cell>
          <cell r="EP497">
            <v>0</v>
          </cell>
        </row>
        <row r="498">
          <cell r="F498">
            <v>405427</v>
          </cell>
          <cell r="G498" t="str">
            <v>COLORANTE ARTIFICIAL AMARILLO DUAS RODAS</v>
          </cell>
          <cell r="BA498">
            <v>5</v>
          </cell>
          <cell r="CG498">
            <v>5</v>
          </cell>
          <cell r="EE498" t="str">
            <v>SIN USO</v>
          </cell>
          <cell r="EF498" t="str">
            <v>C</v>
          </cell>
          <cell r="EG498" t="str">
            <v/>
          </cell>
          <cell r="EH498">
            <v>0</v>
          </cell>
          <cell r="EI498">
            <v>0</v>
          </cell>
          <cell r="EJ498">
            <v>0</v>
          </cell>
          <cell r="EK498">
            <v>5</v>
          </cell>
          <cell r="EL498">
            <v>44489</v>
          </cell>
          <cell r="EM498">
            <v>0</v>
          </cell>
          <cell r="EN498">
            <v>0</v>
          </cell>
          <cell r="EO498">
            <v>0</v>
          </cell>
          <cell r="EP498">
            <v>0</v>
          </cell>
        </row>
        <row r="499">
          <cell r="O499">
            <v>10</v>
          </cell>
          <cell r="V499">
            <v>20</v>
          </cell>
          <cell r="BA499">
            <v>5</v>
          </cell>
          <cell r="CG499">
            <v>5</v>
          </cell>
        </row>
        <row r="503">
          <cell r="F503" t="str">
            <v xml:space="preserve">cuadro macro para que diga el % genera en plata y cantidad por semana </v>
          </cell>
        </row>
        <row r="504">
          <cell r="F504" t="str">
            <v xml:space="preserve">mirada mas macro en </v>
          </cell>
        </row>
        <row r="505">
          <cell r="F505" t="str">
            <v>generar un ahorro de 154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sumo SEMANAL PV "/>
      <sheetName val="RECETAS"/>
      <sheetName val="PEDIR"/>
      <sheetName val="CONSUMO DIA PV"/>
      <sheetName val="Stock Bodegas"/>
      <sheetName val="Base Transferencia"/>
      <sheetName val="CONSUMO $"/>
      <sheetName val="Base Stock"/>
      <sheetName val="Calendario"/>
      <sheetName val="Base Categoria"/>
      <sheetName val="lef time"/>
      <sheetName val="NO ACTIVOS "/>
      <sheetName val="PROVEEDOR"/>
      <sheetName val="DN PEDIDOS"/>
      <sheetName val="DN LLEGO"/>
      <sheetName val="POR LLEGAR"/>
      <sheetName val="PEDIDOS"/>
      <sheetName val="DN CONSUMOS"/>
      <sheetName val="CONSUMOS"/>
      <sheetName val="Hoja1"/>
      <sheetName val="Hoja2"/>
    </sheetNames>
    <sheetDataSet>
      <sheetData sheetId="0">
        <row r="1">
          <cell r="B1" t="str">
            <v>PUERTO VESPUCIO</v>
          </cell>
        </row>
        <row r="2">
          <cell r="B2" t="str">
            <v>(Todas)</v>
          </cell>
        </row>
        <row r="3">
          <cell r="B3" t="str">
            <v>(Todas)</v>
          </cell>
        </row>
        <row r="4">
          <cell r="B4" t="str">
            <v>(Todas)</v>
          </cell>
        </row>
        <row r="5">
          <cell r="B5" t="str">
            <v>(Todas)</v>
          </cell>
        </row>
        <row r="6">
          <cell r="B6" t="str">
            <v>(Todas)</v>
          </cell>
        </row>
        <row r="7">
          <cell r="B7" t="str">
            <v>(Todas)</v>
          </cell>
        </row>
        <row r="9">
          <cell r="D9" t="str">
            <v>año</v>
          </cell>
          <cell r="E9" t="str">
            <v>Semana</v>
          </cell>
        </row>
        <row r="10">
          <cell r="D10" t="str">
            <v>2024</v>
          </cell>
          <cell r="AE10" t="str">
            <v>2025</v>
          </cell>
          <cell r="CF10" t="str">
            <v>2026</v>
          </cell>
        </row>
        <row r="11">
          <cell r="B11" t="str">
            <v xml:space="preserve">artículo  </v>
          </cell>
          <cell r="C11" t="str">
            <v>Descripción artículo/serv.</v>
          </cell>
          <cell r="D11">
            <v>27</v>
          </cell>
          <cell r="E11">
            <v>28</v>
          </cell>
          <cell r="F11">
            <v>29</v>
          </cell>
          <cell r="G11">
            <v>30</v>
          </cell>
          <cell r="H11">
            <v>31</v>
          </cell>
          <cell r="I11">
            <v>32</v>
          </cell>
          <cell r="J11">
            <v>33</v>
          </cell>
          <cell r="K11">
            <v>34</v>
          </cell>
          <cell r="L11">
            <v>35</v>
          </cell>
          <cell r="M11">
            <v>36</v>
          </cell>
          <cell r="N11">
            <v>37</v>
          </cell>
          <cell r="O11">
            <v>38</v>
          </cell>
          <cell r="P11">
            <v>39</v>
          </cell>
          <cell r="Q11">
            <v>40</v>
          </cell>
          <cell r="R11">
            <v>41</v>
          </cell>
          <cell r="S11">
            <v>42</v>
          </cell>
          <cell r="T11">
            <v>43</v>
          </cell>
          <cell r="U11">
            <v>44</v>
          </cell>
          <cell r="V11">
            <v>45</v>
          </cell>
          <cell r="W11">
            <v>46</v>
          </cell>
          <cell r="X11">
            <v>47</v>
          </cell>
          <cell r="Y11">
            <v>48</v>
          </cell>
          <cell r="Z11">
            <v>49</v>
          </cell>
          <cell r="AA11">
            <v>50</v>
          </cell>
          <cell r="AB11">
            <v>51</v>
          </cell>
          <cell r="AC11">
            <v>52</v>
          </cell>
          <cell r="AD11">
            <v>53</v>
          </cell>
          <cell r="AE11">
            <v>1</v>
          </cell>
          <cell r="AF11">
            <v>2</v>
          </cell>
          <cell r="AG11">
            <v>3</v>
          </cell>
          <cell r="AH11">
            <v>4</v>
          </cell>
          <cell r="AI11">
            <v>5</v>
          </cell>
          <cell r="AJ11">
            <v>6</v>
          </cell>
          <cell r="AK11">
            <v>7</v>
          </cell>
          <cell r="AL11">
            <v>8</v>
          </cell>
          <cell r="AM11">
            <v>9</v>
          </cell>
          <cell r="AN11">
            <v>10</v>
          </cell>
          <cell r="AO11">
            <v>11</v>
          </cell>
          <cell r="AP11">
            <v>12</v>
          </cell>
          <cell r="AQ11">
            <v>13</v>
          </cell>
          <cell r="AR11">
            <v>14</v>
          </cell>
          <cell r="AS11">
            <v>15</v>
          </cell>
          <cell r="AT11">
            <v>16</v>
          </cell>
          <cell r="AU11">
            <v>17</v>
          </cell>
          <cell r="AV11">
            <v>18</v>
          </cell>
          <cell r="AW11">
            <v>19</v>
          </cell>
          <cell r="AX11">
            <v>20</v>
          </cell>
          <cell r="AY11">
            <v>21</v>
          </cell>
          <cell r="AZ11">
            <v>22</v>
          </cell>
          <cell r="BA11">
            <v>23</v>
          </cell>
          <cell r="BB11">
            <v>24</v>
          </cell>
          <cell r="BC11">
            <v>25</v>
          </cell>
          <cell r="BD11">
            <v>26</v>
          </cell>
          <cell r="BE11">
            <v>27</v>
          </cell>
          <cell r="BF11">
            <v>28</v>
          </cell>
          <cell r="BG11">
            <v>29</v>
          </cell>
          <cell r="BH11">
            <v>30</v>
          </cell>
          <cell r="BI11">
            <v>31</v>
          </cell>
          <cell r="BJ11">
            <v>32</v>
          </cell>
          <cell r="BK11">
            <v>33</v>
          </cell>
          <cell r="BL11">
            <v>34</v>
          </cell>
          <cell r="BM11">
            <v>35</v>
          </cell>
          <cell r="BN11">
            <v>36</v>
          </cell>
          <cell r="BO11">
            <v>37</v>
          </cell>
          <cell r="BP11">
            <v>38</v>
          </cell>
          <cell r="BQ11">
            <v>39</v>
          </cell>
          <cell r="BR11">
            <v>40</v>
          </cell>
          <cell r="BS11">
            <v>41</v>
          </cell>
          <cell r="BT11">
            <v>42</v>
          </cell>
          <cell r="BU11">
            <v>43</v>
          </cell>
          <cell r="BV11">
            <v>44</v>
          </cell>
          <cell r="BW11">
            <v>45</v>
          </cell>
          <cell r="BX11">
            <v>46</v>
          </cell>
          <cell r="BY11">
            <v>47</v>
          </cell>
          <cell r="BZ11">
            <v>48</v>
          </cell>
          <cell r="CA11">
            <v>49</v>
          </cell>
          <cell r="CB11">
            <v>50</v>
          </cell>
          <cell r="CC11">
            <v>51</v>
          </cell>
          <cell r="CD11">
            <v>52</v>
          </cell>
          <cell r="CE11">
            <v>53</v>
          </cell>
          <cell r="CF11">
            <v>1</v>
          </cell>
          <cell r="CG11">
            <v>2</v>
          </cell>
          <cell r="CH11">
            <v>3</v>
          </cell>
          <cell r="CI11">
            <v>4</v>
          </cell>
          <cell r="CJ11">
            <v>5</v>
          </cell>
          <cell r="CK11">
            <v>6</v>
          </cell>
          <cell r="CL11">
            <v>7</v>
          </cell>
          <cell r="CM11">
            <v>8</v>
          </cell>
          <cell r="CN11">
            <v>9</v>
          </cell>
          <cell r="CO11">
            <v>10</v>
          </cell>
          <cell r="CP11">
            <v>11</v>
          </cell>
          <cell r="CQ11">
            <v>12</v>
          </cell>
          <cell r="CR11">
            <v>13</v>
          </cell>
          <cell r="CS11">
            <v>14</v>
          </cell>
          <cell r="CT11">
            <v>15</v>
          </cell>
          <cell r="CU11">
            <v>16</v>
          </cell>
          <cell r="CV11">
            <v>17</v>
          </cell>
          <cell r="CW11">
            <v>18</v>
          </cell>
          <cell r="CX11">
            <v>19</v>
          </cell>
          <cell r="CY11">
            <v>20</v>
          </cell>
          <cell r="CZ11">
            <v>21</v>
          </cell>
          <cell r="DA11">
            <v>22</v>
          </cell>
          <cell r="DB11">
            <v>23</v>
          </cell>
          <cell r="DC11">
            <v>24</v>
          </cell>
          <cell r="DD11">
            <v>25</v>
          </cell>
          <cell r="DE11" t="str">
            <v xml:space="preserve">status </v>
          </cell>
          <cell r="DF11" t="str">
            <v>ABC</v>
          </cell>
          <cell r="DH11" t="str">
            <v>PROMEDIO</v>
          </cell>
          <cell r="DI11" t="str">
            <v>S/DIA</v>
          </cell>
        </row>
        <row r="12">
          <cell r="B12">
            <v>402254</v>
          </cell>
          <cell r="C12" t="str">
            <v>BOLSA PREPICADA BANDEJA 100X90</v>
          </cell>
          <cell r="D12">
            <v>315</v>
          </cell>
          <cell r="E12">
            <v>329</v>
          </cell>
          <cell r="F12">
            <v>419.8</v>
          </cell>
          <cell r="G12">
            <v>289.2</v>
          </cell>
          <cell r="H12">
            <v>545</v>
          </cell>
          <cell r="I12">
            <v>360</v>
          </cell>
          <cell r="J12">
            <v>113</v>
          </cell>
          <cell r="K12">
            <v>185</v>
          </cell>
          <cell r="L12">
            <v>405</v>
          </cell>
          <cell r="M12">
            <v>430</v>
          </cell>
          <cell r="N12">
            <v>380</v>
          </cell>
          <cell r="O12">
            <v>210</v>
          </cell>
          <cell r="P12">
            <v>450</v>
          </cell>
          <cell r="Q12">
            <v>153.1</v>
          </cell>
          <cell r="R12">
            <v>300</v>
          </cell>
          <cell r="S12">
            <v>256</v>
          </cell>
          <cell r="T12">
            <v>335.1</v>
          </cell>
          <cell r="V12">
            <v>270</v>
          </cell>
          <cell r="W12">
            <v>268.47000000000003</v>
          </cell>
          <cell r="X12">
            <v>477.2</v>
          </cell>
          <cell r="Y12">
            <v>390</v>
          </cell>
          <cell r="Z12">
            <v>270</v>
          </cell>
          <cell r="AA12">
            <v>270</v>
          </cell>
          <cell r="AB12">
            <v>540</v>
          </cell>
          <cell r="AC12">
            <v>225</v>
          </cell>
          <cell r="AD12">
            <v>90</v>
          </cell>
          <cell r="AE12">
            <v>60</v>
          </cell>
          <cell r="AF12">
            <v>285</v>
          </cell>
          <cell r="AG12">
            <v>210</v>
          </cell>
          <cell r="AH12">
            <v>156.4</v>
          </cell>
          <cell r="AI12">
            <v>45</v>
          </cell>
          <cell r="AJ12">
            <v>210</v>
          </cell>
          <cell r="AK12">
            <v>390</v>
          </cell>
          <cell r="AL12">
            <v>300</v>
          </cell>
          <cell r="AM12">
            <v>240</v>
          </cell>
          <cell r="AN12">
            <v>375</v>
          </cell>
          <cell r="AO12">
            <v>255</v>
          </cell>
          <cell r="AP12">
            <v>360</v>
          </cell>
          <cell r="AQ12">
            <v>244.2</v>
          </cell>
          <cell r="AT12">
            <v>800</v>
          </cell>
          <cell r="AU12">
            <v>108.2</v>
          </cell>
          <cell r="AV12">
            <v>345</v>
          </cell>
          <cell r="AW12">
            <v>154.6</v>
          </cell>
          <cell r="AX12">
            <v>120</v>
          </cell>
          <cell r="AY12">
            <v>345</v>
          </cell>
          <cell r="AZ12">
            <v>330</v>
          </cell>
          <cell r="BA12">
            <v>555</v>
          </cell>
          <cell r="BB12">
            <v>184.1</v>
          </cell>
          <cell r="BD12">
            <v>262.60000000000002</v>
          </cell>
          <cell r="BE12">
            <v>405</v>
          </cell>
          <cell r="BF12">
            <v>151.69999999999999</v>
          </cell>
          <cell r="BG12">
            <v>180</v>
          </cell>
          <cell r="BH12">
            <v>450</v>
          </cell>
          <cell r="BI12">
            <v>315</v>
          </cell>
          <cell r="BJ12">
            <v>510</v>
          </cell>
          <cell r="BK12">
            <v>165</v>
          </cell>
          <cell r="BM12">
            <v>360</v>
          </cell>
          <cell r="BN12">
            <v>390</v>
          </cell>
          <cell r="BO12">
            <v>375</v>
          </cell>
          <cell r="BP12">
            <v>135</v>
          </cell>
          <cell r="BQ12">
            <v>241</v>
          </cell>
          <cell r="BR12">
            <v>240</v>
          </cell>
          <cell r="BS12">
            <v>150</v>
          </cell>
          <cell r="BT12">
            <v>15</v>
          </cell>
          <cell r="BU12">
            <v>675</v>
          </cell>
          <cell r="BV12">
            <v>255</v>
          </cell>
          <cell r="BW12">
            <v>195</v>
          </cell>
          <cell r="BX12">
            <v>120</v>
          </cell>
          <cell r="BY12">
            <v>210</v>
          </cell>
          <cell r="BZ12">
            <v>178.5</v>
          </cell>
          <cell r="CA12">
            <v>208.50000000000003</v>
          </cell>
          <cell r="CB12">
            <v>264.10000000000008</v>
          </cell>
          <cell r="CC12">
            <v>285</v>
          </cell>
          <cell r="CD12">
            <v>267.60000000000002</v>
          </cell>
          <cell r="CE12">
            <v>191.8</v>
          </cell>
          <cell r="CG12">
            <v>200</v>
          </cell>
          <cell r="CH12">
            <v>206.2</v>
          </cell>
          <cell r="CI12">
            <v>37.299999999999997</v>
          </cell>
          <cell r="CK12">
            <v>30</v>
          </cell>
          <cell r="CL12">
            <v>405</v>
          </cell>
          <cell r="CM12">
            <v>9.6999999999999993</v>
          </cell>
          <cell r="CN12">
            <v>15</v>
          </cell>
          <cell r="CP12">
            <v>60</v>
          </cell>
          <cell r="CQ12">
            <v>390</v>
          </cell>
          <cell r="CR12">
            <v>184.1</v>
          </cell>
          <cell r="CT12">
            <v>60</v>
          </cell>
          <cell r="CU12">
            <v>360</v>
          </cell>
          <cell r="CV12">
            <v>343.7</v>
          </cell>
          <cell r="CW12">
            <v>300</v>
          </cell>
          <cell r="CX12">
            <v>192</v>
          </cell>
          <cell r="DE12" t="str">
            <v>ACTIVO</v>
          </cell>
          <cell r="DF12" t="str">
            <v>B</v>
          </cell>
          <cell r="DH12">
            <v>186.2</v>
          </cell>
          <cell r="DI12">
            <v>31.033333333333331</v>
          </cell>
        </row>
        <row r="13">
          <cell r="B13">
            <v>400203</v>
          </cell>
          <cell r="C13" t="str">
            <v>BOLSA PREPICADA BANDEJA (22+60+22)104x90</v>
          </cell>
          <cell r="J13">
            <v>200</v>
          </cell>
          <cell r="K13">
            <v>250</v>
          </cell>
          <cell r="M13">
            <v>50</v>
          </cell>
          <cell r="AI13">
            <v>345</v>
          </cell>
          <cell r="AJ13">
            <v>157.19999999999999</v>
          </cell>
          <cell r="AR13">
            <v>345</v>
          </cell>
          <cell r="AS13">
            <v>390</v>
          </cell>
          <cell r="AT13">
            <v>77.7</v>
          </cell>
          <cell r="AX13">
            <v>315</v>
          </cell>
          <cell r="AY13">
            <v>90</v>
          </cell>
          <cell r="AZ13">
            <v>90</v>
          </cell>
          <cell r="BB13">
            <v>5</v>
          </cell>
          <cell r="BK13">
            <v>10</v>
          </cell>
          <cell r="BL13">
            <v>60</v>
          </cell>
          <cell r="CI13">
            <v>292.7</v>
          </cell>
          <cell r="CJ13">
            <v>225</v>
          </cell>
          <cell r="CK13">
            <v>315</v>
          </cell>
          <cell r="CN13">
            <v>270</v>
          </cell>
          <cell r="CO13">
            <v>195</v>
          </cell>
          <cell r="CP13">
            <v>35</v>
          </cell>
          <cell r="CR13">
            <v>45</v>
          </cell>
          <cell r="CS13">
            <v>270</v>
          </cell>
          <cell r="CT13">
            <v>255</v>
          </cell>
          <cell r="CY13">
            <v>139</v>
          </cell>
          <cell r="CZ13">
            <v>69.5</v>
          </cell>
          <cell r="DA13">
            <v>305</v>
          </cell>
          <cell r="DB13">
            <v>200</v>
          </cell>
          <cell r="DC13">
            <v>75</v>
          </cell>
          <cell r="DD13">
            <v>26.3</v>
          </cell>
          <cell r="DE13" t="str">
            <v>ACTIVO</v>
          </cell>
          <cell r="DF13" t="str">
            <v>C</v>
          </cell>
          <cell r="DH13">
            <v>181.16666666666666</v>
          </cell>
          <cell r="DI13">
            <v>30.194444444444443</v>
          </cell>
        </row>
        <row r="14">
          <cell r="B14">
            <v>400210</v>
          </cell>
          <cell r="C14" t="str">
            <v>BOLSA PREPICADA BANDEJA  100*90 COLOR AZUL</v>
          </cell>
          <cell r="D14">
            <v>45</v>
          </cell>
          <cell r="E14">
            <v>15</v>
          </cell>
          <cell r="G14">
            <v>60</v>
          </cell>
          <cell r="I14">
            <v>30</v>
          </cell>
          <cell r="J14">
            <v>15</v>
          </cell>
          <cell r="K14">
            <v>15</v>
          </cell>
          <cell r="L14">
            <v>15</v>
          </cell>
          <cell r="M14">
            <v>15</v>
          </cell>
          <cell r="N14">
            <v>15</v>
          </cell>
          <cell r="O14">
            <v>30</v>
          </cell>
          <cell r="P14">
            <v>15</v>
          </cell>
          <cell r="Q14">
            <v>15</v>
          </cell>
          <cell r="R14">
            <v>15</v>
          </cell>
          <cell r="S14">
            <v>45</v>
          </cell>
          <cell r="T14">
            <v>15</v>
          </cell>
          <cell r="U14">
            <v>30</v>
          </cell>
          <cell r="V14">
            <v>30</v>
          </cell>
          <cell r="DE14" t="str">
            <v>SIN USO</v>
          </cell>
          <cell r="DF14" t="str">
            <v/>
          </cell>
          <cell r="DH14">
            <v>0</v>
          </cell>
          <cell r="DI14">
            <v>0</v>
          </cell>
        </row>
        <row r="15">
          <cell r="B15">
            <v>402263</v>
          </cell>
          <cell r="C15" t="str">
            <v>BOLSA PREPICADA BANDEJA  100*90 COLOR AZUL ASTRA</v>
          </cell>
          <cell r="Z15">
            <v>45</v>
          </cell>
          <cell r="AB15">
            <v>30</v>
          </cell>
          <cell r="AC15">
            <v>15</v>
          </cell>
          <cell r="AF15">
            <v>15</v>
          </cell>
          <cell r="AG15">
            <v>45</v>
          </cell>
          <cell r="AH15">
            <v>60</v>
          </cell>
          <cell r="AI15">
            <v>15</v>
          </cell>
          <cell r="AK15">
            <v>30</v>
          </cell>
          <cell r="AL15">
            <v>30</v>
          </cell>
          <cell r="AM15">
            <v>30</v>
          </cell>
          <cell r="AN15">
            <v>15</v>
          </cell>
          <cell r="AO15">
            <v>135</v>
          </cell>
          <cell r="AP15">
            <v>30</v>
          </cell>
          <cell r="AQ15">
            <v>30</v>
          </cell>
          <cell r="AR15">
            <v>60</v>
          </cell>
          <cell r="AS15">
            <v>30</v>
          </cell>
          <cell r="AT15">
            <v>15</v>
          </cell>
          <cell r="AU15">
            <v>60</v>
          </cell>
          <cell r="AV15">
            <v>15</v>
          </cell>
          <cell r="AW15">
            <v>105</v>
          </cell>
          <cell r="AX15">
            <v>30</v>
          </cell>
          <cell r="AY15">
            <v>15</v>
          </cell>
          <cell r="AZ15">
            <v>15</v>
          </cell>
          <cell r="BB15">
            <v>75</v>
          </cell>
          <cell r="BC15">
            <v>90</v>
          </cell>
          <cell r="BD15">
            <v>75</v>
          </cell>
          <cell r="BE15">
            <v>75</v>
          </cell>
          <cell r="BF15">
            <v>15</v>
          </cell>
          <cell r="BG15">
            <v>15</v>
          </cell>
          <cell r="BH15">
            <v>60</v>
          </cell>
          <cell r="BI15">
            <v>45</v>
          </cell>
          <cell r="BJ15">
            <v>30</v>
          </cell>
          <cell r="BK15">
            <v>30</v>
          </cell>
          <cell r="BL15">
            <v>15</v>
          </cell>
          <cell r="BM15">
            <v>45</v>
          </cell>
          <cell r="BN15">
            <v>15</v>
          </cell>
          <cell r="BO15">
            <v>15</v>
          </cell>
          <cell r="BQ15">
            <v>15</v>
          </cell>
          <cell r="BR15">
            <v>15</v>
          </cell>
          <cell r="BS15">
            <v>45</v>
          </cell>
          <cell r="BT15">
            <v>30</v>
          </cell>
          <cell r="BU15">
            <v>60</v>
          </cell>
          <cell r="BV15">
            <v>45</v>
          </cell>
          <cell r="BX15">
            <v>15</v>
          </cell>
          <cell r="BZ15">
            <v>28</v>
          </cell>
          <cell r="CA15">
            <v>27.8</v>
          </cell>
          <cell r="CB15">
            <v>27.8</v>
          </cell>
          <cell r="CC15">
            <v>15</v>
          </cell>
          <cell r="CD15">
            <v>15</v>
          </cell>
          <cell r="CE15">
            <v>30</v>
          </cell>
          <cell r="CG15">
            <v>15</v>
          </cell>
          <cell r="CH15">
            <v>60</v>
          </cell>
          <cell r="CI15">
            <v>45</v>
          </cell>
          <cell r="CJ15">
            <v>60</v>
          </cell>
          <cell r="CK15">
            <v>45</v>
          </cell>
          <cell r="CL15">
            <v>15</v>
          </cell>
          <cell r="CM15">
            <v>45</v>
          </cell>
          <cell r="CN15">
            <v>30</v>
          </cell>
          <cell r="CO15">
            <v>45</v>
          </cell>
          <cell r="CP15">
            <v>30</v>
          </cell>
          <cell r="CQ15">
            <v>30</v>
          </cell>
          <cell r="CR15">
            <v>45</v>
          </cell>
          <cell r="CS15">
            <v>45</v>
          </cell>
          <cell r="CT15">
            <v>30</v>
          </cell>
          <cell r="CU15">
            <v>15</v>
          </cell>
          <cell r="CV15">
            <v>15</v>
          </cell>
          <cell r="CW15">
            <v>15</v>
          </cell>
          <cell r="CX15">
            <v>60</v>
          </cell>
          <cell r="CY15">
            <v>30</v>
          </cell>
          <cell r="CZ15">
            <v>60</v>
          </cell>
          <cell r="DA15">
            <v>45</v>
          </cell>
          <cell r="DB15">
            <v>45</v>
          </cell>
          <cell r="DC15">
            <v>45</v>
          </cell>
          <cell r="DD15">
            <v>16.2</v>
          </cell>
          <cell r="DE15" t="str">
            <v>ACTIVO</v>
          </cell>
          <cell r="DF15" t="str">
            <v>C</v>
          </cell>
          <cell r="DH15">
            <v>36.925000000000004</v>
          </cell>
          <cell r="DI15">
            <v>6.1541666666666677</v>
          </cell>
        </row>
        <row r="16">
          <cell r="B16">
            <v>400101</v>
          </cell>
          <cell r="C16" t="str">
            <v>BOLSA 30X32 CM 35 MICRAS</v>
          </cell>
          <cell r="D16">
            <v>4000</v>
          </cell>
          <cell r="E16">
            <v>8000</v>
          </cell>
          <cell r="F16">
            <v>4000</v>
          </cell>
          <cell r="G16">
            <v>4000</v>
          </cell>
          <cell r="H16">
            <v>8000</v>
          </cell>
          <cell r="I16">
            <v>8000</v>
          </cell>
          <cell r="J16">
            <v>4000</v>
          </cell>
          <cell r="K16">
            <v>4000</v>
          </cell>
          <cell r="L16">
            <v>8000</v>
          </cell>
          <cell r="M16">
            <v>4000</v>
          </cell>
          <cell r="N16">
            <v>8000</v>
          </cell>
          <cell r="P16">
            <v>8000</v>
          </cell>
          <cell r="Q16">
            <v>8000</v>
          </cell>
          <cell r="R16">
            <v>8000</v>
          </cell>
          <cell r="T16">
            <v>7500</v>
          </cell>
          <cell r="U16">
            <v>8000</v>
          </cell>
          <cell r="V16">
            <v>8000</v>
          </cell>
          <cell r="W16">
            <v>7500</v>
          </cell>
          <cell r="X16">
            <v>7500</v>
          </cell>
          <cell r="Y16">
            <v>8000</v>
          </cell>
          <cell r="Z16">
            <v>4000</v>
          </cell>
          <cell r="AA16">
            <v>4000</v>
          </cell>
          <cell r="AB16">
            <v>12000</v>
          </cell>
          <cell r="AC16">
            <v>6500</v>
          </cell>
          <cell r="AF16">
            <v>6000</v>
          </cell>
          <cell r="AG16">
            <v>16000</v>
          </cell>
          <cell r="AH16">
            <v>4000</v>
          </cell>
          <cell r="AI16">
            <v>8000</v>
          </cell>
          <cell r="AJ16">
            <v>4000</v>
          </cell>
          <cell r="AK16">
            <v>8000</v>
          </cell>
          <cell r="AL16">
            <v>8000</v>
          </cell>
          <cell r="AM16">
            <v>4000</v>
          </cell>
          <cell r="AN16">
            <v>8000</v>
          </cell>
          <cell r="AO16">
            <v>8000</v>
          </cell>
          <cell r="AQ16">
            <v>8000</v>
          </cell>
          <cell r="AR16">
            <v>8000</v>
          </cell>
          <cell r="AS16">
            <v>2000</v>
          </cell>
          <cell r="AT16">
            <v>4000</v>
          </cell>
          <cell r="AU16">
            <v>6000</v>
          </cell>
          <cell r="AW16">
            <v>12000</v>
          </cell>
          <cell r="AX16">
            <v>6000</v>
          </cell>
          <cell r="AY16">
            <v>8000</v>
          </cell>
          <cell r="AZ16">
            <v>4000</v>
          </cell>
          <cell r="BA16">
            <v>8000</v>
          </cell>
          <cell r="BB16">
            <v>8000</v>
          </cell>
          <cell r="BC16">
            <v>4000</v>
          </cell>
          <cell r="BD16">
            <v>4000</v>
          </cell>
          <cell r="BE16">
            <v>4015</v>
          </cell>
          <cell r="BF16">
            <v>3985</v>
          </cell>
          <cell r="BG16">
            <v>10000</v>
          </cell>
          <cell r="BH16">
            <v>8000</v>
          </cell>
          <cell r="BI16">
            <v>4000</v>
          </cell>
          <cell r="BJ16">
            <v>4000</v>
          </cell>
          <cell r="BK16">
            <v>8000</v>
          </cell>
          <cell r="BL16">
            <v>8000</v>
          </cell>
          <cell r="BM16">
            <v>8000</v>
          </cell>
          <cell r="BN16">
            <v>4000</v>
          </cell>
          <cell r="BO16">
            <v>8000</v>
          </cell>
          <cell r="BQ16">
            <v>12000</v>
          </cell>
          <cell r="BR16">
            <v>8000</v>
          </cell>
          <cell r="BS16">
            <v>8000</v>
          </cell>
          <cell r="BU16">
            <v>4000</v>
          </cell>
          <cell r="BV16">
            <v>8000</v>
          </cell>
          <cell r="BX16">
            <v>4000</v>
          </cell>
          <cell r="BY16">
            <v>4000</v>
          </cell>
          <cell r="BZ16">
            <v>12000</v>
          </cell>
          <cell r="CA16">
            <v>8000</v>
          </cell>
          <cell r="CB16">
            <v>8000</v>
          </cell>
          <cell r="CC16">
            <v>2000</v>
          </cell>
          <cell r="CD16">
            <v>8000</v>
          </cell>
          <cell r="CE16">
            <v>4000</v>
          </cell>
          <cell r="CG16">
            <v>4000</v>
          </cell>
          <cell r="CH16">
            <v>6000</v>
          </cell>
          <cell r="CI16">
            <v>14000</v>
          </cell>
          <cell r="CJ16">
            <v>4000</v>
          </cell>
          <cell r="CK16">
            <v>8000</v>
          </cell>
          <cell r="CL16">
            <v>6000</v>
          </cell>
          <cell r="CM16">
            <v>8000</v>
          </cell>
          <cell r="CN16">
            <v>4000</v>
          </cell>
          <cell r="CO16">
            <v>8000</v>
          </cell>
          <cell r="CP16">
            <v>4000</v>
          </cell>
          <cell r="CQ16">
            <v>2000</v>
          </cell>
          <cell r="CR16">
            <v>4000</v>
          </cell>
          <cell r="CS16">
            <v>2000</v>
          </cell>
          <cell r="CT16">
            <v>8000</v>
          </cell>
          <cell r="CU16">
            <v>6000</v>
          </cell>
          <cell r="CV16">
            <v>4000</v>
          </cell>
          <cell r="CW16">
            <v>8000</v>
          </cell>
          <cell r="CX16">
            <v>8000</v>
          </cell>
          <cell r="CY16">
            <v>8000</v>
          </cell>
          <cell r="CZ16">
            <v>2900</v>
          </cell>
          <cell r="DA16">
            <v>4000</v>
          </cell>
          <cell r="DD16">
            <v>4000</v>
          </cell>
          <cell r="DE16" t="str">
            <v>ACTIVO</v>
          </cell>
          <cell r="DF16" t="str">
            <v>C</v>
          </cell>
          <cell r="DH16">
            <v>5768.181818181818</v>
          </cell>
          <cell r="DI16">
            <v>961.36363636363637</v>
          </cell>
        </row>
        <row r="17">
          <cell r="B17">
            <v>400202</v>
          </cell>
          <cell r="C17" t="str">
            <v>BOLSA PREPICADA 50x75</v>
          </cell>
          <cell r="G17">
            <v>30</v>
          </cell>
          <cell r="K17">
            <v>10</v>
          </cell>
          <cell r="M17">
            <v>20</v>
          </cell>
          <cell r="P17">
            <v>40</v>
          </cell>
          <cell r="R17">
            <v>15</v>
          </cell>
          <cell r="X17">
            <v>30</v>
          </cell>
          <cell r="Y17">
            <v>15</v>
          </cell>
          <cell r="AB17">
            <v>30</v>
          </cell>
          <cell r="AI17">
            <v>20</v>
          </cell>
          <cell r="AK17">
            <v>15</v>
          </cell>
          <cell r="AL17">
            <v>10</v>
          </cell>
          <cell r="AM17">
            <v>10</v>
          </cell>
          <cell r="AN17">
            <v>10</v>
          </cell>
          <cell r="AO17">
            <v>10</v>
          </cell>
          <cell r="AQ17">
            <v>30</v>
          </cell>
          <cell r="AS17">
            <v>15</v>
          </cell>
          <cell r="AX17">
            <v>15</v>
          </cell>
          <cell r="AZ17">
            <v>15</v>
          </cell>
          <cell r="BB17">
            <v>15</v>
          </cell>
          <cell r="BD17">
            <v>40</v>
          </cell>
          <cell r="BG17">
            <v>15</v>
          </cell>
          <cell r="BI17">
            <v>30</v>
          </cell>
          <cell r="BL17">
            <v>15</v>
          </cell>
          <cell r="BM17">
            <v>30</v>
          </cell>
          <cell r="BN17">
            <v>15</v>
          </cell>
          <cell r="BQ17">
            <v>30</v>
          </cell>
          <cell r="BR17">
            <v>10</v>
          </cell>
          <cell r="BV17">
            <v>25</v>
          </cell>
          <cell r="BZ17">
            <v>15</v>
          </cell>
          <cell r="CC17">
            <v>15</v>
          </cell>
          <cell r="CD17">
            <v>15</v>
          </cell>
          <cell r="CE17">
            <v>15</v>
          </cell>
          <cell r="CI17">
            <v>15</v>
          </cell>
          <cell r="CJ17">
            <v>15</v>
          </cell>
          <cell r="CK17">
            <v>15</v>
          </cell>
          <cell r="CN17">
            <v>30</v>
          </cell>
          <cell r="CR17">
            <v>15</v>
          </cell>
          <cell r="CV17">
            <v>30</v>
          </cell>
          <cell r="DA17">
            <v>10</v>
          </cell>
          <cell r="DE17" t="str">
            <v>ACTIVO</v>
          </cell>
          <cell r="DF17" t="str">
            <v>C</v>
          </cell>
          <cell r="DH17">
            <v>18.571428571428573</v>
          </cell>
          <cell r="DI17">
            <v>3.0952380952380953</v>
          </cell>
        </row>
        <row r="18">
          <cell r="B18">
            <v>400205</v>
          </cell>
          <cell r="C18" t="str">
            <v>BOLSA PEBD 40x42 CM x35 MICRAS</v>
          </cell>
          <cell r="H18">
            <v>2500</v>
          </cell>
          <cell r="M18">
            <v>10500</v>
          </cell>
          <cell r="Q18">
            <v>4000</v>
          </cell>
          <cell r="R18">
            <v>4000</v>
          </cell>
          <cell r="T18">
            <v>2000</v>
          </cell>
          <cell r="Y18">
            <v>4000</v>
          </cell>
          <cell r="AA18">
            <v>5500</v>
          </cell>
          <cell r="AJ18">
            <v>2000</v>
          </cell>
          <cell r="AK18">
            <v>4000</v>
          </cell>
          <cell r="AP18">
            <v>1000</v>
          </cell>
          <cell r="AU18">
            <v>14000</v>
          </cell>
          <cell r="AV18">
            <v>12000</v>
          </cell>
          <cell r="AW18">
            <v>2000</v>
          </cell>
          <cell r="AZ18">
            <v>2000</v>
          </cell>
          <cell r="BA18">
            <v>6000</v>
          </cell>
          <cell r="BC18">
            <v>4000</v>
          </cell>
          <cell r="BK18">
            <v>8000</v>
          </cell>
          <cell r="BL18">
            <v>4000</v>
          </cell>
          <cell r="BN18">
            <v>4000</v>
          </cell>
          <cell r="BP18">
            <v>4000</v>
          </cell>
          <cell r="BQ18">
            <v>2000</v>
          </cell>
          <cell r="BR18">
            <v>2000</v>
          </cell>
          <cell r="BS18">
            <v>2000</v>
          </cell>
          <cell r="BU18">
            <v>2500</v>
          </cell>
          <cell r="BV18">
            <v>8000</v>
          </cell>
          <cell r="BW18">
            <v>4000</v>
          </cell>
          <cell r="BZ18">
            <v>2000</v>
          </cell>
          <cell r="CB18">
            <v>2000</v>
          </cell>
          <cell r="CF18">
            <v>2000</v>
          </cell>
          <cell r="CI18">
            <v>2000</v>
          </cell>
          <cell r="CK18">
            <v>4000</v>
          </cell>
          <cell r="CL18">
            <v>4000</v>
          </cell>
          <cell r="CQ18">
            <v>12000</v>
          </cell>
          <cell r="CU18">
            <v>2000</v>
          </cell>
          <cell r="CX18">
            <v>4000</v>
          </cell>
          <cell r="DA18">
            <v>12000</v>
          </cell>
          <cell r="DB18">
            <v>4000</v>
          </cell>
          <cell r="DC18">
            <v>12000</v>
          </cell>
          <cell r="DE18" t="str">
            <v>ACTIVO</v>
          </cell>
          <cell r="DF18" t="str">
            <v>C</v>
          </cell>
          <cell r="DH18">
            <v>5800</v>
          </cell>
          <cell r="DI18">
            <v>966.66666666666663</v>
          </cell>
        </row>
        <row r="19">
          <cell r="B19">
            <v>501114</v>
          </cell>
          <cell r="C19" t="str">
            <v>BOLSA COLOR AZUL 100 X 120 X 0,035 SIGNO</v>
          </cell>
          <cell r="DD19">
            <v>1000</v>
          </cell>
          <cell r="DE19" t="str">
            <v>ACTIVO</v>
          </cell>
          <cell r="DF19" t="str">
            <v/>
          </cell>
          <cell r="DH19">
            <v>1000</v>
          </cell>
          <cell r="DI19">
            <v>166.66666666666666</v>
          </cell>
        </row>
        <row r="20">
          <cell r="D20">
            <v>4360</v>
          </cell>
          <cell r="E20">
            <v>8344</v>
          </cell>
          <cell r="F20">
            <v>4419.8</v>
          </cell>
          <cell r="G20">
            <v>4379.2</v>
          </cell>
          <cell r="H20">
            <v>11045</v>
          </cell>
          <cell r="I20">
            <v>8390</v>
          </cell>
          <cell r="J20">
            <v>4328</v>
          </cell>
          <cell r="K20">
            <v>4460</v>
          </cell>
          <cell r="L20">
            <v>8420</v>
          </cell>
          <cell r="M20">
            <v>15015</v>
          </cell>
          <cell r="N20">
            <v>8395</v>
          </cell>
          <cell r="O20">
            <v>240</v>
          </cell>
          <cell r="P20">
            <v>8505</v>
          </cell>
          <cell r="Q20">
            <v>12168.1</v>
          </cell>
          <cell r="R20">
            <v>12330</v>
          </cell>
          <cell r="S20">
            <v>301</v>
          </cell>
          <cell r="T20">
            <v>9850.1</v>
          </cell>
          <cell r="U20">
            <v>8030</v>
          </cell>
          <cell r="V20">
            <v>8300</v>
          </cell>
          <cell r="W20">
            <v>7768.47</v>
          </cell>
          <cell r="X20">
            <v>8007.2</v>
          </cell>
          <cell r="Y20">
            <v>12405</v>
          </cell>
          <cell r="Z20">
            <v>4315</v>
          </cell>
          <cell r="AA20">
            <v>9770</v>
          </cell>
          <cell r="AB20">
            <v>12600</v>
          </cell>
          <cell r="AC20">
            <v>6740</v>
          </cell>
          <cell r="AD20">
            <v>90</v>
          </cell>
          <cell r="AE20">
            <v>60</v>
          </cell>
          <cell r="AF20">
            <v>6300</v>
          </cell>
          <cell r="AG20">
            <v>16255</v>
          </cell>
          <cell r="AH20">
            <v>4216.3999999999996</v>
          </cell>
          <cell r="AI20">
            <v>8425</v>
          </cell>
          <cell r="AJ20">
            <v>6367.2</v>
          </cell>
          <cell r="AK20">
            <v>12435</v>
          </cell>
          <cell r="AL20">
            <v>8340</v>
          </cell>
          <cell r="AM20">
            <v>4280</v>
          </cell>
          <cell r="AN20">
            <v>8400</v>
          </cell>
          <cell r="AO20">
            <v>8400</v>
          </cell>
          <cell r="AP20">
            <v>1390</v>
          </cell>
          <cell r="AQ20">
            <v>8304.2000000000007</v>
          </cell>
          <cell r="AR20">
            <v>8405</v>
          </cell>
          <cell r="AS20">
            <v>2435</v>
          </cell>
          <cell r="AT20">
            <v>4892.7</v>
          </cell>
          <cell r="AU20">
            <v>20168.2</v>
          </cell>
          <cell r="AV20">
            <v>12360</v>
          </cell>
          <cell r="AW20">
            <v>14259.6</v>
          </cell>
          <cell r="AX20">
            <v>6480</v>
          </cell>
          <cell r="AY20">
            <v>8450</v>
          </cell>
          <cell r="AZ20">
            <v>6450</v>
          </cell>
          <cell r="BA20">
            <v>14555</v>
          </cell>
          <cell r="BB20">
            <v>8279.1</v>
          </cell>
          <cell r="BC20">
            <v>8090</v>
          </cell>
          <cell r="BD20">
            <v>4377.6000000000004</v>
          </cell>
          <cell r="BE20">
            <v>4495</v>
          </cell>
          <cell r="BF20">
            <v>4151.7</v>
          </cell>
          <cell r="BG20">
            <v>10210</v>
          </cell>
          <cell r="BH20">
            <v>8510</v>
          </cell>
          <cell r="BI20">
            <v>4390</v>
          </cell>
          <cell r="BJ20">
            <v>4540</v>
          </cell>
          <cell r="BK20">
            <v>16205</v>
          </cell>
          <cell r="BL20">
            <v>12090</v>
          </cell>
          <cell r="BM20">
            <v>8435</v>
          </cell>
          <cell r="BN20">
            <v>8420</v>
          </cell>
          <cell r="BO20">
            <v>8390</v>
          </cell>
          <cell r="BP20">
            <v>4135</v>
          </cell>
          <cell r="BQ20">
            <v>14286</v>
          </cell>
          <cell r="BR20">
            <v>10265</v>
          </cell>
          <cell r="BS20">
            <v>10195</v>
          </cell>
          <cell r="BT20">
            <v>45</v>
          </cell>
          <cell r="BU20">
            <v>7235</v>
          </cell>
          <cell r="BV20">
            <v>16325</v>
          </cell>
          <cell r="BW20">
            <v>4195</v>
          </cell>
          <cell r="BX20">
            <v>4135</v>
          </cell>
          <cell r="BY20">
            <v>4210</v>
          </cell>
          <cell r="BZ20">
            <v>14221.5</v>
          </cell>
          <cell r="CA20">
            <v>8236.2999999999993</v>
          </cell>
          <cell r="CB20">
            <v>10291.9</v>
          </cell>
          <cell r="CC20">
            <v>2315</v>
          </cell>
          <cell r="CD20">
            <v>8297.6</v>
          </cell>
          <cell r="CE20">
            <v>4236.8</v>
          </cell>
          <cell r="CF20">
            <v>2000</v>
          </cell>
          <cell r="CG20">
            <v>4215</v>
          </cell>
          <cell r="CH20">
            <v>6266.2</v>
          </cell>
          <cell r="CI20">
            <v>16390</v>
          </cell>
          <cell r="CJ20">
            <v>4300</v>
          </cell>
          <cell r="CK20">
            <v>12405</v>
          </cell>
          <cell r="CL20">
            <v>10420</v>
          </cell>
          <cell r="CM20">
            <v>8054.7</v>
          </cell>
          <cell r="CN20">
            <v>4345</v>
          </cell>
          <cell r="CO20">
            <v>8240</v>
          </cell>
          <cell r="CP20">
            <v>4125</v>
          </cell>
          <cell r="CQ20">
            <v>14420</v>
          </cell>
          <cell r="CR20">
            <v>4289.1000000000004</v>
          </cell>
          <cell r="CS20">
            <v>2315</v>
          </cell>
          <cell r="CT20">
            <v>8345</v>
          </cell>
          <cell r="CU20">
            <v>8375</v>
          </cell>
          <cell r="CV20">
            <v>4388.7</v>
          </cell>
          <cell r="CW20">
            <v>8315</v>
          </cell>
          <cell r="CX20">
            <v>12252</v>
          </cell>
          <cell r="CY20">
            <v>8169</v>
          </cell>
          <cell r="CZ20">
            <v>3029.5</v>
          </cell>
          <cell r="DA20">
            <v>16360</v>
          </cell>
          <cell r="DB20">
            <v>4245</v>
          </cell>
          <cell r="DC20">
            <v>12120</v>
          </cell>
          <cell r="DD20">
            <v>5042.5</v>
          </cell>
          <cell r="DE20" t="str">
            <v>ACTIVO</v>
          </cell>
          <cell r="DF20" t="str">
            <v/>
          </cell>
          <cell r="DH20">
            <v>7697.0680000000002</v>
          </cell>
          <cell r="DI20">
            <v>1282.8446666666666</v>
          </cell>
        </row>
        <row r="21">
          <cell r="B21">
            <v>403393</v>
          </cell>
          <cell r="C21" t="str">
            <v>CAJA PTG 15PP SISA PROSERVAR</v>
          </cell>
          <cell r="W21">
            <v>500</v>
          </cell>
          <cell r="CI21">
            <v>500</v>
          </cell>
          <cell r="CL21">
            <v>500</v>
          </cell>
          <cell r="CT21">
            <v>500</v>
          </cell>
          <cell r="CV21">
            <v>500</v>
          </cell>
          <cell r="DC21">
            <v>450</v>
          </cell>
          <cell r="DE21" t="str">
            <v>ACTIVO</v>
          </cell>
          <cell r="DF21" t="str">
            <v/>
          </cell>
          <cell r="DH21">
            <v>490</v>
          </cell>
          <cell r="DI21">
            <v>81.666666666666671</v>
          </cell>
        </row>
        <row r="22">
          <cell r="B22">
            <v>107363</v>
          </cell>
          <cell r="C22" t="str">
            <v>CAJA PTG 15PP SISA SYCOR</v>
          </cell>
          <cell r="E22">
            <v>1600</v>
          </cell>
          <cell r="F22">
            <v>650</v>
          </cell>
          <cell r="G22">
            <v>1700</v>
          </cell>
          <cell r="H22">
            <v>1250</v>
          </cell>
          <cell r="I22">
            <v>900</v>
          </cell>
          <cell r="J22">
            <v>500</v>
          </cell>
          <cell r="K22">
            <v>450</v>
          </cell>
          <cell r="M22">
            <v>2250</v>
          </cell>
          <cell r="P22">
            <v>2350</v>
          </cell>
          <cell r="Q22">
            <v>2000</v>
          </cell>
          <cell r="R22">
            <v>500</v>
          </cell>
          <cell r="T22">
            <v>1500</v>
          </cell>
          <cell r="V22">
            <v>1000</v>
          </cell>
          <cell r="AL22">
            <v>1500</v>
          </cell>
          <cell r="AM22">
            <v>1000</v>
          </cell>
          <cell r="AW22">
            <v>550</v>
          </cell>
          <cell r="BB22">
            <v>500</v>
          </cell>
          <cell r="BE22">
            <v>600</v>
          </cell>
          <cell r="BH22">
            <v>600</v>
          </cell>
          <cell r="BK22">
            <v>600</v>
          </cell>
          <cell r="BR22">
            <v>600</v>
          </cell>
          <cell r="BT22">
            <v>400</v>
          </cell>
          <cell r="BV22">
            <v>500</v>
          </cell>
          <cell r="CG22">
            <v>500</v>
          </cell>
          <cell r="DE22" t="str">
            <v>ACTIVO</v>
          </cell>
          <cell r="DF22" t="str">
            <v>C</v>
          </cell>
          <cell r="DH22">
            <v>500</v>
          </cell>
          <cell r="DI22">
            <v>83.333333333333329</v>
          </cell>
        </row>
        <row r="23">
          <cell r="B23">
            <v>402252</v>
          </cell>
          <cell r="C23" t="str">
            <v>CAJA PTG 15PP SISA VTM SUR</v>
          </cell>
          <cell r="D23">
            <v>1000</v>
          </cell>
          <cell r="E23">
            <v>445</v>
          </cell>
          <cell r="H23">
            <v>900</v>
          </cell>
          <cell r="J23">
            <v>900</v>
          </cell>
          <cell r="L23">
            <v>1800</v>
          </cell>
          <cell r="AA23">
            <v>900</v>
          </cell>
          <cell r="AF23">
            <v>550</v>
          </cell>
          <cell r="AG23">
            <v>400</v>
          </cell>
          <cell r="AM23">
            <v>500</v>
          </cell>
          <cell r="CP23">
            <v>500</v>
          </cell>
          <cell r="CQ23">
            <v>1000</v>
          </cell>
          <cell r="DE23" t="str">
            <v>ACTIVO</v>
          </cell>
          <cell r="DF23" t="str">
            <v>C</v>
          </cell>
          <cell r="DH23">
            <v>750</v>
          </cell>
          <cell r="DI23">
            <v>125</v>
          </cell>
        </row>
        <row r="24">
          <cell r="B24">
            <v>403394</v>
          </cell>
          <cell r="C24" t="str">
            <v>CAJA PTG 15PP JUMBO PROSERVAR</v>
          </cell>
          <cell r="D24">
            <v>608</v>
          </cell>
          <cell r="V24">
            <v>500</v>
          </cell>
          <cell r="W24">
            <v>500</v>
          </cell>
          <cell r="X24">
            <v>500</v>
          </cell>
          <cell r="Y24">
            <v>500</v>
          </cell>
          <cell r="AB24">
            <v>500</v>
          </cell>
          <cell r="AJ24">
            <v>1000</v>
          </cell>
          <cell r="AK24">
            <v>450</v>
          </cell>
          <cell r="AM24">
            <v>500</v>
          </cell>
          <cell r="AN24">
            <v>500</v>
          </cell>
          <cell r="AZ24">
            <v>500</v>
          </cell>
          <cell r="BA24">
            <v>500</v>
          </cell>
          <cell r="BB24">
            <v>1000</v>
          </cell>
          <cell r="BD24">
            <v>500</v>
          </cell>
          <cell r="BE24">
            <v>500</v>
          </cell>
          <cell r="BF24">
            <v>500</v>
          </cell>
          <cell r="BG24">
            <v>500</v>
          </cell>
          <cell r="BH24">
            <v>500</v>
          </cell>
          <cell r="BQ24">
            <v>500</v>
          </cell>
          <cell r="BZ24">
            <v>500</v>
          </cell>
          <cell r="CA24">
            <v>500</v>
          </cell>
          <cell r="CC24">
            <v>500</v>
          </cell>
          <cell r="CD24">
            <v>500</v>
          </cell>
          <cell r="CG24">
            <v>500</v>
          </cell>
          <cell r="CH24">
            <v>500</v>
          </cell>
          <cell r="CI24">
            <v>500</v>
          </cell>
          <cell r="CJ24">
            <v>500</v>
          </cell>
          <cell r="CX24">
            <v>500</v>
          </cell>
          <cell r="DE24" t="str">
            <v>ACTIVO</v>
          </cell>
          <cell r="DF24" t="str">
            <v>C</v>
          </cell>
          <cell r="DH24">
            <v>500</v>
          </cell>
          <cell r="DI24">
            <v>83.333333333333329</v>
          </cell>
        </row>
        <row r="25">
          <cell r="B25">
            <v>107362</v>
          </cell>
          <cell r="C25" t="str">
            <v>CAJA PTG 15PP JUMBO SYCOR</v>
          </cell>
          <cell r="G25">
            <v>800</v>
          </cell>
          <cell r="I25">
            <v>400</v>
          </cell>
          <cell r="L25">
            <v>450</v>
          </cell>
          <cell r="M25">
            <v>450</v>
          </cell>
          <cell r="N25">
            <v>950</v>
          </cell>
          <cell r="P25">
            <v>500</v>
          </cell>
          <cell r="R25">
            <v>500</v>
          </cell>
          <cell r="S25">
            <v>500</v>
          </cell>
          <cell r="AA25">
            <v>500</v>
          </cell>
          <cell r="AH25">
            <v>1000</v>
          </cell>
          <cell r="AS25">
            <v>500</v>
          </cell>
          <cell r="AT25">
            <v>500</v>
          </cell>
          <cell r="AV25">
            <v>1000</v>
          </cell>
          <cell r="BI25">
            <v>500</v>
          </cell>
          <cell r="BK25">
            <v>500</v>
          </cell>
          <cell r="BL25">
            <v>500</v>
          </cell>
          <cell r="BM25">
            <v>500</v>
          </cell>
          <cell r="BN25">
            <v>500</v>
          </cell>
          <cell r="BO25">
            <v>500</v>
          </cell>
          <cell r="BQ25">
            <v>500</v>
          </cell>
          <cell r="BR25">
            <v>500</v>
          </cell>
          <cell r="BS25">
            <v>500</v>
          </cell>
          <cell r="BT25">
            <v>759</v>
          </cell>
          <cell r="BU25">
            <v>500</v>
          </cell>
          <cell r="BY25">
            <v>1000</v>
          </cell>
          <cell r="CZ25">
            <v>500</v>
          </cell>
          <cell r="DE25" t="str">
            <v>ACTIVO</v>
          </cell>
          <cell r="DF25" t="str">
            <v>C</v>
          </cell>
          <cell r="DH25">
            <v>500</v>
          </cell>
          <cell r="DI25">
            <v>83.333333333333329</v>
          </cell>
        </row>
        <row r="26">
          <cell r="B26">
            <v>402251</v>
          </cell>
          <cell r="C26" t="str">
            <v>CAJA PTG 15PP JUMBO VTM SUR</v>
          </cell>
          <cell r="K26">
            <v>450</v>
          </cell>
          <cell r="AE26">
            <v>450</v>
          </cell>
          <cell r="AL26">
            <v>500</v>
          </cell>
          <cell r="AN26">
            <v>600</v>
          </cell>
          <cell r="AQ26">
            <v>1300</v>
          </cell>
          <cell r="AR26">
            <v>550</v>
          </cell>
          <cell r="AW26">
            <v>500</v>
          </cell>
          <cell r="AX26">
            <v>500</v>
          </cell>
          <cell r="BD26">
            <v>500</v>
          </cell>
          <cell r="BU26">
            <v>500</v>
          </cell>
          <cell r="CM26">
            <v>500</v>
          </cell>
          <cell r="CP26">
            <v>500</v>
          </cell>
          <cell r="CQ26">
            <v>500</v>
          </cell>
          <cell r="CR26">
            <v>500</v>
          </cell>
          <cell r="CS26">
            <v>500</v>
          </cell>
          <cell r="CT26">
            <v>500</v>
          </cell>
          <cell r="CV26">
            <v>1000</v>
          </cell>
          <cell r="DA26">
            <v>500</v>
          </cell>
          <cell r="DB26">
            <v>500</v>
          </cell>
          <cell r="DC26">
            <v>500</v>
          </cell>
          <cell r="DD26">
            <v>400</v>
          </cell>
          <cell r="DE26" t="str">
            <v>ACTIVO</v>
          </cell>
          <cell r="DF26" t="str">
            <v>C</v>
          </cell>
          <cell r="DH26">
            <v>536.36363636363637</v>
          </cell>
          <cell r="DI26">
            <v>89.393939393939391</v>
          </cell>
        </row>
        <row r="27">
          <cell r="B27">
            <v>107276</v>
          </cell>
          <cell r="C27" t="str">
            <v>CAJA TORTA MEDIANA PROSERVAR</v>
          </cell>
          <cell r="G27">
            <v>1600</v>
          </cell>
          <cell r="I27">
            <v>1600</v>
          </cell>
          <cell r="AZ27">
            <v>500</v>
          </cell>
          <cell r="BB27">
            <v>500</v>
          </cell>
          <cell r="BC27">
            <v>600</v>
          </cell>
          <cell r="BH27">
            <v>550</v>
          </cell>
          <cell r="BI27">
            <v>500</v>
          </cell>
          <cell r="BK27">
            <v>500</v>
          </cell>
          <cell r="CX27">
            <v>500</v>
          </cell>
          <cell r="CZ27">
            <v>200</v>
          </cell>
          <cell r="DE27" t="str">
            <v>ACTIVO</v>
          </cell>
          <cell r="DF27" t="str">
            <v>C</v>
          </cell>
          <cell r="DH27">
            <v>350</v>
          </cell>
          <cell r="DI27">
            <v>58.333333333333336</v>
          </cell>
        </row>
        <row r="28">
          <cell r="B28">
            <v>402253</v>
          </cell>
          <cell r="C28" t="str">
            <v>CAJA TORTA MEDIANA VTM SUR</v>
          </cell>
          <cell r="D28">
            <v>2400</v>
          </cell>
          <cell r="G28">
            <v>629.58199999999999</v>
          </cell>
          <cell r="J28">
            <v>1200</v>
          </cell>
          <cell r="K28">
            <v>1700</v>
          </cell>
          <cell r="L28">
            <v>2100</v>
          </cell>
          <cell r="M28">
            <v>500</v>
          </cell>
          <cell r="W28">
            <v>2400</v>
          </cell>
          <cell r="Y28">
            <v>1000</v>
          </cell>
          <cell r="AE28">
            <v>1600</v>
          </cell>
          <cell r="AG28">
            <v>1300</v>
          </cell>
          <cell r="AL28">
            <v>1300</v>
          </cell>
          <cell r="AP28">
            <v>400</v>
          </cell>
          <cell r="AQ28">
            <v>882</v>
          </cell>
          <cell r="BP28">
            <v>500</v>
          </cell>
          <cell r="CB28">
            <v>600</v>
          </cell>
          <cell r="CL28">
            <v>700</v>
          </cell>
          <cell r="CP28">
            <v>500</v>
          </cell>
          <cell r="CR28">
            <v>600</v>
          </cell>
          <cell r="CZ28">
            <v>200</v>
          </cell>
          <cell r="DB28">
            <v>500</v>
          </cell>
          <cell r="DC28">
            <v>500</v>
          </cell>
          <cell r="DE28" t="str">
            <v>ACTIVO</v>
          </cell>
          <cell r="DF28" t="str">
            <v>C</v>
          </cell>
          <cell r="DH28">
            <v>500</v>
          </cell>
          <cell r="DI28">
            <v>83.333333333333329</v>
          </cell>
        </row>
        <row r="29">
          <cell r="B29">
            <v>107364</v>
          </cell>
          <cell r="C29" t="str">
            <v>CAJA TORTA MEDIANA SYCOR</v>
          </cell>
          <cell r="F29">
            <v>1800</v>
          </cell>
          <cell r="G29">
            <v>720.41800000000001</v>
          </cell>
          <cell r="L29">
            <v>800</v>
          </cell>
          <cell r="M29">
            <v>1300</v>
          </cell>
          <cell r="N29">
            <v>1500</v>
          </cell>
          <cell r="O29">
            <v>500</v>
          </cell>
          <cell r="P29">
            <v>1000</v>
          </cell>
          <cell r="Q29">
            <v>2300</v>
          </cell>
          <cell r="U29">
            <v>1000</v>
          </cell>
          <cell r="AJ29">
            <v>600</v>
          </cell>
          <cell r="AL29">
            <v>650</v>
          </cell>
          <cell r="AN29">
            <v>750</v>
          </cell>
          <cell r="AU29">
            <v>500</v>
          </cell>
          <cell r="AV29">
            <v>500</v>
          </cell>
          <cell r="AY29">
            <v>500</v>
          </cell>
          <cell r="BA29">
            <v>500</v>
          </cell>
          <cell r="BB29">
            <v>500</v>
          </cell>
          <cell r="BK29">
            <v>1000</v>
          </cell>
          <cell r="BL29">
            <v>500</v>
          </cell>
          <cell r="BM29">
            <v>500</v>
          </cell>
          <cell r="BN29">
            <v>500</v>
          </cell>
          <cell r="BQ29">
            <v>500</v>
          </cell>
          <cell r="BS29">
            <v>500</v>
          </cell>
          <cell r="BT29">
            <v>3000</v>
          </cell>
          <cell r="CI29">
            <v>1000</v>
          </cell>
          <cell r="CK29">
            <v>500</v>
          </cell>
          <cell r="CQ29">
            <v>500</v>
          </cell>
          <cell r="CU29">
            <v>500</v>
          </cell>
          <cell r="CW29">
            <v>500</v>
          </cell>
          <cell r="DE29" t="str">
            <v>ACTIVO</v>
          </cell>
          <cell r="DF29" t="str">
            <v>C</v>
          </cell>
          <cell r="DH29">
            <v>600</v>
          </cell>
          <cell r="DI29">
            <v>100</v>
          </cell>
        </row>
        <row r="30">
          <cell r="B30">
            <v>405419</v>
          </cell>
          <cell r="C30" t="str">
            <v>CAJA DOS TORTAS PROSERVAR</v>
          </cell>
          <cell r="AJ30">
            <v>1050</v>
          </cell>
          <cell r="DE30" t="str">
            <v>ACTIVO</v>
          </cell>
          <cell r="DF30" t="str">
            <v>C</v>
          </cell>
          <cell r="DH30">
            <v>0</v>
          </cell>
          <cell r="DI30">
            <v>0</v>
          </cell>
        </row>
        <row r="31">
          <cell r="B31">
            <v>501146</v>
          </cell>
          <cell r="C31" t="str">
            <v>CAJA PLASTICA AZUL QUINTA</v>
          </cell>
          <cell r="AT31">
            <v>72</v>
          </cell>
          <cell r="DE31" t="str">
            <v>ACTIVO</v>
          </cell>
          <cell r="DF31" t="str">
            <v>C</v>
          </cell>
          <cell r="DH31">
            <v>0</v>
          </cell>
          <cell r="DI31">
            <v>0</v>
          </cell>
        </row>
        <row r="32">
          <cell r="B32">
            <v>107361</v>
          </cell>
          <cell r="C32" t="str">
            <v>CAJA  PTG AZUL 15PP ALTA SYCOR</v>
          </cell>
          <cell r="G32">
            <v>399</v>
          </cell>
          <cell r="N32">
            <v>1000</v>
          </cell>
          <cell r="AS32">
            <v>500</v>
          </cell>
          <cell r="AW32">
            <v>500</v>
          </cell>
          <cell r="AZ32">
            <v>500</v>
          </cell>
          <cell r="BA32">
            <v>500</v>
          </cell>
          <cell r="BC32">
            <v>500</v>
          </cell>
          <cell r="BE32">
            <v>500</v>
          </cell>
          <cell r="BK32">
            <v>500</v>
          </cell>
          <cell r="BY32">
            <v>500</v>
          </cell>
          <cell r="CC32">
            <v>400</v>
          </cell>
          <cell r="CN32">
            <v>500</v>
          </cell>
          <cell r="CO32">
            <v>500</v>
          </cell>
          <cell r="CR32">
            <v>500</v>
          </cell>
          <cell r="DE32" t="str">
            <v>ACTIVO</v>
          </cell>
          <cell r="DF32" t="str">
            <v>C</v>
          </cell>
          <cell r="DH32">
            <v>500</v>
          </cell>
          <cell r="DI32">
            <v>83.333333333333329</v>
          </cell>
        </row>
        <row r="33">
          <cell r="B33">
            <v>403310</v>
          </cell>
          <cell r="C33" t="str">
            <v>CAJA  PTG AZUL 15PP ALTA</v>
          </cell>
          <cell r="D33">
            <v>400</v>
          </cell>
          <cell r="P33">
            <v>500</v>
          </cell>
          <cell r="T33">
            <v>400</v>
          </cell>
          <cell r="AA33">
            <v>500</v>
          </cell>
          <cell r="AB33">
            <v>300</v>
          </cell>
          <cell r="AI33">
            <v>500</v>
          </cell>
          <cell r="DE33" t="str">
            <v>ACTIVO</v>
          </cell>
          <cell r="DF33" t="str">
            <v>C</v>
          </cell>
          <cell r="DH33">
            <v>0</v>
          </cell>
          <cell r="DI33">
            <v>0</v>
          </cell>
        </row>
        <row r="34">
          <cell r="B34">
            <v>405503</v>
          </cell>
          <cell r="C34" t="str">
            <v>CAJA PASTELES ASTRA</v>
          </cell>
          <cell r="AN34">
            <v>500</v>
          </cell>
          <cell r="AP34">
            <v>870</v>
          </cell>
          <cell r="BE34">
            <v>600</v>
          </cell>
          <cell r="BH34">
            <v>600</v>
          </cell>
          <cell r="BL34">
            <v>858</v>
          </cell>
          <cell r="BY34">
            <v>1250</v>
          </cell>
          <cell r="CG34">
            <v>1700</v>
          </cell>
          <cell r="CO34">
            <v>550</v>
          </cell>
          <cell r="CV34">
            <v>950</v>
          </cell>
          <cell r="CZ34">
            <v>362</v>
          </cell>
          <cell r="DE34" t="str">
            <v>ACTIVO</v>
          </cell>
          <cell r="DF34" t="str">
            <v>C</v>
          </cell>
          <cell r="DH34">
            <v>890.5</v>
          </cell>
          <cell r="DI34">
            <v>148.41666666666666</v>
          </cell>
        </row>
        <row r="35">
          <cell r="B35">
            <v>403315</v>
          </cell>
          <cell r="C35" t="str">
            <v>CAJA DE PASTELES PAIMASA</v>
          </cell>
          <cell r="P35">
            <v>50</v>
          </cell>
          <cell r="R35">
            <v>500</v>
          </cell>
          <cell r="T35">
            <v>700</v>
          </cell>
          <cell r="AB35">
            <v>1250</v>
          </cell>
          <cell r="AH35">
            <v>1500</v>
          </cell>
          <cell r="DE35" t="str">
            <v>ACTIVO</v>
          </cell>
          <cell r="DF35" t="str">
            <v>C</v>
          </cell>
          <cell r="DH35">
            <v>0</v>
          </cell>
          <cell r="DI35">
            <v>0</v>
          </cell>
        </row>
        <row r="36">
          <cell r="B36">
            <v>107365</v>
          </cell>
          <cell r="C36" t="str">
            <v>CAJA PRODUCTO SECO (PS) SYCOR</v>
          </cell>
          <cell r="F36">
            <v>450</v>
          </cell>
          <cell r="G36">
            <v>300</v>
          </cell>
          <cell r="I36">
            <v>500</v>
          </cell>
          <cell r="K36">
            <v>500</v>
          </cell>
          <cell r="N36">
            <v>500</v>
          </cell>
          <cell r="O36">
            <v>1000</v>
          </cell>
          <cell r="P36">
            <v>1050</v>
          </cell>
          <cell r="Q36">
            <v>400</v>
          </cell>
          <cell r="R36">
            <v>50</v>
          </cell>
          <cell r="V36">
            <v>500</v>
          </cell>
          <cell r="W36">
            <v>500</v>
          </cell>
          <cell r="X36">
            <v>500</v>
          </cell>
          <cell r="Y36">
            <v>500</v>
          </cell>
          <cell r="AB36">
            <v>500</v>
          </cell>
          <cell r="AC36">
            <v>1000</v>
          </cell>
          <cell r="AH36">
            <v>1100</v>
          </cell>
          <cell r="AI36">
            <v>600</v>
          </cell>
          <cell r="AJ36">
            <v>400</v>
          </cell>
          <cell r="AM36">
            <v>500</v>
          </cell>
          <cell r="AQ36">
            <v>650</v>
          </cell>
          <cell r="AS36">
            <v>1120</v>
          </cell>
          <cell r="AV36">
            <v>1000</v>
          </cell>
          <cell r="AW36">
            <v>576</v>
          </cell>
          <cell r="AZ36">
            <v>500</v>
          </cell>
          <cell r="BB36">
            <v>1000</v>
          </cell>
          <cell r="BD36">
            <v>500</v>
          </cell>
          <cell r="BE36">
            <v>500</v>
          </cell>
          <cell r="BF36">
            <v>475</v>
          </cell>
          <cell r="BH36">
            <v>1000</v>
          </cell>
          <cell r="BK36">
            <v>500</v>
          </cell>
          <cell r="BN36">
            <v>500</v>
          </cell>
          <cell r="BO36">
            <v>500</v>
          </cell>
          <cell r="BQ36">
            <v>500</v>
          </cell>
          <cell r="BU36">
            <v>500</v>
          </cell>
          <cell r="BV36">
            <v>500</v>
          </cell>
          <cell r="BY36">
            <v>500</v>
          </cell>
          <cell r="CA36">
            <v>600</v>
          </cell>
          <cell r="CB36">
            <v>500</v>
          </cell>
          <cell r="CD36">
            <v>500</v>
          </cell>
          <cell r="CE36">
            <v>144</v>
          </cell>
          <cell r="CG36">
            <v>500</v>
          </cell>
          <cell r="CK36">
            <v>500</v>
          </cell>
          <cell r="CL36">
            <v>500</v>
          </cell>
          <cell r="CN36">
            <v>500</v>
          </cell>
          <cell r="CP36">
            <v>500</v>
          </cell>
          <cell r="CQ36">
            <v>500</v>
          </cell>
          <cell r="CS36">
            <v>1000</v>
          </cell>
          <cell r="CV36">
            <v>500</v>
          </cell>
          <cell r="CX36">
            <v>500</v>
          </cell>
          <cell r="DA36">
            <v>500</v>
          </cell>
          <cell r="DC36">
            <v>589</v>
          </cell>
          <cell r="DD36">
            <v>500</v>
          </cell>
          <cell r="DE36" t="str">
            <v>ACTIVO</v>
          </cell>
          <cell r="DF36" t="str">
            <v>C</v>
          </cell>
          <cell r="DH36">
            <v>549.08333333333337</v>
          </cell>
          <cell r="DI36">
            <v>91.5138888888889</v>
          </cell>
        </row>
        <row r="37">
          <cell r="B37">
            <v>107367</v>
          </cell>
          <cell r="C37" t="str">
            <v>CAJA DE ENCOMIENDA (EN) SYCOR</v>
          </cell>
          <cell r="E37">
            <v>400</v>
          </cell>
          <cell r="F37">
            <v>400</v>
          </cell>
          <cell r="G37">
            <v>400</v>
          </cell>
          <cell r="J37">
            <v>400</v>
          </cell>
          <cell r="K37">
            <v>400</v>
          </cell>
          <cell r="M37">
            <v>400</v>
          </cell>
          <cell r="N37">
            <v>500</v>
          </cell>
          <cell r="P37">
            <v>900</v>
          </cell>
          <cell r="U37">
            <v>400</v>
          </cell>
          <cell r="Y37">
            <v>400</v>
          </cell>
          <cell r="AB37">
            <v>400</v>
          </cell>
          <cell r="AC37">
            <v>800</v>
          </cell>
          <cell r="AF37">
            <v>400</v>
          </cell>
          <cell r="AG37">
            <v>400</v>
          </cell>
          <cell r="AH37">
            <v>600</v>
          </cell>
          <cell r="AJ37">
            <v>500</v>
          </cell>
          <cell r="AK37">
            <v>170</v>
          </cell>
          <cell r="AP37">
            <v>500</v>
          </cell>
          <cell r="AQ37">
            <v>550</v>
          </cell>
          <cell r="AS37">
            <v>1350</v>
          </cell>
          <cell r="AU37">
            <v>450</v>
          </cell>
          <cell r="AW37">
            <v>500</v>
          </cell>
          <cell r="AY37">
            <v>500</v>
          </cell>
          <cell r="BA37">
            <v>500</v>
          </cell>
          <cell r="BB37">
            <v>550</v>
          </cell>
          <cell r="BC37">
            <v>500</v>
          </cell>
          <cell r="BD37">
            <v>400</v>
          </cell>
          <cell r="BE37">
            <v>500</v>
          </cell>
          <cell r="BF37">
            <v>400</v>
          </cell>
          <cell r="BJ37">
            <v>225</v>
          </cell>
          <cell r="BO37">
            <v>550</v>
          </cell>
          <cell r="BP37">
            <v>150</v>
          </cell>
          <cell r="BU37">
            <v>500</v>
          </cell>
          <cell r="BV37">
            <v>500</v>
          </cell>
          <cell r="CA37">
            <v>500</v>
          </cell>
          <cell r="CC37">
            <v>500</v>
          </cell>
          <cell r="CF37">
            <v>400</v>
          </cell>
          <cell r="CG37">
            <v>500</v>
          </cell>
          <cell r="CK37">
            <v>400</v>
          </cell>
          <cell r="CN37">
            <v>400</v>
          </cell>
          <cell r="CQ37">
            <v>400</v>
          </cell>
          <cell r="CS37">
            <v>400</v>
          </cell>
          <cell r="CV37">
            <v>400</v>
          </cell>
          <cell r="CX37">
            <v>400</v>
          </cell>
          <cell r="CZ37">
            <v>400</v>
          </cell>
          <cell r="DB37">
            <v>800</v>
          </cell>
          <cell r="DE37" t="str">
            <v>ACTIVO</v>
          </cell>
          <cell r="DF37" t="str">
            <v>B</v>
          </cell>
          <cell r="DH37">
            <v>450</v>
          </cell>
          <cell r="DI37">
            <v>75</v>
          </cell>
        </row>
        <row r="38">
          <cell r="B38">
            <v>403308</v>
          </cell>
          <cell r="C38" t="str">
            <v>CAJA MADRE DE PLANCHAS (PL) PAIMASA</v>
          </cell>
          <cell r="I38">
            <v>400</v>
          </cell>
          <cell r="Z38">
            <v>500</v>
          </cell>
          <cell r="AH38">
            <v>500</v>
          </cell>
          <cell r="DE38" t="str">
            <v>SIN USO</v>
          </cell>
          <cell r="DF38" t="str">
            <v>C</v>
          </cell>
          <cell r="DH38">
            <v>0</v>
          </cell>
          <cell r="DI38">
            <v>0</v>
          </cell>
        </row>
        <row r="39">
          <cell r="B39">
            <v>107366</v>
          </cell>
          <cell r="C39" t="str">
            <v>CAJA MADRE DE PLANCHAS (PL) SYCOR</v>
          </cell>
          <cell r="O39">
            <v>500</v>
          </cell>
          <cell r="Q39">
            <v>500</v>
          </cell>
          <cell r="BG39">
            <v>600</v>
          </cell>
          <cell r="BQ39">
            <v>500</v>
          </cell>
          <cell r="CA39">
            <v>500</v>
          </cell>
          <cell r="CK39">
            <v>905</v>
          </cell>
          <cell r="DE39" t="str">
            <v>SIN USO</v>
          </cell>
          <cell r="DF39" t="str">
            <v>C</v>
          </cell>
          <cell r="DH39">
            <v>905</v>
          </cell>
          <cell r="DI39">
            <v>150.83333333333334</v>
          </cell>
        </row>
        <row r="40">
          <cell r="B40">
            <v>405383</v>
          </cell>
          <cell r="C40" t="str">
            <v>ESTUCHE GALLETAS VERA Y GIANNINI</v>
          </cell>
          <cell r="AB40">
            <v>2600</v>
          </cell>
          <cell r="AC40">
            <v>2800</v>
          </cell>
          <cell r="AE40">
            <v>600</v>
          </cell>
          <cell r="AF40">
            <v>1400</v>
          </cell>
          <cell r="AH40">
            <v>2000</v>
          </cell>
          <cell r="AI40">
            <v>1600</v>
          </cell>
          <cell r="AJ40">
            <v>3400</v>
          </cell>
          <cell r="AK40">
            <v>1800</v>
          </cell>
          <cell r="AL40">
            <v>1600</v>
          </cell>
          <cell r="AM40">
            <v>400</v>
          </cell>
          <cell r="AN40">
            <v>400</v>
          </cell>
          <cell r="AO40">
            <v>1000</v>
          </cell>
          <cell r="AP40">
            <v>400</v>
          </cell>
          <cell r="AQ40">
            <v>1000</v>
          </cell>
          <cell r="AR40">
            <v>200</v>
          </cell>
          <cell r="AS40">
            <v>200</v>
          </cell>
          <cell r="AT40">
            <v>400</v>
          </cell>
          <cell r="AU40">
            <v>600</v>
          </cell>
          <cell r="AV40">
            <v>400</v>
          </cell>
          <cell r="AW40">
            <v>600</v>
          </cell>
          <cell r="AX40">
            <v>400</v>
          </cell>
          <cell r="AY40">
            <v>600</v>
          </cell>
          <cell r="AZ40">
            <v>1800</v>
          </cell>
          <cell r="BA40">
            <v>1600</v>
          </cell>
          <cell r="BB40">
            <v>2200</v>
          </cell>
          <cell r="BC40">
            <v>200</v>
          </cell>
          <cell r="BD40">
            <v>600</v>
          </cell>
          <cell r="BE40">
            <v>1400</v>
          </cell>
          <cell r="BF40">
            <v>1400</v>
          </cell>
          <cell r="BG40">
            <v>1200</v>
          </cell>
          <cell r="BH40">
            <v>1400</v>
          </cell>
          <cell r="BI40">
            <v>1000</v>
          </cell>
          <cell r="BR40">
            <v>2440</v>
          </cell>
          <cell r="BS40">
            <v>1000</v>
          </cell>
          <cell r="BT40">
            <v>1200</v>
          </cell>
          <cell r="BU40">
            <v>1400</v>
          </cell>
          <cell r="DE40" t="str">
            <v>ACTIVO</v>
          </cell>
          <cell r="DF40" t="str">
            <v>C</v>
          </cell>
          <cell r="DH40">
            <v>0</v>
          </cell>
          <cell r="DI40">
            <v>0</v>
          </cell>
        </row>
        <row r="41">
          <cell r="B41">
            <v>405792</v>
          </cell>
          <cell r="C41" t="str">
            <v>CAJA TORTA MEDIANA FULL CARTON</v>
          </cell>
          <cell r="DD41">
            <v>700</v>
          </cell>
          <cell r="DE41" t="str">
            <v>ACTIVO</v>
          </cell>
          <cell r="DF41" t="str">
            <v/>
          </cell>
          <cell r="DH41">
            <v>700</v>
          </cell>
          <cell r="DI41">
            <v>116.66666666666667</v>
          </cell>
        </row>
        <row r="42">
          <cell r="D42">
            <v>4408</v>
          </cell>
          <cell r="E42">
            <v>2445</v>
          </cell>
          <cell r="F42">
            <v>3300</v>
          </cell>
          <cell r="G42">
            <v>6549</v>
          </cell>
          <cell r="H42">
            <v>2150</v>
          </cell>
          <cell r="I42">
            <v>3800</v>
          </cell>
          <cell r="J42">
            <v>3000</v>
          </cell>
          <cell r="K42">
            <v>3500</v>
          </cell>
          <cell r="L42">
            <v>5150</v>
          </cell>
          <cell r="M42">
            <v>4900</v>
          </cell>
          <cell r="N42">
            <v>4450</v>
          </cell>
          <cell r="O42">
            <v>2000</v>
          </cell>
          <cell r="P42">
            <v>6350</v>
          </cell>
          <cell r="Q42">
            <v>5200</v>
          </cell>
          <cell r="R42">
            <v>1550</v>
          </cell>
          <cell r="S42">
            <v>500</v>
          </cell>
          <cell r="T42">
            <v>2600</v>
          </cell>
          <cell r="U42">
            <v>1400</v>
          </cell>
          <cell r="V42">
            <v>2000</v>
          </cell>
          <cell r="W42">
            <v>3900</v>
          </cell>
          <cell r="X42">
            <v>1000</v>
          </cell>
          <cell r="Y42">
            <v>2400</v>
          </cell>
          <cell r="Z42">
            <v>500</v>
          </cell>
          <cell r="AA42">
            <v>1900</v>
          </cell>
          <cell r="AB42">
            <v>5550</v>
          </cell>
          <cell r="AC42">
            <v>4600</v>
          </cell>
          <cell r="AE42">
            <v>2650</v>
          </cell>
          <cell r="AF42">
            <v>2350</v>
          </cell>
          <cell r="AG42">
            <v>2100</v>
          </cell>
          <cell r="AH42">
            <v>6700</v>
          </cell>
          <cell r="AI42">
            <v>2700</v>
          </cell>
          <cell r="AJ42">
            <v>6950</v>
          </cell>
          <cell r="AK42">
            <v>2420</v>
          </cell>
          <cell r="AL42">
            <v>5550</v>
          </cell>
          <cell r="AM42">
            <v>2900</v>
          </cell>
          <cell r="AN42">
            <v>2750</v>
          </cell>
          <cell r="AO42">
            <v>1000</v>
          </cell>
          <cell r="AP42">
            <v>2170</v>
          </cell>
          <cell r="AQ42">
            <v>4382</v>
          </cell>
          <cell r="AR42">
            <v>750</v>
          </cell>
          <cell r="AS42">
            <v>3670</v>
          </cell>
          <cell r="AT42">
            <v>972</v>
          </cell>
          <cell r="AU42">
            <v>1550</v>
          </cell>
          <cell r="AV42">
            <v>2900</v>
          </cell>
          <cell r="AW42">
            <v>3226</v>
          </cell>
          <cell r="AX42">
            <v>900</v>
          </cell>
          <cell r="AY42">
            <v>1600</v>
          </cell>
          <cell r="AZ42">
            <v>3800</v>
          </cell>
          <cell r="BA42">
            <v>3600</v>
          </cell>
          <cell r="BB42">
            <v>6250</v>
          </cell>
          <cell r="BC42">
            <v>1800</v>
          </cell>
          <cell r="BD42">
            <v>2500</v>
          </cell>
          <cell r="BE42">
            <v>4600</v>
          </cell>
          <cell r="BF42">
            <v>2775</v>
          </cell>
          <cell r="BG42">
            <v>2300</v>
          </cell>
          <cell r="BH42">
            <v>4650</v>
          </cell>
          <cell r="BI42">
            <v>2000</v>
          </cell>
          <cell r="BJ42">
            <v>225</v>
          </cell>
          <cell r="BK42">
            <v>3600</v>
          </cell>
          <cell r="BL42">
            <v>1858</v>
          </cell>
          <cell r="BM42">
            <v>1000</v>
          </cell>
          <cell r="BN42">
            <v>1500</v>
          </cell>
          <cell r="BO42">
            <v>1550</v>
          </cell>
          <cell r="BP42">
            <v>650</v>
          </cell>
          <cell r="BQ42">
            <v>2500</v>
          </cell>
          <cell r="BR42">
            <v>3540</v>
          </cell>
          <cell r="BS42">
            <v>2000</v>
          </cell>
          <cell r="BT42">
            <v>5359</v>
          </cell>
          <cell r="BU42">
            <v>3400</v>
          </cell>
          <cell r="BV42">
            <v>1500</v>
          </cell>
          <cell r="BY42">
            <v>3250</v>
          </cell>
          <cell r="BZ42">
            <v>500</v>
          </cell>
          <cell r="CA42">
            <v>2100</v>
          </cell>
          <cell r="CB42">
            <v>1100</v>
          </cell>
          <cell r="CC42">
            <v>1400</v>
          </cell>
          <cell r="CD42">
            <v>1000</v>
          </cell>
          <cell r="CE42">
            <v>144</v>
          </cell>
          <cell r="CF42">
            <v>400</v>
          </cell>
          <cell r="CG42">
            <v>3700</v>
          </cell>
          <cell r="CH42">
            <v>500</v>
          </cell>
          <cell r="CI42">
            <v>2000</v>
          </cell>
          <cell r="CJ42">
            <v>500</v>
          </cell>
          <cell r="CK42">
            <v>2305</v>
          </cell>
          <cell r="CL42">
            <v>1700</v>
          </cell>
          <cell r="CM42">
            <v>500</v>
          </cell>
          <cell r="CN42">
            <v>1400</v>
          </cell>
          <cell r="CO42">
            <v>1050</v>
          </cell>
          <cell r="CP42">
            <v>2000</v>
          </cell>
          <cell r="CQ42">
            <v>2900</v>
          </cell>
          <cell r="CR42">
            <v>1600</v>
          </cell>
          <cell r="CS42">
            <v>1900</v>
          </cell>
          <cell r="CT42">
            <v>1000</v>
          </cell>
          <cell r="CU42">
            <v>500</v>
          </cell>
          <cell r="CV42">
            <v>3350</v>
          </cell>
          <cell r="CW42">
            <v>500</v>
          </cell>
          <cell r="CX42">
            <v>1900</v>
          </cell>
          <cell r="CZ42">
            <v>1662</v>
          </cell>
          <cell r="DA42">
            <v>1000</v>
          </cell>
          <cell r="DB42">
            <v>1800</v>
          </cell>
          <cell r="DC42">
            <v>2039</v>
          </cell>
          <cell r="DD42">
            <v>1600</v>
          </cell>
          <cell r="DE42" t="str">
            <v>ACTIVO</v>
          </cell>
          <cell r="DF42" t="str">
            <v/>
          </cell>
          <cell r="DH42">
            <v>1575.25</v>
          </cell>
          <cell r="DI42">
            <v>262.54166666666669</v>
          </cell>
        </row>
        <row r="43">
          <cell r="B43">
            <v>403395</v>
          </cell>
          <cell r="C43" t="str">
            <v>PLANCHA DE CARTON 1X1,20 PROSERVAR</v>
          </cell>
          <cell r="D43">
            <v>500</v>
          </cell>
          <cell r="H43">
            <v>500</v>
          </cell>
          <cell r="DE43" t="str">
            <v>ACTIVO</v>
          </cell>
          <cell r="DF43" t="str">
            <v/>
          </cell>
          <cell r="DH43">
            <v>0</v>
          </cell>
          <cell r="DI43">
            <v>0</v>
          </cell>
        </row>
        <row r="44">
          <cell r="B44">
            <v>107316</v>
          </cell>
          <cell r="C44" t="str">
            <v>PLANCHA DE CARTON 1X1,20 ASTRA</v>
          </cell>
          <cell r="F44">
            <v>500</v>
          </cell>
          <cell r="G44">
            <v>500</v>
          </cell>
          <cell r="K44">
            <v>400</v>
          </cell>
          <cell r="L44">
            <v>900</v>
          </cell>
          <cell r="N44">
            <v>800</v>
          </cell>
          <cell r="Q44">
            <v>405</v>
          </cell>
          <cell r="T44">
            <v>400</v>
          </cell>
          <cell r="V44">
            <v>800</v>
          </cell>
          <cell r="X44">
            <v>800</v>
          </cell>
          <cell r="Y44">
            <v>1000</v>
          </cell>
          <cell r="Z44">
            <v>500</v>
          </cell>
          <cell r="AA44">
            <v>500</v>
          </cell>
          <cell r="AB44">
            <v>600</v>
          </cell>
          <cell r="AG44">
            <v>500</v>
          </cell>
          <cell r="AH44">
            <v>600</v>
          </cell>
          <cell r="AI44">
            <v>1000</v>
          </cell>
          <cell r="AL44">
            <v>600</v>
          </cell>
          <cell r="AP44">
            <v>500</v>
          </cell>
          <cell r="AQ44">
            <v>1500</v>
          </cell>
          <cell r="AR44">
            <v>400</v>
          </cell>
          <cell r="AT44">
            <v>400</v>
          </cell>
          <cell r="AU44">
            <v>900</v>
          </cell>
          <cell r="AW44">
            <v>900</v>
          </cell>
          <cell r="AX44">
            <v>500</v>
          </cell>
          <cell r="AY44">
            <v>500</v>
          </cell>
          <cell r="AZ44">
            <v>500</v>
          </cell>
          <cell r="BA44">
            <v>500</v>
          </cell>
          <cell r="BB44">
            <v>500</v>
          </cell>
          <cell r="BD44">
            <v>500</v>
          </cell>
          <cell r="BE44">
            <v>500</v>
          </cell>
          <cell r="BG44">
            <v>1000</v>
          </cell>
          <cell r="BI44">
            <v>500</v>
          </cell>
          <cell r="BJ44">
            <v>657</v>
          </cell>
          <cell r="BK44">
            <v>500</v>
          </cell>
          <cell r="BM44">
            <v>500</v>
          </cell>
          <cell r="BN44">
            <v>480</v>
          </cell>
          <cell r="BO44">
            <v>450</v>
          </cell>
          <cell r="BQ44">
            <v>1000</v>
          </cell>
          <cell r="BR44">
            <v>500</v>
          </cell>
          <cell r="BV44">
            <v>500</v>
          </cell>
          <cell r="BW44">
            <v>500</v>
          </cell>
          <cell r="BY44">
            <v>1000</v>
          </cell>
          <cell r="CB44">
            <v>500</v>
          </cell>
          <cell r="CD44">
            <v>500</v>
          </cell>
          <cell r="CG44">
            <v>1000</v>
          </cell>
          <cell r="CI44">
            <v>1000</v>
          </cell>
          <cell r="CJ44">
            <v>500</v>
          </cell>
          <cell r="CK44">
            <v>500</v>
          </cell>
          <cell r="CL44">
            <v>500</v>
          </cell>
          <cell r="CM44">
            <v>500</v>
          </cell>
          <cell r="CO44">
            <v>500</v>
          </cell>
          <cell r="CP44">
            <v>1000</v>
          </cell>
          <cell r="CR44">
            <v>750</v>
          </cell>
          <cell r="CS44">
            <v>500</v>
          </cell>
          <cell r="CT44">
            <v>500</v>
          </cell>
          <cell r="CU44">
            <v>500</v>
          </cell>
          <cell r="CV44">
            <v>1000</v>
          </cell>
          <cell r="CX44">
            <v>500</v>
          </cell>
          <cell r="CY44">
            <v>500</v>
          </cell>
          <cell r="DA44">
            <v>500</v>
          </cell>
          <cell r="DB44">
            <v>500</v>
          </cell>
          <cell r="DC44">
            <v>250</v>
          </cell>
          <cell r="DE44" t="str">
            <v>ACTIVO</v>
          </cell>
          <cell r="DF44" t="str">
            <v>B</v>
          </cell>
          <cell r="DH44">
            <v>611.11111111111109</v>
          </cell>
          <cell r="DI44">
            <v>101.85185185185185</v>
          </cell>
        </row>
        <row r="45">
          <cell r="B45">
            <v>403266</v>
          </cell>
          <cell r="C45" t="str">
            <v>PLANCHA DE CARTON 1X1,20 EHLAN</v>
          </cell>
          <cell r="P45">
            <v>400</v>
          </cell>
          <cell r="DE45" t="str">
            <v>ACTIVO</v>
          </cell>
          <cell r="DF45" t="str">
            <v/>
          </cell>
          <cell r="DH45">
            <v>0</v>
          </cell>
          <cell r="DI45">
            <v>0</v>
          </cell>
        </row>
        <row r="46">
          <cell r="B46">
            <v>405438</v>
          </cell>
          <cell r="C46" t="str">
            <v>CARTULINA BLANCA EMPLACADA DIAMTERO 19CM ALIMPACK</v>
          </cell>
          <cell r="BK46">
            <v>24000</v>
          </cell>
          <cell r="DE46" t="str">
            <v>ACTIVO</v>
          </cell>
          <cell r="DF46" t="str">
            <v>C</v>
          </cell>
          <cell r="DH46">
            <v>0</v>
          </cell>
          <cell r="DI46">
            <v>0</v>
          </cell>
        </row>
        <row r="47">
          <cell r="B47">
            <v>405583</v>
          </cell>
          <cell r="C47" t="str">
            <v>DISCO MICROCORRUGADO EMPLACADO 19 CM DIÁMETRO ASTRA</v>
          </cell>
          <cell r="BQ47">
            <v>1250</v>
          </cell>
          <cell r="BR47">
            <v>13000</v>
          </cell>
          <cell r="BS47">
            <v>8600</v>
          </cell>
          <cell r="CL47">
            <v>2000</v>
          </cell>
          <cell r="CM47">
            <v>5300</v>
          </cell>
          <cell r="CO47">
            <v>12500</v>
          </cell>
          <cell r="CP47">
            <v>14500</v>
          </cell>
          <cell r="CQ47">
            <v>3500</v>
          </cell>
          <cell r="CR47">
            <v>5950</v>
          </cell>
          <cell r="CU47">
            <v>29600</v>
          </cell>
          <cell r="DC47">
            <v>2000</v>
          </cell>
          <cell r="DD47">
            <v>10350</v>
          </cell>
          <cell r="DE47" t="str">
            <v>ACTIVO</v>
          </cell>
          <cell r="DF47" t="str">
            <v>C</v>
          </cell>
          <cell r="DH47">
            <v>9522.2222222222226</v>
          </cell>
          <cell r="DI47">
            <v>1587.0370370370372</v>
          </cell>
        </row>
        <row r="48">
          <cell r="B48">
            <v>405582</v>
          </cell>
          <cell r="C48" t="str">
            <v>DISCO MICROCORRUGADO EMPLACADO 15,5 CM DIÁMETRO ASTRA</v>
          </cell>
          <cell r="CE48">
            <v>3200</v>
          </cell>
          <cell r="CG48">
            <v>4400</v>
          </cell>
          <cell r="CM48">
            <v>7800</v>
          </cell>
          <cell r="CR48">
            <v>19600</v>
          </cell>
          <cell r="DE48" t="str">
            <v>ACTIVO</v>
          </cell>
          <cell r="DF48" t="str">
            <v>C</v>
          </cell>
          <cell r="DH48">
            <v>10600</v>
          </cell>
          <cell r="DI48">
            <v>1766.6666666666667</v>
          </cell>
        </row>
        <row r="49">
          <cell r="B49">
            <v>405696</v>
          </cell>
          <cell r="C49" t="str">
            <v>CAJA PASTELES 600X325X120 ASTRA</v>
          </cell>
          <cell r="CH49">
            <v>500</v>
          </cell>
          <cell r="DE49" t="str">
            <v>ACTIVO</v>
          </cell>
          <cell r="DF49" t="str">
            <v/>
          </cell>
          <cell r="DH49">
            <v>500</v>
          </cell>
          <cell r="DI49">
            <v>83.333333333333329</v>
          </cell>
        </row>
        <row r="50">
          <cell r="B50">
            <v>403100</v>
          </cell>
          <cell r="C50" t="str">
            <v>DISCO CARTON BLANCO 24 JUMBO ARRIAZA</v>
          </cell>
          <cell r="D50">
            <v>8700</v>
          </cell>
          <cell r="E50">
            <v>9500</v>
          </cell>
          <cell r="F50">
            <v>14800</v>
          </cell>
          <cell r="BB50">
            <v>2000</v>
          </cell>
          <cell r="BC50">
            <v>3500</v>
          </cell>
          <cell r="BD50">
            <v>6500</v>
          </cell>
          <cell r="BE50">
            <v>13500</v>
          </cell>
          <cell r="BF50">
            <v>17000</v>
          </cell>
          <cell r="BG50">
            <v>8000</v>
          </cell>
          <cell r="BH50">
            <v>18000</v>
          </cell>
          <cell r="BI50">
            <v>12500</v>
          </cell>
          <cell r="BJ50">
            <v>25000</v>
          </cell>
          <cell r="BK50">
            <v>8000</v>
          </cell>
          <cell r="BL50">
            <v>8500</v>
          </cell>
          <cell r="BM50">
            <v>18500</v>
          </cell>
          <cell r="BN50">
            <v>11500</v>
          </cell>
          <cell r="BO50">
            <v>9500</v>
          </cell>
          <cell r="BP50">
            <v>4000</v>
          </cell>
          <cell r="BQ50">
            <v>20500</v>
          </cell>
          <cell r="BR50">
            <v>9000</v>
          </cell>
          <cell r="BS50">
            <v>14000</v>
          </cell>
          <cell r="BT50">
            <v>11000</v>
          </cell>
          <cell r="BU50">
            <v>27000</v>
          </cell>
          <cell r="BV50">
            <v>16000</v>
          </cell>
          <cell r="BW50">
            <v>3000</v>
          </cell>
          <cell r="BX50">
            <v>7500</v>
          </cell>
          <cell r="BY50">
            <v>15500</v>
          </cell>
          <cell r="BZ50">
            <v>20500</v>
          </cell>
          <cell r="CA50">
            <v>8000</v>
          </cell>
          <cell r="CB50">
            <v>9000</v>
          </cell>
          <cell r="CC50">
            <v>5000</v>
          </cell>
          <cell r="CD50">
            <v>8500</v>
          </cell>
          <cell r="CE50">
            <v>5500</v>
          </cell>
          <cell r="CF50">
            <v>2000</v>
          </cell>
          <cell r="CG50">
            <v>10000</v>
          </cell>
          <cell r="CH50">
            <v>13500</v>
          </cell>
          <cell r="CI50">
            <v>20000</v>
          </cell>
          <cell r="CJ50">
            <v>17000</v>
          </cell>
          <cell r="CK50">
            <v>19500</v>
          </cell>
          <cell r="CL50">
            <v>9500</v>
          </cell>
          <cell r="CM50">
            <v>15500</v>
          </cell>
          <cell r="CN50">
            <v>12000</v>
          </cell>
          <cell r="CO50">
            <v>11500</v>
          </cell>
          <cell r="CP50">
            <v>10000</v>
          </cell>
          <cell r="CQ50">
            <v>6000</v>
          </cell>
          <cell r="CR50">
            <v>39500</v>
          </cell>
          <cell r="CS50">
            <v>21250</v>
          </cell>
          <cell r="CT50">
            <v>4000</v>
          </cell>
          <cell r="CU50">
            <v>12000</v>
          </cell>
          <cell r="CV50">
            <v>12500</v>
          </cell>
          <cell r="CW50">
            <v>5000</v>
          </cell>
          <cell r="CX50">
            <v>3600</v>
          </cell>
          <cell r="CY50">
            <v>3500</v>
          </cell>
          <cell r="DA50">
            <v>2000</v>
          </cell>
          <cell r="DE50" t="str">
            <v>ACTIVO</v>
          </cell>
          <cell r="DF50" t="str">
            <v>B</v>
          </cell>
          <cell r="DH50">
            <v>11897.619047619048</v>
          </cell>
          <cell r="DI50">
            <v>1982.936507936508</v>
          </cell>
        </row>
        <row r="51">
          <cell r="B51">
            <v>405741</v>
          </cell>
          <cell r="C51" t="str">
            <v>DISCO CARTON BLANCO 24 CM PRAGGA</v>
          </cell>
          <cell r="CV51">
            <v>2500</v>
          </cell>
          <cell r="CW51">
            <v>5400</v>
          </cell>
          <cell r="CX51">
            <v>12600</v>
          </cell>
          <cell r="CY51">
            <v>5400</v>
          </cell>
          <cell r="CZ51">
            <v>1500</v>
          </cell>
          <cell r="DE51" t="str">
            <v>ACTIVO</v>
          </cell>
          <cell r="DF51" t="str">
            <v/>
          </cell>
          <cell r="DH51">
            <v>5480</v>
          </cell>
          <cell r="DI51">
            <v>913.33333333333337</v>
          </cell>
        </row>
        <row r="52">
          <cell r="B52">
            <v>403108</v>
          </cell>
          <cell r="C52" t="str">
            <v>DISCO CARTON BLANCO 17CM ARRIAZA</v>
          </cell>
          <cell r="D52">
            <v>19000</v>
          </cell>
          <cell r="E52">
            <v>16000</v>
          </cell>
          <cell r="BB52">
            <v>7500</v>
          </cell>
          <cell r="BC52">
            <v>12500</v>
          </cell>
          <cell r="BD52">
            <v>18500</v>
          </cell>
          <cell r="BE52">
            <v>14000</v>
          </cell>
          <cell r="BF52">
            <v>15500</v>
          </cell>
          <cell r="BG52">
            <v>25500</v>
          </cell>
          <cell r="BH52">
            <v>12500</v>
          </cell>
          <cell r="BI52">
            <v>13000</v>
          </cell>
          <cell r="BJ52">
            <v>29500</v>
          </cell>
          <cell r="BK52">
            <v>39500</v>
          </cell>
          <cell r="BL52">
            <v>24000</v>
          </cell>
          <cell r="BM52">
            <v>17500</v>
          </cell>
          <cell r="BN52">
            <v>22500</v>
          </cell>
          <cell r="BO52">
            <v>21000</v>
          </cell>
          <cell r="BQ52">
            <v>20500</v>
          </cell>
          <cell r="BR52">
            <v>19000</v>
          </cell>
          <cell r="BS52">
            <v>16500</v>
          </cell>
          <cell r="BT52">
            <v>5000</v>
          </cell>
          <cell r="BU52">
            <v>17500</v>
          </cell>
          <cell r="BV52">
            <v>4000</v>
          </cell>
          <cell r="BW52">
            <v>16000</v>
          </cell>
          <cell r="BX52">
            <v>25000</v>
          </cell>
          <cell r="BY52">
            <v>8500</v>
          </cell>
          <cell r="BZ52">
            <v>15000</v>
          </cell>
          <cell r="CA52">
            <v>10000</v>
          </cell>
          <cell r="CB52">
            <v>11500</v>
          </cell>
          <cell r="CC52">
            <v>18000</v>
          </cell>
          <cell r="CD52">
            <v>7500</v>
          </cell>
          <cell r="CE52">
            <v>4500</v>
          </cell>
          <cell r="CG52">
            <v>19000</v>
          </cell>
          <cell r="CH52">
            <v>13000</v>
          </cell>
          <cell r="CI52">
            <v>27550</v>
          </cell>
          <cell r="CJ52">
            <v>12500</v>
          </cell>
          <cell r="CK52">
            <v>10500</v>
          </cell>
          <cell r="CL52">
            <v>17500</v>
          </cell>
          <cell r="CM52">
            <v>22000</v>
          </cell>
          <cell r="CN52">
            <v>18500</v>
          </cell>
          <cell r="CO52">
            <v>17500</v>
          </cell>
          <cell r="CP52">
            <v>19500</v>
          </cell>
          <cell r="CQ52">
            <v>18000</v>
          </cell>
          <cell r="CR52">
            <v>31500</v>
          </cell>
          <cell r="CS52">
            <v>27000</v>
          </cell>
          <cell r="CT52">
            <v>5000</v>
          </cell>
          <cell r="CV52">
            <v>3500</v>
          </cell>
          <cell r="CX52">
            <v>1800</v>
          </cell>
          <cell r="CY52">
            <v>2000</v>
          </cell>
          <cell r="DA52">
            <v>14500</v>
          </cell>
          <cell r="DB52">
            <v>12500</v>
          </cell>
          <cell r="DE52" t="str">
            <v>ACTIVO</v>
          </cell>
          <cell r="DF52" t="str">
            <v>B</v>
          </cell>
          <cell r="DH52">
            <v>15439.473684210527</v>
          </cell>
          <cell r="DI52">
            <v>2573.2456140350878</v>
          </cell>
        </row>
        <row r="53">
          <cell r="B53">
            <v>405739</v>
          </cell>
          <cell r="C53" t="str">
            <v>DISCO CARTON BLANCO 17 CM PRAGGA</v>
          </cell>
          <cell r="CT53">
            <v>9000</v>
          </cell>
          <cell r="CU53">
            <v>2000</v>
          </cell>
          <cell r="CV53">
            <v>6400</v>
          </cell>
          <cell r="CW53">
            <v>2500</v>
          </cell>
          <cell r="CX53">
            <v>1800</v>
          </cell>
          <cell r="CY53">
            <v>5000</v>
          </cell>
          <cell r="CZ53">
            <v>9100</v>
          </cell>
          <cell r="DA53">
            <v>24100</v>
          </cell>
          <cell r="DB53">
            <v>2500</v>
          </cell>
          <cell r="DC53">
            <v>15000</v>
          </cell>
          <cell r="DD53">
            <v>20000</v>
          </cell>
          <cell r="DE53" t="str">
            <v>ACTIVO</v>
          </cell>
          <cell r="DF53" t="str">
            <v/>
          </cell>
          <cell r="DH53">
            <v>8854.545454545454</v>
          </cell>
          <cell r="DI53">
            <v>1475.7575757575758</v>
          </cell>
        </row>
        <row r="54">
          <cell r="B54">
            <v>403101</v>
          </cell>
          <cell r="C54" t="str">
            <v>DISCO CARTON BLANCO 19,5 JUMBO ARRIAZA</v>
          </cell>
          <cell r="Z54">
            <v>500</v>
          </cell>
          <cell r="AC54">
            <v>1500</v>
          </cell>
          <cell r="AQ54">
            <v>10000</v>
          </cell>
          <cell r="AU54">
            <v>11000</v>
          </cell>
          <cell r="AW54">
            <v>7000</v>
          </cell>
          <cell r="AX54">
            <v>38500</v>
          </cell>
          <cell r="AY54">
            <v>12000</v>
          </cell>
          <cell r="BA54">
            <v>40000</v>
          </cell>
          <cell r="BB54">
            <v>60000</v>
          </cell>
          <cell r="BC54">
            <v>59500</v>
          </cell>
          <cell r="BD54">
            <v>55500</v>
          </cell>
          <cell r="BE54">
            <v>62500</v>
          </cell>
          <cell r="BF54">
            <v>47500</v>
          </cell>
          <cell r="BG54">
            <v>41500</v>
          </cell>
          <cell r="BH54">
            <v>78500</v>
          </cell>
          <cell r="BI54">
            <v>31000</v>
          </cell>
          <cell r="BJ54">
            <v>70548</v>
          </cell>
          <cell r="BK54">
            <v>47000</v>
          </cell>
          <cell r="BL54">
            <v>56500</v>
          </cell>
          <cell r="BM54">
            <v>60000</v>
          </cell>
          <cell r="BN54">
            <v>52000</v>
          </cell>
          <cell r="BO54">
            <v>44500</v>
          </cell>
          <cell r="BP54">
            <v>34500</v>
          </cell>
          <cell r="BQ54">
            <v>63000</v>
          </cell>
          <cell r="BR54">
            <v>53000</v>
          </cell>
          <cell r="BS54">
            <v>60000</v>
          </cell>
          <cell r="BT54">
            <v>32500</v>
          </cell>
          <cell r="BU54">
            <v>38500</v>
          </cell>
          <cell r="BV54">
            <v>33500</v>
          </cell>
          <cell r="BW54">
            <v>32500</v>
          </cell>
          <cell r="BX54">
            <v>26000</v>
          </cell>
          <cell r="BY54">
            <v>41500</v>
          </cell>
          <cell r="BZ54">
            <v>28500</v>
          </cell>
          <cell r="CA54">
            <v>28500</v>
          </cell>
          <cell r="CB54">
            <v>33800</v>
          </cell>
          <cell r="CC54">
            <v>53000</v>
          </cell>
          <cell r="CD54">
            <v>37700</v>
          </cell>
          <cell r="CE54">
            <v>14500</v>
          </cell>
          <cell r="CF54">
            <v>6500</v>
          </cell>
          <cell r="CG54">
            <v>56500</v>
          </cell>
          <cell r="CH54">
            <v>45500</v>
          </cell>
          <cell r="CI54">
            <v>44500</v>
          </cell>
          <cell r="CJ54">
            <v>42000</v>
          </cell>
          <cell r="CK54">
            <v>57000</v>
          </cell>
          <cell r="CL54">
            <v>42500</v>
          </cell>
          <cell r="CM54">
            <v>34000</v>
          </cell>
          <cell r="CN54">
            <v>30000</v>
          </cell>
          <cell r="CO54">
            <v>36000</v>
          </cell>
          <cell r="CP54">
            <v>50500</v>
          </cell>
          <cell r="CQ54">
            <v>40500</v>
          </cell>
          <cell r="CR54">
            <v>500</v>
          </cell>
          <cell r="CS54">
            <v>33000</v>
          </cell>
          <cell r="CT54">
            <v>14500</v>
          </cell>
          <cell r="DE54" t="str">
            <v>ACTIVO</v>
          </cell>
          <cell r="DF54" t="str">
            <v>B</v>
          </cell>
          <cell r="DH54">
            <v>35566.666666666664</v>
          </cell>
          <cell r="DI54">
            <v>5927.7777777777774</v>
          </cell>
        </row>
        <row r="55">
          <cell r="B55">
            <v>405740</v>
          </cell>
          <cell r="C55" t="str">
            <v>DISCO CARTON BLANCO 19 CM PRAGGA</v>
          </cell>
          <cell r="CT55">
            <v>26400</v>
          </cell>
          <cell r="CU55">
            <v>11000</v>
          </cell>
          <cell r="CV55">
            <v>47200</v>
          </cell>
          <cell r="CW55">
            <v>43900</v>
          </cell>
          <cell r="CX55">
            <v>41400</v>
          </cell>
          <cell r="CY55">
            <v>37800</v>
          </cell>
          <cell r="CZ55">
            <v>29100</v>
          </cell>
          <cell r="DA55">
            <v>61200</v>
          </cell>
          <cell r="DB55">
            <v>47300</v>
          </cell>
          <cell r="DC55">
            <v>50400</v>
          </cell>
          <cell r="DD55">
            <v>39600</v>
          </cell>
          <cell r="DE55" t="str">
            <v>ACTIVO</v>
          </cell>
          <cell r="DF55" t="str">
            <v/>
          </cell>
          <cell r="DH55">
            <v>39572.727272727272</v>
          </cell>
          <cell r="DI55">
            <v>6595.454545454545</v>
          </cell>
        </row>
        <row r="56">
          <cell r="B56">
            <v>403258</v>
          </cell>
          <cell r="C56" t="str">
            <v>CAPSULAS DE PAPEL NUMERO 11 FOOD PACK</v>
          </cell>
          <cell r="CW56">
            <v>4000</v>
          </cell>
          <cell r="CX56">
            <v>2000</v>
          </cell>
          <cell r="CZ56">
            <v>2000</v>
          </cell>
          <cell r="DB56">
            <v>3000</v>
          </cell>
          <cell r="DD56">
            <v>6000</v>
          </cell>
          <cell r="DE56" t="str">
            <v>ACTIVO</v>
          </cell>
          <cell r="DF56" t="str">
            <v/>
          </cell>
          <cell r="DH56">
            <v>3400</v>
          </cell>
          <cell r="DI56">
            <v>566.66666666666663</v>
          </cell>
        </row>
        <row r="57">
          <cell r="B57">
            <v>403015</v>
          </cell>
          <cell r="C57" t="str">
            <v>PAPEL BEIGE 38.5 x 44.5 ARRIAZA</v>
          </cell>
          <cell r="D57">
            <v>2000</v>
          </cell>
          <cell r="F57">
            <v>2000</v>
          </cell>
          <cell r="G57">
            <v>2000</v>
          </cell>
          <cell r="H57">
            <v>2000</v>
          </cell>
          <cell r="J57">
            <v>2000</v>
          </cell>
          <cell r="K57">
            <v>4000</v>
          </cell>
          <cell r="O57">
            <v>4000</v>
          </cell>
          <cell r="P57">
            <v>6000</v>
          </cell>
          <cell r="S57">
            <v>4000</v>
          </cell>
          <cell r="T57">
            <v>4000</v>
          </cell>
          <cell r="V57">
            <v>12000</v>
          </cell>
          <cell r="W57">
            <v>4000</v>
          </cell>
          <cell r="AA57">
            <v>4000</v>
          </cell>
          <cell r="AF57">
            <v>4000</v>
          </cell>
          <cell r="AJ57">
            <v>6000</v>
          </cell>
          <cell r="AK57">
            <v>2000</v>
          </cell>
          <cell r="AM57">
            <v>0</v>
          </cell>
          <cell r="AP57">
            <v>2000</v>
          </cell>
          <cell r="AR57">
            <v>2000</v>
          </cell>
          <cell r="AS57">
            <v>2000</v>
          </cell>
          <cell r="AT57">
            <v>2000</v>
          </cell>
          <cell r="AV57">
            <v>2000</v>
          </cell>
          <cell r="AX57">
            <v>2000</v>
          </cell>
          <cell r="AY57">
            <v>2000</v>
          </cell>
          <cell r="BB57">
            <v>2000</v>
          </cell>
          <cell r="BC57">
            <v>2000</v>
          </cell>
          <cell r="BE57">
            <v>1</v>
          </cell>
          <cell r="BF57">
            <v>2000</v>
          </cell>
          <cell r="BG57">
            <v>2000</v>
          </cell>
          <cell r="BH57">
            <v>2000</v>
          </cell>
          <cell r="BJ57">
            <v>4000</v>
          </cell>
          <cell r="BK57">
            <v>2000</v>
          </cell>
          <cell r="BM57">
            <v>2000</v>
          </cell>
          <cell r="BO57">
            <v>4000</v>
          </cell>
          <cell r="BQ57">
            <v>4000</v>
          </cell>
          <cell r="BT57">
            <v>4000</v>
          </cell>
          <cell r="BU57">
            <v>2000</v>
          </cell>
          <cell r="BW57">
            <v>4000</v>
          </cell>
          <cell r="CA57">
            <v>1000</v>
          </cell>
          <cell r="CC57">
            <v>2000</v>
          </cell>
          <cell r="CH57">
            <v>2000</v>
          </cell>
          <cell r="CI57">
            <v>2000</v>
          </cell>
          <cell r="CM57">
            <v>2000</v>
          </cell>
          <cell r="CO57">
            <v>4000</v>
          </cell>
          <cell r="CQ57">
            <v>2000</v>
          </cell>
          <cell r="CR57">
            <v>2000</v>
          </cell>
          <cell r="CT57">
            <v>2000</v>
          </cell>
          <cell r="CV57">
            <v>1000</v>
          </cell>
          <cell r="CW57">
            <v>2000</v>
          </cell>
          <cell r="CY57">
            <v>4000</v>
          </cell>
          <cell r="DB57">
            <v>1000</v>
          </cell>
          <cell r="DD57">
            <v>2000</v>
          </cell>
          <cell r="DE57" t="str">
            <v>ACTIVO</v>
          </cell>
          <cell r="DF57" t="str">
            <v>C</v>
          </cell>
          <cell r="DH57">
            <v>2166.6666666666665</v>
          </cell>
          <cell r="DI57">
            <v>361.11111111111109</v>
          </cell>
        </row>
        <row r="58">
          <cell r="B58">
            <v>403271</v>
          </cell>
          <cell r="C58" t="str">
            <v>DISCO CARTÓN CORRUGADO 15,5 CM EHLAN</v>
          </cell>
          <cell r="D58">
            <v>13100</v>
          </cell>
          <cell r="E58">
            <v>7300</v>
          </cell>
          <cell r="F58">
            <v>13450</v>
          </cell>
          <cell r="G58">
            <v>7800</v>
          </cell>
          <cell r="H58">
            <v>1400</v>
          </cell>
          <cell r="I58">
            <v>1900</v>
          </cell>
          <cell r="J58">
            <v>3700</v>
          </cell>
          <cell r="K58">
            <v>3300</v>
          </cell>
          <cell r="L58">
            <v>2500</v>
          </cell>
          <cell r="M58">
            <v>3600</v>
          </cell>
          <cell r="N58">
            <v>1250</v>
          </cell>
          <cell r="P58">
            <v>970</v>
          </cell>
          <cell r="Q58">
            <v>11501</v>
          </cell>
          <cell r="R58">
            <v>3500</v>
          </cell>
          <cell r="T58">
            <v>699</v>
          </cell>
          <cell r="AC58">
            <v>4600</v>
          </cell>
          <cell r="AS58">
            <v>7600</v>
          </cell>
          <cell r="AT58">
            <v>3500</v>
          </cell>
          <cell r="AU58">
            <v>4000</v>
          </cell>
          <cell r="AV58">
            <v>5500</v>
          </cell>
          <cell r="AW58">
            <v>8250</v>
          </cell>
          <cell r="AX58">
            <v>17600</v>
          </cell>
          <cell r="AY58">
            <v>8250</v>
          </cell>
          <cell r="AZ58">
            <v>5600</v>
          </cell>
          <cell r="BA58">
            <v>8500</v>
          </cell>
          <cell r="BB58">
            <v>12950</v>
          </cell>
          <cell r="BC58">
            <v>7650</v>
          </cell>
          <cell r="BD58">
            <v>5500</v>
          </cell>
          <cell r="CH58">
            <v>10180</v>
          </cell>
          <cell r="CI58">
            <v>5700</v>
          </cell>
          <cell r="CJ58">
            <v>3950</v>
          </cell>
          <cell r="CK58">
            <v>200</v>
          </cell>
          <cell r="CL58">
            <v>7250</v>
          </cell>
          <cell r="CN58">
            <v>17800</v>
          </cell>
          <cell r="CO58">
            <v>2600</v>
          </cell>
          <cell r="CP58">
            <v>1600</v>
          </cell>
          <cell r="CR58">
            <v>23180</v>
          </cell>
          <cell r="CS58">
            <v>2250</v>
          </cell>
          <cell r="CT58">
            <v>4000</v>
          </cell>
          <cell r="CU58">
            <v>4000</v>
          </cell>
          <cell r="CW58">
            <v>1400</v>
          </cell>
          <cell r="CY58">
            <v>6750</v>
          </cell>
          <cell r="CZ58">
            <v>5250</v>
          </cell>
          <cell r="DA58">
            <v>5600</v>
          </cell>
          <cell r="DB58">
            <v>3100</v>
          </cell>
          <cell r="DC58">
            <v>3500</v>
          </cell>
          <cell r="DD58">
            <v>8400</v>
          </cell>
          <cell r="DE58" t="str">
            <v>ACTIVO</v>
          </cell>
          <cell r="DF58" t="str">
            <v>C</v>
          </cell>
          <cell r="DH58">
            <v>6142.6315789473683</v>
          </cell>
          <cell r="DI58">
            <v>1023.7719298245614</v>
          </cell>
        </row>
        <row r="59">
          <cell r="B59">
            <v>403278</v>
          </cell>
          <cell r="C59" t="str">
            <v>DISCO CARTON CAFE CORRUGADO 15,5CM CM ASTRA</v>
          </cell>
          <cell r="I59">
            <v>5200</v>
          </cell>
          <cell r="J59">
            <v>3400</v>
          </cell>
          <cell r="K59">
            <v>2800</v>
          </cell>
          <cell r="L59">
            <v>6900</v>
          </cell>
          <cell r="M59">
            <v>2950</v>
          </cell>
          <cell r="N59">
            <v>4550</v>
          </cell>
          <cell r="P59">
            <v>5330</v>
          </cell>
          <cell r="R59">
            <v>1000</v>
          </cell>
          <cell r="S59">
            <v>21000</v>
          </cell>
          <cell r="T59">
            <v>5801</v>
          </cell>
          <cell r="U59">
            <v>6100</v>
          </cell>
          <cell r="V59">
            <v>1750</v>
          </cell>
          <cell r="W59">
            <v>7000</v>
          </cell>
          <cell r="X59">
            <v>9600</v>
          </cell>
          <cell r="Y59">
            <v>8900</v>
          </cell>
          <cell r="Z59">
            <v>9700</v>
          </cell>
          <cell r="AA59">
            <v>5000</v>
          </cell>
          <cell r="AF59">
            <v>4000</v>
          </cell>
          <cell r="AG59">
            <v>6500</v>
          </cell>
          <cell r="AH59">
            <v>2400</v>
          </cell>
          <cell r="AI59">
            <v>4000</v>
          </cell>
          <cell r="AJ59">
            <v>9600</v>
          </cell>
          <cell r="AL59">
            <v>6500</v>
          </cell>
          <cell r="AM59">
            <v>8500</v>
          </cell>
          <cell r="AN59">
            <v>8100</v>
          </cell>
          <cell r="AP59">
            <v>6050</v>
          </cell>
          <cell r="AQ59">
            <v>6500</v>
          </cell>
          <cell r="AR59">
            <v>6100</v>
          </cell>
          <cell r="AS59">
            <v>3900</v>
          </cell>
          <cell r="BE59">
            <v>3000</v>
          </cell>
          <cell r="BF59">
            <v>8100</v>
          </cell>
          <cell r="BG59">
            <v>12350</v>
          </cell>
          <cell r="BH59">
            <v>4300</v>
          </cell>
          <cell r="BI59">
            <v>6900</v>
          </cell>
          <cell r="BJ59">
            <v>11200</v>
          </cell>
          <cell r="BK59">
            <v>8400</v>
          </cell>
          <cell r="BL59">
            <v>14120</v>
          </cell>
          <cell r="BM59">
            <v>5700</v>
          </cell>
          <cell r="BN59">
            <v>16600</v>
          </cell>
          <cell r="BO59">
            <v>9100</v>
          </cell>
          <cell r="BP59">
            <v>3900</v>
          </cell>
          <cell r="BQ59">
            <v>10000</v>
          </cell>
          <cell r="BR59">
            <v>2900</v>
          </cell>
          <cell r="BS59">
            <v>3400</v>
          </cell>
          <cell r="BT59">
            <v>5436</v>
          </cell>
          <cell r="BU59">
            <v>8164</v>
          </cell>
          <cell r="BV59">
            <v>1400</v>
          </cell>
          <cell r="BW59">
            <v>14600</v>
          </cell>
          <cell r="BX59">
            <v>8500</v>
          </cell>
          <cell r="BY59">
            <v>6350</v>
          </cell>
          <cell r="BZ59">
            <v>5000</v>
          </cell>
          <cell r="CA59">
            <v>7100</v>
          </cell>
          <cell r="CB59">
            <v>7700</v>
          </cell>
          <cell r="CC59">
            <v>8400</v>
          </cell>
          <cell r="CD59">
            <v>10660</v>
          </cell>
          <cell r="CG59">
            <v>900</v>
          </cell>
          <cell r="CO59">
            <v>2800</v>
          </cell>
          <cell r="CP59">
            <v>2800</v>
          </cell>
          <cell r="CQ59">
            <v>5300</v>
          </cell>
          <cell r="CR59">
            <v>11700</v>
          </cell>
          <cell r="DA59">
            <v>600</v>
          </cell>
          <cell r="DB59">
            <v>750</v>
          </cell>
          <cell r="DE59" t="str">
            <v>ACTIVO</v>
          </cell>
          <cell r="DF59" t="str">
            <v>C</v>
          </cell>
          <cell r="DH59">
            <v>3550</v>
          </cell>
          <cell r="DI59">
            <v>591.66666666666663</v>
          </cell>
        </row>
        <row r="60">
          <cell r="B60">
            <v>107318</v>
          </cell>
          <cell r="C60" t="str">
            <v>DISCO CARTÓN CAFE CORRUGADO 19 CM ASTRA</v>
          </cell>
          <cell r="D60">
            <v>21500</v>
          </cell>
          <cell r="E60">
            <v>5750</v>
          </cell>
          <cell r="F60">
            <v>22650</v>
          </cell>
          <cell r="G60">
            <v>13000</v>
          </cell>
          <cell r="H60">
            <v>14000</v>
          </cell>
          <cell r="J60">
            <v>12000</v>
          </cell>
          <cell r="K60">
            <v>12750</v>
          </cell>
          <cell r="L60">
            <v>23000</v>
          </cell>
          <cell r="M60">
            <v>22000</v>
          </cell>
          <cell r="N60">
            <v>9500</v>
          </cell>
          <cell r="O60">
            <v>12000</v>
          </cell>
          <cell r="P60">
            <v>16000</v>
          </cell>
          <cell r="Q60">
            <v>26000</v>
          </cell>
          <cell r="R60">
            <v>16500</v>
          </cell>
          <cell r="S60">
            <v>30900</v>
          </cell>
          <cell r="T60">
            <v>17300</v>
          </cell>
          <cell r="U60">
            <v>23000</v>
          </cell>
          <cell r="V60">
            <v>32000</v>
          </cell>
          <cell r="W60">
            <v>15250</v>
          </cell>
          <cell r="X60">
            <v>5500</v>
          </cell>
          <cell r="Y60">
            <v>40500</v>
          </cell>
          <cell r="AA60">
            <v>961</v>
          </cell>
          <cell r="AC60">
            <v>22800</v>
          </cell>
          <cell r="AD60">
            <v>8700</v>
          </cell>
          <cell r="AG60">
            <v>3000</v>
          </cell>
          <cell r="AH60">
            <v>13500</v>
          </cell>
          <cell r="AI60">
            <v>21710</v>
          </cell>
          <cell r="AJ60">
            <v>1000</v>
          </cell>
          <cell r="AK60">
            <v>8000</v>
          </cell>
          <cell r="AL60">
            <v>8500</v>
          </cell>
          <cell r="AM60">
            <v>11500</v>
          </cell>
          <cell r="AN60">
            <v>10300</v>
          </cell>
          <cell r="AO60">
            <v>26000</v>
          </cell>
          <cell r="AP60">
            <v>9000</v>
          </cell>
          <cell r="AQ60">
            <v>18174</v>
          </cell>
          <cell r="AS60">
            <v>7400</v>
          </cell>
          <cell r="AT60">
            <v>2900</v>
          </cell>
          <cell r="AV60">
            <v>5500</v>
          </cell>
          <cell r="BA60">
            <v>26500</v>
          </cell>
          <cell r="BB60">
            <v>5580</v>
          </cell>
          <cell r="BD60">
            <v>12200</v>
          </cell>
          <cell r="BE60">
            <v>16500</v>
          </cell>
          <cell r="BF60">
            <v>16000</v>
          </cell>
          <cell r="BG60">
            <v>8920</v>
          </cell>
          <cell r="BH60">
            <v>6800</v>
          </cell>
          <cell r="CI60">
            <v>500</v>
          </cell>
          <cell r="CY60">
            <v>2500</v>
          </cell>
          <cell r="CZ60">
            <v>1150</v>
          </cell>
          <cell r="DA60">
            <v>1000</v>
          </cell>
          <cell r="DD60">
            <v>150</v>
          </cell>
          <cell r="DE60" t="str">
            <v>ACTIVO</v>
          </cell>
          <cell r="DF60" t="str">
            <v>C</v>
          </cell>
          <cell r="DH60">
            <v>1060</v>
          </cell>
          <cell r="DI60">
            <v>176.66666666666666</v>
          </cell>
        </row>
        <row r="61">
          <cell r="B61">
            <v>107292</v>
          </cell>
          <cell r="C61" t="str">
            <v>DISCO CARTÓN CORRUGADO 19 CM EHLAN</v>
          </cell>
          <cell r="I61">
            <v>16250</v>
          </cell>
          <cell r="J61">
            <v>19800</v>
          </cell>
          <cell r="K61">
            <v>8450</v>
          </cell>
          <cell r="L61">
            <v>2400</v>
          </cell>
          <cell r="Z61">
            <v>3839</v>
          </cell>
          <cell r="AD61">
            <v>1800</v>
          </cell>
          <cell r="AI61">
            <v>490</v>
          </cell>
          <cell r="AJ61">
            <v>18750</v>
          </cell>
          <cell r="AK61">
            <v>6000</v>
          </cell>
          <cell r="AL61">
            <v>4000</v>
          </cell>
          <cell r="AM61">
            <v>200</v>
          </cell>
          <cell r="AQ61">
            <v>1534</v>
          </cell>
          <cell r="AR61">
            <v>15000</v>
          </cell>
          <cell r="AT61">
            <v>1500</v>
          </cell>
          <cell r="AU61">
            <v>22350</v>
          </cell>
          <cell r="AV61">
            <v>21000</v>
          </cell>
          <cell r="AW61">
            <v>19000</v>
          </cell>
          <cell r="AX61">
            <v>6450</v>
          </cell>
          <cell r="AY61">
            <v>6300</v>
          </cell>
          <cell r="AZ61">
            <v>15000</v>
          </cell>
          <cell r="BC61">
            <v>3500</v>
          </cell>
          <cell r="BD61">
            <v>8020</v>
          </cell>
          <cell r="BF61">
            <v>300</v>
          </cell>
          <cell r="BH61">
            <v>3880</v>
          </cell>
          <cell r="BI61">
            <v>9100</v>
          </cell>
          <cell r="BJ61">
            <v>9100</v>
          </cell>
          <cell r="BK61">
            <v>11300</v>
          </cell>
          <cell r="BL61">
            <v>15500</v>
          </cell>
          <cell r="BM61">
            <v>26000</v>
          </cell>
          <cell r="BN61">
            <v>3500</v>
          </cell>
          <cell r="BO61">
            <v>14000</v>
          </cell>
          <cell r="BP61">
            <v>2500</v>
          </cell>
          <cell r="BQ61">
            <v>12900</v>
          </cell>
          <cell r="BS61">
            <v>16500</v>
          </cell>
          <cell r="BT61">
            <v>9500</v>
          </cell>
          <cell r="BU61">
            <v>12000</v>
          </cell>
          <cell r="BV61">
            <v>17000</v>
          </cell>
          <cell r="BW61">
            <v>3500</v>
          </cell>
          <cell r="BX61">
            <v>4500</v>
          </cell>
          <cell r="BY61">
            <v>6500</v>
          </cell>
          <cell r="BZ61">
            <v>13000</v>
          </cell>
          <cell r="CA61">
            <v>7500</v>
          </cell>
          <cell r="CB61">
            <v>7200</v>
          </cell>
          <cell r="CC61">
            <v>8000</v>
          </cell>
          <cell r="CD61">
            <v>4000</v>
          </cell>
          <cell r="CE61">
            <v>5000</v>
          </cell>
          <cell r="CF61">
            <v>7500</v>
          </cell>
          <cell r="CG61">
            <v>17300</v>
          </cell>
          <cell r="CI61">
            <v>50400</v>
          </cell>
          <cell r="CJ61">
            <v>15750</v>
          </cell>
          <cell r="CK61">
            <v>4250</v>
          </cell>
          <cell r="CL61">
            <v>7100</v>
          </cell>
          <cell r="CM61">
            <v>3000</v>
          </cell>
          <cell r="CN61">
            <v>3500</v>
          </cell>
          <cell r="CO61">
            <v>8500</v>
          </cell>
          <cell r="CP61">
            <v>500</v>
          </cell>
          <cell r="CQ61">
            <v>13000</v>
          </cell>
          <cell r="CR61">
            <v>6800</v>
          </cell>
          <cell r="CS61">
            <v>4000</v>
          </cell>
          <cell r="CT61">
            <v>13000</v>
          </cell>
          <cell r="CU61">
            <v>17900</v>
          </cell>
          <cell r="CV61">
            <v>38850</v>
          </cell>
          <cell r="CW61">
            <v>9950</v>
          </cell>
          <cell r="CX61">
            <v>4500</v>
          </cell>
          <cell r="CY61">
            <v>10500</v>
          </cell>
          <cell r="CZ61">
            <v>22650</v>
          </cell>
          <cell r="DA61">
            <v>13400</v>
          </cell>
          <cell r="DB61">
            <v>13000</v>
          </cell>
          <cell r="DC61">
            <v>11501</v>
          </cell>
          <cell r="DD61">
            <v>750</v>
          </cell>
          <cell r="DE61" t="str">
            <v>ACTIVO</v>
          </cell>
          <cell r="DF61" t="str">
            <v>B</v>
          </cell>
          <cell r="DH61">
            <v>12400.041666666666</v>
          </cell>
          <cell r="DI61">
            <v>2066.6736111111109</v>
          </cell>
        </row>
        <row r="62">
          <cell r="B62">
            <v>393320</v>
          </cell>
          <cell r="C62" t="str">
            <v>HOJA SEPARADORA TORTA DIAMETRO 230 MMS.</v>
          </cell>
          <cell r="E62">
            <v>3000</v>
          </cell>
          <cell r="F62">
            <v>3000</v>
          </cell>
          <cell r="G62">
            <v>3000</v>
          </cell>
          <cell r="H62">
            <v>9000</v>
          </cell>
          <cell r="I62">
            <v>6000</v>
          </cell>
          <cell r="J62">
            <v>9000</v>
          </cell>
          <cell r="K62">
            <v>9600</v>
          </cell>
          <cell r="L62">
            <v>7600</v>
          </cell>
          <cell r="M62">
            <v>14400</v>
          </cell>
          <cell r="N62">
            <v>9001</v>
          </cell>
          <cell r="O62">
            <v>9600</v>
          </cell>
          <cell r="P62">
            <v>11000</v>
          </cell>
          <cell r="Q62">
            <v>12000</v>
          </cell>
          <cell r="S62">
            <v>9000</v>
          </cell>
          <cell r="T62">
            <v>6000</v>
          </cell>
          <cell r="U62">
            <v>850</v>
          </cell>
          <cell r="Z62">
            <v>3000</v>
          </cell>
          <cell r="AB62">
            <v>6000</v>
          </cell>
          <cell r="AC62">
            <v>1498</v>
          </cell>
          <cell r="AH62">
            <v>7200</v>
          </cell>
          <cell r="AJ62">
            <v>3000</v>
          </cell>
          <cell r="AK62">
            <v>12000</v>
          </cell>
          <cell r="AL62">
            <v>6000</v>
          </cell>
          <cell r="AM62">
            <v>6000</v>
          </cell>
          <cell r="AN62">
            <v>9000</v>
          </cell>
          <cell r="AO62">
            <v>12000</v>
          </cell>
          <cell r="AQ62">
            <v>6000</v>
          </cell>
          <cell r="AR62">
            <v>12000</v>
          </cell>
          <cell r="AS62">
            <v>9000</v>
          </cell>
          <cell r="AT62">
            <v>6000</v>
          </cell>
          <cell r="AU62">
            <v>2500</v>
          </cell>
          <cell r="AV62">
            <v>3350</v>
          </cell>
          <cell r="AX62">
            <v>5700</v>
          </cell>
          <cell r="AY62">
            <v>8050</v>
          </cell>
          <cell r="AZ62">
            <v>15000</v>
          </cell>
          <cell r="BA62">
            <v>10600</v>
          </cell>
          <cell r="BB62">
            <v>3000</v>
          </cell>
          <cell r="BC62">
            <v>500</v>
          </cell>
          <cell r="BE62">
            <v>9000</v>
          </cell>
          <cell r="BF62">
            <v>6000</v>
          </cell>
          <cell r="BG62">
            <v>1342</v>
          </cell>
          <cell r="BH62">
            <v>9000</v>
          </cell>
          <cell r="BK62">
            <v>3000</v>
          </cell>
          <cell r="BL62">
            <v>9000</v>
          </cell>
          <cell r="BM62">
            <v>9000</v>
          </cell>
          <cell r="BN62">
            <v>6300</v>
          </cell>
          <cell r="BR62">
            <v>3300</v>
          </cell>
          <cell r="BS62">
            <v>2400</v>
          </cell>
          <cell r="BT62">
            <v>3000</v>
          </cell>
          <cell r="BU62">
            <v>1800</v>
          </cell>
          <cell r="BY62">
            <v>12000</v>
          </cell>
          <cell r="BZ62">
            <v>17400</v>
          </cell>
          <cell r="CA62">
            <v>2400</v>
          </cell>
          <cell r="CD62">
            <v>2400</v>
          </cell>
          <cell r="CE62">
            <v>2400</v>
          </cell>
          <cell r="CG62">
            <v>9000</v>
          </cell>
          <cell r="CI62">
            <v>9600</v>
          </cell>
          <cell r="CK62">
            <v>12000</v>
          </cell>
          <cell r="CL62">
            <v>9600</v>
          </cell>
          <cell r="CM62">
            <v>9600</v>
          </cell>
          <cell r="CN62">
            <v>9600</v>
          </cell>
          <cell r="CO62">
            <v>4800</v>
          </cell>
          <cell r="CP62">
            <v>3000</v>
          </cell>
          <cell r="CR62">
            <v>7200</v>
          </cell>
          <cell r="CS62">
            <v>4800</v>
          </cell>
          <cell r="CT62">
            <v>1800</v>
          </cell>
          <cell r="CV62">
            <v>3600</v>
          </cell>
          <cell r="CW62">
            <v>2400</v>
          </cell>
          <cell r="CX62">
            <v>800</v>
          </cell>
          <cell r="CZ62">
            <v>4200</v>
          </cell>
          <cell r="DB62">
            <v>11400</v>
          </cell>
          <cell r="DC62">
            <v>7600</v>
          </cell>
          <cell r="DD62">
            <v>2400</v>
          </cell>
          <cell r="DE62" t="str">
            <v>ACTIVO</v>
          </cell>
          <cell r="DF62" t="str">
            <v>B</v>
          </cell>
          <cell r="DH62">
            <v>6300</v>
          </cell>
          <cell r="DI62">
            <v>1050</v>
          </cell>
        </row>
        <row r="63">
          <cell r="B63">
            <v>402257</v>
          </cell>
          <cell r="C63" t="str">
            <v>HOJA SEPARADORA TORTA DIAMETRO 230 MMS ASTRA</v>
          </cell>
          <cell r="D63">
            <v>7200</v>
          </cell>
          <cell r="E63">
            <v>6900</v>
          </cell>
          <cell r="F63">
            <v>3900</v>
          </cell>
          <cell r="G63">
            <v>10800</v>
          </cell>
          <cell r="K63">
            <v>3600</v>
          </cell>
          <cell r="L63">
            <v>3600</v>
          </cell>
          <cell r="P63">
            <v>6000</v>
          </cell>
          <cell r="T63">
            <v>6000</v>
          </cell>
          <cell r="U63">
            <v>12350</v>
          </cell>
          <cell r="V63">
            <v>14700</v>
          </cell>
          <cell r="W63">
            <v>9850</v>
          </cell>
          <cell r="Y63">
            <v>8700</v>
          </cell>
          <cell r="AC63">
            <v>6000</v>
          </cell>
          <cell r="AD63">
            <v>3000</v>
          </cell>
          <cell r="AE63">
            <v>3000</v>
          </cell>
          <cell r="AF63">
            <v>13800</v>
          </cell>
          <cell r="AG63">
            <v>3751</v>
          </cell>
          <cell r="AH63">
            <v>4199</v>
          </cell>
          <cell r="AI63">
            <v>3000</v>
          </cell>
          <cell r="AJ63">
            <v>600</v>
          </cell>
          <cell r="AP63">
            <v>18000</v>
          </cell>
          <cell r="AQ63">
            <v>8300</v>
          </cell>
          <cell r="AT63">
            <v>2500</v>
          </cell>
          <cell r="AU63">
            <v>6500</v>
          </cell>
          <cell r="AV63">
            <v>6000</v>
          </cell>
          <cell r="AW63">
            <v>16500</v>
          </cell>
          <cell r="AX63">
            <v>13500</v>
          </cell>
          <cell r="AY63">
            <v>1850</v>
          </cell>
          <cell r="BB63">
            <v>9600</v>
          </cell>
          <cell r="BC63">
            <v>12400</v>
          </cell>
          <cell r="BD63">
            <v>14100</v>
          </cell>
          <cell r="BE63">
            <v>6000</v>
          </cell>
          <cell r="BF63">
            <v>6000</v>
          </cell>
          <cell r="BG63">
            <v>1658</v>
          </cell>
          <cell r="BI63">
            <v>3300</v>
          </cell>
          <cell r="BJ63">
            <v>9900</v>
          </cell>
          <cell r="BK63">
            <v>9900</v>
          </cell>
          <cell r="BO63">
            <v>3900</v>
          </cell>
          <cell r="BP63">
            <v>3300</v>
          </cell>
          <cell r="BQ63">
            <v>6600</v>
          </cell>
          <cell r="BR63">
            <v>8300</v>
          </cell>
          <cell r="BS63">
            <v>2400</v>
          </cell>
          <cell r="BT63">
            <v>3300</v>
          </cell>
          <cell r="BU63">
            <v>6300</v>
          </cell>
          <cell r="BV63">
            <v>11100</v>
          </cell>
          <cell r="BX63">
            <v>3000</v>
          </cell>
          <cell r="CA63">
            <v>8400</v>
          </cell>
          <cell r="CB63">
            <v>2400</v>
          </cell>
          <cell r="CC63">
            <v>15000</v>
          </cell>
          <cell r="CG63">
            <v>4800</v>
          </cell>
          <cell r="CH63">
            <v>10800</v>
          </cell>
          <cell r="CI63">
            <v>1200</v>
          </cell>
          <cell r="CJ63">
            <v>5400</v>
          </cell>
          <cell r="CP63">
            <v>2400</v>
          </cell>
          <cell r="CQ63">
            <v>13500</v>
          </cell>
          <cell r="CS63">
            <v>8400</v>
          </cell>
          <cell r="CT63">
            <v>8100</v>
          </cell>
          <cell r="CU63">
            <v>600</v>
          </cell>
          <cell r="CV63">
            <v>6000</v>
          </cell>
          <cell r="CY63">
            <v>1800</v>
          </cell>
          <cell r="CZ63">
            <v>3000</v>
          </cell>
          <cell r="DA63">
            <v>9400</v>
          </cell>
          <cell r="DB63">
            <v>3000</v>
          </cell>
          <cell r="DD63">
            <v>4800</v>
          </cell>
          <cell r="DE63" t="str">
            <v>ACTIVO</v>
          </cell>
          <cell r="DF63" t="str">
            <v>B</v>
          </cell>
          <cell r="DH63">
            <v>5546.666666666667</v>
          </cell>
          <cell r="DI63">
            <v>924.44444444444446</v>
          </cell>
        </row>
        <row r="64">
          <cell r="B64">
            <v>393321</v>
          </cell>
          <cell r="C64" t="str">
            <v>HOJA SEPARADORA TORTA MEDIANA DIAMETRO 210 MMS.</v>
          </cell>
          <cell r="E64">
            <v>3000</v>
          </cell>
          <cell r="F64">
            <v>600</v>
          </cell>
          <cell r="G64">
            <v>3000</v>
          </cell>
          <cell r="H64">
            <v>1600</v>
          </cell>
          <cell r="I64">
            <v>3000</v>
          </cell>
          <cell r="J64">
            <v>3000</v>
          </cell>
          <cell r="K64">
            <v>1400</v>
          </cell>
          <cell r="L64">
            <v>3000</v>
          </cell>
          <cell r="N64">
            <v>3000</v>
          </cell>
          <cell r="P64">
            <v>6000</v>
          </cell>
          <cell r="R64">
            <v>3328</v>
          </cell>
          <cell r="X64">
            <v>6000</v>
          </cell>
          <cell r="Y64">
            <v>3000</v>
          </cell>
          <cell r="Z64">
            <v>3000</v>
          </cell>
          <cell r="AJ64">
            <v>3000</v>
          </cell>
          <cell r="AL64">
            <v>3000</v>
          </cell>
          <cell r="AN64">
            <v>6000</v>
          </cell>
          <cell r="AO64">
            <v>100</v>
          </cell>
          <cell r="AP64">
            <v>2900</v>
          </cell>
          <cell r="AR64">
            <v>3000</v>
          </cell>
          <cell r="AS64">
            <v>3000</v>
          </cell>
          <cell r="AT64">
            <v>6000</v>
          </cell>
          <cell r="AV64">
            <v>3000</v>
          </cell>
          <cell r="AW64">
            <v>3000</v>
          </cell>
          <cell r="AY64">
            <v>3000</v>
          </cell>
          <cell r="BB64">
            <v>3000</v>
          </cell>
          <cell r="BD64">
            <v>6000</v>
          </cell>
          <cell r="BF64">
            <v>3000</v>
          </cell>
          <cell r="BG64">
            <v>8500</v>
          </cell>
          <cell r="BH64">
            <v>3000</v>
          </cell>
          <cell r="BJ64">
            <v>3000</v>
          </cell>
          <cell r="BK64">
            <v>6000</v>
          </cell>
          <cell r="BL64">
            <v>1220</v>
          </cell>
          <cell r="BM64">
            <v>3000</v>
          </cell>
          <cell r="BN64">
            <v>15900</v>
          </cell>
          <cell r="BO64">
            <v>5700</v>
          </cell>
          <cell r="BP64">
            <v>2700</v>
          </cell>
          <cell r="BQ64">
            <v>3000</v>
          </cell>
          <cell r="BR64">
            <v>7200</v>
          </cell>
          <cell r="BT64">
            <v>6000</v>
          </cell>
          <cell r="BU64">
            <v>4500</v>
          </cell>
          <cell r="BW64">
            <v>3300</v>
          </cell>
          <cell r="BX64">
            <v>9600</v>
          </cell>
          <cell r="BY64">
            <v>1500</v>
          </cell>
          <cell r="BZ64">
            <v>200</v>
          </cell>
          <cell r="CA64">
            <v>8800</v>
          </cell>
          <cell r="CB64">
            <v>3000</v>
          </cell>
          <cell r="CC64">
            <v>4400</v>
          </cell>
          <cell r="CD64">
            <v>2400</v>
          </cell>
          <cell r="CE64">
            <v>2400</v>
          </cell>
          <cell r="CG64">
            <v>2400</v>
          </cell>
          <cell r="CH64">
            <v>6000</v>
          </cell>
          <cell r="CI64">
            <v>4800</v>
          </cell>
          <cell r="CJ64">
            <v>4800</v>
          </cell>
          <cell r="CK64">
            <v>7200</v>
          </cell>
          <cell r="CL64">
            <v>2400</v>
          </cell>
          <cell r="CM64">
            <v>12000</v>
          </cell>
          <cell r="CN64">
            <v>4800</v>
          </cell>
          <cell r="CO64">
            <v>3000</v>
          </cell>
          <cell r="CP64">
            <v>2400</v>
          </cell>
          <cell r="CQ64">
            <v>4800</v>
          </cell>
          <cell r="CR64">
            <v>4800</v>
          </cell>
          <cell r="CS64">
            <v>2400</v>
          </cell>
          <cell r="CT64">
            <v>2400</v>
          </cell>
          <cell r="CV64">
            <v>2400</v>
          </cell>
          <cell r="CX64">
            <v>1200</v>
          </cell>
          <cell r="CZ64">
            <v>2400</v>
          </cell>
          <cell r="DA64">
            <v>8400</v>
          </cell>
          <cell r="DB64">
            <v>100</v>
          </cell>
          <cell r="DC64">
            <v>4800</v>
          </cell>
          <cell r="DD64">
            <v>2400</v>
          </cell>
          <cell r="DE64" t="str">
            <v>ACTIVO</v>
          </cell>
          <cell r="DF64" t="str">
            <v>B</v>
          </cell>
          <cell r="DH64">
            <v>4090.4761904761904</v>
          </cell>
          <cell r="DI64">
            <v>681.74603174603169</v>
          </cell>
        </row>
        <row r="65">
          <cell r="B65">
            <v>393322</v>
          </cell>
          <cell r="C65" t="str">
            <v>HOJA SEPARADORA TARTALETA DIAMETRO 255 MMS.</v>
          </cell>
          <cell r="D65">
            <v>1200</v>
          </cell>
          <cell r="F65">
            <v>1000</v>
          </cell>
          <cell r="G65">
            <v>700</v>
          </cell>
          <cell r="H65">
            <v>800</v>
          </cell>
          <cell r="I65">
            <v>1300</v>
          </cell>
          <cell r="J65">
            <v>500</v>
          </cell>
          <cell r="K65">
            <v>1100</v>
          </cell>
          <cell r="L65">
            <v>500</v>
          </cell>
          <cell r="M65">
            <v>1000</v>
          </cell>
          <cell r="N65">
            <v>900</v>
          </cell>
          <cell r="O65">
            <v>1100</v>
          </cell>
          <cell r="P65">
            <v>1500</v>
          </cell>
          <cell r="Q65">
            <v>900</v>
          </cell>
          <cell r="R65">
            <v>1100</v>
          </cell>
          <cell r="S65">
            <v>1200</v>
          </cell>
          <cell r="T65">
            <v>2600</v>
          </cell>
          <cell r="U65">
            <v>600</v>
          </cell>
          <cell r="V65">
            <v>4700</v>
          </cell>
          <cell r="W65">
            <v>7700</v>
          </cell>
          <cell r="X65">
            <v>2200</v>
          </cell>
          <cell r="Z65">
            <v>3000</v>
          </cell>
          <cell r="AD65">
            <v>500</v>
          </cell>
          <cell r="AF65">
            <v>401</v>
          </cell>
          <cell r="AG65">
            <v>950</v>
          </cell>
          <cell r="AH65">
            <v>1399</v>
          </cell>
          <cell r="AI65">
            <v>700</v>
          </cell>
          <cell r="AJ65">
            <v>850</v>
          </cell>
          <cell r="AK65">
            <v>1100</v>
          </cell>
          <cell r="AL65">
            <v>700</v>
          </cell>
          <cell r="AM65">
            <v>900</v>
          </cell>
          <cell r="AN65">
            <v>900</v>
          </cell>
          <cell r="AO65">
            <v>1200</v>
          </cell>
          <cell r="AP65">
            <v>1000</v>
          </cell>
          <cell r="AQ65">
            <v>2000</v>
          </cell>
          <cell r="AR65">
            <v>2100</v>
          </cell>
          <cell r="AS65">
            <v>1900</v>
          </cell>
          <cell r="AT65">
            <v>1400</v>
          </cell>
          <cell r="AU65">
            <v>5900</v>
          </cell>
          <cell r="AV65">
            <v>2200</v>
          </cell>
          <cell r="AW65">
            <v>2000</v>
          </cell>
          <cell r="AX65">
            <v>1800</v>
          </cell>
          <cell r="AY65">
            <v>3000</v>
          </cell>
          <cell r="AZ65">
            <v>1600</v>
          </cell>
          <cell r="BA65">
            <v>1200</v>
          </cell>
          <cell r="BD65">
            <v>800</v>
          </cell>
          <cell r="BE65">
            <v>800</v>
          </cell>
          <cell r="BF65">
            <v>1600</v>
          </cell>
          <cell r="BG65">
            <v>6000</v>
          </cell>
          <cell r="BH65">
            <v>3200</v>
          </cell>
          <cell r="BI65">
            <v>3900</v>
          </cell>
          <cell r="BJ65">
            <v>2200</v>
          </cell>
          <cell r="BK65">
            <v>1200</v>
          </cell>
          <cell r="BL65">
            <v>1300</v>
          </cell>
          <cell r="BM65">
            <v>700</v>
          </cell>
          <cell r="BN65">
            <v>1000</v>
          </cell>
          <cell r="BO65">
            <v>1100</v>
          </cell>
          <cell r="BP65">
            <v>800</v>
          </cell>
          <cell r="BQ65">
            <v>100</v>
          </cell>
          <cell r="BS65">
            <v>500</v>
          </cell>
          <cell r="BT65">
            <v>700</v>
          </cell>
          <cell r="BU65">
            <v>2000</v>
          </cell>
          <cell r="BV65">
            <v>1000</v>
          </cell>
          <cell r="BW65">
            <v>600</v>
          </cell>
          <cell r="BX65">
            <v>700</v>
          </cell>
          <cell r="BY65">
            <v>1400</v>
          </cell>
          <cell r="BZ65">
            <v>2300</v>
          </cell>
          <cell r="CA65">
            <v>300</v>
          </cell>
          <cell r="CB65">
            <v>12800</v>
          </cell>
          <cell r="CC65">
            <v>400</v>
          </cell>
          <cell r="CG65">
            <v>300</v>
          </cell>
          <cell r="CH65">
            <v>200</v>
          </cell>
          <cell r="CI65">
            <v>2300</v>
          </cell>
          <cell r="CK65">
            <v>2700</v>
          </cell>
          <cell r="CM65">
            <v>5400</v>
          </cell>
          <cell r="CO65">
            <v>3000</v>
          </cell>
          <cell r="CQ65">
            <v>3100</v>
          </cell>
          <cell r="CR65">
            <v>500</v>
          </cell>
          <cell r="CS65">
            <v>2800</v>
          </cell>
          <cell r="CX65">
            <v>1800</v>
          </cell>
          <cell r="DA65">
            <v>2000</v>
          </cell>
          <cell r="DD65">
            <v>2400</v>
          </cell>
          <cell r="DE65" t="str">
            <v>ACTIVO</v>
          </cell>
          <cell r="DF65" t="str">
            <v>B</v>
          </cell>
          <cell r="DH65">
            <v>2208.3333333333335</v>
          </cell>
          <cell r="DI65">
            <v>368.0555555555556</v>
          </cell>
        </row>
        <row r="66">
          <cell r="B66">
            <v>403245</v>
          </cell>
          <cell r="C66" t="str">
            <v>Borde G 220x25 VERTIENTES</v>
          </cell>
          <cell r="D66">
            <v>8866</v>
          </cell>
          <cell r="E66">
            <v>16094</v>
          </cell>
          <cell r="F66">
            <v>19760</v>
          </cell>
          <cell r="G66">
            <v>10920</v>
          </cell>
          <cell r="H66">
            <v>15600</v>
          </cell>
          <cell r="I66">
            <v>15080</v>
          </cell>
          <cell r="J66">
            <v>16380</v>
          </cell>
          <cell r="K66">
            <v>15340</v>
          </cell>
          <cell r="L66">
            <v>20540</v>
          </cell>
          <cell r="M66">
            <v>19240</v>
          </cell>
          <cell r="N66">
            <v>17680</v>
          </cell>
          <cell r="O66">
            <v>7282.08</v>
          </cell>
          <cell r="P66">
            <v>16637.919999999998</v>
          </cell>
          <cell r="Q66">
            <v>1820</v>
          </cell>
          <cell r="CH66">
            <v>2080</v>
          </cell>
          <cell r="CI66">
            <v>1040</v>
          </cell>
          <cell r="CJ66">
            <v>18200</v>
          </cell>
          <cell r="CK66">
            <v>13640</v>
          </cell>
          <cell r="CL66">
            <v>780</v>
          </cell>
          <cell r="CU66">
            <v>7920</v>
          </cell>
          <cell r="CV66">
            <v>7540</v>
          </cell>
          <cell r="DD66">
            <v>2340</v>
          </cell>
          <cell r="DE66" t="str">
            <v>ACTIVO</v>
          </cell>
          <cell r="DF66" t="str">
            <v/>
          </cell>
          <cell r="DH66">
            <v>6692.5</v>
          </cell>
          <cell r="DI66">
            <v>1115.4166666666667</v>
          </cell>
        </row>
        <row r="67">
          <cell r="B67">
            <v>405422</v>
          </cell>
          <cell r="C67" t="str">
            <v>MOLDES PAPEL BASE TARTA MOLDESPAC</v>
          </cell>
          <cell r="Q67">
            <v>17420</v>
          </cell>
          <cell r="R67">
            <v>11960</v>
          </cell>
          <cell r="S67">
            <v>21060</v>
          </cell>
          <cell r="T67">
            <v>14560</v>
          </cell>
          <cell r="U67">
            <v>22880</v>
          </cell>
          <cell r="V67">
            <v>20800</v>
          </cell>
          <cell r="W67">
            <v>12480</v>
          </cell>
          <cell r="X67">
            <v>24700</v>
          </cell>
          <cell r="Y67">
            <v>28600</v>
          </cell>
          <cell r="Z67">
            <v>22360</v>
          </cell>
          <cell r="AA67">
            <v>5720</v>
          </cell>
          <cell r="AB67">
            <v>14040</v>
          </cell>
          <cell r="AC67">
            <v>8060</v>
          </cell>
          <cell r="AD67">
            <v>4160</v>
          </cell>
          <cell r="AE67">
            <v>1820</v>
          </cell>
          <cell r="AF67">
            <v>19760</v>
          </cell>
          <cell r="AG67">
            <v>27040</v>
          </cell>
          <cell r="AH67">
            <v>24180</v>
          </cell>
          <cell r="AI67">
            <v>22100</v>
          </cell>
          <cell r="AJ67">
            <v>10920</v>
          </cell>
          <cell r="AK67">
            <v>16380</v>
          </cell>
          <cell r="AL67">
            <v>10920</v>
          </cell>
          <cell r="AM67">
            <v>18200</v>
          </cell>
          <cell r="AN67">
            <v>16900</v>
          </cell>
          <cell r="AO67">
            <v>13520</v>
          </cell>
          <cell r="AP67">
            <v>10660</v>
          </cell>
          <cell r="AQ67">
            <v>21580</v>
          </cell>
          <cell r="AR67">
            <v>23140</v>
          </cell>
          <cell r="AS67">
            <v>18200</v>
          </cell>
          <cell r="AT67">
            <v>17940</v>
          </cell>
          <cell r="AU67">
            <v>19500</v>
          </cell>
          <cell r="AV67">
            <v>23660</v>
          </cell>
          <cell r="AW67">
            <v>23920</v>
          </cell>
          <cell r="AX67">
            <v>27300</v>
          </cell>
          <cell r="AY67">
            <v>21320</v>
          </cell>
          <cell r="AZ67">
            <v>13260</v>
          </cell>
          <cell r="BA67">
            <v>25480</v>
          </cell>
          <cell r="BB67">
            <v>8840</v>
          </cell>
          <cell r="BC67">
            <v>17420</v>
          </cell>
          <cell r="BD67">
            <v>5680</v>
          </cell>
          <cell r="BE67">
            <v>27040</v>
          </cell>
          <cell r="BF67">
            <v>14040</v>
          </cell>
          <cell r="BG67">
            <v>14820</v>
          </cell>
          <cell r="BH67">
            <v>17940</v>
          </cell>
          <cell r="BI67">
            <v>17940</v>
          </cell>
          <cell r="BJ67">
            <v>32500</v>
          </cell>
          <cell r="BK67">
            <v>15860</v>
          </cell>
          <cell r="BL67">
            <v>20800</v>
          </cell>
          <cell r="BM67">
            <v>21060</v>
          </cell>
          <cell r="BN67">
            <v>17680</v>
          </cell>
          <cell r="BO67">
            <v>18200</v>
          </cell>
          <cell r="BP67">
            <v>8320</v>
          </cell>
          <cell r="BQ67">
            <v>72800</v>
          </cell>
          <cell r="BR67">
            <v>13260</v>
          </cell>
          <cell r="BS67">
            <v>21840</v>
          </cell>
          <cell r="BT67">
            <v>14300</v>
          </cell>
          <cell r="BU67">
            <v>22100</v>
          </cell>
          <cell r="BV67">
            <v>14300</v>
          </cell>
          <cell r="BW67">
            <v>14040</v>
          </cell>
          <cell r="BX67">
            <v>11960</v>
          </cell>
          <cell r="BY67">
            <v>12740</v>
          </cell>
          <cell r="BZ67">
            <v>18720</v>
          </cell>
          <cell r="CA67">
            <v>17940</v>
          </cell>
          <cell r="CB67">
            <v>5720</v>
          </cell>
          <cell r="CC67">
            <v>14820</v>
          </cell>
          <cell r="CD67">
            <v>13000</v>
          </cell>
          <cell r="CE67">
            <v>8320</v>
          </cell>
          <cell r="CF67">
            <v>2340</v>
          </cell>
          <cell r="CG67">
            <v>17160</v>
          </cell>
          <cell r="CH67">
            <v>19500</v>
          </cell>
          <cell r="CI67">
            <v>15860</v>
          </cell>
          <cell r="CJ67">
            <v>1560</v>
          </cell>
          <cell r="CK67">
            <v>7540</v>
          </cell>
          <cell r="CL67">
            <v>13520</v>
          </cell>
          <cell r="CM67">
            <v>21840</v>
          </cell>
          <cell r="CN67">
            <v>22620</v>
          </cell>
          <cell r="CO67">
            <v>15340</v>
          </cell>
          <cell r="CP67">
            <v>10140</v>
          </cell>
          <cell r="CQ67">
            <v>8580</v>
          </cell>
          <cell r="CR67">
            <v>10920</v>
          </cell>
          <cell r="CS67">
            <v>5980</v>
          </cell>
          <cell r="CT67">
            <v>15080</v>
          </cell>
          <cell r="CU67">
            <v>6900</v>
          </cell>
          <cell r="CV67">
            <v>13000</v>
          </cell>
          <cell r="CW67">
            <v>18460</v>
          </cell>
          <cell r="CX67">
            <v>18200</v>
          </cell>
          <cell r="CY67">
            <v>16900</v>
          </cell>
          <cell r="CZ67">
            <v>8580</v>
          </cell>
          <cell r="DA67">
            <v>8320</v>
          </cell>
          <cell r="DB67">
            <v>12220</v>
          </cell>
          <cell r="DC67">
            <v>8580</v>
          </cell>
          <cell r="DD67">
            <v>10660</v>
          </cell>
          <cell r="DE67" t="str">
            <v>ACTIVO</v>
          </cell>
          <cell r="DF67" t="str">
            <v>A</v>
          </cell>
          <cell r="DH67">
            <v>12392</v>
          </cell>
          <cell r="DI67">
            <v>2065.3333333333335</v>
          </cell>
        </row>
        <row r="68">
          <cell r="B68">
            <v>403368</v>
          </cell>
          <cell r="C68" t="str">
            <v>HOJA SENCILLA PROSERVAR</v>
          </cell>
          <cell r="D68">
            <v>1000</v>
          </cell>
          <cell r="E68">
            <v>900</v>
          </cell>
          <cell r="F68">
            <v>900</v>
          </cell>
          <cell r="G68">
            <v>1700</v>
          </cell>
          <cell r="H68">
            <v>1000</v>
          </cell>
          <cell r="N68">
            <v>1000</v>
          </cell>
          <cell r="O68">
            <v>100</v>
          </cell>
          <cell r="P68">
            <v>900</v>
          </cell>
          <cell r="Q68">
            <v>1000</v>
          </cell>
          <cell r="R68">
            <v>1300</v>
          </cell>
          <cell r="S68">
            <v>632</v>
          </cell>
          <cell r="T68">
            <v>68</v>
          </cell>
          <cell r="AG68">
            <v>300</v>
          </cell>
          <cell r="AH68">
            <v>600</v>
          </cell>
          <cell r="AM68">
            <v>500</v>
          </cell>
          <cell r="AO68">
            <v>801</v>
          </cell>
          <cell r="AP68">
            <v>200</v>
          </cell>
          <cell r="AQ68">
            <v>1099</v>
          </cell>
          <cell r="AR68">
            <v>500</v>
          </cell>
          <cell r="AS68">
            <v>500</v>
          </cell>
          <cell r="AT68">
            <v>400</v>
          </cell>
          <cell r="AU68">
            <v>400</v>
          </cell>
          <cell r="BE68">
            <v>600</v>
          </cell>
          <cell r="BF68">
            <v>600</v>
          </cell>
          <cell r="BG68">
            <v>600</v>
          </cell>
          <cell r="BH68">
            <v>200</v>
          </cell>
          <cell r="BI68">
            <v>600</v>
          </cell>
          <cell r="BJ68">
            <v>1600</v>
          </cell>
          <cell r="BP68">
            <v>400</v>
          </cell>
          <cell r="BQ68">
            <v>800</v>
          </cell>
          <cell r="BR68">
            <v>1000</v>
          </cell>
          <cell r="BS68">
            <v>1000</v>
          </cell>
          <cell r="BU68">
            <v>400</v>
          </cell>
          <cell r="BV68">
            <v>700</v>
          </cell>
          <cell r="BW68">
            <v>200</v>
          </cell>
          <cell r="BX68">
            <v>600</v>
          </cell>
          <cell r="BZ68">
            <v>600</v>
          </cell>
          <cell r="CA68">
            <v>900</v>
          </cell>
          <cell r="CB68">
            <v>500</v>
          </cell>
          <cell r="CC68">
            <v>280</v>
          </cell>
          <cell r="CD68">
            <v>300</v>
          </cell>
          <cell r="CG68">
            <v>1300</v>
          </cell>
          <cell r="CH68">
            <v>800</v>
          </cell>
          <cell r="CI68">
            <v>1900</v>
          </cell>
          <cell r="CN68">
            <v>400</v>
          </cell>
          <cell r="CO68">
            <v>400</v>
          </cell>
          <cell r="CP68">
            <v>800</v>
          </cell>
          <cell r="CQ68">
            <v>900</v>
          </cell>
          <cell r="CR68">
            <v>1200</v>
          </cell>
          <cell r="CS68">
            <v>1000</v>
          </cell>
          <cell r="CT68">
            <v>1900</v>
          </cell>
          <cell r="CW68">
            <v>200</v>
          </cell>
          <cell r="CX68">
            <v>96</v>
          </cell>
          <cell r="DB68">
            <v>800</v>
          </cell>
          <cell r="DC68">
            <v>1400</v>
          </cell>
          <cell r="DD68">
            <v>1400</v>
          </cell>
          <cell r="DE68" t="str">
            <v>ACTIVO</v>
          </cell>
          <cell r="DF68" t="str">
            <v>C</v>
          </cell>
          <cell r="DH68">
            <v>966.4</v>
          </cell>
          <cell r="DI68">
            <v>161.06666666666666</v>
          </cell>
        </row>
        <row r="69">
          <cell r="B69">
            <v>403373</v>
          </cell>
          <cell r="C69" t="str">
            <v>HOJA SEPARADORA PLANCHAS PROSERVAR</v>
          </cell>
          <cell r="I69">
            <v>800</v>
          </cell>
          <cell r="J69">
            <v>1700</v>
          </cell>
          <cell r="K69">
            <v>500</v>
          </cell>
          <cell r="S69">
            <v>500</v>
          </cell>
          <cell r="T69">
            <v>500</v>
          </cell>
          <cell r="U69">
            <v>600</v>
          </cell>
          <cell r="V69">
            <v>800</v>
          </cell>
          <cell r="W69">
            <v>100</v>
          </cell>
          <cell r="X69">
            <v>500</v>
          </cell>
          <cell r="AF69">
            <v>1400</v>
          </cell>
          <cell r="AG69">
            <v>300</v>
          </cell>
          <cell r="AK69">
            <v>600</v>
          </cell>
          <cell r="AL69">
            <v>1100</v>
          </cell>
          <cell r="AM69">
            <v>800</v>
          </cell>
          <cell r="AN69">
            <v>1000</v>
          </cell>
          <cell r="AO69">
            <v>100</v>
          </cell>
          <cell r="AU69">
            <v>400</v>
          </cell>
          <cell r="AW69">
            <v>700</v>
          </cell>
          <cell r="AX69">
            <v>400</v>
          </cell>
          <cell r="AY69">
            <v>1600</v>
          </cell>
          <cell r="AZ69">
            <v>900</v>
          </cell>
          <cell r="BA69">
            <v>700</v>
          </cell>
          <cell r="CJ69">
            <v>200</v>
          </cell>
          <cell r="CK69">
            <v>500</v>
          </cell>
          <cell r="CL69">
            <v>1700</v>
          </cell>
          <cell r="CM69">
            <v>300</v>
          </cell>
          <cell r="CN69">
            <v>400</v>
          </cell>
          <cell r="CO69">
            <v>200</v>
          </cell>
          <cell r="CP69">
            <v>200</v>
          </cell>
          <cell r="CR69">
            <v>200</v>
          </cell>
          <cell r="CU69">
            <v>1200</v>
          </cell>
          <cell r="CV69">
            <v>1100</v>
          </cell>
          <cell r="DE69" t="str">
            <v>ACTIVO</v>
          </cell>
          <cell r="DF69" t="str">
            <v>C</v>
          </cell>
          <cell r="DH69">
            <v>600</v>
          </cell>
          <cell r="DI69">
            <v>100</v>
          </cell>
        </row>
        <row r="70">
          <cell r="B70">
            <v>405170</v>
          </cell>
          <cell r="C70" t="str">
            <v>DISCO CARTON 19CM MICROCORRUGADO ALIMPACK</v>
          </cell>
          <cell r="L70">
            <v>5000</v>
          </cell>
          <cell r="P70">
            <v>1600</v>
          </cell>
          <cell r="R70">
            <v>5750</v>
          </cell>
          <cell r="DE70" t="str">
            <v>ACTIVO</v>
          </cell>
          <cell r="DF70" t="str">
            <v/>
          </cell>
          <cell r="DH70">
            <v>0</v>
          </cell>
          <cell r="DI70">
            <v>0</v>
          </cell>
        </row>
        <row r="71">
          <cell r="B71">
            <v>405346</v>
          </cell>
          <cell r="C71" t="str">
            <v>DISCO CARTON BLANCO 17CM FPS</v>
          </cell>
          <cell r="F71">
            <v>11500</v>
          </cell>
          <cell r="G71">
            <v>28500</v>
          </cell>
          <cell r="H71">
            <v>24000</v>
          </cell>
          <cell r="I71">
            <v>17500</v>
          </cell>
          <cell r="J71">
            <v>22000</v>
          </cell>
          <cell r="K71">
            <v>24500</v>
          </cell>
          <cell r="L71">
            <v>26500</v>
          </cell>
          <cell r="M71">
            <v>31500</v>
          </cell>
          <cell r="N71">
            <v>28500</v>
          </cell>
          <cell r="O71">
            <v>13000</v>
          </cell>
          <cell r="P71">
            <v>15500</v>
          </cell>
          <cell r="Q71">
            <v>19500</v>
          </cell>
          <cell r="R71">
            <v>26000</v>
          </cell>
          <cell r="S71">
            <v>27000</v>
          </cell>
          <cell r="T71">
            <v>28000</v>
          </cell>
          <cell r="U71">
            <v>23500</v>
          </cell>
          <cell r="V71">
            <v>19000</v>
          </cell>
          <cell r="W71">
            <v>23000</v>
          </cell>
          <cell r="X71">
            <v>18500</v>
          </cell>
          <cell r="Y71">
            <v>22000</v>
          </cell>
          <cell r="Z71">
            <v>12000</v>
          </cell>
          <cell r="AA71">
            <v>15001</v>
          </cell>
          <cell r="AB71">
            <v>14999</v>
          </cell>
          <cell r="AC71">
            <v>5000</v>
          </cell>
          <cell r="AD71">
            <v>3000</v>
          </cell>
          <cell r="AF71">
            <v>22500</v>
          </cell>
          <cell r="AG71">
            <v>9000</v>
          </cell>
          <cell r="AH71">
            <v>5000</v>
          </cell>
          <cell r="AI71">
            <v>11500</v>
          </cell>
          <cell r="AJ71">
            <v>31000</v>
          </cell>
          <cell r="AK71">
            <v>12500</v>
          </cell>
          <cell r="AL71">
            <v>29000</v>
          </cell>
          <cell r="AM71">
            <v>8000</v>
          </cell>
          <cell r="AN71">
            <v>16000</v>
          </cell>
          <cell r="AO71">
            <v>22000</v>
          </cell>
          <cell r="AP71">
            <v>10000</v>
          </cell>
          <cell r="AQ71">
            <v>28000</v>
          </cell>
          <cell r="AR71">
            <v>24500</v>
          </cell>
          <cell r="AS71">
            <v>6000</v>
          </cell>
          <cell r="AT71">
            <v>12500</v>
          </cell>
          <cell r="AU71">
            <v>18000</v>
          </cell>
          <cell r="AV71">
            <v>14000</v>
          </cell>
          <cell r="AW71">
            <v>23500</v>
          </cell>
          <cell r="AX71">
            <v>13500</v>
          </cell>
          <cell r="AY71">
            <v>20000</v>
          </cell>
          <cell r="AZ71">
            <v>16000</v>
          </cell>
          <cell r="BA71">
            <v>27000</v>
          </cell>
          <cell r="BB71">
            <v>24500</v>
          </cell>
          <cell r="BC71">
            <v>17500</v>
          </cell>
          <cell r="DE71" t="str">
            <v>SIN USO</v>
          </cell>
          <cell r="DF71" t="str">
            <v>C</v>
          </cell>
          <cell r="DH71">
            <v>0</v>
          </cell>
          <cell r="DI71">
            <v>0</v>
          </cell>
        </row>
        <row r="72">
          <cell r="B72">
            <v>405347</v>
          </cell>
          <cell r="C72" t="str">
            <v>DISCO CARTON BLANCO 24 FPS</v>
          </cell>
          <cell r="H72">
            <v>20000</v>
          </cell>
          <cell r="I72">
            <v>14500</v>
          </cell>
          <cell r="J72">
            <v>14500</v>
          </cell>
          <cell r="K72">
            <v>7500</v>
          </cell>
          <cell r="L72">
            <v>9000</v>
          </cell>
          <cell r="M72">
            <v>9500</v>
          </cell>
          <cell r="N72">
            <v>9000</v>
          </cell>
          <cell r="O72">
            <v>10000</v>
          </cell>
          <cell r="P72">
            <v>20500</v>
          </cell>
          <cell r="Q72">
            <v>6000</v>
          </cell>
          <cell r="R72">
            <v>10500</v>
          </cell>
          <cell r="S72">
            <v>25500</v>
          </cell>
          <cell r="T72">
            <v>10000</v>
          </cell>
          <cell r="U72">
            <v>13500</v>
          </cell>
          <cell r="V72">
            <v>8500</v>
          </cell>
          <cell r="W72">
            <v>14500</v>
          </cell>
          <cell r="X72">
            <v>23000</v>
          </cell>
          <cell r="Y72">
            <v>22500</v>
          </cell>
          <cell r="Z72">
            <v>9500</v>
          </cell>
          <cell r="AA72">
            <v>3500</v>
          </cell>
          <cell r="AB72">
            <v>5500</v>
          </cell>
          <cell r="AC72">
            <v>9000</v>
          </cell>
          <cell r="AF72">
            <v>25000</v>
          </cell>
          <cell r="AG72">
            <v>15000</v>
          </cell>
          <cell r="AH72">
            <v>21000</v>
          </cell>
          <cell r="AI72">
            <v>14000</v>
          </cell>
          <cell r="AJ72">
            <v>7500</v>
          </cell>
          <cell r="AK72">
            <v>18532</v>
          </cell>
          <cell r="AL72">
            <v>6042</v>
          </cell>
          <cell r="AM72">
            <v>14014</v>
          </cell>
          <cell r="AN72">
            <v>14006</v>
          </cell>
          <cell r="AO72">
            <v>10539</v>
          </cell>
          <cell r="AP72">
            <v>12049</v>
          </cell>
          <cell r="AQ72">
            <v>12044</v>
          </cell>
          <cell r="AR72">
            <v>12507</v>
          </cell>
          <cell r="AS72">
            <v>12500</v>
          </cell>
          <cell r="AT72">
            <v>14500</v>
          </cell>
          <cell r="AU72">
            <v>20503</v>
          </cell>
          <cell r="AV72">
            <v>17500</v>
          </cell>
          <cell r="AW72">
            <v>22002</v>
          </cell>
          <cell r="AX72">
            <v>20000</v>
          </cell>
          <cell r="AY72">
            <v>13000</v>
          </cell>
          <cell r="AZ72">
            <v>5000</v>
          </cell>
          <cell r="BA72">
            <v>19500</v>
          </cell>
          <cell r="BB72">
            <v>4500</v>
          </cell>
          <cell r="BC72">
            <v>18500</v>
          </cell>
          <cell r="DE72" t="str">
            <v>SIN USO</v>
          </cell>
          <cell r="DF72" t="str">
            <v>B</v>
          </cell>
          <cell r="DH72">
            <v>0</v>
          </cell>
          <cell r="DI72">
            <v>0</v>
          </cell>
        </row>
        <row r="73">
          <cell r="B73">
            <v>107357</v>
          </cell>
          <cell r="C73" t="str">
            <v>DISCO CARTÓN BLANCO 19 FPS</v>
          </cell>
          <cell r="D73">
            <v>71500</v>
          </cell>
          <cell r="E73">
            <v>68000</v>
          </cell>
          <cell r="F73">
            <v>59500</v>
          </cell>
          <cell r="G73">
            <v>48500</v>
          </cell>
          <cell r="H73">
            <v>92500</v>
          </cell>
          <cell r="I73">
            <v>71000</v>
          </cell>
          <cell r="J73">
            <v>66500</v>
          </cell>
          <cell r="K73">
            <v>61000</v>
          </cell>
          <cell r="L73">
            <v>38500</v>
          </cell>
          <cell r="M73">
            <v>61500</v>
          </cell>
          <cell r="N73">
            <v>46000</v>
          </cell>
          <cell r="O73">
            <v>30000</v>
          </cell>
          <cell r="P73">
            <v>76000</v>
          </cell>
          <cell r="Q73">
            <v>59000</v>
          </cell>
          <cell r="R73">
            <v>62500</v>
          </cell>
          <cell r="S73">
            <v>45000</v>
          </cell>
          <cell r="T73">
            <v>49500</v>
          </cell>
          <cell r="U73">
            <v>46500</v>
          </cell>
          <cell r="V73">
            <v>63500</v>
          </cell>
          <cell r="W73">
            <v>45500</v>
          </cell>
          <cell r="X73">
            <v>73500</v>
          </cell>
          <cell r="Y73">
            <v>52000</v>
          </cell>
          <cell r="Z73">
            <v>44500</v>
          </cell>
          <cell r="AA73">
            <v>36501</v>
          </cell>
          <cell r="AB73">
            <v>84999</v>
          </cell>
          <cell r="AC73">
            <v>32500</v>
          </cell>
          <cell r="AD73">
            <v>8500</v>
          </cell>
          <cell r="AE73">
            <v>7000</v>
          </cell>
          <cell r="AF73">
            <v>50000</v>
          </cell>
          <cell r="AG73">
            <v>38500</v>
          </cell>
          <cell r="AH73">
            <v>39000</v>
          </cell>
          <cell r="AI73">
            <v>32500</v>
          </cell>
          <cell r="AJ73">
            <v>51500</v>
          </cell>
          <cell r="AK73">
            <v>57500</v>
          </cell>
          <cell r="AL73">
            <v>39500</v>
          </cell>
          <cell r="AM73">
            <v>39500</v>
          </cell>
          <cell r="AN73">
            <v>42500</v>
          </cell>
          <cell r="AO73">
            <v>46500</v>
          </cell>
          <cell r="AP73">
            <v>45500</v>
          </cell>
          <cell r="AQ73">
            <v>43500</v>
          </cell>
          <cell r="AR73">
            <v>43500</v>
          </cell>
          <cell r="AS73">
            <v>66500</v>
          </cell>
          <cell r="AT73">
            <v>58000</v>
          </cell>
          <cell r="AU73">
            <v>43500</v>
          </cell>
          <cell r="AV73">
            <v>37500</v>
          </cell>
          <cell r="AW73">
            <v>69000</v>
          </cell>
          <cell r="AX73">
            <v>28500</v>
          </cell>
          <cell r="AY73">
            <v>56000</v>
          </cell>
          <cell r="AZ73">
            <v>43650</v>
          </cell>
          <cell r="BA73">
            <v>8000</v>
          </cell>
          <cell r="BB73">
            <v>11000</v>
          </cell>
          <cell r="BC73">
            <v>500</v>
          </cell>
          <cell r="DE73" t="str">
            <v>SIN USO</v>
          </cell>
          <cell r="DF73" t="str">
            <v>B</v>
          </cell>
          <cell r="DH73">
            <v>0</v>
          </cell>
          <cell r="DI73">
            <v>0</v>
          </cell>
        </row>
        <row r="74">
          <cell r="B74">
            <v>403375</v>
          </cell>
          <cell r="C74" t="str">
            <v>DISCO DE CARTON 15,5CM VTM</v>
          </cell>
          <cell r="CB74">
            <v>0</v>
          </cell>
          <cell r="CD74">
            <v>900</v>
          </cell>
          <cell r="DE74" t="str">
            <v>SIN USO</v>
          </cell>
          <cell r="DF74" t="str">
            <v>C</v>
          </cell>
          <cell r="DH74">
            <v>0</v>
          </cell>
          <cell r="DI74">
            <v>0</v>
          </cell>
        </row>
        <row r="75">
          <cell r="B75">
            <v>405789</v>
          </cell>
          <cell r="C75" t="str">
            <v>HOJA SEPARADORA TORTA DIAMETRO 230 MMS FULL CARTON</v>
          </cell>
          <cell r="DD75">
            <v>2400</v>
          </cell>
          <cell r="DE75" t="str">
            <v>ACTIVO</v>
          </cell>
          <cell r="DF75" t="str">
            <v/>
          </cell>
          <cell r="DH75">
            <v>2400</v>
          </cell>
          <cell r="DI75">
            <v>400</v>
          </cell>
        </row>
        <row r="76">
          <cell r="B76">
            <v>405793</v>
          </cell>
          <cell r="C76" t="str">
            <v>PLANCHA DE CARTON 1X1,20 FULL CARTON</v>
          </cell>
          <cell r="DD76">
            <v>500</v>
          </cell>
          <cell r="DE76" t="str">
            <v>ACTIVO</v>
          </cell>
          <cell r="DF76" t="str">
            <v/>
          </cell>
          <cell r="DH76">
            <v>500</v>
          </cell>
          <cell r="DI76">
            <v>83.333333333333329</v>
          </cell>
        </row>
        <row r="77">
          <cell r="D77">
            <v>154566</v>
          </cell>
          <cell r="E77">
            <v>136444</v>
          </cell>
          <cell r="F77">
            <v>153560</v>
          </cell>
          <cell r="G77">
            <v>130420</v>
          </cell>
          <cell r="H77">
            <v>182400</v>
          </cell>
          <cell r="I77">
            <v>152530</v>
          </cell>
          <cell r="J77">
            <v>174480</v>
          </cell>
          <cell r="K77">
            <v>156240</v>
          </cell>
          <cell r="L77">
            <v>149940</v>
          </cell>
          <cell r="M77">
            <v>165690</v>
          </cell>
          <cell r="N77">
            <v>131181</v>
          </cell>
          <cell r="O77">
            <v>87082.08</v>
          </cell>
          <cell r="P77">
            <v>184337.91999999998</v>
          </cell>
          <cell r="Q77">
            <v>155546</v>
          </cell>
          <cell r="R77">
            <v>143438</v>
          </cell>
          <cell r="S77">
            <v>185792</v>
          </cell>
          <cell r="T77">
            <v>145428</v>
          </cell>
          <cell r="U77">
            <v>149880</v>
          </cell>
          <cell r="V77">
            <v>178550</v>
          </cell>
          <cell r="W77">
            <v>139380</v>
          </cell>
          <cell r="X77">
            <v>164300</v>
          </cell>
          <cell r="Y77">
            <v>187200</v>
          </cell>
          <cell r="Z77">
            <v>111899</v>
          </cell>
          <cell r="AA77">
            <v>71183</v>
          </cell>
          <cell r="AB77">
            <v>126138</v>
          </cell>
          <cell r="AC77">
            <v>90958</v>
          </cell>
          <cell r="AD77">
            <v>29660</v>
          </cell>
          <cell r="AE77">
            <v>11820</v>
          </cell>
          <cell r="AF77">
            <v>140861</v>
          </cell>
          <cell r="AG77">
            <v>104841</v>
          </cell>
          <cell r="AH77">
            <v>119078</v>
          </cell>
          <cell r="AI77">
            <v>111000</v>
          </cell>
          <cell r="AJ77">
            <v>143720</v>
          </cell>
          <cell r="AK77">
            <v>134612</v>
          </cell>
          <cell r="AL77">
            <v>115862</v>
          </cell>
          <cell r="AM77">
            <v>108114</v>
          </cell>
          <cell r="AN77">
            <v>124706</v>
          </cell>
          <cell r="AO77">
            <v>132760</v>
          </cell>
          <cell r="AP77">
            <v>117859</v>
          </cell>
          <cell r="AQ77">
            <v>160231</v>
          </cell>
          <cell r="AR77">
            <v>144747</v>
          </cell>
          <cell r="AS77">
            <v>138500</v>
          </cell>
          <cell r="AT77">
            <v>129540</v>
          </cell>
          <cell r="AU77">
            <v>155453</v>
          </cell>
          <cell r="AV77">
            <v>141210</v>
          </cell>
          <cell r="AW77">
            <v>195772</v>
          </cell>
          <cell r="AX77">
            <v>175750</v>
          </cell>
          <cell r="AY77">
            <v>156870</v>
          </cell>
          <cell r="AZ77">
            <v>116510</v>
          </cell>
          <cell r="BA77">
            <v>167980</v>
          </cell>
          <cell r="BB77">
            <v>154970</v>
          </cell>
          <cell r="BC77">
            <v>155470</v>
          </cell>
          <cell r="BD77">
            <v>133300</v>
          </cell>
          <cell r="BE77">
            <v>153441</v>
          </cell>
          <cell r="BF77">
            <v>137640</v>
          </cell>
          <cell r="BG77">
            <v>132190</v>
          </cell>
          <cell r="BH77">
            <v>159320</v>
          </cell>
          <cell r="BI77">
            <v>98740</v>
          </cell>
          <cell r="BJ77">
            <v>199205</v>
          </cell>
          <cell r="BK77">
            <v>176660</v>
          </cell>
          <cell r="BL77">
            <v>150940</v>
          </cell>
          <cell r="BM77">
            <v>163960</v>
          </cell>
          <cell r="BN77">
            <v>147460</v>
          </cell>
          <cell r="BO77">
            <v>131450</v>
          </cell>
          <cell r="BP77">
            <v>60420</v>
          </cell>
          <cell r="BQ77">
            <v>216450</v>
          </cell>
          <cell r="BR77">
            <v>130460</v>
          </cell>
          <cell r="BS77">
            <v>147140</v>
          </cell>
          <cell r="BT77">
            <v>94736</v>
          </cell>
          <cell r="BU77">
            <v>142264</v>
          </cell>
          <cell r="BV77">
            <v>99500</v>
          </cell>
          <cell r="BW77">
            <v>92240</v>
          </cell>
          <cell r="BX77">
            <v>97360</v>
          </cell>
          <cell r="BY77">
            <v>106990</v>
          </cell>
          <cell r="BZ77">
            <v>121220</v>
          </cell>
          <cell r="CA77">
            <v>100840</v>
          </cell>
          <cell r="CB77">
            <v>94120</v>
          </cell>
          <cell r="CC77">
            <v>129300</v>
          </cell>
          <cell r="CD77">
            <v>87860</v>
          </cell>
          <cell r="CE77">
            <v>45820</v>
          </cell>
          <cell r="CF77">
            <v>18340</v>
          </cell>
          <cell r="CG77">
            <v>144060</v>
          </cell>
          <cell r="CH77">
            <v>124060</v>
          </cell>
          <cell r="CI77">
            <v>188350</v>
          </cell>
          <cell r="CJ77">
            <v>121860</v>
          </cell>
          <cell r="CK77">
            <v>135530</v>
          </cell>
          <cell r="CL77">
            <v>114350</v>
          </cell>
          <cell r="CM77">
            <v>139240</v>
          </cell>
          <cell r="CN77">
            <v>119620</v>
          </cell>
          <cell r="CO77">
            <v>122640</v>
          </cell>
          <cell r="CP77">
            <v>119340</v>
          </cell>
          <cell r="CQ77">
            <v>119180</v>
          </cell>
          <cell r="CR77">
            <v>166300</v>
          </cell>
          <cell r="CS77">
            <v>113380</v>
          </cell>
          <cell r="CT77">
            <v>107680</v>
          </cell>
          <cell r="CU77">
            <v>93620</v>
          </cell>
          <cell r="CV77">
            <v>146590</v>
          </cell>
          <cell r="CW77">
            <v>95210</v>
          </cell>
          <cell r="CX77">
            <v>90296</v>
          </cell>
          <cell r="CY77">
            <v>96650</v>
          </cell>
          <cell r="CZ77">
            <v>88930</v>
          </cell>
          <cell r="DA77">
            <v>151020</v>
          </cell>
          <cell r="DB77">
            <v>111170</v>
          </cell>
          <cell r="DC77">
            <v>105031</v>
          </cell>
          <cell r="DD77">
            <v>116550</v>
          </cell>
          <cell r="DE77" t="str">
            <v>ACTIVO</v>
          </cell>
          <cell r="DF77" t="str">
            <v/>
          </cell>
          <cell r="DH77">
            <v>117959.88</v>
          </cell>
          <cell r="DI77">
            <v>19659.98</v>
          </cell>
        </row>
        <row r="78">
          <cell r="B78">
            <v>405214</v>
          </cell>
          <cell r="C78" t="str">
            <v>CREMYVIT NARANJA TM1 PURATOS</v>
          </cell>
          <cell r="D78">
            <v>880</v>
          </cell>
          <cell r="E78">
            <v>620</v>
          </cell>
          <cell r="F78">
            <v>680</v>
          </cell>
          <cell r="G78">
            <v>600</v>
          </cell>
          <cell r="H78">
            <v>860</v>
          </cell>
          <cell r="I78">
            <v>240</v>
          </cell>
          <cell r="J78">
            <v>540</v>
          </cell>
          <cell r="K78">
            <v>620</v>
          </cell>
          <cell r="L78">
            <v>850</v>
          </cell>
          <cell r="M78">
            <v>950</v>
          </cell>
          <cell r="N78">
            <v>940</v>
          </cell>
          <cell r="O78">
            <v>280</v>
          </cell>
          <cell r="P78">
            <v>400</v>
          </cell>
          <cell r="Q78">
            <v>500</v>
          </cell>
          <cell r="R78">
            <v>940</v>
          </cell>
          <cell r="S78">
            <v>520</v>
          </cell>
          <cell r="T78">
            <v>1140</v>
          </cell>
          <cell r="U78">
            <v>1720</v>
          </cell>
          <cell r="V78">
            <v>1100</v>
          </cell>
          <cell r="X78">
            <v>2040</v>
          </cell>
          <cell r="Y78">
            <v>940</v>
          </cell>
          <cell r="AA78">
            <v>780</v>
          </cell>
          <cell r="AB78">
            <v>1200</v>
          </cell>
          <cell r="AC78">
            <v>320</v>
          </cell>
          <cell r="AD78">
            <v>480</v>
          </cell>
          <cell r="AE78">
            <v>60</v>
          </cell>
          <cell r="AF78">
            <v>540</v>
          </cell>
          <cell r="AG78">
            <v>1093</v>
          </cell>
          <cell r="AH78">
            <v>1067</v>
          </cell>
          <cell r="AI78">
            <v>1582.5</v>
          </cell>
          <cell r="AJ78">
            <v>700</v>
          </cell>
          <cell r="AK78">
            <v>620</v>
          </cell>
          <cell r="AL78">
            <v>500</v>
          </cell>
          <cell r="AN78">
            <v>660</v>
          </cell>
          <cell r="AO78">
            <v>960</v>
          </cell>
          <cell r="AP78">
            <v>920</v>
          </cell>
          <cell r="AQ78">
            <v>620</v>
          </cell>
          <cell r="AR78">
            <v>200</v>
          </cell>
          <cell r="AS78">
            <v>20</v>
          </cell>
          <cell r="AU78">
            <v>700</v>
          </cell>
          <cell r="AV78">
            <v>440</v>
          </cell>
          <cell r="AW78">
            <v>450</v>
          </cell>
          <cell r="AX78">
            <v>280</v>
          </cell>
          <cell r="AY78">
            <v>930</v>
          </cell>
          <cell r="AZ78">
            <v>210</v>
          </cell>
          <cell r="BA78">
            <v>260</v>
          </cell>
          <cell r="BB78">
            <v>780</v>
          </cell>
          <cell r="BC78">
            <v>360</v>
          </cell>
          <cell r="BD78">
            <v>460</v>
          </cell>
          <cell r="BE78">
            <v>700</v>
          </cell>
          <cell r="BF78">
            <v>420</v>
          </cell>
          <cell r="BG78">
            <v>660</v>
          </cell>
          <cell r="BH78">
            <v>320</v>
          </cell>
          <cell r="BI78">
            <v>280</v>
          </cell>
          <cell r="BJ78">
            <v>700</v>
          </cell>
          <cell r="BK78">
            <v>780</v>
          </cell>
          <cell r="BM78">
            <v>1040</v>
          </cell>
          <cell r="BO78">
            <v>20</v>
          </cell>
          <cell r="BP78">
            <v>560</v>
          </cell>
          <cell r="BQ78">
            <v>360</v>
          </cell>
          <cell r="BR78">
            <v>660</v>
          </cell>
          <cell r="BS78">
            <v>400</v>
          </cell>
          <cell r="BT78">
            <v>640</v>
          </cell>
          <cell r="BU78">
            <v>260</v>
          </cell>
          <cell r="BW78">
            <v>780</v>
          </cell>
          <cell r="BX78">
            <v>100</v>
          </cell>
          <cell r="BY78">
            <v>460</v>
          </cell>
          <cell r="BZ78">
            <v>440</v>
          </cell>
          <cell r="CA78">
            <v>840</v>
          </cell>
          <cell r="CB78">
            <v>300</v>
          </cell>
          <cell r="CC78">
            <v>200</v>
          </cell>
          <cell r="CD78">
            <v>340</v>
          </cell>
          <cell r="CE78">
            <v>20</v>
          </cell>
          <cell r="CF78">
            <v>120</v>
          </cell>
          <cell r="CG78">
            <v>560</v>
          </cell>
          <cell r="CH78">
            <v>400</v>
          </cell>
          <cell r="CI78">
            <v>700</v>
          </cell>
          <cell r="CJ78">
            <v>420</v>
          </cell>
          <cell r="CK78">
            <v>1340</v>
          </cell>
          <cell r="CN78">
            <v>340</v>
          </cell>
          <cell r="CO78">
            <v>745</v>
          </cell>
          <cell r="CP78">
            <v>480</v>
          </cell>
          <cell r="CR78">
            <v>360</v>
          </cell>
          <cell r="CS78">
            <v>160</v>
          </cell>
          <cell r="CT78">
            <v>720</v>
          </cell>
          <cell r="CU78">
            <v>1320</v>
          </cell>
          <cell r="CV78">
            <v>840</v>
          </cell>
          <cell r="CW78">
            <v>180</v>
          </cell>
          <cell r="CX78">
            <v>980</v>
          </cell>
          <cell r="CY78">
            <v>980</v>
          </cell>
          <cell r="CZ78">
            <v>720</v>
          </cell>
          <cell r="DA78">
            <v>800</v>
          </cell>
          <cell r="DB78">
            <v>500</v>
          </cell>
          <cell r="DC78">
            <v>400</v>
          </cell>
          <cell r="DD78">
            <v>900</v>
          </cell>
          <cell r="DE78" t="str">
            <v>ACTIVO</v>
          </cell>
          <cell r="DF78" t="str">
            <v>A</v>
          </cell>
          <cell r="DH78">
            <v>634.77272727272725</v>
          </cell>
          <cell r="DI78">
            <v>105.79545454545455</v>
          </cell>
        </row>
        <row r="79">
          <cell r="B79">
            <v>107417</v>
          </cell>
          <cell r="C79" t="str">
            <v>CREMA PASTELERA NARANJA BAKELS</v>
          </cell>
          <cell r="AK79">
            <v>720</v>
          </cell>
          <cell r="AL79">
            <v>80</v>
          </cell>
          <cell r="AM79">
            <v>40</v>
          </cell>
          <cell r="AV79">
            <v>320</v>
          </cell>
          <cell r="AW79">
            <v>560</v>
          </cell>
          <cell r="AX79">
            <v>140</v>
          </cell>
          <cell r="AY79">
            <v>260</v>
          </cell>
          <cell r="BA79">
            <v>80</v>
          </cell>
          <cell r="BB79">
            <v>400</v>
          </cell>
          <cell r="BC79">
            <v>460</v>
          </cell>
          <cell r="BD79">
            <v>20</v>
          </cell>
          <cell r="BE79">
            <v>65</v>
          </cell>
          <cell r="BF79">
            <v>220</v>
          </cell>
          <cell r="BG79">
            <v>365</v>
          </cell>
          <cell r="BH79">
            <v>160</v>
          </cell>
          <cell r="BI79">
            <v>200</v>
          </cell>
          <cell r="BJ79">
            <v>360</v>
          </cell>
          <cell r="BK79">
            <v>220</v>
          </cell>
          <cell r="BL79">
            <v>380</v>
          </cell>
          <cell r="BM79">
            <v>300</v>
          </cell>
          <cell r="BN79">
            <v>420</v>
          </cell>
          <cell r="BO79">
            <v>180</v>
          </cell>
          <cell r="BQ79">
            <v>280</v>
          </cell>
          <cell r="BR79">
            <v>260</v>
          </cell>
          <cell r="BS79">
            <v>315</v>
          </cell>
          <cell r="BT79">
            <v>320</v>
          </cell>
          <cell r="BU79">
            <v>525</v>
          </cell>
          <cell r="BV79">
            <v>120</v>
          </cell>
          <cell r="BW79">
            <v>380</v>
          </cell>
          <cell r="BZ79">
            <v>280</v>
          </cell>
          <cell r="CA79">
            <v>280</v>
          </cell>
          <cell r="CB79">
            <v>240</v>
          </cell>
          <cell r="CC79">
            <v>680</v>
          </cell>
          <cell r="CD79">
            <v>20</v>
          </cell>
          <cell r="CE79">
            <v>240</v>
          </cell>
          <cell r="CF79">
            <v>60</v>
          </cell>
          <cell r="CG79">
            <v>40</v>
          </cell>
          <cell r="CH79">
            <v>460</v>
          </cell>
          <cell r="CI79">
            <v>360</v>
          </cell>
          <cell r="CJ79">
            <v>200</v>
          </cell>
          <cell r="CK79">
            <v>1580</v>
          </cell>
          <cell r="CL79">
            <v>140</v>
          </cell>
          <cell r="CN79">
            <v>600</v>
          </cell>
          <cell r="CP79">
            <v>360</v>
          </cell>
          <cell r="CQ79">
            <v>840</v>
          </cell>
          <cell r="CR79">
            <v>40</v>
          </cell>
          <cell r="CS79">
            <v>380</v>
          </cell>
          <cell r="CT79">
            <v>20</v>
          </cell>
          <cell r="CV79">
            <v>340</v>
          </cell>
          <cell r="CW79">
            <v>38</v>
          </cell>
          <cell r="CX79">
            <v>442</v>
          </cell>
          <cell r="CY79">
            <v>220</v>
          </cell>
          <cell r="CZ79">
            <v>440</v>
          </cell>
          <cell r="DA79">
            <v>400</v>
          </cell>
          <cell r="DC79">
            <v>400</v>
          </cell>
          <cell r="DD79">
            <v>340</v>
          </cell>
          <cell r="DE79" t="str">
            <v>ACTIVO</v>
          </cell>
          <cell r="DF79" t="str">
            <v>B</v>
          </cell>
          <cell r="DH79">
            <v>366.66666666666669</v>
          </cell>
          <cell r="DI79">
            <v>61.111111111111114</v>
          </cell>
        </row>
        <row r="80">
          <cell r="B80">
            <v>405570</v>
          </cell>
          <cell r="C80" t="str">
            <v>PM CREAM VELVET BAKELS</v>
          </cell>
          <cell r="BH80">
            <v>70</v>
          </cell>
          <cell r="BJ80">
            <v>1430</v>
          </cell>
          <cell r="BM80">
            <v>810</v>
          </cell>
          <cell r="BN80">
            <v>540</v>
          </cell>
          <cell r="BO80">
            <v>860</v>
          </cell>
          <cell r="BP80">
            <v>300</v>
          </cell>
          <cell r="BQ80">
            <v>520</v>
          </cell>
          <cell r="BR80">
            <v>410</v>
          </cell>
          <cell r="BS80">
            <v>810</v>
          </cell>
          <cell r="BT80">
            <v>290</v>
          </cell>
          <cell r="BU80">
            <v>800</v>
          </cell>
          <cell r="BV80">
            <v>410</v>
          </cell>
          <cell r="BW80">
            <v>350</v>
          </cell>
          <cell r="BX80">
            <v>640</v>
          </cell>
          <cell r="BY80">
            <v>440</v>
          </cell>
          <cell r="BZ80">
            <v>360</v>
          </cell>
          <cell r="CA80">
            <v>650</v>
          </cell>
          <cell r="CB80">
            <v>220</v>
          </cell>
          <cell r="CC80">
            <v>440</v>
          </cell>
          <cell r="CD80">
            <v>680</v>
          </cell>
          <cell r="CE80">
            <v>490</v>
          </cell>
          <cell r="CG80">
            <v>610</v>
          </cell>
          <cell r="CH80">
            <v>520</v>
          </cell>
          <cell r="CI80">
            <v>440</v>
          </cell>
          <cell r="CJ80">
            <v>40</v>
          </cell>
          <cell r="CK80">
            <v>440</v>
          </cell>
          <cell r="CL80">
            <v>520</v>
          </cell>
          <cell r="CM80">
            <v>570</v>
          </cell>
          <cell r="CN80">
            <v>430</v>
          </cell>
          <cell r="CO80">
            <v>590</v>
          </cell>
          <cell r="CP80">
            <v>410</v>
          </cell>
          <cell r="CQ80">
            <v>380</v>
          </cell>
          <cell r="CR80">
            <v>410</v>
          </cell>
          <cell r="CS80">
            <v>440</v>
          </cell>
          <cell r="CT80">
            <v>700</v>
          </cell>
          <cell r="CU80">
            <v>1890</v>
          </cell>
          <cell r="CV80">
            <v>500</v>
          </cell>
          <cell r="CW80">
            <v>1020</v>
          </cell>
          <cell r="CX80">
            <v>170</v>
          </cell>
          <cell r="CY80">
            <v>300</v>
          </cell>
          <cell r="DA80">
            <v>720</v>
          </cell>
          <cell r="DB80">
            <v>620</v>
          </cell>
          <cell r="DC80">
            <v>320</v>
          </cell>
          <cell r="DD80">
            <v>960</v>
          </cell>
          <cell r="DE80" t="str">
            <v>ACTIVO</v>
          </cell>
          <cell r="DF80" t="str">
            <v>B</v>
          </cell>
          <cell r="DH80">
            <v>565.21739130434787</v>
          </cell>
          <cell r="DI80">
            <v>94.20289855072464</v>
          </cell>
        </row>
        <row r="81">
          <cell r="B81">
            <v>405556</v>
          </cell>
          <cell r="C81" t="str">
            <v>RELLENO CHOCOLATE CREAM BAKELS</v>
          </cell>
          <cell r="CB81">
            <v>0</v>
          </cell>
          <cell r="CJ81">
            <v>207</v>
          </cell>
          <cell r="DE81" t="str">
            <v>ACTIVO</v>
          </cell>
          <cell r="DF81">
            <v>0</v>
          </cell>
          <cell r="DH81">
            <v>207</v>
          </cell>
          <cell r="DI81">
            <v>34.5</v>
          </cell>
        </row>
        <row r="82">
          <cell r="B82">
            <v>405161</v>
          </cell>
          <cell r="C82" t="str">
            <v>CREMA NATA RICH</v>
          </cell>
          <cell r="D82">
            <v>144</v>
          </cell>
          <cell r="E82">
            <v>200</v>
          </cell>
          <cell r="F82">
            <v>88</v>
          </cell>
          <cell r="G82">
            <v>148</v>
          </cell>
          <cell r="I82">
            <v>312</v>
          </cell>
          <cell r="J82">
            <v>136</v>
          </cell>
          <cell r="K82">
            <v>168</v>
          </cell>
          <cell r="L82">
            <v>140</v>
          </cell>
          <cell r="O82">
            <v>208</v>
          </cell>
          <cell r="Q82">
            <v>156</v>
          </cell>
          <cell r="R82">
            <v>144</v>
          </cell>
          <cell r="S82">
            <v>588</v>
          </cell>
          <cell r="T82">
            <v>72</v>
          </cell>
          <cell r="U82">
            <v>280</v>
          </cell>
          <cell r="X82">
            <v>312</v>
          </cell>
          <cell r="Z82">
            <v>356</v>
          </cell>
          <cell r="AB82">
            <v>344</v>
          </cell>
          <cell r="AI82">
            <v>300</v>
          </cell>
          <cell r="AJ82">
            <v>432</v>
          </cell>
          <cell r="AM82">
            <v>356</v>
          </cell>
          <cell r="AN82">
            <v>112</v>
          </cell>
          <cell r="AP82">
            <v>304</v>
          </cell>
          <cell r="AS82">
            <v>184</v>
          </cell>
          <cell r="AT82">
            <v>204</v>
          </cell>
          <cell r="AW82">
            <v>160</v>
          </cell>
          <cell r="AZ82">
            <v>164</v>
          </cell>
          <cell r="BA82">
            <v>176</v>
          </cell>
          <cell r="BB82">
            <v>428</v>
          </cell>
          <cell r="BC82">
            <v>348</v>
          </cell>
          <cell r="BE82">
            <v>156</v>
          </cell>
          <cell r="BI82">
            <v>156</v>
          </cell>
          <cell r="BJ82">
            <v>156</v>
          </cell>
          <cell r="BK82">
            <v>124</v>
          </cell>
          <cell r="BL82">
            <v>124</v>
          </cell>
          <cell r="BM82">
            <v>124</v>
          </cell>
          <cell r="BN82">
            <v>156</v>
          </cell>
          <cell r="BO82">
            <v>16</v>
          </cell>
          <cell r="BQ82">
            <v>140</v>
          </cell>
          <cell r="BS82">
            <v>136</v>
          </cell>
          <cell r="BT82">
            <v>276</v>
          </cell>
          <cell r="BY82">
            <v>136</v>
          </cell>
          <cell r="BZ82">
            <v>136</v>
          </cell>
          <cell r="CA82">
            <v>164</v>
          </cell>
          <cell r="CB82">
            <v>136</v>
          </cell>
          <cell r="CD82">
            <v>312</v>
          </cell>
          <cell r="CH82">
            <v>312</v>
          </cell>
          <cell r="CI82">
            <v>24</v>
          </cell>
          <cell r="CL82">
            <v>312</v>
          </cell>
          <cell r="CM82">
            <v>4</v>
          </cell>
          <cell r="CN82">
            <v>316</v>
          </cell>
          <cell r="CP82">
            <v>4</v>
          </cell>
          <cell r="CQ82">
            <v>16</v>
          </cell>
          <cell r="DA82">
            <v>600</v>
          </cell>
          <cell r="DE82" t="str">
            <v>ACTIVO</v>
          </cell>
          <cell r="DF82" t="str">
            <v>B</v>
          </cell>
          <cell r="DH82">
            <v>198.5</v>
          </cell>
          <cell r="DI82">
            <v>33.083333333333336</v>
          </cell>
        </row>
        <row r="83">
          <cell r="B83">
            <v>405533</v>
          </cell>
          <cell r="C83" t="str">
            <v>ULTRA RICH CLASICA UHT</v>
          </cell>
          <cell r="AU83">
            <v>84</v>
          </cell>
          <cell r="AV83">
            <v>138</v>
          </cell>
          <cell r="AW83">
            <v>396</v>
          </cell>
          <cell r="AX83">
            <v>292</v>
          </cell>
          <cell r="AY83">
            <v>218</v>
          </cell>
          <cell r="AZ83">
            <v>261</v>
          </cell>
          <cell r="BA83">
            <v>388</v>
          </cell>
          <cell r="BB83">
            <v>244</v>
          </cell>
          <cell r="BC83">
            <v>539</v>
          </cell>
          <cell r="BD83">
            <v>325</v>
          </cell>
          <cell r="BE83">
            <v>298</v>
          </cell>
          <cell r="BF83">
            <v>92</v>
          </cell>
          <cell r="BG83">
            <v>450</v>
          </cell>
          <cell r="BH83">
            <v>322</v>
          </cell>
          <cell r="BI83">
            <v>376</v>
          </cell>
          <cell r="BJ83">
            <v>315</v>
          </cell>
          <cell r="BK83">
            <v>331</v>
          </cell>
          <cell r="BL83">
            <v>264</v>
          </cell>
          <cell r="BM83">
            <v>328</v>
          </cell>
          <cell r="BN83">
            <v>428</v>
          </cell>
          <cell r="BO83">
            <v>278</v>
          </cell>
          <cell r="BP83">
            <v>149</v>
          </cell>
          <cell r="BQ83">
            <v>353</v>
          </cell>
          <cell r="BR83">
            <v>161</v>
          </cell>
          <cell r="BS83">
            <v>665</v>
          </cell>
          <cell r="BT83">
            <v>664</v>
          </cell>
          <cell r="BU83">
            <v>278</v>
          </cell>
          <cell r="BV83">
            <v>270</v>
          </cell>
          <cell r="BW83">
            <v>299</v>
          </cell>
          <cell r="BX83">
            <v>137</v>
          </cell>
          <cell r="BY83">
            <v>259</v>
          </cell>
          <cell r="BZ83">
            <v>477</v>
          </cell>
          <cell r="CA83">
            <v>289</v>
          </cell>
          <cell r="CB83">
            <v>205</v>
          </cell>
          <cell r="CC83">
            <v>313</v>
          </cell>
          <cell r="CD83">
            <v>338</v>
          </cell>
          <cell r="CE83">
            <v>127</v>
          </cell>
          <cell r="CF83">
            <v>90</v>
          </cell>
          <cell r="CG83">
            <v>290</v>
          </cell>
          <cell r="CH83">
            <v>318</v>
          </cell>
          <cell r="CI83">
            <v>357</v>
          </cell>
          <cell r="CJ83">
            <v>163</v>
          </cell>
          <cell r="CK83">
            <v>478</v>
          </cell>
          <cell r="CL83">
            <v>310</v>
          </cell>
          <cell r="CM83">
            <v>388</v>
          </cell>
          <cell r="CN83">
            <v>370</v>
          </cell>
          <cell r="CO83">
            <v>322</v>
          </cell>
          <cell r="CP83">
            <v>376</v>
          </cell>
          <cell r="CQ83">
            <v>193</v>
          </cell>
          <cell r="CR83">
            <v>295</v>
          </cell>
          <cell r="CS83">
            <v>174</v>
          </cell>
          <cell r="CT83">
            <v>342</v>
          </cell>
          <cell r="CU83">
            <v>280</v>
          </cell>
          <cell r="CV83">
            <v>160</v>
          </cell>
          <cell r="CX83">
            <v>564</v>
          </cell>
          <cell r="CY83">
            <v>405</v>
          </cell>
          <cell r="CZ83">
            <v>230</v>
          </cell>
          <cell r="DA83">
            <v>306</v>
          </cell>
          <cell r="DB83">
            <v>316</v>
          </cell>
          <cell r="DC83">
            <v>374</v>
          </cell>
          <cell r="DD83">
            <v>348</v>
          </cell>
          <cell r="DE83" t="str">
            <v>ACTIVO</v>
          </cell>
          <cell r="DF83" t="str">
            <v>B</v>
          </cell>
          <cell r="DH83">
            <v>310.375</v>
          </cell>
          <cell r="DI83">
            <v>51.729166666666664</v>
          </cell>
        </row>
        <row r="84">
          <cell r="B84">
            <v>103612</v>
          </cell>
          <cell r="C84" t="str">
            <v>CREMA VEGETAL MASTER MARTINI</v>
          </cell>
          <cell r="D84">
            <v>6</v>
          </cell>
          <cell r="E84">
            <v>9</v>
          </cell>
          <cell r="F84">
            <v>51</v>
          </cell>
          <cell r="G84">
            <v>109</v>
          </cell>
          <cell r="H84">
            <v>70</v>
          </cell>
          <cell r="I84">
            <v>27</v>
          </cell>
          <cell r="J84">
            <v>59</v>
          </cell>
          <cell r="K84">
            <v>81</v>
          </cell>
          <cell r="L84">
            <v>75</v>
          </cell>
          <cell r="M84">
            <v>83</v>
          </cell>
          <cell r="N84">
            <v>65</v>
          </cell>
          <cell r="O84">
            <v>6</v>
          </cell>
          <cell r="P84">
            <v>53</v>
          </cell>
          <cell r="Q84">
            <v>87</v>
          </cell>
          <cell r="R84">
            <v>73</v>
          </cell>
          <cell r="S84">
            <v>60</v>
          </cell>
          <cell r="T84">
            <v>76</v>
          </cell>
          <cell r="U84">
            <v>65</v>
          </cell>
          <cell r="V84">
            <v>72</v>
          </cell>
          <cell r="W84">
            <v>64</v>
          </cell>
          <cell r="X84">
            <v>27</v>
          </cell>
          <cell r="Y84">
            <v>1</v>
          </cell>
          <cell r="Z84">
            <v>54</v>
          </cell>
          <cell r="AA84">
            <v>98</v>
          </cell>
          <cell r="AB84">
            <v>71</v>
          </cell>
          <cell r="AC84">
            <v>53</v>
          </cell>
          <cell r="AD84">
            <v>17</v>
          </cell>
          <cell r="AE84">
            <v>37</v>
          </cell>
          <cell r="AF84">
            <v>59</v>
          </cell>
          <cell r="AG84">
            <v>54</v>
          </cell>
          <cell r="AH84">
            <v>41</v>
          </cell>
          <cell r="AI84">
            <v>70</v>
          </cell>
          <cell r="AJ84">
            <v>57</v>
          </cell>
          <cell r="AK84">
            <v>55</v>
          </cell>
          <cell r="AL84">
            <v>58</v>
          </cell>
          <cell r="AM84">
            <v>25</v>
          </cell>
          <cell r="AN84">
            <v>9</v>
          </cell>
          <cell r="AO84">
            <v>60</v>
          </cell>
          <cell r="AP84">
            <v>62</v>
          </cell>
          <cell r="AQ84">
            <v>60</v>
          </cell>
          <cell r="AR84">
            <v>62</v>
          </cell>
          <cell r="AS84">
            <v>55</v>
          </cell>
          <cell r="AT84">
            <v>59</v>
          </cell>
          <cell r="AU84">
            <v>47</v>
          </cell>
          <cell r="AV84">
            <v>65</v>
          </cell>
          <cell r="AW84">
            <v>63</v>
          </cell>
          <cell r="AX84">
            <v>44</v>
          </cell>
          <cell r="AY84">
            <v>46</v>
          </cell>
          <cell r="AZ84">
            <v>45</v>
          </cell>
          <cell r="BA84">
            <v>57</v>
          </cell>
          <cell r="BB84">
            <v>52</v>
          </cell>
          <cell r="BC84">
            <v>58</v>
          </cell>
          <cell r="BD84">
            <v>64</v>
          </cell>
          <cell r="BE84">
            <v>54</v>
          </cell>
          <cell r="BF84">
            <v>43</v>
          </cell>
          <cell r="BG84">
            <v>55</v>
          </cell>
          <cell r="BH84">
            <v>49</v>
          </cell>
          <cell r="BI84">
            <v>52</v>
          </cell>
          <cell r="BJ84">
            <v>46</v>
          </cell>
          <cell r="BK84">
            <v>61</v>
          </cell>
          <cell r="BL84">
            <v>74</v>
          </cell>
          <cell r="BM84">
            <v>46</v>
          </cell>
          <cell r="BN84">
            <v>59</v>
          </cell>
          <cell r="BO84">
            <v>50</v>
          </cell>
          <cell r="BP84">
            <v>6</v>
          </cell>
          <cell r="BQ84">
            <v>53</v>
          </cell>
          <cell r="BR84">
            <v>39</v>
          </cell>
          <cell r="BS84">
            <v>55</v>
          </cell>
          <cell r="BT84">
            <v>46</v>
          </cell>
          <cell r="BU84">
            <v>59</v>
          </cell>
          <cell r="BV84">
            <v>52</v>
          </cell>
          <cell r="BW84">
            <v>49</v>
          </cell>
          <cell r="BX84">
            <v>46</v>
          </cell>
          <cell r="BY84">
            <v>52</v>
          </cell>
          <cell r="BZ84">
            <v>64</v>
          </cell>
          <cell r="CA84">
            <v>54</v>
          </cell>
          <cell r="CB84">
            <v>41</v>
          </cell>
          <cell r="CC84">
            <v>62</v>
          </cell>
          <cell r="CD84">
            <v>30</v>
          </cell>
          <cell r="CE84">
            <v>16</v>
          </cell>
          <cell r="CF84">
            <v>8</v>
          </cell>
          <cell r="CG84">
            <v>58</v>
          </cell>
          <cell r="CH84">
            <v>49</v>
          </cell>
          <cell r="CI84">
            <v>46</v>
          </cell>
          <cell r="CJ84">
            <v>42</v>
          </cell>
          <cell r="CK84">
            <v>39</v>
          </cell>
          <cell r="CL84">
            <v>34</v>
          </cell>
          <cell r="CM84">
            <v>38</v>
          </cell>
          <cell r="CN84">
            <v>41</v>
          </cell>
          <cell r="CO84">
            <v>54</v>
          </cell>
          <cell r="CP84">
            <v>41</v>
          </cell>
          <cell r="CQ84">
            <v>53</v>
          </cell>
          <cell r="CR84">
            <v>51</v>
          </cell>
          <cell r="CS84">
            <v>44</v>
          </cell>
          <cell r="CT84">
            <v>52</v>
          </cell>
          <cell r="CU84">
            <v>50</v>
          </cell>
          <cell r="CV84">
            <v>52</v>
          </cell>
          <cell r="CW84">
            <v>14</v>
          </cell>
          <cell r="CX84">
            <v>15</v>
          </cell>
          <cell r="CY84">
            <v>50</v>
          </cell>
          <cell r="CZ84">
            <v>48</v>
          </cell>
          <cell r="DA84">
            <v>59</v>
          </cell>
          <cell r="DB84">
            <v>59</v>
          </cell>
          <cell r="DC84">
            <v>51</v>
          </cell>
          <cell r="DD84">
            <v>57</v>
          </cell>
          <cell r="DE84" t="str">
            <v>ACTIVO</v>
          </cell>
          <cell r="DF84" t="str">
            <v>C</v>
          </cell>
          <cell r="DH84">
            <v>44.2</v>
          </cell>
          <cell r="DI84">
            <v>7.3666666666666671</v>
          </cell>
        </row>
        <row r="85">
          <cell r="B85">
            <v>107098</v>
          </cell>
          <cell r="C85" t="str">
            <v>CREMA PASTELERA ESPECIAL PURATOS</v>
          </cell>
          <cell r="D85">
            <v>1480</v>
          </cell>
          <cell r="E85">
            <v>1170</v>
          </cell>
          <cell r="F85">
            <v>1010</v>
          </cell>
          <cell r="G85">
            <v>1060</v>
          </cell>
          <cell r="H85">
            <v>1510</v>
          </cell>
          <cell r="I85">
            <v>1210</v>
          </cell>
          <cell r="J85">
            <v>1350</v>
          </cell>
          <cell r="K85">
            <v>1080</v>
          </cell>
          <cell r="L85">
            <v>1290</v>
          </cell>
          <cell r="M85">
            <v>1340</v>
          </cell>
          <cell r="N85">
            <v>1680</v>
          </cell>
          <cell r="O85">
            <v>800</v>
          </cell>
          <cell r="P85">
            <v>1170</v>
          </cell>
          <cell r="Q85">
            <v>1400</v>
          </cell>
          <cell r="R85">
            <v>1550</v>
          </cell>
          <cell r="S85">
            <v>1310</v>
          </cell>
          <cell r="T85">
            <v>1230</v>
          </cell>
          <cell r="U85">
            <v>1200</v>
          </cell>
          <cell r="V85">
            <v>1810</v>
          </cell>
          <cell r="W85">
            <v>1190</v>
          </cell>
          <cell r="X85">
            <v>1170</v>
          </cell>
          <cell r="Y85">
            <v>1280</v>
          </cell>
          <cell r="Z85">
            <v>1005</v>
          </cell>
          <cell r="AA85">
            <v>1225</v>
          </cell>
          <cell r="AB85">
            <v>1130</v>
          </cell>
          <cell r="AC85">
            <v>950</v>
          </cell>
          <cell r="AD85">
            <v>410</v>
          </cell>
          <cell r="AE85">
            <v>720</v>
          </cell>
          <cell r="AF85">
            <v>1381</v>
          </cell>
          <cell r="AG85">
            <v>1078</v>
          </cell>
          <cell r="AH85">
            <v>1120</v>
          </cell>
          <cell r="AI85">
            <v>1430</v>
          </cell>
          <cell r="AJ85">
            <v>1090</v>
          </cell>
          <cell r="AK85">
            <v>1180</v>
          </cell>
          <cell r="AL85">
            <v>1030</v>
          </cell>
          <cell r="AM85">
            <v>840</v>
          </cell>
          <cell r="AN85">
            <v>1140</v>
          </cell>
          <cell r="AO85">
            <v>1180</v>
          </cell>
          <cell r="AP85">
            <v>1230</v>
          </cell>
          <cell r="AQ85">
            <v>1560</v>
          </cell>
          <cell r="AR85">
            <v>1420</v>
          </cell>
          <cell r="AS85">
            <v>1292.5</v>
          </cell>
          <cell r="AT85">
            <v>1500</v>
          </cell>
          <cell r="AU85">
            <v>1460</v>
          </cell>
          <cell r="AV85">
            <v>2000</v>
          </cell>
          <cell r="AW85">
            <v>2030</v>
          </cell>
          <cell r="AX85">
            <v>1690</v>
          </cell>
          <cell r="AY85">
            <v>1275</v>
          </cell>
          <cell r="AZ85">
            <v>1506.5</v>
          </cell>
          <cell r="BA85">
            <v>1350</v>
          </cell>
          <cell r="BB85">
            <v>1110</v>
          </cell>
          <cell r="BC85">
            <v>1400</v>
          </cell>
          <cell r="BD85">
            <v>1810</v>
          </cell>
          <cell r="BE85">
            <v>1580</v>
          </cell>
          <cell r="BF85">
            <v>1350</v>
          </cell>
          <cell r="BG85">
            <v>971</v>
          </cell>
          <cell r="BH85">
            <v>1260</v>
          </cell>
          <cell r="BI85">
            <v>1390</v>
          </cell>
          <cell r="BJ85">
            <v>1440</v>
          </cell>
          <cell r="BK85">
            <v>1070</v>
          </cell>
          <cell r="BL85">
            <v>1290</v>
          </cell>
          <cell r="BM85">
            <v>1280</v>
          </cell>
          <cell r="BN85">
            <v>1081</v>
          </cell>
          <cell r="BO85">
            <v>1010</v>
          </cell>
          <cell r="BP85">
            <v>630</v>
          </cell>
          <cell r="BQ85">
            <v>1240</v>
          </cell>
          <cell r="BR85">
            <v>1010</v>
          </cell>
          <cell r="BS85">
            <v>1350</v>
          </cell>
          <cell r="BT85">
            <v>1950</v>
          </cell>
          <cell r="BU85">
            <v>1280</v>
          </cell>
          <cell r="BV85">
            <v>920</v>
          </cell>
          <cell r="BW85">
            <v>1130</v>
          </cell>
          <cell r="BX85">
            <v>1010</v>
          </cell>
          <cell r="BY85">
            <v>850</v>
          </cell>
          <cell r="BZ85">
            <v>1020</v>
          </cell>
          <cell r="CA85">
            <v>920</v>
          </cell>
          <cell r="CB85">
            <v>690</v>
          </cell>
          <cell r="CC85">
            <v>990</v>
          </cell>
          <cell r="CD85">
            <v>640</v>
          </cell>
          <cell r="CE85">
            <v>420</v>
          </cell>
          <cell r="CF85">
            <v>230</v>
          </cell>
          <cell r="CG85">
            <v>1091</v>
          </cell>
          <cell r="CH85">
            <v>1189</v>
          </cell>
          <cell r="CI85">
            <v>1120</v>
          </cell>
          <cell r="CJ85">
            <v>1070</v>
          </cell>
          <cell r="CK85">
            <v>1360</v>
          </cell>
          <cell r="CL85">
            <v>1150</v>
          </cell>
          <cell r="CM85">
            <v>1170</v>
          </cell>
          <cell r="CN85">
            <v>1270</v>
          </cell>
          <cell r="CO85">
            <v>1020</v>
          </cell>
          <cell r="CP85">
            <v>520</v>
          </cell>
          <cell r="CQ85">
            <v>600</v>
          </cell>
          <cell r="CR85">
            <v>810</v>
          </cell>
          <cell r="CS85">
            <v>710</v>
          </cell>
          <cell r="CT85">
            <v>1120</v>
          </cell>
          <cell r="CU85">
            <v>1250</v>
          </cell>
          <cell r="CV85">
            <v>980</v>
          </cell>
          <cell r="CW85">
            <v>900</v>
          </cell>
          <cell r="CX85">
            <v>820</v>
          </cell>
          <cell r="CY85">
            <v>620</v>
          </cell>
          <cell r="CZ85">
            <v>570</v>
          </cell>
          <cell r="DA85">
            <v>920</v>
          </cell>
          <cell r="DB85">
            <v>500</v>
          </cell>
          <cell r="DC85">
            <v>482.5</v>
          </cell>
          <cell r="DD85">
            <v>803</v>
          </cell>
          <cell r="DE85" t="str">
            <v>ACTIVO</v>
          </cell>
          <cell r="DF85" t="str">
            <v>A</v>
          </cell>
          <cell r="DH85">
            <v>891.02</v>
          </cell>
          <cell r="DI85">
            <v>148.50333333333333</v>
          </cell>
        </row>
        <row r="86">
          <cell r="B86">
            <v>107104</v>
          </cell>
          <cell r="C86" t="str">
            <v>CREMA LACTEA DIWATTS</v>
          </cell>
          <cell r="D86">
            <v>263</v>
          </cell>
          <cell r="E86">
            <v>218</v>
          </cell>
          <cell r="F86">
            <v>215</v>
          </cell>
          <cell r="G86">
            <v>273</v>
          </cell>
          <cell r="H86">
            <v>204</v>
          </cell>
          <cell r="I86">
            <v>76</v>
          </cell>
          <cell r="J86">
            <v>176</v>
          </cell>
          <cell r="K86">
            <v>203</v>
          </cell>
          <cell r="L86">
            <v>226</v>
          </cell>
          <cell r="M86">
            <v>233</v>
          </cell>
          <cell r="N86">
            <v>182</v>
          </cell>
          <cell r="O86">
            <v>6</v>
          </cell>
          <cell r="P86">
            <v>141</v>
          </cell>
          <cell r="Q86">
            <v>78</v>
          </cell>
          <cell r="R86">
            <v>211</v>
          </cell>
          <cell r="S86">
            <v>159</v>
          </cell>
          <cell r="T86">
            <v>215</v>
          </cell>
          <cell r="U86">
            <v>197</v>
          </cell>
          <cell r="V86">
            <v>213</v>
          </cell>
          <cell r="W86">
            <v>160</v>
          </cell>
          <cell r="X86">
            <v>96</v>
          </cell>
          <cell r="Y86">
            <v>255</v>
          </cell>
          <cell r="Z86">
            <v>565</v>
          </cell>
          <cell r="AA86">
            <v>81</v>
          </cell>
          <cell r="AB86">
            <v>234</v>
          </cell>
          <cell r="AC86">
            <v>387</v>
          </cell>
          <cell r="AD86">
            <v>56</v>
          </cell>
          <cell r="AE86">
            <v>212</v>
          </cell>
          <cell r="AF86">
            <v>626</v>
          </cell>
          <cell r="AG86">
            <v>1386</v>
          </cell>
          <cell r="AH86">
            <v>1589</v>
          </cell>
          <cell r="AI86">
            <v>2140</v>
          </cell>
          <cell r="AJ86">
            <v>704</v>
          </cell>
          <cell r="AK86">
            <v>1399</v>
          </cell>
          <cell r="AL86">
            <v>915</v>
          </cell>
          <cell r="AM86">
            <v>927</v>
          </cell>
          <cell r="AN86">
            <v>1450</v>
          </cell>
          <cell r="AO86">
            <v>1246</v>
          </cell>
          <cell r="AP86">
            <v>1459</v>
          </cell>
          <cell r="AQ86">
            <v>1431</v>
          </cell>
          <cell r="AR86">
            <v>1948</v>
          </cell>
          <cell r="AS86">
            <v>914</v>
          </cell>
          <cell r="AT86">
            <v>2125</v>
          </cell>
          <cell r="AU86">
            <v>2067</v>
          </cell>
          <cell r="AV86">
            <v>1418</v>
          </cell>
          <cell r="AW86">
            <v>1528</v>
          </cell>
          <cell r="AX86">
            <v>1393</v>
          </cell>
          <cell r="AY86">
            <v>1399</v>
          </cell>
          <cell r="AZ86">
            <v>1453</v>
          </cell>
          <cell r="BA86">
            <v>921</v>
          </cell>
          <cell r="BB86">
            <v>1008</v>
          </cell>
          <cell r="BC86">
            <v>607</v>
          </cell>
          <cell r="BD86">
            <v>317</v>
          </cell>
          <cell r="BE86">
            <v>1427</v>
          </cell>
          <cell r="BF86">
            <v>1318</v>
          </cell>
          <cell r="BG86">
            <v>2285</v>
          </cell>
          <cell r="BH86">
            <v>1718</v>
          </cell>
          <cell r="BI86">
            <v>1401</v>
          </cell>
          <cell r="BJ86">
            <v>1472</v>
          </cell>
          <cell r="BK86">
            <v>1922</v>
          </cell>
          <cell r="BL86">
            <v>2066</v>
          </cell>
          <cell r="BM86">
            <v>392</v>
          </cell>
          <cell r="BN86">
            <v>1417</v>
          </cell>
          <cell r="BO86">
            <v>2274</v>
          </cell>
          <cell r="BP86">
            <v>439</v>
          </cell>
          <cell r="BQ86">
            <v>1315</v>
          </cell>
          <cell r="BR86">
            <v>785</v>
          </cell>
          <cell r="BS86">
            <v>1101</v>
          </cell>
          <cell r="BT86">
            <v>1566</v>
          </cell>
          <cell r="BU86">
            <v>2132</v>
          </cell>
          <cell r="BV86">
            <v>1951</v>
          </cell>
          <cell r="BW86">
            <v>622</v>
          </cell>
          <cell r="BX86">
            <v>1404</v>
          </cell>
          <cell r="BY86">
            <v>219</v>
          </cell>
          <cell r="BZ86">
            <v>171</v>
          </cell>
          <cell r="CA86">
            <v>1524</v>
          </cell>
          <cell r="CB86">
            <v>905</v>
          </cell>
          <cell r="CC86">
            <v>294</v>
          </cell>
          <cell r="CD86">
            <v>1193</v>
          </cell>
          <cell r="CE86">
            <v>1178</v>
          </cell>
          <cell r="CF86">
            <v>452</v>
          </cell>
          <cell r="CG86">
            <v>1381</v>
          </cell>
          <cell r="CH86">
            <v>475</v>
          </cell>
          <cell r="CI86">
            <v>904</v>
          </cell>
          <cell r="CJ86">
            <v>475</v>
          </cell>
          <cell r="CK86">
            <v>620</v>
          </cell>
          <cell r="CL86">
            <v>1214</v>
          </cell>
          <cell r="CM86">
            <v>908</v>
          </cell>
          <cell r="CN86">
            <v>985</v>
          </cell>
          <cell r="CO86">
            <v>1569</v>
          </cell>
          <cell r="CP86">
            <v>1328</v>
          </cell>
          <cell r="CQ86">
            <v>333</v>
          </cell>
          <cell r="CR86">
            <v>560</v>
          </cell>
          <cell r="CS86">
            <v>1024</v>
          </cell>
          <cell r="CT86">
            <v>1465</v>
          </cell>
          <cell r="CU86">
            <v>1527</v>
          </cell>
          <cell r="CV86">
            <v>1933</v>
          </cell>
          <cell r="CW86">
            <v>1543</v>
          </cell>
          <cell r="CX86">
            <v>768</v>
          </cell>
          <cell r="CY86">
            <v>1387</v>
          </cell>
          <cell r="CZ86">
            <v>473</v>
          </cell>
          <cell r="DA86">
            <v>1884</v>
          </cell>
          <cell r="DB86">
            <v>1604</v>
          </cell>
          <cell r="DC86">
            <v>1512</v>
          </cell>
          <cell r="DD86">
            <v>1025</v>
          </cell>
          <cell r="DE86" t="str">
            <v>ACTIVO</v>
          </cell>
          <cell r="DF86" t="str">
            <v>A</v>
          </cell>
          <cell r="DH86">
            <v>1093.96</v>
          </cell>
          <cell r="DI86">
            <v>182.32666666666668</v>
          </cell>
        </row>
        <row r="87">
          <cell r="B87">
            <v>107142</v>
          </cell>
          <cell r="C87" t="str">
            <v>CREMA LACTEA SOPROLE</v>
          </cell>
          <cell r="D87">
            <v>66</v>
          </cell>
          <cell r="E87">
            <v>106</v>
          </cell>
          <cell r="F87">
            <v>52</v>
          </cell>
          <cell r="G87">
            <v>99</v>
          </cell>
          <cell r="H87">
            <v>51</v>
          </cell>
          <cell r="I87">
            <v>10</v>
          </cell>
          <cell r="J87">
            <v>47</v>
          </cell>
          <cell r="K87">
            <v>47</v>
          </cell>
          <cell r="L87">
            <v>41</v>
          </cell>
          <cell r="M87">
            <v>47</v>
          </cell>
          <cell r="N87">
            <v>76</v>
          </cell>
          <cell r="P87">
            <v>27</v>
          </cell>
          <cell r="Q87">
            <v>65</v>
          </cell>
          <cell r="R87">
            <v>81</v>
          </cell>
          <cell r="S87">
            <v>32</v>
          </cell>
          <cell r="T87">
            <v>37</v>
          </cell>
          <cell r="U87">
            <v>27</v>
          </cell>
          <cell r="V87">
            <v>28</v>
          </cell>
          <cell r="W87">
            <v>49</v>
          </cell>
          <cell r="X87">
            <v>18</v>
          </cell>
          <cell r="Y87">
            <v>156</v>
          </cell>
          <cell r="Z87">
            <v>121</v>
          </cell>
          <cell r="AA87">
            <v>108</v>
          </cell>
          <cell r="AB87">
            <v>125</v>
          </cell>
          <cell r="AC87">
            <v>104</v>
          </cell>
          <cell r="AD87">
            <v>39</v>
          </cell>
          <cell r="AE87">
            <v>114</v>
          </cell>
          <cell r="AF87">
            <v>27</v>
          </cell>
          <cell r="AG87">
            <v>34</v>
          </cell>
          <cell r="AH87">
            <v>25</v>
          </cell>
          <cell r="AI87">
            <v>52</v>
          </cell>
          <cell r="AJ87">
            <v>41</v>
          </cell>
          <cell r="AK87">
            <v>535</v>
          </cell>
          <cell r="AL87">
            <v>40</v>
          </cell>
          <cell r="AM87">
            <v>29</v>
          </cell>
          <cell r="AN87">
            <v>140</v>
          </cell>
          <cell r="AO87">
            <v>43</v>
          </cell>
          <cell r="AP87">
            <v>27</v>
          </cell>
          <cell r="AQ87">
            <v>29</v>
          </cell>
          <cell r="AR87">
            <v>39</v>
          </cell>
          <cell r="AS87">
            <v>34</v>
          </cell>
          <cell r="AT87">
            <v>44</v>
          </cell>
          <cell r="AU87">
            <v>33</v>
          </cell>
          <cell r="AV87">
            <v>342</v>
          </cell>
          <cell r="AW87">
            <v>176</v>
          </cell>
          <cell r="AX87">
            <v>507</v>
          </cell>
          <cell r="AY87">
            <v>30</v>
          </cell>
          <cell r="AZ87">
            <v>11</v>
          </cell>
          <cell r="BA87">
            <v>38</v>
          </cell>
          <cell r="BB87">
            <v>30</v>
          </cell>
          <cell r="BC87">
            <v>31</v>
          </cell>
          <cell r="BD87">
            <v>38</v>
          </cell>
          <cell r="BE87">
            <v>120</v>
          </cell>
          <cell r="BG87">
            <v>34</v>
          </cell>
          <cell r="BH87">
            <v>37</v>
          </cell>
          <cell r="BI87">
            <v>30</v>
          </cell>
          <cell r="BJ87">
            <v>27</v>
          </cell>
          <cell r="BK87">
            <v>42</v>
          </cell>
          <cell r="BL87">
            <v>138</v>
          </cell>
          <cell r="BM87">
            <v>46</v>
          </cell>
          <cell r="BN87">
            <v>138</v>
          </cell>
          <cell r="BO87">
            <v>58</v>
          </cell>
          <cell r="BP87">
            <v>4</v>
          </cell>
          <cell r="BQ87">
            <v>61</v>
          </cell>
          <cell r="BR87">
            <v>93</v>
          </cell>
          <cell r="BS87">
            <v>41</v>
          </cell>
          <cell r="BT87">
            <v>30</v>
          </cell>
          <cell r="BU87">
            <v>57</v>
          </cell>
          <cell r="BV87">
            <v>31</v>
          </cell>
          <cell r="BW87">
            <v>30</v>
          </cell>
          <cell r="BX87">
            <v>34</v>
          </cell>
          <cell r="BY87">
            <v>29</v>
          </cell>
          <cell r="BZ87">
            <v>41</v>
          </cell>
          <cell r="CA87">
            <v>32</v>
          </cell>
          <cell r="CB87">
            <v>23</v>
          </cell>
          <cell r="CC87">
            <v>7</v>
          </cell>
          <cell r="CD87">
            <v>16</v>
          </cell>
          <cell r="CE87">
            <v>12</v>
          </cell>
          <cell r="CF87">
            <v>7</v>
          </cell>
          <cell r="CG87">
            <v>24</v>
          </cell>
          <cell r="CH87">
            <v>27</v>
          </cell>
          <cell r="CI87">
            <v>149</v>
          </cell>
          <cell r="CJ87">
            <v>167</v>
          </cell>
          <cell r="CK87">
            <v>74</v>
          </cell>
          <cell r="CL87">
            <v>304</v>
          </cell>
          <cell r="CM87">
            <v>95</v>
          </cell>
          <cell r="CN87">
            <v>590</v>
          </cell>
          <cell r="CO87">
            <v>88</v>
          </cell>
          <cell r="CP87">
            <v>164</v>
          </cell>
          <cell r="CQ87">
            <v>98</v>
          </cell>
          <cell r="CR87">
            <v>614</v>
          </cell>
          <cell r="CS87">
            <v>217</v>
          </cell>
          <cell r="CT87">
            <v>947</v>
          </cell>
          <cell r="CU87">
            <v>927</v>
          </cell>
          <cell r="CV87">
            <v>1315</v>
          </cell>
          <cell r="CW87">
            <v>1130</v>
          </cell>
          <cell r="CX87">
            <v>297</v>
          </cell>
          <cell r="CY87">
            <v>928</v>
          </cell>
          <cell r="CZ87">
            <v>437</v>
          </cell>
          <cell r="DA87">
            <v>501</v>
          </cell>
          <cell r="DB87">
            <v>446</v>
          </cell>
          <cell r="DC87">
            <v>527</v>
          </cell>
          <cell r="DD87">
            <v>325</v>
          </cell>
          <cell r="DE87" t="str">
            <v>ACTIVO</v>
          </cell>
          <cell r="DF87" t="str">
            <v>B</v>
          </cell>
          <cell r="DH87">
            <v>415.92</v>
          </cell>
          <cell r="DI87">
            <v>69.320000000000007</v>
          </cell>
        </row>
        <row r="88">
          <cell r="B88">
            <v>107209</v>
          </cell>
          <cell r="C88" t="str">
            <v>CREMA WHIP TOPPIN RICH</v>
          </cell>
          <cell r="D88">
            <v>5264</v>
          </cell>
          <cell r="E88">
            <v>6008</v>
          </cell>
          <cell r="F88">
            <v>5516</v>
          </cell>
          <cell r="G88">
            <v>6032</v>
          </cell>
          <cell r="H88">
            <v>7656</v>
          </cell>
          <cell r="I88">
            <v>5672</v>
          </cell>
          <cell r="J88">
            <v>6740</v>
          </cell>
          <cell r="K88">
            <v>5832</v>
          </cell>
          <cell r="L88">
            <v>6468</v>
          </cell>
          <cell r="M88">
            <v>5832</v>
          </cell>
          <cell r="N88">
            <v>3624</v>
          </cell>
          <cell r="O88">
            <v>3536</v>
          </cell>
          <cell r="P88">
            <v>4484</v>
          </cell>
          <cell r="Q88">
            <v>4912</v>
          </cell>
          <cell r="R88">
            <v>5328</v>
          </cell>
          <cell r="S88">
            <v>4288</v>
          </cell>
          <cell r="T88">
            <v>3936</v>
          </cell>
          <cell r="U88">
            <v>5986</v>
          </cell>
          <cell r="V88">
            <v>7404</v>
          </cell>
          <cell r="W88">
            <v>5496</v>
          </cell>
          <cell r="X88">
            <v>5508</v>
          </cell>
          <cell r="Y88">
            <v>8228</v>
          </cell>
          <cell r="Z88">
            <v>4360</v>
          </cell>
          <cell r="AA88">
            <v>5046</v>
          </cell>
          <cell r="AB88">
            <v>4296</v>
          </cell>
          <cell r="AC88">
            <v>3568</v>
          </cell>
          <cell r="AD88">
            <v>740</v>
          </cell>
          <cell r="AE88">
            <v>1040</v>
          </cell>
          <cell r="AF88">
            <v>4553</v>
          </cell>
          <cell r="AG88">
            <v>4659</v>
          </cell>
          <cell r="AH88">
            <v>5368</v>
          </cell>
          <cell r="AI88">
            <v>5944</v>
          </cell>
          <cell r="AJ88">
            <v>8868</v>
          </cell>
          <cell r="AK88">
            <v>3320</v>
          </cell>
          <cell r="AL88">
            <v>4036</v>
          </cell>
          <cell r="AM88">
            <v>3652</v>
          </cell>
          <cell r="AN88">
            <v>4840</v>
          </cell>
          <cell r="AO88">
            <v>10176</v>
          </cell>
          <cell r="AP88">
            <v>4668</v>
          </cell>
          <cell r="AQ88">
            <v>5676</v>
          </cell>
          <cell r="AR88">
            <v>6024</v>
          </cell>
          <cell r="AS88">
            <v>5280</v>
          </cell>
          <cell r="AT88">
            <v>8264</v>
          </cell>
          <cell r="AU88">
            <v>9224</v>
          </cell>
          <cell r="AV88">
            <v>7456</v>
          </cell>
          <cell r="AW88">
            <v>6304</v>
          </cell>
          <cell r="AX88">
            <v>1360</v>
          </cell>
          <cell r="AY88">
            <v>3688</v>
          </cell>
          <cell r="AZ88">
            <v>6358</v>
          </cell>
          <cell r="BA88">
            <v>9544</v>
          </cell>
          <cell r="BB88">
            <v>3240</v>
          </cell>
          <cell r="BC88">
            <v>4656</v>
          </cell>
          <cell r="BD88">
            <v>4474</v>
          </cell>
          <cell r="BE88">
            <v>4483</v>
          </cell>
          <cell r="BF88">
            <v>5432</v>
          </cell>
          <cell r="BG88">
            <v>4196</v>
          </cell>
          <cell r="BH88">
            <v>6188</v>
          </cell>
          <cell r="BI88">
            <v>4820</v>
          </cell>
          <cell r="BJ88">
            <v>3756</v>
          </cell>
          <cell r="BK88">
            <v>5300</v>
          </cell>
          <cell r="BL88">
            <v>5032</v>
          </cell>
          <cell r="BM88">
            <v>4664</v>
          </cell>
          <cell r="BN88">
            <v>5388</v>
          </cell>
          <cell r="BO88">
            <v>5116</v>
          </cell>
          <cell r="BP88">
            <v>1116</v>
          </cell>
          <cell r="BQ88">
            <v>4496</v>
          </cell>
          <cell r="BR88">
            <v>3916</v>
          </cell>
          <cell r="BS88">
            <v>6448</v>
          </cell>
          <cell r="BT88">
            <v>3204</v>
          </cell>
          <cell r="BU88">
            <v>3756</v>
          </cell>
          <cell r="BV88">
            <v>4116</v>
          </cell>
          <cell r="BW88">
            <v>4016</v>
          </cell>
          <cell r="BX88">
            <v>2800</v>
          </cell>
          <cell r="BY88">
            <v>3240</v>
          </cell>
          <cell r="BZ88">
            <v>3320</v>
          </cell>
          <cell r="CA88">
            <v>2952</v>
          </cell>
          <cell r="CB88">
            <v>2804</v>
          </cell>
          <cell r="CC88">
            <v>4924</v>
          </cell>
          <cell r="CD88">
            <v>3068</v>
          </cell>
          <cell r="CE88">
            <v>2256</v>
          </cell>
          <cell r="CF88">
            <v>1956</v>
          </cell>
          <cell r="CG88">
            <v>4684</v>
          </cell>
          <cell r="CH88">
            <v>3876</v>
          </cell>
          <cell r="CI88">
            <v>4444</v>
          </cell>
          <cell r="CJ88">
            <v>4676</v>
          </cell>
          <cell r="CK88">
            <v>3236</v>
          </cell>
          <cell r="CL88">
            <v>5424</v>
          </cell>
          <cell r="CM88">
            <v>4272</v>
          </cell>
          <cell r="CN88">
            <v>4500</v>
          </cell>
          <cell r="CO88">
            <v>3968</v>
          </cell>
          <cell r="CP88">
            <v>4680</v>
          </cell>
          <cell r="CQ88">
            <v>5340</v>
          </cell>
          <cell r="CR88">
            <v>5624</v>
          </cell>
          <cell r="CS88">
            <v>2828</v>
          </cell>
          <cell r="CT88">
            <v>6256</v>
          </cell>
          <cell r="CU88">
            <v>5660</v>
          </cell>
          <cell r="CV88">
            <v>8620</v>
          </cell>
          <cell r="CW88">
            <v>6524</v>
          </cell>
          <cell r="CX88">
            <v>2128</v>
          </cell>
          <cell r="CY88">
            <v>7952</v>
          </cell>
          <cell r="CZ88">
            <v>5220</v>
          </cell>
          <cell r="DA88">
            <v>5088</v>
          </cell>
          <cell r="DB88">
            <v>4780</v>
          </cell>
          <cell r="DC88">
            <v>5348</v>
          </cell>
          <cell r="DD88">
            <v>4512</v>
          </cell>
          <cell r="DE88" t="str">
            <v>ACTIVO</v>
          </cell>
          <cell r="DF88" t="str">
            <v>A</v>
          </cell>
          <cell r="DH88">
            <v>4863.84</v>
          </cell>
          <cell r="DI88">
            <v>810.64</v>
          </cell>
        </row>
        <row r="89">
          <cell r="B89">
            <v>107237</v>
          </cell>
          <cell r="C89" t="str">
            <v>CREMA CHOCOLATE RICHS</v>
          </cell>
          <cell r="D89">
            <v>236</v>
          </cell>
          <cell r="E89">
            <v>392</v>
          </cell>
          <cell r="F89">
            <v>304</v>
          </cell>
          <cell r="G89">
            <v>417</v>
          </cell>
          <cell r="H89">
            <v>529</v>
          </cell>
          <cell r="I89">
            <v>436</v>
          </cell>
          <cell r="J89">
            <v>524</v>
          </cell>
          <cell r="K89">
            <v>276</v>
          </cell>
          <cell r="L89">
            <v>372</v>
          </cell>
          <cell r="M89">
            <v>192</v>
          </cell>
          <cell r="N89">
            <v>440</v>
          </cell>
          <cell r="O89">
            <v>252</v>
          </cell>
          <cell r="P89">
            <v>424</v>
          </cell>
          <cell r="Q89">
            <v>392</v>
          </cell>
          <cell r="R89">
            <v>360</v>
          </cell>
          <cell r="S89">
            <v>380</v>
          </cell>
          <cell r="T89">
            <v>256</v>
          </cell>
          <cell r="U89">
            <v>624</v>
          </cell>
          <cell r="V89">
            <v>397</v>
          </cell>
          <cell r="X89">
            <v>536</v>
          </cell>
          <cell r="Y89">
            <v>880</v>
          </cell>
          <cell r="Z89">
            <v>504</v>
          </cell>
          <cell r="AA89">
            <v>328</v>
          </cell>
          <cell r="AB89">
            <v>252</v>
          </cell>
          <cell r="AC89">
            <v>224</v>
          </cell>
          <cell r="AF89">
            <v>421</v>
          </cell>
          <cell r="AG89">
            <v>304</v>
          </cell>
          <cell r="AH89">
            <v>167</v>
          </cell>
          <cell r="AI89">
            <v>12</v>
          </cell>
          <cell r="AJ89">
            <v>4</v>
          </cell>
          <cell r="AK89">
            <v>316</v>
          </cell>
          <cell r="AL89">
            <v>428</v>
          </cell>
          <cell r="AM89">
            <v>372</v>
          </cell>
          <cell r="AN89">
            <v>196</v>
          </cell>
          <cell r="AO89">
            <v>280</v>
          </cell>
          <cell r="AP89">
            <v>220</v>
          </cell>
          <cell r="AQ89">
            <v>456</v>
          </cell>
          <cell r="AR89">
            <v>348</v>
          </cell>
          <cell r="AS89">
            <v>520</v>
          </cell>
          <cell r="AT89">
            <v>14</v>
          </cell>
          <cell r="AU89">
            <v>304</v>
          </cell>
          <cell r="AV89">
            <v>104</v>
          </cell>
          <cell r="AW89">
            <v>152</v>
          </cell>
          <cell r="AX89">
            <v>260</v>
          </cell>
          <cell r="AY89">
            <v>268</v>
          </cell>
          <cell r="AZ89">
            <v>776</v>
          </cell>
          <cell r="BA89">
            <v>432</v>
          </cell>
          <cell r="BB89">
            <v>196</v>
          </cell>
          <cell r="BC89">
            <v>108</v>
          </cell>
          <cell r="BD89">
            <v>162</v>
          </cell>
          <cell r="BE89">
            <v>25</v>
          </cell>
          <cell r="BF89">
            <v>188</v>
          </cell>
          <cell r="BG89">
            <v>60</v>
          </cell>
          <cell r="BH89">
            <v>140</v>
          </cell>
          <cell r="BI89">
            <v>60</v>
          </cell>
          <cell r="BJ89">
            <v>144</v>
          </cell>
          <cell r="BK89">
            <v>136</v>
          </cell>
          <cell r="BL89">
            <v>348</v>
          </cell>
          <cell r="BM89">
            <v>24</v>
          </cell>
          <cell r="BN89">
            <v>216</v>
          </cell>
          <cell r="BO89">
            <v>12</v>
          </cell>
          <cell r="BP89">
            <v>8</v>
          </cell>
          <cell r="BQ89">
            <v>208</v>
          </cell>
          <cell r="BR89">
            <v>92</v>
          </cell>
          <cell r="BS89">
            <v>32</v>
          </cell>
          <cell r="BT89">
            <v>116</v>
          </cell>
          <cell r="BU89">
            <v>8</v>
          </cell>
          <cell r="BV89">
            <v>8</v>
          </cell>
          <cell r="BW89">
            <v>108</v>
          </cell>
          <cell r="BX89">
            <v>16</v>
          </cell>
          <cell r="BY89">
            <v>105</v>
          </cell>
          <cell r="BZ89">
            <v>108</v>
          </cell>
          <cell r="CA89">
            <v>16</v>
          </cell>
          <cell r="CB89">
            <v>104</v>
          </cell>
          <cell r="CC89">
            <v>220</v>
          </cell>
          <cell r="CD89">
            <v>12.5</v>
          </cell>
          <cell r="CE89">
            <v>12</v>
          </cell>
          <cell r="CG89">
            <v>88</v>
          </cell>
          <cell r="CH89">
            <v>268</v>
          </cell>
          <cell r="CI89">
            <v>478</v>
          </cell>
          <cell r="CJ89">
            <v>8</v>
          </cell>
          <cell r="CK89">
            <v>12</v>
          </cell>
          <cell r="CL89">
            <v>8</v>
          </cell>
          <cell r="CM89">
            <v>12</v>
          </cell>
          <cell r="CN89">
            <v>180</v>
          </cell>
          <cell r="CO89">
            <v>8</v>
          </cell>
          <cell r="CP89">
            <v>8</v>
          </cell>
          <cell r="CQ89">
            <v>12</v>
          </cell>
          <cell r="CR89">
            <v>224</v>
          </cell>
          <cell r="CS89">
            <v>8</v>
          </cell>
          <cell r="CT89">
            <v>16</v>
          </cell>
          <cell r="CU89">
            <v>196</v>
          </cell>
          <cell r="CV89">
            <v>16</v>
          </cell>
          <cell r="CX89">
            <v>4</v>
          </cell>
          <cell r="CY89">
            <v>116</v>
          </cell>
          <cell r="CZ89">
            <v>108</v>
          </cell>
          <cell r="DA89">
            <v>76</v>
          </cell>
          <cell r="DB89">
            <v>68</v>
          </cell>
          <cell r="DC89">
            <v>36</v>
          </cell>
          <cell r="DD89">
            <v>132</v>
          </cell>
          <cell r="DE89" t="str">
            <v>ACTIVO</v>
          </cell>
          <cell r="DF89" t="str">
            <v>B</v>
          </cell>
          <cell r="DH89">
            <v>90.521739130434781</v>
          </cell>
          <cell r="DI89">
            <v>15.086956521739131</v>
          </cell>
        </row>
        <row r="90">
          <cell r="B90">
            <v>107242</v>
          </cell>
          <cell r="C90" t="str">
            <v>CREMA RELLENO SABOR NARANJA ESP. QUINTA SC 1X5 Kg</v>
          </cell>
          <cell r="D90">
            <v>235</v>
          </cell>
          <cell r="E90">
            <v>200</v>
          </cell>
          <cell r="F90">
            <v>220</v>
          </cell>
          <cell r="G90">
            <v>190</v>
          </cell>
          <cell r="H90">
            <v>175</v>
          </cell>
          <cell r="I90">
            <v>55</v>
          </cell>
          <cell r="J90">
            <v>175</v>
          </cell>
          <cell r="K90">
            <v>165</v>
          </cell>
          <cell r="L90">
            <v>225</v>
          </cell>
          <cell r="M90">
            <v>180</v>
          </cell>
          <cell r="N90">
            <v>180</v>
          </cell>
          <cell r="O90">
            <v>15</v>
          </cell>
          <cell r="P90">
            <v>185</v>
          </cell>
          <cell r="Q90">
            <v>230</v>
          </cell>
          <cell r="R90">
            <v>250</v>
          </cell>
          <cell r="S90">
            <v>155</v>
          </cell>
          <cell r="T90">
            <v>155</v>
          </cell>
          <cell r="U90">
            <v>225</v>
          </cell>
          <cell r="V90">
            <v>245</v>
          </cell>
          <cell r="W90">
            <v>180</v>
          </cell>
          <cell r="X90">
            <v>90</v>
          </cell>
          <cell r="Z90">
            <v>175</v>
          </cell>
          <cell r="AA90">
            <v>215</v>
          </cell>
          <cell r="AB90">
            <v>190</v>
          </cell>
          <cell r="AC90">
            <v>125</v>
          </cell>
          <cell r="AD90">
            <v>65</v>
          </cell>
          <cell r="AE90">
            <v>75</v>
          </cell>
          <cell r="AF90">
            <v>181</v>
          </cell>
          <cell r="AG90">
            <v>154</v>
          </cell>
          <cell r="AH90">
            <v>145</v>
          </cell>
          <cell r="AI90">
            <v>180</v>
          </cell>
          <cell r="AJ90">
            <v>190</v>
          </cell>
          <cell r="AK90">
            <v>160</v>
          </cell>
          <cell r="AL90">
            <v>205</v>
          </cell>
          <cell r="AM90">
            <v>195</v>
          </cell>
          <cell r="AN90">
            <v>215</v>
          </cell>
          <cell r="AO90">
            <v>220</v>
          </cell>
          <cell r="AP90">
            <v>170</v>
          </cell>
          <cell r="AQ90">
            <v>205</v>
          </cell>
          <cell r="AR90">
            <v>220</v>
          </cell>
          <cell r="AS90">
            <v>205</v>
          </cell>
          <cell r="AT90">
            <v>225</v>
          </cell>
          <cell r="AU90">
            <v>325</v>
          </cell>
          <cell r="AV90">
            <v>185</v>
          </cell>
          <cell r="AW90">
            <v>195</v>
          </cell>
          <cell r="AX90">
            <v>220</v>
          </cell>
          <cell r="AY90">
            <v>185</v>
          </cell>
          <cell r="AZ90">
            <v>225</v>
          </cell>
          <cell r="BA90">
            <v>180</v>
          </cell>
          <cell r="BB90">
            <v>210</v>
          </cell>
          <cell r="BC90">
            <v>220</v>
          </cell>
          <cell r="BD90">
            <v>210</v>
          </cell>
          <cell r="BE90">
            <v>170</v>
          </cell>
          <cell r="BF90">
            <v>165</v>
          </cell>
          <cell r="BG90">
            <v>235</v>
          </cell>
          <cell r="BH90">
            <v>235</v>
          </cell>
          <cell r="BI90">
            <v>200</v>
          </cell>
          <cell r="BJ90">
            <v>185</v>
          </cell>
          <cell r="BK90">
            <v>180</v>
          </cell>
          <cell r="BL90">
            <v>255</v>
          </cell>
          <cell r="BM90">
            <v>235</v>
          </cell>
          <cell r="BN90">
            <v>195</v>
          </cell>
          <cell r="BO90">
            <v>175</v>
          </cell>
          <cell r="BP90">
            <v>15</v>
          </cell>
          <cell r="BQ90">
            <v>230</v>
          </cell>
          <cell r="BR90">
            <v>165</v>
          </cell>
          <cell r="BS90">
            <v>185</v>
          </cell>
          <cell r="BT90">
            <v>145</v>
          </cell>
          <cell r="BU90">
            <v>225</v>
          </cell>
          <cell r="BV90">
            <v>170</v>
          </cell>
          <cell r="BW90">
            <v>190</v>
          </cell>
          <cell r="BX90">
            <v>150</v>
          </cell>
          <cell r="BY90">
            <v>170</v>
          </cell>
          <cell r="BZ90">
            <v>200</v>
          </cell>
          <cell r="CA90">
            <v>290</v>
          </cell>
          <cell r="CB90">
            <v>130</v>
          </cell>
          <cell r="CC90">
            <v>205</v>
          </cell>
          <cell r="CD90">
            <v>115</v>
          </cell>
          <cell r="CE90">
            <v>65</v>
          </cell>
          <cell r="CF90">
            <v>70</v>
          </cell>
          <cell r="CG90">
            <v>160</v>
          </cell>
          <cell r="CH90">
            <v>145</v>
          </cell>
          <cell r="CI90">
            <v>155</v>
          </cell>
          <cell r="CJ90">
            <v>130</v>
          </cell>
          <cell r="CK90">
            <v>165</v>
          </cell>
          <cell r="CL90">
            <v>130</v>
          </cell>
          <cell r="CM90">
            <v>130</v>
          </cell>
          <cell r="CN90">
            <v>130</v>
          </cell>
          <cell r="CO90">
            <v>165</v>
          </cell>
          <cell r="CP90">
            <v>190</v>
          </cell>
          <cell r="CQ90">
            <v>180</v>
          </cell>
          <cell r="CR90">
            <v>170</v>
          </cell>
          <cell r="CS90">
            <v>165</v>
          </cell>
          <cell r="CT90">
            <v>205</v>
          </cell>
          <cell r="CU90">
            <v>205</v>
          </cell>
          <cell r="CV90">
            <v>220</v>
          </cell>
          <cell r="CW90">
            <v>210</v>
          </cell>
          <cell r="CX90">
            <v>190</v>
          </cell>
          <cell r="CY90">
            <v>270</v>
          </cell>
          <cell r="CZ90">
            <v>205</v>
          </cell>
          <cell r="DA90">
            <v>4235</v>
          </cell>
          <cell r="DB90">
            <v>245</v>
          </cell>
          <cell r="DC90">
            <v>210</v>
          </cell>
          <cell r="DD90">
            <v>220</v>
          </cell>
          <cell r="DE90" t="str">
            <v>ACTIVO</v>
          </cell>
          <cell r="DF90" t="str">
            <v>B</v>
          </cell>
          <cell r="DH90">
            <v>340</v>
          </cell>
          <cell r="DI90">
            <v>56.666666666666664</v>
          </cell>
        </row>
        <row r="91">
          <cell r="B91">
            <v>107342</v>
          </cell>
          <cell r="C91" t="str">
            <v>CREMA CHANTYPACK PURATOS</v>
          </cell>
          <cell r="D91">
            <v>78</v>
          </cell>
          <cell r="E91">
            <v>79</v>
          </cell>
          <cell r="F91">
            <v>21</v>
          </cell>
          <cell r="G91">
            <v>2</v>
          </cell>
          <cell r="AT91">
            <v>130</v>
          </cell>
          <cell r="CN91">
            <v>720</v>
          </cell>
          <cell r="DE91" t="str">
            <v>SIN USO</v>
          </cell>
          <cell r="DF91" t="str">
            <v>C</v>
          </cell>
          <cell r="DH91">
            <v>720</v>
          </cell>
          <cell r="DI91">
            <v>120</v>
          </cell>
        </row>
        <row r="92">
          <cell r="B92">
            <v>170179</v>
          </cell>
          <cell r="C92" t="str">
            <v>CREMA AMBIENTE ICING PURATOS</v>
          </cell>
          <cell r="H92">
            <v>166</v>
          </cell>
          <cell r="I92">
            <v>5</v>
          </cell>
          <cell r="M92">
            <v>1172</v>
          </cell>
          <cell r="N92">
            <v>1609</v>
          </cell>
          <cell r="O92">
            <v>203</v>
          </cell>
          <cell r="P92">
            <v>556</v>
          </cell>
          <cell r="Q92">
            <v>1221</v>
          </cell>
          <cell r="R92">
            <v>658</v>
          </cell>
          <cell r="S92">
            <v>1312</v>
          </cell>
          <cell r="T92">
            <v>1192</v>
          </cell>
          <cell r="U92">
            <v>84</v>
          </cell>
          <cell r="AO92">
            <v>204</v>
          </cell>
          <cell r="BC92">
            <v>271</v>
          </cell>
          <cell r="BD92">
            <v>129</v>
          </cell>
          <cell r="BP92">
            <v>400</v>
          </cell>
          <cell r="DE92" t="str">
            <v>SIN USO</v>
          </cell>
          <cell r="DF92" t="str">
            <v>C</v>
          </cell>
          <cell r="DH92">
            <v>0</v>
          </cell>
          <cell r="DI92">
            <v>0</v>
          </cell>
        </row>
        <row r="93">
          <cell r="B93">
            <v>107283</v>
          </cell>
          <cell r="C93" t="str">
            <v>CREMA CHANTIFESTA RICHS</v>
          </cell>
          <cell r="J93">
            <v>282</v>
          </cell>
          <cell r="K93">
            <v>34</v>
          </cell>
          <cell r="L93">
            <v>106</v>
          </cell>
          <cell r="M93">
            <v>499</v>
          </cell>
          <cell r="N93">
            <v>94</v>
          </cell>
          <cell r="O93">
            <v>120</v>
          </cell>
          <cell r="P93">
            <v>146</v>
          </cell>
          <cell r="Q93">
            <v>263</v>
          </cell>
          <cell r="R93">
            <v>184</v>
          </cell>
          <cell r="S93">
            <v>379</v>
          </cell>
          <cell r="T93">
            <v>143</v>
          </cell>
          <cell r="U93">
            <v>451</v>
          </cell>
          <cell r="V93">
            <v>331</v>
          </cell>
          <cell r="W93">
            <v>144</v>
          </cell>
          <cell r="X93">
            <v>315</v>
          </cell>
          <cell r="Y93">
            <v>560</v>
          </cell>
          <cell r="Z93">
            <v>286</v>
          </cell>
          <cell r="AA93">
            <v>166</v>
          </cell>
          <cell r="AB93">
            <v>486</v>
          </cell>
          <cell r="AC93">
            <v>190</v>
          </cell>
          <cell r="AD93">
            <v>128</v>
          </cell>
          <cell r="AE93">
            <v>241</v>
          </cell>
          <cell r="AF93">
            <v>374</v>
          </cell>
          <cell r="AG93">
            <v>460</v>
          </cell>
          <cell r="AH93">
            <v>118</v>
          </cell>
          <cell r="AI93">
            <v>535.5</v>
          </cell>
          <cell r="AJ93">
            <v>270</v>
          </cell>
          <cell r="AK93">
            <v>0</v>
          </cell>
          <cell r="AL93">
            <v>299</v>
          </cell>
          <cell r="AM93">
            <v>289</v>
          </cell>
          <cell r="AN93">
            <v>340</v>
          </cell>
          <cell r="AO93">
            <v>321</v>
          </cell>
          <cell r="AP93">
            <v>719</v>
          </cell>
          <cell r="AQ93">
            <v>246</v>
          </cell>
          <cell r="AR93">
            <v>403</v>
          </cell>
          <cell r="AS93">
            <v>288</v>
          </cell>
          <cell r="AT93">
            <v>348</v>
          </cell>
          <cell r="AU93">
            <v>247</v>
          </cell>
          <cell r="AV93">
            <v>377</v>
          </cell>
          <cell r="DE93" t="str">
            <v>SIN USO</v>
          </cell>
          <cell r="DF93" t="str">
            <v>B</v>
          </cell>
          <cell r="DH93">
            <v>0</v>
          </cell>
          <cell r="DI93">
            <v>0</v>
          </cell>
        </row>
        <row r="94">
          <cell r="D94">
            <v>8652</v>
          </cell>
          <cell r="E94">
            <v>9002</v>
          </cell>
          <cell r="F94">
            <v>8157</v>
          </cell>
          <cell r="G94">
            <v>8930</v>
          </cell>
          <cell r="H94">
            <v>11221</v>
          </cell>
          <cell r="I94">
            <v>8043</v>
          </cell>
          <cell r="J94">
            <v>10029</v>
          </cell>
          <cell r="K94">
            <v>8506</v>
          </cell>
          <cell r="L94">
            <v>9793</v>
          </cell>
          <cell r="M94">
            <v>10528</v>
          </cell>
          <cell r="N94">
            <v>8890</v>
          </cell>
          <cell r="O94">
            <v>5426</v>
          </cell>
          <cell r="P94">
            <v>7586</v>
          </cell>
          <cell r="Q94">
            <v>9304</v>
          </cell>
          <cell r="R94">
            <v>9779</v>
          </cell>
          <cell r="S94">
            <v>9183</v>
          </cell>
          <cell r="T94">
            <v>8452</v>
          </cell>
          <cell r="U94">
            <v>10859</v>
          </cell>
          <cell r="V94">
            <v>11600</v>
          </cell>
          <cell r="W94">
            <v>7283</v>
          </cell>
          <cell r="X94">
            <v>10112</v>
          </cell>
          <cell r="Y94">
            <v>12300</v>
          </cell>
          <cell r="Z94">
            <v>7426</v>
          </cell>
          <cell r="AA94">
            <v>8047</v>
          </cell>
          <cell r="AB94">
            <v>8328</v>
          </cell>
          <cell r="AC94">
            <v>5921</v>
          </cell>
          <cell r="AD94">
            <v>1935</v>
          </cell>
          <cell r="AE94">
            <v>2499</v>
          </cell>
          <cell r="AF94">
            <v>8162</v>
          </cell>
          <cell r="AG94">
            <v>9222</v>
          </cell>
          <cell r="AH94">
            <v>9640</v>
          </cell>
          <cell r="AI94">
            <v>12246</v>
          </cell>
          <cell r="AJ94">
            <v>12356</v>
          </cell>
          <cell r="AK94">
            <v>8305</v>
          </cell>
          <cell r="AL94">
            <v>7591</v>
          </cell>
          <cell r="AM94">
            <v>6725</v>
          </cell>
          <cell r="AN94">
            <v>9102</v>
          </cell>
          <cell r="AO94">
            <v>14690</v>
          </cell>
          <cell r="AP94">
            <v>9779</v>
          </cell>
          <cell r="AQ94">
            <v>10283</v>
          </cell>
          <cell r="AR94">
            <v>10664</v>
          </cell>
          <cell r="AS94">
            <v>8792.5</v>
          </cell>
          <cell r="AT94">
            <v>12913</v>
          </cell>
          <cell r="AU94">
            <v>14491</v>
          </cell>
          <cell r="AV94">
            <v>12845</v>
          </cell>
          <cell r="AW94">
            <v>12014</v>
          </cell>
          <cell r="AX94">
            <v>6186</v>
          </cell>
          <cell r="AY94">
            <v>8299</v>
          </cell>
          <cell r="AZ94">
            <v>11009.5</v>
          </cell>
          <cell r="BA94">
            <v>13426</v>
          </cell>
          <cell r="BB94">
            <v>7698</v>
          </cell>
          <cell r="BC94">
            <v>9058</v>
          </cell>
          <cell r="BD94">
            <v>8009</v>
          </cell>
          <cell r="BE94">
            <v>9078</v>
          </cell>
          <cell r="BF94">
            <v>9228</v>
          </cell>
          <cell r="BG94">
            <v>9311</v>
          </cell>
          <cell r="BH94">
            <v>10499</v>
          </cell>
          <cell r="BI94">
            <v>8965</v>
          </cell>
          <cell r="BJ94">
            <v>10031</v>
          </cell>
          <cell r="BK94">
            <v>10166</v>
          </cell>
          <cell r="BL94">
            <v>9971</v>
          </cell>
          <cell r="BM94">
            <v>9289</v>
          </cell>
          <cell r="BN94">
            <v>10038</v>
          </cell>
          <cell r="BO94">
            <v>10049</v>
          </cell>
          <cell r="BP94">
            <v>3627</v>
          </cell>
          <cell r="BQ94">
            <v>9256</v>
          </cell>
          <cell r="BR94">
            <v>7591</v>
          </cell>
          <cell r="BS94">
            <v>11538</v>
          </cell>
          <cell r="BT94">
            <v>9247</v>
          </cell>
          <cell r="BU94">
            <v>9380</v>
          </cell>
          <cell r="BV94">
            <v>8048</v>
          </cell>
          <cell r="BW94">
            <v>7954</v>
          </cell>
          <cell r="BX94">
            <v>6337</v>
          </cell>
          <cell r="BY94">
            <v>5960</v>
          </cell>
          <cell r="BZ94">
            <v>6617</v>
          </cell>
          <cell r="CA94">
            <v>8011</v>
          </cell>
          <cell r="CB94">
            <v>5798</v>
          </cell>
          <cell r="CC94">
            <v>8335</v>
          </cell>
          <cell r="CD94">
            <v>6764.5</v>
          </cell>
          <cell r="CE94">
            <v>4836</v>
          </cell>
          <cell r="CF94">
            <v>2993</v>
          </cell>
          <cell r="CG94">
            <v>8986</v>
          </cell>
          <cell r="CH94">
            <v>8039</v>
          </cell>
          <cell r="CI94">
            <v>9177</v>
          </cell>
          <cell r="CJ94">
            <v>7598</v>
          </cell>
          <cell r="CK94">
            <v>9344</v>
          </cell>
          <cell r="CL94">
            <v>9546</v>
          </cell>
          <cell r="CM94">
            <v>7587</v>
          </cell>
          <cell r="CN94">
            <v>10472</v>
          </cell>
          <cell r="CO94">
            <v>8529</v>
          </cell>
          <cell r="CP94">
            <v>8561</v>
          </cell>
          <cell r="CQ94">
            <v>8045</v>
          </cell>
          <cell r="CR94">
            <v>9158</v>
          </cell>
          <cell r="CS94">
            <v>6150</v>
          </cell>
          <cell r="CT94">
            <v>11843</v>
          </cell>
          <cell r="CU94">
            <v>13305</v>
          </cell>
          <cell r="CV94">
            <v>14976</v>
          </cell>
          <cell r="CW94">
            <v>11559</v>
          </cell>
          <cell r="CX94">
            <v>6378</v>
          </cell>
          <cell r="CY94">
            <v>13228</v>
          </cell>
          <cell r="CZ94">
            <v>8451</v>
          </cell>
          <cell r="DA94">
            <v>15589</v>
          </cell>
          <cell r="DB94">
            <v>9138</v>
          </cell>
          <cell r="DC94">
            <v>9660.5</v>
          </cell>
          <cell r="DD94">
            <v>9622</v>
          </cell>
          <cell r="DE94" t="str">
            <v>ACTIVO</v>
          </cell>
          <cell r="DF94" t="str">
            <v/>
          </cell>
          <cell r="DH94">
            <v>9517.3799999999992</v>
          </cell>
          <cell r="DI94">
            <v>1586.2299999999998</v>
          </cell>
        </row>
        <row r="95">
          <cell r="B95">
            <v>405380</v>
          </cell>
          <cell r="C95" t="str">
            <v>CUPULA TORTA ALTA  15PP (98-5) FPS</v>
          </cell>
          <cell r="J95">
            <v>1330</v>
          </cell>
          <cell r="K95">
            <v>3500</v>
          </cell>
          <cell r="M95">
            <v>1610</v>
          </cell>
          <cell r="N95">
            <v>1750</v>
          </cell>
          <cell r="P95">
            <v>350</v>
          </cell>
          <cell r="Q95">
            <v>1330</v>
          </cell>
          <cell r="DE95" t="str">
            <v>SIN USO</v>
          </cell>
          <cell r="DF95" t="str">
            <v/>
          </cell>
          <cell r="DH95">
            <v>0</v>
          </cell>
          <cell r="DI95">
            <v>0</v>
          </cell>
        </row>
        <row r="96">
          <cell r="B96">
            <v>405489</v>
          </cell>
          <cell r="C96" t="str">
            <v>CUPULA TARTA 1025-5 MOLDES PAC</v>
          </cell>
          <cell r="AF96">
            <v>1120</v>
          </cell>
          <cell r="AG96">
            <v>840</v>
          </cell>
          <cell r="AN96">
            <v>350</v>
          </cell>
          <cell r="AY96">
            <v>140</v>
          </cell>
          <cell r="BB96">
            <v>350</v>
          </cell>
          <cell r="BG96">
            <v>210</v>
          </cell>
          <cell r="BI96">
            <v>280</v>
          </cell>
          <cell r="BK96">
            <v>280</v>
          </cell>
          <cell r="BM96">
            <v>1400</v>
          </cell>
          <cell r="CD96">
            <v>490</v>
          </cell>
          <cell r="CU96">
            <v>1300</v>
          </cell>
          <cell r="CV96">
            <v>70</v>
          </cell>
          <cell r="DE96" t="str">
            <v>SIN USO</v>
          </cell>
          <cell r="DF96" t="str">
            <v>C</v>
          </cell>
          <cell r="DH96">
            <v>685</v>
          </cell>
          <cell r="DI96">
            <v>114.16666666666667</v>
          </cell>
        </row>
        <row r="97">
          <cell r="B97">
            <v>403338</v>
          </cell>
          <cell r="C97" t="str">
            <v>BLISTER 7189 1 PASTEL DEANDES</v>
          </cell>
          <cell r="D97">
            <v>33000</v>
          </cell>
          <cell r="E97">
            <v>25800</v>
          </cell>
          <cell r="F97">
            <v>30600</v>
          </cell>
          <cell r="G97">
            <v>24600</v>
          </cell>
          <cell r="H97">
            <v>29400</v>
          </cell>
          <cell r="I97">
            <v>23400</v>
          </cell>
          <cell r="J97">
            <v>26400</v>
          </cell>
          <cell r="K97">
            <v>20400</v>
          </cell>
          <cell r="L97">
            <v>30600</v>
          </cell>
          <cell r="M97">
            <v>27000</v>
          </cell>
          <cell r="N97">
            <v>25800</v>
          </cell>
          <cell r="O97">
            <v>4200</v>
          </cell>
          <cell r="P97">
            <v>19800</v>
          </cell>
          <cell r="Q97">
            <v>31800</v>
          </cell>
          <cell r="R97">
            <v>24600</v>
          </cell>
          <cell r="S97">
            <v>25200</v>
          </cell>
          <cell r="T97">
            <v>19800</v>
          </cell>
          <cell r="U97">
            <v>26400</v>
          </cell>
          <cell r="V97">
            <v>29400</v>
          </cell>
          <cell r="W97">
            <v>19200</v>
          </cell>
          <cell r="X97">
            <v>15600</v>
          </cell>
          <cell r="Z97">
            <v>31800</v>
          </cell>
          <cell r="AA97">
            <v>25200</v>
          </cell>
          <cell r="AB97">
            <v>27600</v>
          </cell>
          <cell r="AC97">
            <v>18600</v>
          </cell>
          <cell r="AD97">
            <v>6600</v>
          </cell>
          <cell r="AE97">
            <v>6600</v>
          </cell>
          <cell r="AF97">
            <v>29400</v>
          </cell>
          <cell r="AG97">
            <v>24600</v>
          </cell>
          <cell r="AH97">
            <v>21000</v>
          </cell>
          <cell r="AI97">
            <v>29400</v>
          </cell>
          <cell r="AJ97">
            <v>27000</v>
          </cell>
          <cell r="AK97">
            <v>23400</v>
          </cell>
          <cell r="AL97">
            <v>25800</v>
          </cell>
          <cell r="AM97">
            <v>27600</v>
          </cell>
          <cell r="AN97">
            <v>29400</v>
          </cell>
          <cell r="AO97">
            <v>22200</v>
          </cell>
          <cell r="AP97">
            <v>21600</v>
          </cell>
          <cell r="AQ97">
            <v>24000</v>
          </cell>
          <cell r="AR97">
            <v>28800</v>
          </cell>
          <cell r="AS97">
            <v>27000</v>
          </cell>
          <cell r="AT97">
            <v>26400</v>
          </cell>
          <cell r="AU97">
            <v>19200</v>
          </cell>
          <cell r="AV97">
            <v>16200</v>
          </cell>
          <cell r="AW97">
            <v>19800</v>
          </cell>
          <cell r="AX97">
            <v>23400</v>
          </cell>
          <cell r="AY97">
            <v>19800</v>
          </cell>
          <cell r="AZ97">
            <v>23400</v>
          </cell>
          <cell r="BA97">
            <v>22800</v>
          </cell>
          <cell r="BB97">
            <v>20400</v>
          </cell>
          <cell r="BC97">
            <v>22800</v>
          </cell>
          <cell r="BD97">
            <v>27600</v>
          </cell>
          <cell r="BE97">
            <v>26400</v>
          </cell>
          <cell r="BF97">
            <v>21000</v>
          </cell>
          <cell r="BG97">
            <v>25800</v>
          </cell>
          <cell r="BH97">
            <v>30000</v>
          </cell>
          <cell r="BI97">
            <v>24600</v>
          </cell>
          <cell r="BJ97">
            <v>26400</v>
          </cell>
          <cell r="BK97">
            <v>22900</v>
          </cell>
          <cell r="BL97">
            <v>10100</v>
          </cell>
          <cell r="BM97">
            <v>9600</v>
          </cell>
          <cell r="BN97">
            <v>9600</v>
          </cell>
          <cell r="BO97">
            <v>8400</v>
          </cell>
          <cell r="BP97">
            <v>5600</v>
          </cell>
          <cell r="BQ97">
            <v>21400</v>
          </cell>
          <cell r="BS97">
            <v>7700</v>
          </cell>
          <cell r="BT97">
            <v>12300</v>
          </cell>
          <cell r="BU97">
            <v>9600</v>
          </cell>
          <cell r="BV97">
            <v>18200</v>
          </cell>
          <cell r="BW97">
            <v>8700</v>
          </cell>
          <cell r="BX97">
            <v>9100</v>
          </cell>
          <cell r="BY97">
            <v>16800</v>
          </cell>
          <cell r="BZ97">
            <v>24500</v>
          </cell>
          <cell r="CA97">
            <v>28000</v>
          </cell>
          <cell r="CB97">
            <v>18900</v>
          </cell>
          <cell r="CC97">
            <v>23100</v>
          </cell>
          <cell r="CD97">
            <v>16700</v>
          </cell>
          <cell r="CE97">
            <v>6300</v>
          </cell>
          <cell r="CF97">
            <v>7700</v>
          </cell>
          <cell r="CG97">
            <v>21700</v>
          </cell>
          <cell r="CH97">
            <v>20700</v>
          </cell>
          <cell r="CI97">
            <v>13800</v>
          </cell>
          <cell r="CJ97">
            <v>22400</v>
          </cell>
          <cell r="CK97">
            <v>22400</v>
          </cell>
          <cell r="CL97">
            <v>24000</v>
          </cell>
          <cell r="CM97">
            <v>25200</v>
          </cell>
          <cell r="CN97">
            <v>21300</v>
          </cell>
          <cell r="CO97">
            <v>21600</v>
          </cell>
          <cell r="CP97">
            <v>25200</v>
          </cell>
          <cell r="CQ97">
            <v>22200</v>
          </cell>
          <cell r="CR97">
            <v>25200</v>
          </cell>
          <cell r="CS97">
            <v>22200</v>
          </cell>
          <cell r="CT97">
            <v>27000</v>
          </cell>
          <cell r="CU97">
            <v>34800</v>
          </cell>
          <cell r="CV97">
            <v>33000</v>
          </cell>
          <cell r="CW97">
            <v>28200</v>
          </cell>
          <cell r="CX97">
            <v>21000</v>
          </cell>
          <cell r="CY97">
            <v>31200</v>
          </cell>
          <cell r="CZ97">
            <v>24600</v>
          </cell>
          <cell r="DA97">
            <v>25800</v>
          </cell>
          <cell r="DB97">
            <v>22800</v>
          </cell>
          <cell r="DC97">
            <v>27000</v>
          </cell>
          <cell r="DD97">
            <v>24600</v>
          </cell>
          <cell r="DE97" t="str">
            <v>ACTIVO</v>
          </cell>
          <cell r="DF97" t="str">
            <v>A</v>
          </cell>
          <cell r="DH97">
            <v>23824</v>
          </cell>
          <cell r="DI97">
            <v>3970.6666666666665</v>
          </cell>
        </row>
        <row r="98">
          <cell r="B98">
            <v>107281</v>
          </cell>
          <cell r="C98" t="str">
            <v>BLISTER 7189 1 PASTEL BUENAVENTURA</v>
          </cell>
          <cell r="BH98">
            <v>4800</v>
          </cell>
          <cell r="BI98">
            <v>6000</v>
          </cell>
          <cell r="BK98">
            <v>5700</v>
          </cell>
          <cell r="BL98">
            <v>20700</v>
          </cell>
          <cell r="BM98">
            <v>17700</v>
          </cell>
          <cell r="BN98">
            <v>14900</v>
          </cell>
          <cell r="BO98">
            <v>16100</v>
          </cell>
          <cell r="BP98">
            <v>3500</v>
          </cell>
          <cell r="BQ98">
            <v>9400</v>
          </cell>
          <cell r="BR98">
            <v>21700</v>
          </cell>
          <cell r="BS98">
            <v>10100</v>
          </cell>
          <cell r="BT98">
            <v>15000</v>
          </cell>
          <cell r="BU98">
            <v>13500</v>
          </cell>
          <cell r="BV98">
            <v>2800</v>
          </cell>
          <cell r="BW98">
            <v>16500</v>
          </cell>
          <cell r="BX98">
            <v>8400</v>
          </cell>
          <cell r="BY98">
            <v>7000</v>
          </cell>
          <cell r="CC98">
            <v>1800</v>
          </cell>
          <cell r="CD98">
            <v>2900</v>
          </cell>
          <cell r="CE98">
            <v>2800</v>
          </cell>
          <cell r="CH98">
            <v>2400</v>
          </cell>
          <cell r="CI98">
            <v>7400</v>
          </cell>
          <cell r="DE98" t="str">
            <v>SIN USO</v>
          </cell>
          <cell r="DF98" t="str">
            <v>C</v>
          </cell>
          <cell r="DH98">
            <v>4900</v>
          </cell>
          <cell r="DI98">
            <v>816.66666666666663</v>
          </cell>
        </row>
        <row r="99">
          <cell r="B99">
            <v>403208</v>
          </cell>
          <cell r="C99" t="str">
            <v>BLISTER PARA BERLINES ART 401-A DEANDES</v>
          </cell>
          <cell r="G99">
            <v>3150</v>
          </cell>
          <cell r="DE99" t="str">
            <v>SIN USO</v>
          </cell>
          <cell r="DF99" t="str">
            <v/>
          </cell>
          <cell r="DH99">
            <v>0</v>
          </cell>
          <cell r="DI99">
            <v>0</v>
          </cell>
        </row>
        <row r="100">
          <cell r="B100">
            <v>405635</v>
          </cell>
          <cell r="C100" t="str">
            <v>CLAMSHELL 3-3 BAT RECT. ECOPLASTIC</v>
          </cell>
          <cell r="BU100">
            <v>2000</v>
          </cell>
          <cell r="BW100">
            <v>2000</v>
          </cell>
          <cell r="BX100">
            <v>800</v>
          </cell>
          <cell r="BY100">
            <v>1600</v>
          </cell>
          <cell r="DE100" t="str">
            <v>SIN USO</v>
          </cell>
          <cell r="DF100" t="str">
            <v>C</v>
          </cell>
          <cell r="DH100">
            <v>0</v>
          </cell>
          <cell r="DI100">
            <v>0</v>
          </cell>
        </row>
        <row r="101">
          <cell r="B101">
            <v>405594</v>
          </cell>
          <cell r="C101" t="str">
            <v>CUPULA TORTA 15PP OSKUPACK</v>
          </cell>
          <cell r="CB101">
            <v>0</v>
          </cell>
          <cell r="DE101" t="str">
            <v>SIN USO</v>
          </cell>
          <cell r="DF101">
            <v>0</v>
          </cell>
          <cell r="DH101">
            <v>0</v>
          </cell>
          <cell r="DI101">
            <v>0</v>
          </cell>
        </row>
        <row r="102">
          <cell r="B102">
            <v>107344</v>
          </cell>
          <cell r="C102" t="str">
            <v>CUPULA TORTA ALTA  15PP (98-5) MOLDESPAC</v>
          </cell>
          <cell r="F102">
            <v>1050</v>
          </cell>
          <cell r="G102">
            <v>1190</v>
          </cell>
          <cell r="Y102">
            <v>12110</v>
          </cell>
          <cell r="Z102">
            <v>2030</v>
          </cell>
          <cell r="AB102">
            <v>490</v>
          </cell>
          <cell r="AD102">
            <v>420</v>
          </cell>
          <cell r="AF102">
            <v>7140</v>
          </cell>
          <cell r="AG102">
            <v>2030</v>
          </cell>
          <cell r="AH102">
            <v>4050</v>
          </cell>
          <cell r="AI102">
            <v>3890</v>
          </cell>
          <cell r="AJ102">
            <v>2310</v>
          </cell>
          <cell r="AK102">
            <v>3010</v>
          </cell>
          <cell r="AL102">
            <v>7740</v>
          </cell>
          <cell r="AM102">
            <v>5670</v>
          </cell>
          <cell r="AN102">
            <v>700</v>
          </cell>
          <cell r="AO102">
            <v>8260</v>
          </cell>
          <cell r="AP102">
            <v>10500</v>
          </cell>
          <cell r="AQ102">
            <v>8960</v>
          </cell>
          <cell r="AR102">
            <v>280</v>
          </cell>
          <cell r="AS102">
            <v>1090</v>
          </cell>
          <cell r="AT102">
            <v>1190</v>
          </cell>
          <cell r="AU102">
            <v>210</v>
          </cell>
          <cell r="AV102">
            <v>2590</v>
          </cell>
          <cell r="AW102">
            <v>3640</v>
          </cell>
          <cell r="AX102">
            <v>700</v>
          </cell>
          <cell r="AY102">
            <v>1750</v>
          </cell>
          <cell r="AZ102">
            <v>280</v>
          </cell>
          <cell r="BA102">
            <v>1260</v>
          </cell>
          <cell r="BB102">
            <v>1400</v>
          </cell>
          <cell r="BC102">
            <v>2037</v>
          </cell>
          <cell r="BD102">
            <v>1610</v>
          </cell>
          <cell r="BE102">
            <v>350</v>
          </cell>
          <cell r="BF102">
            <v>420</v>
          </cell>
          <cell r="BG102">
            <v>1820</v>
          </cell>
          <cell r="BH102">
            <v>3360</v>
          </cell>
          <cell r="BI102">
            <v>2870</v>
          </cell>
          <cell r="BJ102">
            <v>630</v>
          </cell>
          <cell r="BK102">
            <v>770</v>
          </cell>
          <cell r="BL102">
            <v>910</v>
          </cell>
          <cell r="BM102">
            <v>1890</v>
          </cell>
          <cell r="BO102">
            <v>1400</v>
          </cell>
          <cell r="BQ102">
            <v>2030</v>
          </cell>
          <cell r="BR102">
            <v>4060</v>
          </cell>
          <cell r="BS102">
            <v>2940</v>
          </cell>
          <cell r="BT102">
            <v>2590</v>
          </cell>
          <cell r="BU102">
            <v>910</v>
          </cell>
          <cell r="BV102">
            <v>700</v>
          </cell>
          <cell r="BW102">
            <v>1190</v>
          </cell>
          <cell r="BX102">
            <v>1540</v>
          </cell>
          <cell r="BY102">
            <v>280</v>
          </cell>
          <cell r="BZ102">
            <v>770</v>
          </cell>
          <cell r="CB102">
            <v>840</v>
          </cell>
          <cell r="CC102">
            <v>700</v>
          </cell>
          <cell r="CE102">
            <v>420</v>
          </cell>
          <cell r="CG102">
            <v>3780</v>
          </cell>
          <cell r="CH102">
            <v>4360</v>
          </cell>
          <cell r="CI102">
            <v>1750</v>
          </cell>
          <cell r="CJ102">
            <v>8770</v>
          </cell>
          <cell r="CK102">
            <v>70</v>
          </cell>
          <cell r="CL102">
            <v>140</v>
          </cell>
          <cell r="CM102">
            <v>1750</v>
          </cell>
          <cell r="CN102">
            <v>2730</v>
          </cell>
          <cell r="CO102">
            <v>1890</v>
          </cell>
          <cell r="CP102">
            <v>1960</v>
          </cell>
          <cell r="CQ102">
            <v>3500</v>
          </cell>
          <cell r="CR102">
            <v>2730</v>
          </cell>
          <cell r="CS102">
            <v>1820</v>
          </cell>
          <cell r="CT102">
            <v>4270</v>
          </cell>
          <cell r="CU102">
            <v>4410</v>
          </cell>
          <cell r="CX102">
            <v>1540</v>
          </cell>
          <cell r="CY102">
            <v>4200</v>
          </cell>
          <cell r="CZ102">
            <v>1400</v>
          </cell>
          <cell r="DA102">
            <v>910</v>
          </cell>
          <cell r="DC102">
            <v>1190</v>
          </cell>
          <cell r="DD102">
            <v>1820</v>
          </cell>
          <cell r="DE102" t="str">
            <v>ACTIVO</v>
          </cell>
          <cell r="DF102" t="str">
            <v>B</v>
          </cell>
          <cell r="DH102">
            <v>2618.5714285714284</v>
          </cell>
          <cell r="DI102">
            <v>436.42857142857139</v>
          </cell>
        </row>
        <row r="103">
          <cell r="B103">
            <v>403231</v>
          </cell>
          <cell r="C103" t="str">
            <v>CUPULA TORTA ALTA  15PP (98-5) MONSALVE CENCOSUD</v>
          </cell>
          <cell r="D103">
            <v>8540</v>
          </cell>
          <cell r="E103">
            <v>12670</v>
          </cell>
          <cell r="F103">
            <v>12810</v>
          </cell>
          <cell r="G103">
            <v>10790</v>
          </cell>
          <cell r="H103">
            <v>6370</v>
          </cell>
          <cell r="J103">
            <v>5110</v>
          </cell>
          <cell r="K103">
            <v>13860</v>
          </cell>
          <cell r="L103">
            <v>13440</v>
          </cell>
          <cell r="M103">
            <v>9030</v>
          </cell>
          <cell r="N103">
            <v>7420</v>
          </cell>
          <cell r="O103">
            <v>9801.0499999999993</v>
          </cell>
          <cell r="P103">
            <v>9100</v>
          </cell>
          <cell r="Q103">
            <v>6720</v>
          </cell>
          <cell r="R103">
            <v>10080</v>
          </cell>
          <cell r="S103">
            <v>7000</v>
          </cell>
          <cell r="T103">
            <v>5350</v>
          </cell>
          <cell r="U103">
            <v>12530</v>
          </cell>
          <cell r="V103">
            <v>2380</v>
          </cell>
          <cell r="W103">
            <v>210</v>
          </cell>
          <cell r="X103">
            <v>6860</v>
          </cell>
          <cell r="Z103">
            <v>2940</v>
          </cell>
          <cell r="AA103">
            <v>2720</v>
          </cell>
          <cell r="AB103">
            <v>2520</v>
          </cell>
          <cell r="AC103">
            <v>8330</v>
          </cell>
          <cell r="AD103">
            <v>1260</v>
          </cell>
          <cell r="AE103">
            <v>3150</v>
          </cell>
          <cell r="AF103">
            <v>1120</v>
          </cell>
          <cell r="AR103">
            <v>1500</v>
          </cell>
          <cell r="AS103">
            <v>2450</v>
          </cell>
          <cell r="BJ103">
            <v>1330</v>
          </cell>
          <cell r="BK103">
            <v>980</v>
          </cell>
          <cell r="BL103">
            <v>910</v>
          </cell>
          <cell r="BM103">
            <v>14770</v>
          </cell>
          <cell r="BN103">
            <v>840</v>
          </cell>
          <cell r="BO103">
            <v>2100</v>
          </cell>
          <cell r="BP103">
            <v>1190</v>
          </cell>
          <cell r="BQ103">
            <v>2380</v>
          </cell>
          <cell r="BU103">
            <v>2310</v>
          </cell>
          <cell r="BV103">
            <v>2240</v>
          </cell>
          <cell r="BW103">
            <v>1890</v>
          </cell>
          <cell r="BX103">
            <v>1680</v>
          </cell>
          <cell r="BY103">
            <v>1890</v>
          </cell>
          <cell r="BZ103">
            <v>3570</v>
          </cell>
          <cell r="CA103">
            <v>3010</v>
          </cell>
          <cell r="CB103">
            <v>2170</v>
          </cell>
          <cell r="CC103">
            <v>2870</v>
          </cell>
          <cell r="CD103">
            <v>1680</v>
          </cell>
          <cell r="CF103">
            <v>1190</v>
          </cell>
          <cell r="CG103">
            <v>630</v>
          </cell>
          <cell r="CI103">
            <v>1750</v>
          </cell>
          <cell r="CJ103">
            <v>2030</v>
          </cell>
          <cell r="CK103">
            <v>2100</v>
          </cell>
          <cell r="CL103">
            <v>3080</v>
          </cell>
          <cell r="CM103">
            <v>3010</v>
          </cell>
          <cell r="DE103" t="str">
            <v>SIN USO</v>
          </cell>
          <cell r="DF103" t="str">
            <v>B</v>
          </cell>
          <cell r="DH103">
            <v>1970</v>
          </cell>
          <cell r="DI103">
            <v>328.33333333333331</v>
          </cell>
        </row>
        <row r="104">
          <cell r="B104">
            <v>405375</v>
          </cell>
          <cell r="C104" t="str">
            <v>CUPULA TORTA ALTA  15PP (98-5) FOOD PACK</v>
          </cell>
          <cell r="H104">
            <v>10880</v>
          </cell>
          <cell r="I104">
            <v>11760</v>
          </cell>
          <cell r="J104">
            <v>5950</v>
          </cell>
          <cell r="K104">
            <v>3640</v>
          </cell>
          <cell r="M104">
            <v>3290</v>
          </cell>
          <cell r="P104">
            <v>1260</v>
          </cell>
          <cell r="T104">
            <v>2240</v>
          </cell>
          <cell r="U104">
            <v>1120</v>
          </cell>
          <cell r="V104">
            <v>3710</v>
          </cell>
          <cell r="X104">
            <v>2940</v>
          </cell>
          <cell r="Y104">
            <v>3690</v>
          </cell>
          <cell r="AA104">
            <v>2590</v>
          </cell>
          <cell r="AB104">
            <v>1840</v>
          </cell>
          <cell r="DE104" t="str">
            <v>SIN USO</v>
          </cell>
          <cell r="DF104" t="str">
            <v/>
          </cell>
          <cell r="DH104">
            <v>0</v>
          </cell>
          <cell r="DI104">
            <v>0</v>
          </cell>
        </row>
        <row r="105">
          <cell r="B105">
            <v>405283</v>
          </cell>
          <cell r="C105" t="str">
            <v>CUPULA TORTA ALTA SISA FPS</v>
          </cell>
          <cell r="D105">
            <v>2800</v>
          </cell>
          <cell r="E105">
            <v>3500</v>
          </cell>
          <cell r="F105">
            <v>2400</v>
          </cell>
          <cell r="G105">
            <v>5700</v>
          </cell>
          <cell r="H105">
            <v>25200</v>
          </cell>
          <cell r="I105">
            <v>200</v>
          </cell>
          <cell r="K105">
            <v>3100</v>
          </cell>
          <cell r="L105">
            <v>5600</v>
          </cell>
          <cell r="M105">
            <v>1200</v>
          </cell>
          <cell r="N105">
            <v>1400</v>
          </cell>
          <cell r="O105">
            <v>1000</v>
          </cell>
          <cell r="P105">
            <v>7000</v>
          </cell>
          <cell r="Q105">
            <v>3000</v>
          </cell>
          <cell r="R105">
            <v>3800</v>
          </cell>
          <cell r="S105">
            <v>2600</v>
          </cell>
          <cell r="T105">
            <v>3400</v>
          </cell>
          <cell r="U105">
            <v>2400</v>
          </cell>
          <cell r="V105">
            <v>1800</v>
          </cell>
          <cell r="W105">
            <v>3000</v>
          </cell>
          <cell r="X105">
            <v>2400</v>
          </cell>
          <cell r="DE105" t="str">
            <v>SIN USO</v>
          </cell>
          <cell r="DF105" t="str">
            <v/>
          </cell>
          <cell r="DH105">
            <v>0</v>
          </cell>
          <cell r="DI105">
            <v>0</v>
          </cell>
        </row>
        <row r="106">
          <cell r="B106">
            <v>405284</v>
          </cell>
          <cell r="C106" t="str">
            <v>CUPULA TORTA ALTA CON TOPE WALMART FPS</v>
          </cell>
          <cell r="D106">
            <v>400</v>
          </cell>
          <cell r="E106">
            <v>8000</v>
          </cell>
          <cell r="F106">
            <v>27200</v>
          </cell>
          <cell r="G106">
            <v>19700</v>
          </cell>
          <cell r="H106">
            <v>23300</v>
          </cell>
          <cell r="I106">
            <v>7300</v>
          </cell>
          <cell r="J106">
            <v>8200</v>
          </cell>
          <cell r="K106">
            <v>1400</v>
          </cell>
          <cell r="P106">
            <v>2400</v>
          </cell>
          <cell r="DE106" t="str">
            <v>SIN USO</v>
          </cell>
          <cell r="DF106" t="str">
            <v/>
          </cell>
          <cell r="DH106">
            <v>0</v>
          </cell>
          <cell r="DI106">
            <v>0</v>
          </cell>
        </row>
        <row r="107">
          <cell r="B107">
            <v>405444</v>
          </cell>
          <cell r="C107" t="str">
            <v>CUPULA TORTA 15 PP ALTA COEXPAN</v>
          </cell>
          <cell r="V107">
            <v>1000</v>
          </cell>
          <cell r="W107">
            <v>1400</v>
          </cell>
          <cell r="Y107">
            <v>800</v>
          </cell>
          <cell r="Z107">
            <v>5100</v>
          </cell>
          <cell r="AA107">
            <v>600</v>
          </cell>
          <cell r="AK107">
            <v>6000</v>
          </cell>
          <cell r="AL107">
            <v>1000</v>
          </cell>
          <cell r="AM107">
            <v>4500</v>
          </cell>
          <cell r="AN107">
            <v>8600</v>
          </cell>
          <cell r="AO107">
            <v>6800</v>
          </cell>
          <cell r="AP107">
            <v>6200</v>
          </cell>
          <cell r="AQ107">
            <v>9900</v>
          </cell>
          <cell r="AR107">
            <v>10100</v>
          </cell>
          <cell r="AS107">
            <v>7600</v>
          </cell>
          <cell r="AT107">
            <v>17100</v>
          </cell>
          <cell r="AU107">
            <v>9200</v>
          </cell>
          <cell r="AV107">
            <v>13400</v>
          </cell>
          <cell r="AW107">
            <v>10400</v>
          </cell>
          <cell r="AX107">
            <v>11000</v>
          </cell>
          <cell r="AY107">
            <v>10200</v>
          </cell>
          <cell r="AZ107">
            <v>9800</v>
          </cell>
          <cell r="BA107">
            <v>10800</v>
          </cell>
          <cell r="BB107">
            <v>9700</v>
          </cell>
          <cell r="BC107">
            <v>9500</v>
          </cell>
          <cell r="BD107">
            <v>5700</v>
          </cell>
          <cell r="BE107">
            <v>15300</v>
          </cell>
          <cell r="BF107">
            <v>6900</v>
          </cell>
          <cell r="BG107">
            <v>3200</v>
          </cell>
          <cell r="BH107">
            <v>31100</v>
          </cell>
          <cell r="BI107">
            <v>6700</v>
          </cell>
          <cell r="BJ107">
            <v>2100</v>
          </cell>
          <cell r="BK107">
            <v>8200</v>
          </cell>
          <cell r="BL107">
            <v>7800</v>
          </cell>
          <cell r="BM107">
            <v>2100</v>
          </cell>
          <cell r="BN107">
            <v>10000</v>
          </cell>
          <cell r="BO107">
            <v>10900</v>
          </cell>
          <cell r="BP107">
            <v>2300</v>
          </cell>
          <cell r="BQ107">
            <v>14600</v>
          </cell>
          <cell r="BR107">
            <v>4200</v>
          </cell>
          <cell r="BS107">
            <v>6600</v>
          </cell>
          <cell r="BT107">
            <v>5300</v>
          </cell>
          <cell r="BU107">
            <v>7300</v>
          </cell>
          <cell r="BV107">
            <v>9900</v>
          </cell>
          <cell r="BW107">
            <v>2600</v>
          </cell>
          <cell r="BX107">
            <v>1500</v>
          </cell>
          <cell r="BY107">
            <v>400</v>
          </cell>
          <cell r="CA107">
            <v>3100</v>
          </cell>
          <cell r="CB107">
            <v>2100</v>
          </cell>
          <cell r="CC107">
            <v>1100</v>
          </cell>
          <cell r="CD107">
            <v>6600</v>
          </cell>
          <cell r="CE107">
            <v>5300</v>
          </cell>
          <cell r="CF107">
            <v>3000</v>
          </cell>
          <cell r="CG107">
            <v>7000</v>
          </cell>
          <cell r="CH107">
            <v>400</v>
          </cell>
          <cell r="CI107">
            <v>7600</v>
          </cell>
          <cell r="CJ107">
            <v>2700</v>
          </cell>
          <cell r="CK107">
            <v>5100</v>
          </cell>
          <cell r="CL107">
            <v>18000</v>
          </cell>
          <cell r="CM107">
            <v>20400</v>
          </cell>
          <cell r="CN107">
            <v>8800</v>
          </cell>
          <cell r="CO107">
            <v>17900</v>
          </cell>
          <cell r="CP107">
            <v>23100</v>
          </cell>
          <cell r="CQ107">
            <v>18200</v>
          </cell>
          <cell r="CR107">
            <v>25500</v>
          </cell>
          <cell r="CS107">
            <v>16800</v>
          </cell>
          <cell r="CT107">
            <v>37400</v>
          </cell>
          <cell r="CU107">
            <v>32500</v>
          </cell>
          <cell r="CV107">
            <v>38400</v>
          </cell>
          <cell r="CW107">
            <v>27900</v>
          </cell>
          <cell r="CX107">
            <v>17200</v>
          </cell>
          <cell r="CY107">
            <v>37000</v>
          </cell>
          <cell r="CZ107">
            <v>30900</v>
          </cell>
          <cell r="DA107">
            <v>24900</v>
          </cell>
          <cell r="DB107">
            <v>22100</v>
          </cell>
          <cell r="DC107">
            <v>24100</v>
          </cell>
          <cell r="DD107">
            <v>18100</v>
          </cell>
          <cell r="DE107" t="str">
            <v>ACTIVO</v>
          </cell>
          <cell r="DF107" t="str">
            <v>A</v>
          </cell>
          <cell r="DH107">
            <v>19400</v>
          </cell>
          <cell r="DI107">
            <v>3233.3333333333335</v>
          </cell>
        </row>
        <row r="108">
          <cell r="B108">
            <v>405445</v>
          </cell>
          <cell r="C108" t="str">
            <v>BASE TORTA 15PP ALTA COEXPAN</v>
          </cell>
          <cell r="Y108">
            <v>3400</v>
          </cell>
          <cell r="Z108">
            <v>4100</v>
          </cell>
          <cell r="AA108">
            <v>900</v>
          </cell>
          <cell r="AN108">
            <v>2600</v>
          </cell>
          <cell r="AP108">
            <v>1600</v>
          </cell>
          <cell r="AQ108">
            <v>2500</v>
          </cell>
          <cell r="AR108">
            <v>6500</v>
          </cell>
          <cell r="AS108">
            <v>6400</v>
          </cell>
          <cell r="AT108">
            <v>15000</v>
          </cell>
          <cell r="AU108">
            <v>13700</v>
          </cell>
          <cell r="AV108">
            <v>10200</v>
          </cell>
          <cell r="AW108">
            <v>10400</v>
          </cell>
          <cell r="AX108">
            <v>1000</v>
          </cell>
          <cell r="AY108">
            <v>3200</v>
          </cell>
          <cell r="AZ108">
            <v>1600</v>
          </cell>
          <cell r="BA108">
            <v>8400</v>
          </cell>
          <cell r="BB108">
            <v>3900</v>
          </cell>
          <cell r="BC108">
            <v>8000</v>
          </cell>
          <cell r="BD108">
            <v>1200</v>
          </cell>
          <cell r="BE108">
            <v>14400</v>
          </cell>
          <cell r="BF108">
            <v>2000</v>
          </cell>
          <cell r="BG108">
            <v>3000</v>
          </cell>
          <cell r="BH108">
            <v>26000</v>
          </cell>
          <cell r="BI108">
            <v>6800</v>
          </cell>
          <cell r="BJ108">
            <v>2200</v>
          </cell>
          <cell r="BK108">
            <v>8200</v>
          </cell>
          <cell r="BL108">
            <v>7800</v>
          </cell>
          <cell r="BM108">
            <v>1800</v>
          </cell>
          <cell r="BN108">
            <v>7400</v>
          </cell>
          <cell r="BO108">
            <v>1600</v>
          </cell>
          <cell r="BR108">
            <v>3000</v>
          </cell>
          <cell r="BS108">
            <v>4400</v>
          </cell>
          <cell r="BT108">
            <v>2400</v>
          </cell>
          <cell r="BU108">
            <v>6800</v>
          </cell>
          <cell r="BV108">
            <v>9000</v>
          </cell>
          <cell r="BX108">
            <v>1200</v>
          </cell>
          <cell r="BY108">
            <v>400</v>
          </cell>
          <cell r="CA108">
            <v>3200</v>
          </cell>
          <cell r="CB108">
            <v>2000</v>
          </cell>
          <cell r="CC108">
            <v>2200</v>
          </cell>
          <cell r="CE108">
            <v>3200</v>
          </cell>
          <cell r="CG108">
            <v>5400</v>
          </cell>
          <cell r="CI108">
            <v>6400</v>
          </cell>
          <cell r="CJ108">
            <v>1800</v>
          </cell>
          <cell r="CK108">
            <v>4800</v>
          </cell>
          <cell r="CL108">
            <v>18800</v>
          </cell>
          <cell r="CM108">
            <v>16600</v>
          </cell>
          <cell r="CN108">
            <v>8800</v>
          </cell>
          <cell r="CO108">
            <v>16600</v>
          </cell>
          <cell r="CP108">
            <v>22800</v>
          </cell>
          <cell r="CQ108">
            <v>18200</v>
          </cell>
          <cell r="CR108">
            <v>25200</v>
          </cell>
          <cell r="CS108">
            <v>16600</v>
          </cell>
          <cell r="CT108">
            <v>34000</v>
          </cell>
          <cell r="CU108">
            <v>27400</v>
          </cell>
          <cell r="CV108">
            <v>38200</v>
          </cell>
          <cell r="CW108">
            <v>27600</v>
          </cell>
          <cell r="CX108">
            <v>17000</v>
          </cell>
          <cell r="CY108">
            <v>35000</v>
          </cell>
          <cell r="CZ108">
            <v>30400</v>
          </cell>
          <cell r="DA108">
            <v>26000</v>
          </cell>
          <cell r="DB108">
            <v>22600</v>
          </cell>
          <cell r="DC108">
            <v>23000</v>
          </cell>
          <cell r="DD108">
            <v>19800</v>
          </cell>
          <cell r="DE108" t="str">
            <v>ACTIVO</v>
          </cell>
          <cell r="DF108" t="str">
            <v>B</v>
          </cell>
          <cell r="DH108">
            <v>20130.434782608696</v>
          </cell>
          <cell r="DI108">
            <v>3355.072463768116</v>
          </cell>
        </row>
        <row r="109">
          <cell r="B109">
            <v>405501</v>
          </cell>
          <cell r="C109" t="str">
            <v>BASE TORTA CON TOPE COEXPAN</v>
          </cell>
          <cell r="AK109">
            <v>6000</v>
          </cell>
          <cell r="AL109">
            <v>1000</v>
          </cell>
          <cell r="AM109">
            <v>4000</v>
          </cell>
          <cell r="AN109">
            <v>5200</v>
          </cell>
          <cell r="AO109">
            <v>4400</v>
          </cell>
          <cell r="AP109">
            <v>9100</v>
          </cell>
          <cell r="AQ109">
            <v>7300</v>
          </cell>
          <cell r="AX109">
            <v>5000</v>
          </cell>
          <cell r="AY109">
            <v>5600</v>
          </cell>
          <cell r="AZ109">
            <v>1800</v>
          </cell>
          <cell r="BA109">
            <v>600</v>
          </cell>
          <cell r="BM109">
            <v>200</v>
          </cell>
          <cell r="BN109">
            <v>2400</v>
          </cell>
          <cell r="BO109">
            <v>9100</v>
          </cell>
          <cell r="BP109">
            <v>2800</v>
          </cell>
          <cell r="BQ109">
            <v>13400</v>
          </cell>
          <cell r="BS109">
            <v>2000</v>
          </cell>
          <cell r="BT109">
            <v>3000</v>
          </cell>
          <cell r="BU109">
            <v>400</v>
          </cell>
          <cell r="BV109">
            <v>600</v>
          </cell>
          <cell r="BW109">
            <v>1400</v>
          </cell>
          <cell r="BY109">
            <v>800</v>
          </cell>
          <cell r="CC109">
            <v>400</v>
          </cell>
          <cell r="CD109">
            <v>7000</v>
          </cell>
          <cell r="CE109">
            <v>2000</v>
          </cell>
          <cell r="CF109">
            <v>3000</v>
          </cell>
          <cell r="CG109">
            <v>1600</v>
          </cell>
          <cell r="CH109">
            <v>400</v>
          </cell>
          <cell r="CI109">
            <v>1200</v>
          </cell>
          <cell r="CM109">
            <v>3800</v>
          </cell>
          <cell r="CO109">
            <v>600</v>
          </cell>
          <cell r="CP109">
            <v>300</v>
          </cell>
          <cell r="CY109">
            <v>200</v>
          </cell>
          <cell r="DE109" t="str">
            <v>SIN USO</v>
          </cell>
          <cell r="DF109" t="str">
            <v>C</v>
          </cell>
          <cell r="DH109">
            <v>1387.5</v>
          </cell>
          <cell r="DI109">
            <v>231.25</v>
          </cell>
        </row>
        <row r="110">
          <cell r="B110">
            <v>403219</v>
          </cell>
          <cell r="C110" t="str">
            <v>CAPSULA OVALADA N° 10 ARRIAZA</v>
          </cell>
          <cell r="D110">
            <v>16000</v>
          </cell>
          <cell r="E110">
            <v>31000</v>
          </cell>
          <cell r="F110">
            <v>21000</v>
          </cell>
          <cell r="G110">
            <v>29000</v>
          </cell>
          <cell r="H110">
            <v>24000</v>
          </cell>
          <cell r="I110">
            <v>24000</v>
          </cell>
          <cell r="J110">
            <v>23000</v>
          </cell>
          <cell r="K110">
            <v>17000</v>
          </cell>
          <cell r="L110">
            <v>32000</v>
          </cell>
          <cell r="M110">
            <v>15000</v>
          </cell>
          <cell r="N110">
            <v>17000</v>
          </cell>
          <cell r="P110">
            <v>33000</v>
          </cell>
          <cell r="Q110">
            <v>18000</v>
          </cell>
          <cell r="R110">
            <v>17000</v>
          </cell>
          <cell r="S110">
            <v>19000</v>
          </cell>
          <cell r="T110">
            <v>31000</v>
          </cell>
          <cell r="U110">
            <v>19000</v>
          </cell>
          <cell r="V110">
            <v>43000</v>
          </cell>
          <cell r="W110">
            <v>14000</v>
          </cell>
          <cell r="X110">
            <v>9000</v>
          </cell>
          <cell r="Z110">
            <v>17000</v>
          </cell>
          <cell r="AA110">
            <v>36000</v>
          </cell>
          <cell r="AB110">
            <v>19000</v>
          </cell>
          <cell r="AC110">
            <v>34000</v>
          </cell>
          <cell r="AF110">
            <v>35000</v>
          </cell>
          <cell r="AG110">
            <v>26000</v>
          </cell>
          <cell r="AH110">
            <v>38000</v>
          </cell>
          <cell r="AI110">
            <v>26000</v>
          </cell>
          <cell r="AJ110">
            <v>13000</v>
          </cell>
          <cell r="AK110">
            <v>22000</v>
          </cell>
          <cell r="AL110">
            <v>17000</v>
          </cell>
          <cell r="AM110">
            <v>19000</v>
          </cell>
          <cell r="AN110">
            <v>39000</v>
          </cell>
          <cell r="AO110">
            <v>35000</v>
          </cell>
          <cell r="AP110">
            <v>28000</v>
          </cell>
          <cell r="AQ110">
            <v>22000</v>
          </cell>
          <cell r="AR110">
            <v>34000</v>
          </cell>
          <cell r="AS110">
            <v>13500</v>
          </cell>
          <cell r="AT110">
            <v>33500</v>
          </cell>
          <cell r="AU110">
            <v>18000</v>
          </cell>
          <cell r="AV110">
            <v>19000</v>
          </cell>
          <cell r="AW110">
            <v>18000</v>
          </cell>
          <cell r="AX110">
            <v>34000</v>
          </cell>
          <cell r="AY110">
            <v>9000</v>
          </cell>
          <cell r="AZ110">
            <v>32000</v>
          </cell>
          <cell r="BA110">
            <v>31000</v>
          </cell>
          <cell r="BB110">
            <v>7000</v>
          </cell>
          <cell r="BC110">
            <v>18000</v>
          </cell>
          <cell r="BD110">
            <v>33000</v>
          </cell>
          <cell r="BE110">
            <v>24000</v>
          </cell>
          <cell r="BF110">
            <v>18000</v>
          </cell>
          <cell r="BG110">
            <v>28000</v>
          </cell>
          <cell r="BH110">
            <v>40000</v>
          </cell>
          <cell r="BI110">
            <v>8000</v>
          </cell>
          <cell r="BJ110">
            <v>37000</v>
          </cell>
          <cell r="BK110">
            <v>28000</v>
          </cell>
          <cell r="BL110">
            <v>52000</v>
          </cell>
          <cell r="BM110">
            <v>25000</v>
          </cell>
          <cell r="BN110">
            <v>39000</v>
          </cell>
          <cell r="BO110">
            <v>10000</v>
          </cell>
          <cell r="BP110">
            <v>16000</v>
          </cell>
          <cell r="BQ110">
            <v>22000</v>
          </cell>
          <cell r="BR110">
            <v>25000</v>
          </cell>
          <cell r="BS110">
            <v>25000</v>
          </cell>
          <cell r="BT110">
            <v>21000</v>
          </cell>
          <cell r="BU110">
            <v>25000</v>
          </cell>
          <cell r="BV110">
            <v>21000</v>
          </cell>
          <cell r="BW110">
            <v>22000</v>
          </cell>
          <cell r="BX110">
            <v>19000</v>
          </cell>
          <cell r="BY110">
            <v>17000</v>
          </cell>
          <cell r="BZ110">
            <v>26000</v>
          </cell>
          <cell r="CA110">
            <v>20000</v>
          </cell>
          <cell r="CB110">
            <v>19000</v>
          </cell>
          <cell r="CC110">
            <v>18000</v>
          </cell>
          <cell r="CD110">
            <v>26000</v>
          </cell>
          <cell r="CE110">
            <v>4000</v>
          </cell>
          <cell r="CF110">
            <v>4000</v>
          </cell>
          <cell r="CG110">
            <v>22000</v>
          </cell>
          <cell r="CH110">
            <v>27000</v>
          </cell>
          <cell r="CI110">
            <v>39000</v>
          </cell>
          <cell r="CJ110">
            <v>17000</v>
          </cell>
          <cell r="CK110">
            <v>27000</v>
          </cell>
          <cell r="CL110">
            <v>14000</v>
          </cell>
          <cell r="CM110">
            <v>22000</v>
          </cell>
          <cell r="CN110">
            <v>18000</v>
          </cell>
          <cell r="CO110">
            <v>20000</v>
          </cell>
          <cell r="CP110">
            <v>23000</v>
          </cell>
          <cell r="CQ110">
            <v>23000</v>
          </cell>
          <cell r="CR110">
            <v>30000</v>
          </cell>
          <cell r="CS110">
            <v>26000</v>
          </cell>
          <cell r="CT110">
            <v>18000</v>
          </cell>
          <cell r="CU110">
            <v>27000</v>
          </cell>
          <cell r="CV110">
            <v>35000</v>
          </cell>
          <cell r="CW110">
            <v>16000</v>
          </cell>
          <cell r="CX110">
            <v>15000</v>
          </cell>
          <cell r="CY110">
            <v>29000</v>
          </cell>
          <cell r="CZ110">
            <v>21000</v>
          </cell>
          <cell r="DA110">
            <v>22000</v>
          </cell>
          <cell r="DB110">
            <v>23000</v>
          </cell>
          <cell r="DC110">
            <v>26000</v>
          </cell>
          <cell r="DD110">
            <v>11000</v>
          </cell>
          <cell r="DE110" t="str">
            <v>ACTIVO</v>
          </cell>
          <cell r="DF110" t="str">
            <v>C</v>
          </cell>
          <cell r="DH110">
            <v>22200</v>
          </cell>
          <cell r="DI110">
            <v>3700</v>
          </cell>
        </row>
        <row r="111">
          <cell r="B111">
            <v>403225</v>
          </cell>
          <cell r="C111" t="str">
            <v>CUPULA 170B DEANDES</v>
          </cell>
          <cell r="D111">
            <v>5160</v>
          </cell>
          <cell r="E111">
            <v>120</v>
          </cell>
          <cell r="F111">
            <v>960</v>
          </cell>
          <cell r="I111">
            <v>720</v>
          </cell>
          <cell r="J111">
            <v>720</v>
          </cell>
          <cell r="M111">
            <v>1200</v>
          </cell>
          <cell r="P111">
            <v>960</v>
          </cell>
          <cell r="DE111" t="str">
            <v>SIN USO</v>
          </cell>
          <cell r="DF111" t="str">
            <v/>
          </cell>
          <cell r="DH111">
            <v>0</v>
          </cell>
          <cell r="DI111">
            <v>0</v>
          </cell>
        </row>
        <row r="112">
          <cell r="B112">
            <v>107345</v>
          </cell>
          <cell r="C112" t="str">
            <v>CUPULA 170BX DEANDES</v>
          </cell>
          <cell r="D112">
            <v>2040</v>
          </cell>
          <cell r="E112">
            <v>5880</v>
          </cell>
          <cell r="F112">
            <v>4800</v>
          </cell>
          <cell r="G112">
            <v>7200</v>
          </cell>
          <cell r="H112">
            <v>7920</v>
          </cell>
          <cell r="I112">
            <v>7200</v>
          </cell>
          <cell r="J112">
            <v>6720</v>
          </cell>
          <cell r="K112">
            <v>5280</v>
          </cell>
          <cell r="L112">
            <v>7440</v>
          </cell>
          <cell r="M112">
            <v>5280</v>
          </cell>
          <cell r="N112">
            <v>5520</v>
          </cell>
          <cell r="O112">
            <v>1440</v>
          </cell>
          <cell r="P112">
            <v>4800</v>
          </cell>
          <cell r="Q112">
            <v>7920</v>
          </cell>
          <cell r="R112">
            <v>5760</v>
          </cell>
          <cell r="S112">
            <v>5520</v>
          </cell>
          <cell r="T112">
            <v>4800</v>
          </cell>
          <cell r="U112">
            <v>4320</v>
          </cell>
          <cell r="V112">
            <v>7200</v>
          </cell>
          <cell r="W112">
            <v>2880</v>
          </cell>
          <cell r="X112">
            <v>3090</v>
          </cell>
          <cell r="Y112">
            <v>4470</v>
          </cell>
          <cell r="Z112">
            <v>3720</v>
          </cell>
          <cell r="AP112">
            <v>1050</v>
          </cell>
          <cell r="AQ112">
            <v>2400</v>
          </cell>
          <cell r="AR112">
            <v>2100</v>
          </cell>
          <cell r="AS112">
            <v>1590</v>
          </cell>
          <cell r="AT112">
            <v>2250</v>
          </cell>
          <cell r="AU112">
            <v>2730</v>
          </cell>
          <cell r="AV112">
            <v>2310</v>
          </cell>
          <cell r="AW112">
            <v>1920</v>
          </cell>
          <cell r="AX112">
            <v>540</v>
          </cell>
          <cell r="BB112">
            <v>4380</v>
          </cell>
          <cell r="BC112">
            <v>2880</v>
          </cell>
          <cell r="BD112">
            <v>2340</v>
          </cell>
          <cell r="BH112">
            <v>750</v>
          </cell>
          <cell r="BI112">
            <v>740</v>
          </cell>
          <cell r="BJ112">
            <v>900</v>
          </cell>
          <cell r="BK112">
            <v>240</v>
          </cell>
          <cell r="BL112">
            <v>4410</v>
          </cell>
          <cell r="BM112">
            <v>4990</v>
          </cell>
          <cell r="BN112">
            <v>960</v>
          </cell>
          <cell r="BO112">
            <v>1740</v>
          </cell>
          <cell r="BP112">
            <v>720</v>
          </cell>
          <cell r="BQ112">
            <v>1920</v>
          </cell>
          <cell r="BW112">
            <v>480</v>
          </cell>
          <cell r="BX112">
            <v>1920</v>
          </cell>
          <cell r="BY112">
            <v>1440</v>
          </cell>
          <cell r="BZ112">
            <v>1680</v>
          </cell>
          <cell r="CA112">
            <v>1440</v>
          </cell>
          <cell r="CB112">
            <v>1200</v>
          </cell>
          <cell r="CC112">
            <v>1440</v>
          </cell>
          <cell r="CD112">
            <v>120</v>
          </cell>
          <cell r="CE112">
            <v>720</v>
          </cell>
          <cell r="CF112">
            <v>480</v>
          </cell>
          <cell r="CG112">
            <v>1440</v>
          </cell>
          <cell r="CH112">
            <v>720</v>
          </cell>
          <cell r="CI112">
            <v>1170</v>
          </cell>
          <cell r="CJ112">
            <v>1680</v>
          </cell>
          <cell r="CK112">
            <v>1440</v>
          </cell>
          <cell r="CL112">
            <v>1680</v>
          </cell>
          <cell r="CM112">
            <v>1680</v>
          </cell>
          <cell r="CN112">
            <v>1920</v>
          </cell>
          <cell r="CO112">
            <v>2400</v>
          </cell>
          <cell r="CP112">
            <v>2400</v>
          </cell>
          <cell r="CQ112">
            <v>3840</v>
          </cell>
          <cell r="CR112">
            <v>2340</v>
          </cell>
          <cell r="CS112">
            <v>3510</v>
          </cell>
          <cell r="CT112">
            <v>3360</v>
          </cell>
          <cell r="CU112">
            <v>2640</v>
          </cell>
          <cell r="CV112">
            <v>2400</v>
          </cell>
          <cell r="CW112">
            <v>2160</v>
          </cell>
          <cell r="CX112">
            <v>2880</v>
          </cell>
          <cell r="CY112">
            <v>2640</v>
          </cell>
          <cell r="CZ112">
            <v>2400</v>
          </cell>
          <cell r="DA112">
            <v>2370</v>
          </cell>
          <cell r="DB112">
            <v>2430</v>
          </cell>
          <cell r="DC112">
            <v>2880</v>
          </cell>
          <cell r="DD112">
            <v>4320</v>
          </cell>
          <cell r="DE112" t="str">
            <v>ACTIVO</v>
          </cell>
          <cell r="DF112" t="str">
            <v>B</v>
          </cell>
          <cell r="DH112">
            <v>2287.1999999999998</v>
          </cell>
          <cell r="DI112">
            <v>381.2</v>
          </cell>
        </row>
        <row r="113">
          <cell r="B113">
            <v>405226</v>
          </cell>
          <cell r="C113" t="str">
            <v>CUPULA 170 BX BUENAVENTURA</v>
          </cell>
          <cell r="Z113">
            <v>210</v>
          </cell>
          <cell r="AA113">
            <v>2910</v>
          </cell>
          <cell r="AB113">
            <v>7730</v>
          </cell>
          <cell r="AC113">
            <v>4320</v>
          </cell>
          <cell r="AD113">
            <v>2760</v>
          </cell>
          <cell r="AE113">
            <v>960</v>
          </cell>
          <cell r="AF113">
            <v>7690</v>
          </cell>
          <cell r="AG113">
            <v>3420</v>
          </cell>
          <cell r="AH113">
            <v>5100</v>
          </cell>
          <cell r="AI113">
            <v>3480</v>
          </cell>
          <cell r="AJ113">
            <v>6090</v>
          </cell>
          <cell r="AK113">
            <v>2880</v>
          </cell>
          <cell r="AL113">
            <v>1950</v>
          </cell>
          <cell r="AM113">
            <v>2400</v>
          </cell>
          <cell r="AN113">
            <v>2700</v>
          </cell>
          <cell r="AO113">
            <v>2250</v>
          </cell>
          <cell r="AP113">
            <v>1230</v>
          </cell>
          <cell r="AQ113">
            <v>1920</v>
          </cell>
          <cell r="AR113">
            <v>300</v>
          </cell>
          <cell r="AS113">
            <v>450</v>
          </cell>
          <cell r="AX113">
            <v>1440</v>
          </cell>
          <cell r="AY113">
            <v>2850</v>
          </cell>
          <cell r="AZ113">
            <v>3840</v>
          </cell>
          <cell r="BA113">
            <v>4920</v>
          </cell>
          <cell r="BB113">
            <v>4200</v>
          </cell>
          <cell r="BC113">
            <v>990</v>
          </cell>
          <cell r="BD113">
            <v>170</v>
          </cell>
          <cell r="BE113">
            <v>4320</v>
          </cell>
          <cell r="BF113">
            <v>2790</v>
          </cell>
          <cell r="BG113">
            <v>5610</v>
          </cell>
          <cell r="BH113">
            <v>1200</v>
          </cell>
          <cell r="BK113">
            <v>3420</v>
          </cell>
          <cell r="BL113">
            <v>1380</v>
          </cell>
          <cell r="BM113">
            <v>600</v>
          </cell>
          <cell r="BN113">
            <v>1800</v>
          </cell>
          <cell r="BO113">
            <v>1650</v>
          </cell>
          <cell r="BP113">
            <v>450</v>
          </cell>
          <cell r="BQ113">
            <v>3060</v>
          </cell>
          <cell r="BR113">
            <v>3330</v>
          </cell>
          <cell r="BS113">
            <v>4080</v>
          </cell>
          <cell r="BT113">
            <v>2940</v>
          </cell>
          <cell r="BU113">
            <v>4650</v>
          </cell>
          <cell r="BV113">
            <v>2900</v>
          </cell>
          <cell r="BW113">
            <v>3220</v>
          </cell>
          <cell r="BX113">
            <v>720</v>
          </cell>
          <cell r="BY113">
            <v>240</v>
          </cell>
          <cell r="CC113">
            <v>690</v>
          </cell>
          <cell r="CD113">
            <v>2760</v>
          </cell>
          <cell r="CE113">
            <v>870</v>
          </cell>
          <cell r="CG113">
            <v>1830</v>
          </cell>
          <cell r="CH113">
            <v>390</v>
          </cell>
          <cell r="CI113">
            <v>390</v>
          </cell>
          <cell r="DE113" t="str">
            <v>ACTIVO</v>
          </cell>
          <cell r="DF113" t="str">
            <v>B</v>
          </cell>
          <cell r="DH113">
            <v>870</v>
          </cell>
          <cell r="DI113">
            <v>145</v>
          </cell>
        </row>
        <row r="114">
          <cell r="B114">
            <v>403244</v>
          </cell>
          <cell r="C114" t="str">
            <v>CUPULA 271 BX DEANDES</v>
          </cell>
          <cell r="D114">
            <v>4500</v>
          </cell>
          <cell r="E114">
            <v>2700</v>
          </cell>
          <cell r="F114">
            <v>4500</v>
          </cell>
          <cell r="G114">
            <v>3600</v>
          </cell>
          <cell r="H114">
            <v>6150</v>
          </cell>
          <cell r="I114">
            <v>4750</v>
          </cell>
          <cell r="J114">
            <v>4800</v>
          </cell>
          <cell r="K114">
            <v>3450</v>
          </cell>
          <cell r="L114">
            <v>4650</v>
          </cell>
          <cell r="M114">
            <v>5700</v>
          </cell>
          <cell r="N114">
            <v>7650</v>
          </cell>
          <cell r="O114">
            <v>4650</v>
          </cell>
          <cell r="P114">
            <v>4350</v>
          </cell>
          <cell r="Q114">
            <v>5700</v>
          </cell>
          <cell r="R114">
            <v>3750</v>
          </cell>
          <cell r="S114">
            <v>4350</v>
          </cell>
          <cell r="T114">
            <v>4350</v>
          </cell>
          <cell r="U114">
            <v>4500</v>
          </cell>
          <cell r="V114">
            <v>6900</v>
          </cell>
          <cell r="W114">
            <v>4500</v>
          </cell>
          <cell r="X114">
            <v>6000</v>
          </cell>
          <cell r="Y114">
            <v>7200</v>
          </cell>
          <cell r="Z114">
            <v>2850</v>
          </cell>
          <cell r="AA114">
            <v>5700</v>
          </cell>
          <cell r="AB114">
            <v>4950</v>
          </cell>
          <cell r="AC114">
            <v>2250</v>
          </cell>
          <cell r="AD114">
            <v>900</v>
          </cell>
          <cell r="AE114">
            <v>1800</v>
          </cell>
          <cell r="AF114">
            <v>4200</v>
          </cell>
          <cell r="AG114">
            <v>3451</v>
          </cell>
          <cell r="AH114">
            <v>8248</v>
          </cell>
          <cell r="AI114">
            <v>4200</v>
          </cell>
          <cell r="AJ114">
            <v>3550</v>
          </cell>
          <cell r="AK114">
            <v>3350</v>
          </cell>
          <cell r="AL114">
            <v>4650</v>
          </cell>
          <cell r="AM114">
            <v>3150</v>
          </cell>
          <cell r="AN114">
            <v>4650</v>
          </cell>
          <cell r="AO114">
            <v>5700</v>
          </cell>
          <cell r="AP114">
            <v>6550</v>
          </cell>
          <cell r="AQ114">
            <v>6675</v>
          </cell>
          <cell r="AR114">
            <v>7050</v>
          </cell>
          <cell r="AS114">
            <v>7650</v>
          </cell>
          <cell r="AT114">
            <v>8850</v>
          </cell>
          <cell r="AU114">
            <v>6450</v>
          </cell>
          <cell r="AV114">
            <v>11850</v>
          </cell>
          <cell r="AW114">
            <v>8250</v>
          </cell>
          <cell r="AX114">
            <v>11550</v>
          </cell>
          <cell r="AY114">
            <v>4950</v>
          </cell>
          <cell r="AZ114">
            <v>8100</v>
          </cell>
          <cell r="BA114">
            <v>4950</v>
          </cell>
          <cell r="BB114">
            <v>1950</v>
          </cell>
          <cell r="BC114">
            <v>5400</v>
          </cell>
          <cell r="BD114">
            <v>5700</v>
          </cell>
          <cell r="BE114">
            <v>4500</v>
          </cell>
          <cell r="BF114">
            <v>6000</v>
          </cell>
          <cell r="BG114">
            <v>2400</v>
          </cell>
          <cell r="BH114">
            <v>5100</v>
          </cell>
          <cell r="BI114">
            <v>7950</v>
          </cell>
          <cell r="BJ114">
            <v>7500</v>
          </cell>
          <cell r="BK114">
            <v>4350</v>
          </cell>
          <cell r="BL114">
            <v>3900</v>
          </cell>
          <cell r="BM114">
            <v>5250</v>
          </cell>
          <cell r="BN114">
            <v>6000</v>
          </cell>
          <cell r="BO114">
            <v>5700</v>
          </cell>
          <cell r="BP114">
            <v>6150</v>
          </cell>
          <cell r="BQ114">
            <v>5250</v>
          </cell>
          <cell r="BR114">
            <v>4050</v>
          </cell>
          <cell r="BS114">
            <v>5250</v>
          </cell>
          <cell r="BT114">
            <v>6900</v>
          </cell>
          <cell r="BU114">
            <v>2700</v>
          </cell>
          <cell r="BV114">
            <v>2400</v>
          </cell>
          <cell r="BW114">
            <v>4800</v>
          </cell>
          <cell r="BX114">
            <v>5100</v>
          </cell>
          <cell r="BY114">
            <v>4500</v>
          </cell>
          <cell r="BZ114">
            <v>6300</v>
          </cell>
          <cell r="CA114">
            <v>4650</v>
          </cell>
          <cell r="CB114">
            <v>5400</v>
          </cell>
          <cell r="CC114">
            <v>2250</v>
          </cell>
          <cell r="CD114">
            <v>1200</v>
          </cell>
          <cell r="CE114">
            <v>1800</v>
          </cell>
          <cell r="CF114">
            <v>900</v>
          </cell>
          <cell r="CG114">
            <v>5250</v>
          </cell>
          <cell r="CH114">
            <v>7050</v>
          </cell>
          <cell r="CI114">
            <v>8100</v>
          </cell>
          <cell r="CJ114">
            <v>6450</v>
          </cell>
          <cell r="CK114">
            <v>7500</v>
          </cell>
          <cell r="CL114">
            <v>7290</v>
          </cell>
          <cell r="CM114">
            <v>7050</v>
          </cell>
          <cell r="CN114">
            <v>8250</v>
          </cell>
          <cell r="CO114">
            <v>6150</v>
          </cell>
          <cell r="CP114">
            <v>2400</v>
          </cell>
          <cell r="CQ114">
            <v>2400</v>
          </cell>
          <cell r="CR114">
            <v>2850</v>
          </cell>
          <cell r="CS114">
            <v>2700</v>
          </cell>
          <cell r="CT114">
            <v>1650</v>
          </cell>
          <cell r="CU114">
            <v>900</v>
          </cell>
          <cell r="CV114">
            <v>1050</v>
          </cell>
          <cell r="CW114">
            <v>1200</v>
          </cell>
          <cell r="CX114">
            <v>1050</v>
          </cell>
          <cell r="CY114">
            <v>1350</v>
          </cell>
          <cell r="CZ114">
            <v>1050</v>
          </cell>
          <cell r="DA114">
            <v>1200</v>
          </cell>
          <cell r="DB114">
            <v>1350</v>
          </cell>
          <cell r="DC114">
            <v>1350</v>
          </cell>
          <cell r="DD114">
            <v>1350</v>
          </cell>
          <cell r="DE114" t="str">
            <v>ACTIVO</v>
          </cell>
          <cell r="DF114" t="str">
            <v>A</v>
          </cell>
          <cell r="DH114">
            <v>3513.6</v>
          </cell>
          <cell r="DI114">
            <v>585.6</v>
          </cell>
        </row>
        <row r="115">
          <cell r="B115">
            <v>405227</v>
          </cell>
          <cell r="C115" t="str">
            <v>CUPULA 271 BX BUENAVENTURA</v>
          </cell>
          <cell r="BT115">
            <v>600</v>
          </cell>
          <cell r="BU115">
            <v>3000</v>
          </cell>
          <cell r="BV115">
            <v>1350</v>
          </cell>
          <cell r="BW115">
            <v>600</v>
          </cell>
          <cell r="BX115">
            <v>300</v>
          </cell>
          <cell r="BY115">
            <v>150</v>
          </cell>
          <cell r="BZ115">
            <v>1050</v>
          </cell>
          <cell r="CA115">
            <v>300</v>
          </cell>
          <cell r="CC115">
            <v>3450</v>
          </cell>
          <cell r="CD115">
            <v>1350</v>
          </cell>
          <cell r="CE115">
            <v>1260</v>
          </cell>
          <cell r="CF115">
            <v>150</v>
          </cell>
          <cell r="CG115">
            <v>150</v>
          </cell>
          <cell r="CH115">
            <v>1650</v>
          </cell>
          <cell r="CI115">
            <v>450</v>
          </cell>
          <cell r="CJ115">
            <v>450</v>
          </cell>
          <cell r="CK115">
            <v>1200</v>
          </cell>
          <cell r="CL115">
            <v>1050</v>
          </cell>
          <cell r="CM115">
            <v>900</v>
          </cell>
          <cell r="DE115" t="str">
            <v>ACTIVO</v>
          </cell>
          <cell r="DF115" t="str">
            <v>C</v>
          </cell>
          <cell r="DH115">
            <v>750</v>
          </cell>
          <cell r="DI115">
            <v>125</v>
          </cell>
        </row>
        <row r="116">
          <cell r="B116">
            <v>403248</v>
          </cell>
          <cell r="C116" t="str">
            <v>CUPULA 15 PP ALTA WALMART</v>
          </cell>
          <cell r="D116">
            <v>25200</v>
          </cell>
          <cell r="E116">
            <v>11200</v>
          </cell>
          <cell r="F116">
            <v>600</v>
          </cell>
          <cell r="H116">
            <v>12500</v>
          </cell>
          <cell r="I116">
            <v>20900</v>
          </cell>
          <cell r="J116">
            <v>16000</v>
          </cell>
          <cell r="K116">
            <v>13300</v>
          </cell>
          <cell r="L116">
            <v>27700</v>
          </cell>
          <cell r="M116">
            <v>24500</v>
          </cell>
          <cell r="N116">
            <v>39000</v>
          </cell>
          <cell r="O116">
            <v>7400</v>
          </cell>
          <cell r="P116">
            <v>25200</v>
          </cell>
          <cell r="Q116">
            <v>24100</v>
          </cell>
          <cell r="R116">
            <v>25200</v>
          </cell>
          <cell r="S116">
            <v>27300</v>
          </cell>
          <cell r="T116">
            <v>30400</v>
          </cell>
          <cell r="U116">
            <v>23600</v>
          </cell>
          <cell r="V116">
            <v>38300</v>
          </cell>
          <cell r="W116">
            <v>27800</v>
          </cell>
          <cell r="X116">
            <v>25700</v>
          </cell>
          <cell r="Y116">
            <v>40900</v>
          </cell>
          <cell r="Z116">
            <v>12700</v>
          </cell>
          <cell r="AA116">
            <v>22200</v>
          </cell>
          <cell r="AB116">
            <v>33100</v>
          </cell>
          <cell r="AC116">
            <v>13100</v>
          </cell>
          <cell r="AD116">
            <v>10400</v>
          </cell>
          <cell r="AE116">
            <v>6200</v>
          </cell>
          <cell r="AF116">
            <v>22800</v>
          </cell>
          <cell r="AG116">
            <v>22800</v>
          </cell>
          <cell r="AH116">
            <v>28701</v>
          </cell>
          <cell r="AI116">
            <v>33804</v>
          </cell>
          <cell r="AJ116">
            <v>25000</v>
          </cell>
          <cell r="AK116">
            <v>20000</v>
          </cell>
          <cell r="AL116">
            <v>13100</v>
          </cell>
          <cell r="AM116">
            <v>12700</v>
          </cell>
          <cell r="AN116">
            <v>9200</v>
          </cell>
          <cell r="AO116">
            <v>17300</v>
          </cell>
          <cell r="AP116">
            <v>7000</v>
          </cell>
          <cell r="AQ116">
            <v>20700</v>
          </cell>
          <cell r="AR116">
            <v>23100</v>
          </cell>
          <cell r="AS116">
            <v>37900</v>
          </cell>
          <cell r="AT116">
            <v>20900</v>
          </cell>
          <cell r="AU116">
            <v>31600</v>
          </cell>
          <cell r="AV116">
            <v>40000</v>
          </cell>
          <cell r="AW116">
            <v>22900</v>
          </cell>
          <cell r="AX116">
            <v>23800</v>
          </cell>
          <cell r="AY116">
            <v>20700</v>
          </cell>
          <cell r="AZ116">
            <v>31000</v>
          </cell>
          <cell r="BA116">
            <v>34900</v>
          </cell>
          <cell r="BB116">
            <v>16400</v>
          </cell>
          <cell r="BC116">
            <v>22200</v>
          </cell>
          <cell r="BD116">
            <v>27600</v>
          </cell>
          <cell r="BE116">
            <v>18000</v>
          </cell>
          <cell r="BF116">
            <v>18600</v>
          </cell>
          <cell r="BG116">
            <v>14700</v>
          </cell>
          <cell r="BH116">
            <v>36000</v>
          </cell>
          <cell r="BI116">
            <v>17500</v>
          </cell>
          <cell r="BJ116">
            <v>18100</v>
          </cell>
          <cell r="BK116">
            <v>14900</v>
          </cell>
          <cell r="BL116">
            <v>18700</v>
          </cell>
          <cell r="BM116">
            <v>23300</v>
          </cell>
          <cell r="BN116">
            <v>8700</v>
          </cell>
          <cell r="BO116">
            <v>17100</v>
          </cell>
          <cell r="BP116">
            <v>3700</v>
          </cell>
          <cell r="BQ116">
            <v>29000</v>
          </cell>
          <cell r="BR116">
            <v>18700</v>
          </cell>
          <cell r="BS116">
            <v>28400</v>
          </cell>
          <cell r="BT116">
            <v>15100</v>
          </cell>
          <cell r="BU116">
            <v>11900</v>
          </cell>
          <cell r="BV116">
            <v>14000</v>
          </cell>
          <cell r="BW116">
            <v>12400</v>
          </cell>
          <cell r="BX116">
            <v>10200</v>
          </cell>
          <cell r="BY116">
            <v>17000</v>
          </cell>
          <cell r="BZ116">
            <v>19000</v>
          </cell>
          <cell r="CA116">
            <v>12300</v>
          </cell>
          <cell r="CB116">
            <v>8900</v>
          </cell>
          <cell r="CC116">
            <v>18700</v>
          </cell>
          <cell r="CD116">
            <v>5200</v>
          </cell>
          <cell r="CE116">
            <v>6800</v>
          </cell>
          <cell r="CF116">
            <v>6800</v>
          </cell>
          <cell r="CG116">
            <v>16700</v>
          </cell>
          <cell r="CH116">
            <v>14600</v>
          </cell>
          <cell r="CI116">
            <v>14000</v>
          </cell>
          <cell r="CJ116">
            <v>11800</v>
          </cell>
          <cell r="CK116">
            <v>11600</v>
          </cell>
          <cell r="CL116">
            <v>5200</v>
          </cell>
          <cell r="CN116">
            <v>5600</v>
          </cell>
          <cell r="DE116" t="str">
            <v>SIN USO</v>
          </cell>
          <cell r="DF116" t="str">
            <v>A</v>
          </cell>
          <cell r="DH116">
            <v>10787.5</v>
          </cell>
          <cell r="DI116">
            <v>1797.9166666666667</v>
          </cell>
        </row>
        <row r="117">
          <cell r="B117">
            <v>107300</v>
          </cell>
          <cell r="C117" t="str">
            <v>COMBO 88 ALTA 12 PP MOLDES PAC</v>
          </cell>
          <cell r="D117">
            <v>12110</v>
          </cell>
          <cell r="E117">
            <v>8050</v>
          </cell>
          <cell r="F117">
            <v>2730</v>
          </cell>
          <cell r="G117">
            <v>9240</v>
          </cell>
          <cell r="H117">
            <v>1960</v>
          </cell>
          <cell r="J117">
            <v>2730</v>
          </cell>
          <cell r="K117">
            <v>1750</v>
          </cell>
          <cell r="L117">
            <v>7280</v>
          </cell>
          <cell r="M117">
            <v>4900</v>
          </cell>
          <cell r="N117">
            <v>6650</v>
          </cell>
          <cell r="O117">
            <v>6020</v>
          </cell>
          <cell r="P117">
            <v>2940</v>
          </cell>
          <cell r="Q117">
            <v>13020</v>
          </cell>
          <cell r="R117">
            <v>7140</v>
          </cell>
          <cell r="S117">
            <v>9100</v>
          </cell>
          <cell r="T117">
            <v>6230</v>
          </cell>
          <cell r="U117">
            <v>11550</v>
          </cell>
          <cell r="V117">
            <v>3990</v>
          </cell>
          <cell r="W117">
            <v>5320</v>
          </cell>
          <cell r="X117">
            <v>10570</v>
          </cell>
          <cell r="Y117">
            <v>8540</v>
          </cell>
          <cell r="Z117">
            <v>9950</v>
          </cell>
          <cell r="AA117">
            <v>4970</v>
          </cell>
          <cell r="AB117">
            <v>5870</v>
          </cell>
          <cell r="AC117">
            <v>490</v>
          </cell>
          <cell r="AE117">
            <v>140</v>
          </cell>
          <cell r="AF117">
            <v>4300</v>
          </cell>
          <cell r="AG117">
            <v>4060</v>
          </cell>
          <cell r="AH117">
            <v>700</v>
          </cell>
          <cell r="AI117">
            <v>4740</v>
          </cell>
          <cell r="AJ117">
            <v>9450</v>
          </cell>
          <cell r="AK117">
            <v>1410</v>
          </cell>
          <cell r="AL117">
            <v>13170</v>
          </cell>
          <cell r="AM117">
            <v>8740</v>
          </cell>
          <cell r="AN117">
            <v>8880</v>
          </cell>
          <cell r="AO117">
            <v>760</v>
          </cell>
          <cell r="AP117">
            <v>6790</v>
          </cell>
          <cell r="AQ117">
            <v>8160</v>
          </cell>
          <cell r="AR117">
            <v>6180</v>
          </cell>
          <cell r="AS117">
            <v>14650</v>
          </cell>
          <cell r="AT117">
            <v>2720</v>
          </cell>
          <cell r="AU117">
            <v>4100</v>
          </cell>
          <cell r="AV117">
            <v>8610</v>
          </cell>
          <cell r="AW117">
            <v>10390</v>
          </cell>
          <cell r="AX117">
            <v>10280</v>
          </cell>
          <cell r="AY117">
            <v>5340</v>
          </cell>
          <cell r="AZ117">
            <v>5520</v>
          </cell>
          <cell r="BA117">
            <v>8880</v>
          </cell>
          <cell r="BB117">
            <v>12490</v>
          </cell>
          <cell r="BC117">
            <v>15370</v>
          </cell>
          <cell r="BD117">
            <v>4260</v>
          </cell>
          <cell r="BE117">
            <v>5330</v>
          </cell>
          <cell r="BF117">
            <v>3210</v>
          </cell>
          <cell r="BG117">
            <v>17800</v>
          </cell>
          <cell r="BH117">
            <v>4470</v>
          </cell>
          <cell r="BI117">
            <v>13080</v>
          </cell>
          <cell r="BJ117">
            <v>19780</v>
          </cell>
          <cell r="BK117">
            <v>15170</v>
          </cell>
          <cell r="BL117">
            <v>12660</v>
          </cell>
          <cell r="BM117">
            <v>4480</v>
          </cell>
          <cell r="BN117">
            <v>17570</v>
          </cell>
          <cell r="BO117">
            <v>9030</v>
          </cell>
          <cell r="BP117">
            <v>3990</v>
          </cell>
          <cell r="BQ117">
            <v>16240</v>
          </cell>
          <cell r="BR117">
            <v>7000</v>
          </cell>
          <cell r="BS117">
            <v>11480</v>
          </cell>
          <cell r="BT117">
            <v>13580</v>
          </cell>
          <cell r="BU117">
            <v>10220</v>
          </cell>
          <cell r="BV117">
            <v>2240</v>
          </cell>
          <cell r="BW117">
            <v>15120</v>
          </cell>
          <cell r="BX117">
            <v>10080</v>
          </cell>
          <cell r="BY117">
            <v>6720</v>
          </cell>
          <cell r="BZ117">
            <v>5110</v>
          </cell>
          <cell r="CA117">
            <v>9170</v>
          </cell>
          <cell r="CB117">
            <v>8540</v>
          </cell>
          <cell r="CC117">
            <v>12040</v>
          </cell>
          <cell r="CD117">
            <v>11970</v>
          </cell>
          <cell r="CE117">
            <v>3150</v>
          </cell>
          <cell r="CG117">
            <v>5600</v>
          </cell>
          <cell r="CH117">
            <v>16870</v>
          </cell>
          <cell r="CI117">
            <v>13230</v>
          </cell>
          <cell r="CJ117">
            <v>4690</v>
          </cell>
          <cell r="CK117">
            <v>6370</v>
          </cell>
          <cell r="CL117">
            <v>13930</v>
          </cell>
          <cell r="CM117">
            <v>3220</v>
          </cell>
          <cell r="CN117">
            <v>13980</v>
          </cell>
          <cell r="CO117">
            <v>12970</v>
          </cell>
          <cell r="CP117">
            <v>4340</v>
          </cell>
          <cell r="CQ117">
            <v>10500</v>
          </cell>
          <cell r="CR117">
            <v>9520</v>
          </cell>
          <cell r="CS117">
            <v>1890</v>
          </cell>
          <cell r="CT117">
            <v>6160</v>
          </cell>
          <cell r="CU117">
            <v>4200</v>
          </cell>
          <cell r="CV117">
            <v>1540</v>
          </cell>
          <cell r="CW117">
            <v>1540</v>
          </cell>
          <cell r="CX117">
            <v>1610</v>
          </cell>
          <cell r="CY117">
            <v>13230</v>
          </cell>
          <cell r="CZ117">
            <v>5840</v>
          </cell>
          <cell r="DA117">
            <v>12390</v>
          </cell>
          <cell r="DB117">
            <v>3850</v>
          </cell>
          <cell r="DC117">
            <v>8820</v>
          </cell>
          <cell r="DD117">
            <v>13230</v>
          </cell>
          <cell r="DE117" t="str">
            <v>ACTIVO</v>
          </cell>
          <cell r="DF117" t="str">
            <v>A</v>
          </cell>
          <cell r="DH117">
            <v>7896.666666666667</v>
          </cell>
          <cell r="DI117">
            <v>1316.1111111111111</v>
          </cell>
        </row>
        <row r="118">
          <cell r="B118">
            <v>405374</v>
          </cell>
          <cell r="C118" t="str">
            <v>COMBO 88 ALTA 12 PP FOOD PACK</v>
          </cell>
          <cell r="H118">
            <v>2100</v>
          </cell>
          <cell r="I118">
            <v>9170</v>
          </cell>
          <cell r="J118">
            <v>4900</v>
          </cell>
          <cell r="K118">
            <v>8050</v>
          </cell>
          <cell r="L118">
            <v>5110</v>
          </cell>
          <cell r="M118">
            <v>420</v>
          </cell>
          <cell r="T118">
            <v>70</v>
          </cell>
          <cell r="V118">
            <v>2310</v>
          </cell>
          <cell r="X118">
            <v>700</v>
          </cell>
          <cell r="Y118">
            <v>140</v>
          </cell>
          <cell r="AA118">
            <v>980</v>
          </cell>
          <cell r="AE118">
            <v>3290</v>
          </cell>
          <cell r="AG118">
            <v>2460</v>
          </cell>
          <cell r="AH118">
            <v>1290</v>
          </cell>
          <cell r="DE118" t="str">
            <v>SIN USO</v>
          </cell>
          <cell r="DF118" t="str">
            <v>C</v>
          </cell>
          <cell r="DH118">
            <v>0</v>
          </cell>
          <cell r="DI118">
            <v>0</v>
          </cell>
        </row>
        <row r="119">
          <cell r="B119">
            <v>107339</v>
          </cell>
          <cell r="C119" t="str">
            <v>CUPULA TARTA 1025-3 MOLDES PAC</v>
          </cell>
          <cell r="D119">
            <v>70</v>
          </cell>
          <cell r="F119">
            <v>210</v>
          </cell>
          <cell r="G119">
            <v>560</v>
          </cell>
          <cell r="H119">
            <v>770</v>
          </cell>
          <cell r="I119">
            <v>1260</v>
          </cell>
          <cell r="J119">
            <v>1680</v>
          </cell>
          <cell r="K119">
            <v>2450</v>
          </cell>
          <cell r="L119">
            <v>4830</v>
          </cell>
          <cell r="M119">
            <v>3430</v>
          </cell>
          <cell r="N119">
            <v>2450</v>
          </cell>
          <cell r="O119">
            <v>980</v>
          </cell>
          <cell r="P119">
            <v>3430</v>
          </cell>
          <cell r="Q119">
            <v>3780</v>
          </cell>
          <cell r="R119">
            <v>6440</v>
          </cell>
          <cell r="S119">
            <v>3430</v>
          </cell>
          <cell r="T119">
            <v>2900</v>
          </cell>
          <cell r="U119">
            <v>3500</v>
          </cell>
          <cell r="V119">
            <v>5040</v>
          </cell>
          <cell r="W119">
            <v>2730</v>
          </cell>
          <cell r="X119">
            <v>2660</v>
          </cell>
          <cell r="Y119">
            <v>3430</v>
          </cell>
          <cell r="Z119">
            <v>2240</v>
          </cell>
          <cell r="AA119">
            <v>2800</v>
          </cell>
          <cell r="AB119">
            <v>2660</v>
          </cell>
          <cell r="AC119">
            <v>3220</v>
          </cell>
          <cell r="AD119">
            <v>1260</v>
          </cell>
          <cell r="AE119">
            <v>1190</v>
          </cell>
          <cell r="AF119">
            <v>1610</v>
          </cell>
          <cell r="AG119">
            <v>2170</v>
          </cell>
          <cell r="AH119">
            <v>2310</v>
          </cell>
          <cell r="AI119">
            <v>2450</v>
          </cell>
          <cell r="AJ119">
            <v>3990</v>
          </cell>
          <cell r="AK119">
            <v>1750</v>
          </cell>
          <cell r="AL119">
            <v>2800</v>
          </cell>
          <cell r="AM119">
            <v>3430</v>
          </cell>
          <cell r="AN119">
            <v>2310</v>
          </cell>
          <cell r="AO119">
            <v>3920</v>
          </cell>
          <cell r="AP119">
            <v>2520</v>
          </cell>
          <cell r="AQ119">
            <v>3360</v>
          </cell>
          <cell r="AR119">
            <v>3010</v>
          </cell>
          <cell r="AS119">
            <v>3990</v>
          </cell>
          <cell r="AT119">
            <v>3780</v>
          </cell>
          <cell r="AU119">
            <v>2450</v>
          </cell>
          <cell r="AV119">
            <v>3640</v>
          </cell>
          <cell r="AW119">
            <v>2520</v>
          </cell>
          <cell r="AX119">
            <v>2520</v>
          </cell>
          <cell r="AY119">
            <v>3360</v>
          </cell>
          <cell r="AZ119">
            <v>3850</v>
          </cell>
          <cell r="BA119">
            <v>3290</v>
          </cell>
          <cell r="BB119">
            <v>4620</v>
          </cell>
          <cell r="BC119">
            <v>5110</v>
          </cell>
          <cell r="BD119">
            <v>3990</v>
          </cell>
          <cell r="BE119">
            <v>3430</v>
          </cell>
          <cell r="BF119">
            <v>3990</v>
          </cell>
          <cell r="BG119">
            <v>3780</v>
          </cell>
          <cell r="BH119">
            <v>4340</v>
          </cell>
          <cell r="BI119">
            <v>3570</v>
          </cell>
          <cell r="BJ119">
            <v>3220</v>
          </cell>
          <cell r="BK119">
            <v>3290</v>
          </cell>
          <cell r="BL119">
            <v>3640</v>
          </cell>
          <cell r="BM119">
            <v>3640</v>
          </cell>
          <cell r="BN119">
            <v>3360</v>
          </cell>
          <cell r="BO119">
            <v>3780</v>
          </cell>
          <cell r="BP119">
            <v>1400</v>
          </cell>
          <cell r="BQ119">
            <v>4270</v>
          </cell>
          <cell r="BR119">
            <v>4060</v>
          </cell>
          <cell r="BS119">
            <v>4550</v>
          </cell>
          <cell r="BT119">
            <v>3920</v>
          </cell>
          <cell r="BU119">
            <v>2660</v>
          </cell>
          <cell r="BV119">
            <v>2660</v>
          </cell>
          <cell r="BW119">
            <v>2870</v>
          </cell>
          <cell r="BX119">
            <v>1960</v>
          </cell>
          <cell r="BY119">
            <v>2170</v>
          </cell>
          <cell r="BZ119">
            <v>3360</v>
          </cell>
          <cell r="CA119">
            <v>4580</v>
          </cell>
          <cell r="CB119">
            <v>1890</v>
          </cell>
          <cell r="CC119">
            <v>2660</v>
          </cell>
          <cell r="CD119">
            <v>1890</v>
          </cell>
          <cell r="CE119">
            <v>1120</v>
          </cell>
          <cell r="CF119">
            <v>1050</v>
          </cell>
          <cell r="CG119">
            <v>2450</v>
          </cell>
          <cell r="CH119">
            <v>2660</v>
          </cell>
          <cell r="CI119">
            <v>2240</v>
          </cell>
          <cell r="CJ119">
            <v>2170</v>
          </cell>
          <cell r="CK119">
            <v>2590</v>
          </cell>
          <cell r="CL119">
            <v>2170</v>
          </cell>
          <cell r="CM119">
            <v>2240</v>
          </cell>
          <cell r="CN119">
            <v>2660</v>
          </cell>
          <cell r="CO119">
            <v>2520</v>
          </cell>
          <cell r="CP119">
            <v>2730</v>
          </cell>
          <cell r="CQ119">
            <v>2590</v>
          </cell>
          <cell r="CR119">
            <v>2800</v>
          </cell>
          <cell r="CS119">
            <v>2520</v>
          </cell>
          <cell r="CT119">
            <v>6130</v>
          </cell>
          <cell r="CU119">
            <v>12280</v>
          </cell>
          <cell r="CV119">
            <v>8400</v>
          </cell>
          <cell r="CW119">
            <v>5670</v>
          </cell>
          <cell r="CX119">
            <v>6230</v>
          </cell>
          <cell r="CY119">
            <v>3500</v>
          </cell>
          <cell r="CZ119">
            <v>3850</v>
          </cell>
          <cell r="DA119">
            <v>6860</v>
          </cell>
          <cell r="DB119">
            <v>3080</v>
          </cell>
          <cell r="DC119">
            <v>2800</v>
          </cell>
          <cell r="DD119">
            <v>4970</v>
          </cell>
          <cell r="DE119" t="str">
            <v>ACTIVO</v>
          </cell>
          <cell r="DF119" t="str">
            <v>B</v>
          </cell>
          <cell r="DH119">
            <v>3886.4</v>
          </cell>
          <cell r="DI119">
            <v>647.73333333333335</v>
          </cell>
        </row>
        <row r="120">
          <cell r="B120">
            <v>403249</v>
          </cell>
          <cell r="C120" t="str">
            <v>CUPULA 15 PP BAJA WALMART</v>
          </cell>
          <cell r="J120">
            <v>700</v>
          </cell>
          <cell r="DE120" t="str">
            <v>SIN USO</v>
          </cell>
          <cell r="DF120" t="str">
            <v/>
          </cell>
          <cell r="DH120">
            <v>0</v>
          </cell>
          <cell r="DI120">
            <v>0</v>
          </cell>
        </row>
        <row r="121">
          <cell r="B121">
            <v>403210</v>
          </cell>
          <cell r="C121" t="str">
            <v>CUPULA TORTA 15PP (98-45) MONSALVE CENCOSUD</v>
          </cell>
          <cell r="J121">
            <v>770</v>
          </cell>
          <cell r="K121">
            <v>210</v>
          </cell>
          <cell r="L121">
            <v>240</v>
          </cell>
          <cell r="M121">
            <v>1190</v>
          </cell>
          <cell r="O121">
            <v>210</v>
          </cell>
          <cell r="P121">
            <v>280</v>
          </cell>
          <cell r="Q121">
            <v>490</v>
          </cell>
          <cell r="R121">
            <v>350</v>
          </cell>
          <cell r="S121">
            <v>5390</v>
          </cell>
          <cell r="T121">
            <v>350</v>
          </cell>
          <cell r="U121">
            <v>1190</v>
          </cell>
          <cell r="V121">
            <v>1150</v>
          </cell>
          <cell r="W121">
            <v>280</v>
          </cell>
          <cell r="X121">
            <v>1190</v>
          </cell>
          <cell r="Y121">
            <v>1530</v>
          </cell>
          <cell r="Z121">
            <v>490</v>
          </cell>
          <cell r="AA121">
            <v>630</v>
          </cell>
          <cell r="AB121">
            <v>1070</v>
          </cell>
          <cell r="AC121">
            <v>420</v>
          </cell>
          <cell r="AE121">
            <v>100</v>
          </cell>
          <cell r="AR121">
            <v>70</v>
          </cell>
          <cell r="AY121">
            <v>70</v>
          </cell>
          <cell r="AZ121">
            <v>420</v>
          </cell>
          <cell r="BA121">
            <v>560</v>
          </cell>
          <cell r="BB121">
            <v>560</v>
          </cell>
          <cell r="BD121">
            <v>210</v>
          </cell>
          <cell r="BG121">
            <v>70</v>
          </cell>
          <cell r="DE121" t="str">
            <v>ACTIVO</v>
          </cell>
          <cell r="DF121" t="str">
            <v>C</v>
          </cell>
          <cell r="DH121">
            <v>0</v>
          </cell>
          <cell r="DI121">
            <v>0</v>
          </cell>
        </row>
        <row r="122">
          <cell r="B122">
            <v>405278</v>
          </cell>
          <cell r="C122" t="str">
            <v>CUPULA TORTA 15PP (98-45) MOLDESPAC</v>
          </cell>
          <cell r="K122">
            <v>210</v>
          </cell>
          <cell r="N122">
            <v>350</v>
          </cell>
          <cell r="P122">
            <v>560</v>
          </cell>
          <cell r="R122">
            <v>210</v>
          </cell>
          <cell r="S122">
            <v>70</v>
          </cell>
          <cell r="V122">
            <v>270</v>
          </cell>
          <cell r="Y122">
            <v>10</v>
          </cell>
          <cell r="AC122">
            <v>140</v>
          </cell>
          <cell r="AD122">
            <v>280</v>
          </cell>
          <cell r="AE122">
            <v>140</v>
          </cell>
          <cell r="AF122">
            <v>950</v>
          </cell>
          <cell r="AG122">
            <v>1050</v>
          </cell>
          <cell r="AH122">
            <v>7640</v>
          </cell>
          <cell r="AI122">
            <v>7210</v>
          </cell>
          <cell r="AJ122">
            <v>910</v>
          </cell>
          <cell r="AK122">
            <v>330</v>
          </cell>
          <cell r="AL122">
            <v>720</v>
          </cell>
          <cell r="AM122">
            <v>560</v>
          </cell>
          <cell r="AN122">
            <v>5110</v>
          </cell>
          <cell r="AO122">
            <v>1330</v>
          </cell>
          <cell r="AP122">
            <v>3080</v>
          </cell>
          <cell r="AQ122">
            <v>420</v>
          </cell>
          <cell r="AR122">
            <v>980</v>
          </cell>
          <cell r="AS122">
            <v>980</v>
          </cell>
          <cell r="AT122">
            <v>1050</v>
          </cell>
          <cell r="AU122">
            <v>490</v>
          </cell>
          <cell r="AV122">
            <v>910</v>
          </cell>
          <cell r="AW122">
            <v>770</v>
          </cell>
          <cell r="AX122">
            <v>840</v>
          </cell>
          <cell r="AY122">
            <v>2240</v>
          </cell>
          <cell r="AZ122">
            <v>210</v>
          </cell>
          <cell r="BA122">
            <v>800</v>
          </cell>
          <cell r="BB122">
            <v>2530</v>
          </cell>
          <cell r="BC122">
            <v>2560</v>
          </cell>
          <cell r="BD122">
            <v>1110</v>
          </cell>
          <cell r="BE122">
            <v>1000</v>
          </cell>
          <cell r="BF122">
            <v>1300</v>
          </cell>
          <cell r="BG122">
            <v>3178</v>
          </cell>
          <cell r="BH122">
            <v>1570</v>
          </cell>
          <cell r="BI122">
            <v>1750</v>
          </cell>
          <cell r="BJ122">
            <v>2380</v>
          </cell>
          <cell r="BK122">
            <v>1400</v>
          </cell>
          <cell r="BL122">
            <v>1260</v>
          </cell>
          <cell r="BM122">
            <v>3080</v>
          </cell>
          <cell r="BN122">
            <v>2590</v>
          </cell>
          <cell r="BO122">
            <v>2170</v>
          </cell>
          <cell r="BP122">
            <v>350</v>
          </cell>
          <cell r="BQ122">
            <v>1750</v>
          </cell>
          <cell r="BR122">
            <v>1400</v>
          </cell>
          <cell r="BS122">
            <v>2030</v>
          </cell>
          <cell r="BT122">
            <v>1750</v>
          </cell>
          <cell r="BU122">
            <v>3360</v>
          </cell>
          <cell r="BV122">
            <v>770</v>
          </cell>
          <cell r="BW122">
            <v>1960</v>
          </cell>
          <cell r="BX122">
            <v>420</v>
          </cell>
          <cell r="BY122">
            <v>560</v>
          </cell>
          <cell r="BZ122">
            <v>2030</v>
          </cell>
          <cell r="CA122">
            <v>1540</v>
          </cell>
          <cell r="CB122">
            <v>1260</v>
          </cell>
          <cell r="CC122">
            <v>2590</v>
          </cell>
          <cell r="CD122">
            <v>770</v>
          </cell>
          <cell r="CE122">
            <v>1260</v>
          </cell>
          <cell r="CF122">
            <v>210</v>
          </cell>
          <cell r="CG122">
            <v>840</v>
          </cell>
          <cell r="CH122">
            <v>1330</v>
          </cell>
          <cell r="CI122">
            <v>770</v>
          </cell>
          <cell r="CJ122">
            <v>420</v>
          </cell>
          <cell r="CK122">
            <v>1190</v>
          </cell>
          <cell r="CL122">
            <v>770</v>
          </cell>
          <cell r="CM122">
            <v>980</v>
          </cell>
          <cell r="CN122">
            <v>1120</v>
          </cell>
          <cell r="CO122">
            <v>1120</v>
          </cell>
          <cell r="CP122">
            <v>3150</v>
          </cell>
          <cell r="CQ122">
            <v>700</v>
          </cell>
          <cell r="CR122">
            <v>840</v>
          </cell>
          <cell r="CS122">
            <v>560</v>
          </cell>
          <cell r="CT122">
            <v>770</v>
          </cell>
          <cell r="CU122">
            <v>560</v>
          </cell>
          <cell r="CV122">
            <v>490</v>
          </cell>
          <cell r="CX122">
            <v>1120</v>
          </cell>
          <cell r="CY122">
            <v>1050</v>
          </cell>
          <cell r="CZ122">
            <v>560</v>
          </cell>
          <cell r="DA122">
            <v>700</v>
          </cell>
          <cell r="DB122">
            <v>770</v>
          </cell>
          <cell r="DC122">
            <v>9870</v>
          </cell>
          <cell r="DD122">
            <v>910</v>
          </cell>
          <cell r="DE122" t="str">
            <v>ACTIVO</v>
          </cell>
          <cell r="DF122" t="str">
            <v>B</v>
          </cell>
          <cell r="DH122">
            <v>1283.3333333333333</v>
          </cell>
          <cell r="DI122">
            <v>213.88888888888889</v>
          </cell>
        </row>
        <row r="123">
          <cell r="B123">
            <v>403251</v>
          </cell>
          <cell r="C123" t="str">
            <v>CUPULA 98-9 ALTA 12 PP MONSALVE</v>
          </cell>
          <cell r="N123">
            <v>980</v>
          </cell>
          <cell r="DE123" t="str">
            <v>SIN USO</v>
          </cell>
          <cell r="DF123" t="str">
            <v/>
          </cell>
          <cell r="DH123">
            <v>0</v>
          </cell>
          <cell r="DI123">
            <v>0</v>
          </cell>
        </row>
        <row r="124">
          <cell r="B124">
            <v>107402</v>
          </cell>
          <cell r="C124" t="str">
            <v>CUPULA MINI TORTA BASE NEGRA 15,5x7,5 FOOD PACK</v>
          </cell>
          <cell r="V124">
            <v>2000</v>
          </cell>
          <cell r="DE124" t="str">
            <v>SIN USO</v>
          </cell>
          <cell r="DF124" t="str">
            <v/>
          </cell>
          <cell r="DH124">
            <v>0</v>
          </cell>
          <cell r="DI124">
            <v>0</v>
          </cell>
        </row>
        <row r="125">
          <cell r="B125">
            <v>405770</v>
          </cell>
          <cell r="C125" t="str">
            <v>CUPULA TORTA 15 PP H112 ALTA COEXPAN</v>
          </cell>
          <cell r="DB125">
            <v>1400</v>
          </cell>
          <cell r="DC125">
            <v>2700</v>
          </cell>
          <cell r="DD125">
            <v>3600</v>
          </cell>
          <cell r="DE125" t="str">
            <v>ACTIVO</v>
          </cell>
          <cell r="DF125" t="str">
            <v/>
          </cell>
          <cell r="DH125">
            <v>2566.6666666666665</v>
          </cell>
          <cell r="DI125">
            <v>427.77777777777777</v>
          </cell>
        </row>
        <row r="126">
          <cell r="D126">
            <v>109820</v>
          </cell>
          <cell r="E126">
            <v>108920</v>
          </cell>
          <cell r="F126">
            <v>108860</v>
          </cell>
          <cell r="G126">
            <v>114730</v>
          </cell>
          <cell r="H126">
            <v>150550</v>
          </cell>
          <cell r="I126">
            <v>110660</v>
          </cell>
          <cell r="J126">
            <v>109010</v>
          </cell>
          <cell r="K126">
            <v>97600</v>
          </cell>
          <cell r="L126">
            <v>138890</v>
          </cell>
          <cell r="M126">
            <v>103750</v>
          </cell>
          <cell r="N126">
            <v>115970</v>
          </cell>
          <cell r="O126">
            <v>35701.050000000003</v>
          </cell>
          <cell r="P126">
            <v>115430</v>
          </cell>
          <cell r="Q126">
            <v>115860</v>
          </cell>
          <cell r="R126">
            <v>104330</v>
          </cell>
          <cell r="S126">
            <v>108960</v>
          </cell>
          <cell r="T126">
            <v>110890</v>
          </cell>
          <cell r="U126">
            <v>110110</v>
          </cell>
          <cell r="V126">
            <v>148450</v>
          </cell>
          <cell r="W126">
            <v>81320</v>
          </cell>
          <cell r="X126">
            <v>86710</v>
          </cell>
          <cell r="Y126">
            <v>86220</v>
          </cell>
          <cell r="Z126">
            <v>95130</v>
          </cell>
          <cell r="AA126">
            <v>108200</v>
          </cell>
          <cell r="AB126">
            <v>106830</v>
          </cell>
          <cell r="AC126">
            <v>84870</v>
          </cell>
          <cell r="AD126">
            <v>23880</v>
          </cell>
          <cell r="AE126">
            <v>23570</v>
          </cell>
          <cell r="AF126">
            <v>115330</v>
          </cell>
          <cell r="AG126">
            <v>92881</v>
          </cell>
          <cell r="AH126">
            <v>117039</v>
          </cell>
          <cell r="AI126">
            <v>115174</v>
          </cell>
          <cell r="AJ126">
            <v>91300</v>
          </cell>
          <cell r="AK126">
            <v>90130</v>
          </cell>
          <cell r="AL126">
            <v>88930</v>
          </cell>
          <cell r="AM126">
            <v>91750</v>
          </cell>
          <cell r="AN126">
            <v>118700</v>
          </cell>
          <cell r="AO126">
            <v>107920</v>
          </cell>
          <cell r="AP126">
            <v>105220</v>
          </cell>
          <cell r="AQ126">
            <v>118295</v>
          </cell>
          <cell r="AR126">
            <v>123970</v>
          </cell>
          <cell r="AS126">
            <v>125250</v>
          </cell>
          <cell r="AT126">
            <v>132740</v>
          </cell>
          <cell r="AU126">
            <v>108130</v>
          </cell>
          <cell r="AV126">
            <v>128710</v>
          </cell>
          <cell r="AW126">
            <v>108990</v>
          </cell>
          <cell r="AX126">
            <v>126070</v>
          </cell>
          <cell r="AY126">
            <v>89200</v>
          </cell>
          <cell r="AZ126">
            <v>121820</v>
          </cell>
          <cell r="BA126">
            <v>133160</v>
          </cell>
          <cell r="BB126">
            <v>89880</v>
          </cell>
          <cell r="BC126">
            <v>114847</v>
          </cell>
          <cell r="BD126">
            <v>114490</v>
          </cell>
          <cell r="BE126">
            <v>117030</v>
          </cell>
          <cell r="BF126">
            <v>84210</v>
          </cell>
          <cell r="BG126">
            <v>109568</v>
          </cell>
          <cell r="BH126">
            <v>188690</v>
          </cell>
          <cell r="BI126">
            <v>99840</v>
          </cell>
          <cell r="BJ126">
            <v>121540</v>
          </cell>
          <cell r="BK126">
            <v>117800</v>
          </cell>
          <cell r="BL126">
            <v>146170</v>
          </cell>
          <cell r="BM126">
            <v>119800</v>
          </cell>
          <cell r="BN126">
            <v>125120</v>
          </cell>
          <cell r="BO126">
            <v>100770</v>
          </cell>
          <cell r="BP126">
            <v>48150</v>
          </cell>
          <cell r="BQ126">
            <v>146700</v>
          </cell>
          <cell r="BR126">
            <v>96500</v>
          </cell>
          <cell r="BS126">
            <v>114530</v>
          </cell>
          <cell r="BT126">
            <v>106380</v>
          </cell>
          <cell r="BU126">
            <v>106310</v>
          </cell>
          <cell r="BV126">
            <v>90760</v>
          </cell>
          <cell r="BW126">
            <v>97730</v>
          </cell>
          <cell r="BX126">
            <v>73920</v>
          </cell>
          <cell r="BY126">
            <v>78950</v>
          </cell>
          <cell r="BZ126">
            <v>93370</v>
          </cell>
          <cell r="CA126">
            <v>91290</v>
          </cell>
          <cell r="CB126">
            <v>72200</v>
          </cell>
          <cell r="CC126">
            <v>93990</v>
          </cell>
          <cell r="CD126">
            <v>86630</v>
          </cell>
          <cell r="CE126">
            <v>41000</v>
          </cell>
          <cell r="CF126">
            <v>28480</v>
          </cell>
          <cell r="CG126">
            <v>96370</v>
          </cell>
          <cell r="CH126">
            <v>100530</v>
          </cell>
          <cell r="CI126">
            <v>119250</v>
          </cell>
          <cell r="CJ126">
            <v>82360</v>
          </cell>
          <cell r="CK126">
            <v>93360</v>
          </cell>
          <cell r="CL126">
            <v>110110</v>
          </cell>
          <cell r="CM126">
            <v>108830</v>
          </cell>
          <cell r="CN126">
            <v>93160</v>
          </cell>
          <cell r="CO126">
            <v>103750</v>
          </cell>
          <cell r="CP126">
            <v>111380</v>
          </cell>
          <cell r="CQ126">
            <v>105130</v>
          </cell>
          <cell r="CR126">
            <v>126980</v>
          </cell>
          <cell r="CS126">
            <v>94600</v>
          </cell>
          <cell r="CT126">
            <v>138740</v>
          </cell>
          <cell r="CU126">
            <v>147990</v>
          </cell>
          <cell r="CV126">
            <v>158550</v>
          </cell>
          <cell r="CW126">
            <v>110270</v>
          </cell>
          <cell r="CX126">
            <v>84630</v>
          </cell>
          <cell r="CY126">
            <v>158370</v>
          </cell>
          <cell r="CZ126">
            <v>122000</v>
          </cell>
          <cell r="DA126">
            <v>123130</v>
          </cell>
          <cell r="DB126">
            <v>103380</v>
          </cell>
          <cell r="DC126">
            <v>129710</v>
          </cell>
          <cell r="DD126">
            <v>103700</v>
          </cell>
          <cell r="DE126" t="str">
            <v>ACTIVO</v>
          </cell>
          <cell r="DF126" t="str">
            <v/>
          </cell>
          <cell r="DH126">
            <v>110190.39999999999</v>
          </cell>
          <cell r="DI126">
            <v>18365.066666666666</v>
          </cell>
        </row>
        <row r="127">
          <cell r="B127">
            <v>404718</v>
          </cell>
          <cell r="C127" t="str">
            <v>ETIQUETA BLANCA 100x80 SISA</v>
          </cell>
          <cell r="D127">
            <v>25000</v>
          </cell>
          <cell r="E127">
            <v>22500</v>
          </cell>
          <cell r="F127">
            <v>22000</v>
          </cell>
          <cell r="G127">
            <v>38000</v>
          </cell>
          <cell r="H127">
            <v>4000</v>
          </cell>
          <cell r="I127">
            <v>8000</v>
          </cell>
          <cell r="J127">
            <v>24000</v>
          </cell>
          <cell r="K127">
            <v>24000</v>
          </cell>
          <cell r="L127">
            <v>22000</v>
          </cell>
          <cell r="M127">
            <v>20000</v>
          </cell>
          <cell r="N127">
            <v>12000</v>
          </cell>
          <cell r="O127">
            <v>34000</v>
          </cell>
          <cell r="Q127">
            <v>2000</v>
          </cell>
          <cell r="R127">
            <v>14000</v>
          </cell>
          <cell r="S127">
            <v>20000</v>
          </cell>
          <cell r="T127">
            <v>18000</v>
          </cell>
          <cell r="V127">
            <v>22000</v>
          </cell>
          <cell r="W127">
            <v>18000</v>
          </cell>
          <cell r="X127">
            <v>18000</v>
          </cell>
          <cell r="AB127">
            <v>16000</v>
          </cell>
          <cell r="AC127">
            <v>18000</v>
          </cell>
          <cell r="AD127">
            <v>16000</v>
          </cell>
          <cell r="AF127">
            <v>20000</v>
          </cell>
          <cell r="AG127">
            <v>12000</v>
          </cell>
          <cell r="AH127">
            <v>12000</v>
          </cell>
          <cell r="AI127">
            <v>12000</v>
          </cell>
          <cell r="AJ127">
            <v>16000</v>
          </cell>
          <cell r="AK127">
            <v>17000</v>
          </cell>
          <cell r="AL127">
            <v>15000</v>
          </cell>
          <cell r="AM127">
            <v>15000</v>
          </cell>
          <cell r="AO127">
            <v>23000</v>
          </cell>
          <cell r="AP127">
            <v>22000</v>
          </cell>
          <cell r="AQ127">
            <v>16000</v>
          </cell>
          <cell r="AR127">
            <v>35000</v>
          </cell>
          <cell r="AT127">
            <v>20500</v>
          </cell>
          <cell r="AU127">
            <v>42000</v>
          </cell>
          <cell r="AV127">
            <v>20000</v>
          </cell>
          <cell r="AW127">
            <v>54000</v>
          </cell>
          <cell r="AX127">
            <v>24000</v>
          </cell>
          <cell r="AY127">
            <v>7000</v>
          </cell>
          <cell r="BA127">
            <v>16000</v>
          </cell>
          <cell r="BB127">
            <v>20000</v>
          </cell>
          <cell r="BC127">
            <v>16000</v>
          </cell>
          <cell r="BD127">
            <v>31000</v>
          </cell>
          <cell r="BE127">
            <v>15000</v>
          </cell>
          <cell r="BG127">
            <v>16000</v>
          </cell>
          <cell r="BH127">
            <v>40000</v>
          </cell>
          <cell r="BJ127">
            <v>18000</v>
          </cell>
          <cell r="BK127">
            <v>18000</v>
          </cell>
          <cell r="BL127">
            <v>18000</v>
          </cell>
          <cell r="BM127">
            <v>16000</v>
          </cell>
          <cell r="BN127">
            <v>36000</v>
          </cell>
          <cell r="BQ127">
            <v>28000</v>
          </cell>
          <cell r="BR127">
            <v>10000</v>
          </cell>
          <cell r="BS127">
            <v>32000</v>
          </cell>
          <cell r="BU127">
            <v>16000</v>
          </cell>
          <cell r="BV127">
            <v>16000</v>
          </cell>
          <cell r="BW127">
            <v>32000</v>
          </cell>
          <cell r="BY127">
            <v>18000</v>
          </cell>
          <cell r="BZ127">
            <v>16000</v>
          </cell>
          <cell r="CA127">
            <v>30000</v>
          </cell>
          <cell r="CB127">
            <v>16000</v>
          </cell>
          <cell r="CC127">
            <v>2000</v>
          </cell>
          <cell r="CD127">
            <v>90000</v>
          </cell>
          <cell r="CF127">
            <v>14000</v>
          </cell>
          <cell r="CH127">
            <v>16000</v>
          </cell>
          <cell r="CI127">
            <v>26000</v>
          </cell>
          <cell r="CJ127">
            <v>4000</v>
          </cell>
          <cell r="CK127">
            <v>9000</v>
          </cell>
          <cell r="CL127">
            <v>14000</v>
          </cell>
          <cell r="CM127">
            <v>14000</v>
          </cell>
          <cell r="CN127">
            <v>14000</v>
          </cell>
          <cell r="CO127">
            <v>24000</v>
          </cell>
          <cell r="CQ127">
            <v>13000</v>
          </cell>
          <cell r="CR127">
            <v>14000</v>
          </cell>
          <cell r="CS127">
            <v>10000</v>
          </cell>
          <cell r="CT127">
            <v>18000</v>
          </cell>
          <cell r="CU127">
            <v>19000</v>
          </cell>
          <cell r="CV127">
            <v>23000</v>
          </cell>
          <cell r="CW127">
            <v>39000</v>
          </cell>
          <cell r="CY127">
            <v>17000</v>
          </cell>
          <cell r="CZ127">
            <v>35000</v>
          </cell>
          <cell r="DA127">
            <v>18000</v>
          </cell>
          <cell r="DB127">
            <v>22000</v>
          </cell>
          <cell r="DC127">
            <v>22000</v>
          </cell>
          <cell r="DD127">
            <v>20000</v>
          </cell>
          <cell r="DE127" t="str">
            <v>ACTIVO</v>
          </cell>
          <cell r="DF127" t="str">
            <v>C</v>
          </cell>
          <cell r="DH127">
            <v>18409.090909090908</v>
          </cell>
          <cell r="DI127">
            <v>3068.181818181818</v>
          </cell>
        </row>
        <row r="128">
          <cell r="B128">
            <v>404720</v>
          </cell>
          <cell r="C128" t="str">
            <v>ETIQUETA BLANCA 100x50</v>
          </cell>
          <cell r="D128">
            <v>45000</v>
          </cell>
          <cell r="E128">
            <v>30000</v>
          </cell>
          <cell r="F128">
            <v>37500</v>
          </cell>
          <cell r="G128">
            <v>65000</v>
          </cell>
          <cell r="H128">
            <v>7500</v>
          </cell>
          <cell r="I128">
            <v>40000</v>
          </cell>
          <cell r="J128">
            <v>52500</v>
          </cell>
          <cell r="K128">
            <v>42500</v>
          </cell>
          <cell r="L128">
            <v>27000</v>
          </cell>
          <cell r="M128">
            <v>30000</v>
          </cell>
          <cell r="N128">
            <v>30000</v>
          </cell>
          <cell r="O128">
            <v>50000</v>
          </cell>
          <cell r="Q128">
            <v>15000</v>
          </cell>
          <cell r="R128">
            <v>30500</v>
          </cell>
          <cell r="S128">
            <v>30000</v>
          </cell>
          <cell r="T128">
            <v>42500</v>
          </cell>
          <cell r="U128">
            <v>5000</v>
          </cell>
          <cell r="V128">
            <v>40000</v>
          </cell>
          <cell r="W128">
            <v>32500</v>
          </cell>
          <cell r="X128">
            <v>40000</v>
          </cell>
          <cell r="Y128">
            <v>45000</v>
          </cell>
          <cell r="AA128">
            <v>35000</v>
          </cell>
          <cell r="AB128">
            <v>25000</v>
          </cell>
          <cell r="AC128">
            <v>12500</v>
          </cell>
          <cell r="AD128">
            <v>20000</v>
          </cell>
          <cell r="AE128">
            <v>12500</v>
          </cell>
          <cell r="AF128">
            <v>27000</v>
          </cell>
          <cell r="AG128">
            <v>27500</v>
          </cell>
          <cell r="AH128">
            <v>30000</v>
          </cell>
          <cell r="AI128">
            <v>32500</v>
          </cell>
          <cell r="AJ128">
            <v>25000</v>
          </cell>
          <cell r="AK128">
            <v>30500</v>
          </cell>
          <cell r="AL128">
            <v>25000</v>
          </cell>
          <cell r="AM128">
            <v>25000</v>
          </cell>
          <cell r="AN128">
            <v>40500</v>
          </cell>
          <cell r="AO128">
            <v>22500</v>
          </cell>
          <cell r="AP128">
            <v>47500</v>
          </cell>
          <cell r="AQ128">
            <v>25000</v>
          </cell>
          <cell r="AR128">
            <v>58500</v>
          </cell>
          <cell r="AS128">
            <v>10000</v>
          </cell>
          <cell r="AT128">
            <v>42500</v>
          </cell>
          <cell r="AU128">
            <v>42500</v>
          </cell>
          <cell r="AV128">
            <v>37000</v>
          </cell>
          <cell r="AW128">
            <v>72500</v>
          </cell>
          <cell r="AX128">
            <v>37500</v>
          </cell>
          <cell r="AY128">
            <v>41000</v>
          </cell>
          <cell r="AZ128">
            <v>22500</v>
          </cell>
          <cell r="BA128">
            <v>30000</v>
          </cell>
          <cell r="BB128">
            <v>34500</v>
          </cell>
          <cell r="BC128">
            <v>37500</v>
          </cell>
          <cell r="BD128">
            <v>67500</v>
          </cell>
          <cell r="BE128">
            <v>31500</v>
          </cell>
          <cell r="BG128">
            <v>27500</v>
          </cell>
          <cell r="BH128">
            <v>47500</v>
          </cell>
          <cell r="BI128">
            <v>15000</v>
          </cell>
          <cell r="BJ128">
            <v>25000</v>
          </cell>
          <cell r="BK128">
            <v>40000</v>
          </cell>
          <cell r="BL128">
            <v>45000</v>
          </cell>
          <cell r="BM128">
            <v>32500</v>
          </cell>
          <cell r="BN128">
            <v>50000</v>
          </cell>
          <cell r="BO128">
            <v>12500</v>
          </cell>
          <cell r="BP128">
            <v>7500</v>
          </cell>
          <cell r="BQ128">
            <v>75000</v>
          </cell>
          <cell r="BR128">
            <v>7500</v>
          </cell>
          <cell r="BS128">
            <v>52500</v>
          </cell>
          <cell r="BT128">
            <v>7500</v>
          </cell>
          <cell r="BU128">
            <v>37500</v>
          </cell>
          <cell r="BV128">
            <v>20000</v>
          </cell>
          <cell r="BW128">
            <v>42500</v>
          </cell>
          <cell r="BX128">
            <v>25000</v>
          </cell>
          <cell r="BY128">
            <v>7500</v>
          </cell>
          <cell r="BZ128">
            <v>33000</v>
          </cell>
          <cell r="CA128">
            <v>30000</v>
          </cell>
          <cell r="CB128">
            <v>42500</v>
          </cell>
          <cell r="CC128">
            <v>15000</v>
          </cell>
          <cell r="CD128">
            <v>68500</v>
          </cell>
          <cell r="CE128">
            <v>5000</v>
          </cell>
          <cell r="CF128">
            <v>15000</v>
          </cell>
          <cell r="CG128">
            <v>17500</v>
          </cell>
          <cell r="CH128">
            <v>27500</v>
          </cell>
          <cell r="CI128">
            <v>50000</v>
          </cell>
          <cell r="CJ128">
            <v>18000</v>
          </cell>
          <cell r="CK128">
            <v>66500</v>
          </cell>
          <cell r="CL128">
            <v>31000</v>
          </cell>
          <cell r="CM128">
            <v>29500</v>
          </cell>
          <cell r="CN128">
            <v>34000</v>
          </cell>
          <cell r="CO128">
            <v>59000</v>
          </cell>
          <cell r="CP128">
            <v>7500</v>
          </cell>
          <cell r="CQ128">
            <v>26000</v>
          </cell>
          <cell r="CT128">
            <v>42500</v>
          </cell>
          <cell r="CU128">
            <v>34500</v>
          </cell>
          <cell r="CV128">
            <v>49500</v>
          </cell>
          <cell r="CW128">
            <v>55000</v>
          </cell>
          <cell r="CX128">
            <v>12500</v>
          </cell>
          <cell r="CY128">
            <v>37500</v>
          </cell>
          <cell r="CZ128">
            <v>54000</v>
          </cell>
          <cell r="DA128">
            <v>35000</v>
          </cell>
          <cell r="DB128">
            <v>7500</v>
          </cell>
          <cell r="DC128">
            <v>52500</v>
          </cell>
          <cell r="DD128">
            <v>40000</v>
          </cell>
          <cell r="DE128" t="str">
            <v>ACTIVO</v>
          </cell>
          <cell r="DF128" t="str">
            <v>B</v>
          </cell>
          <cell r="DH128">
            <v>34869.565217391304</v>
          </cell>
          <cell r="DI128">
            <v>5811.594202898551</v>
          </cell>
        </row>
        <row r="129">
          <cell r="B129">
            <v>405461</v>
          </cell>
          <cell r="C129" t="str">
            <v>ETIQUETA CIRCULAR 4cm IMPR. PASTEL SISA</v>
          </cell>
          <cell r="AR129">
            <v>5000</v>
          </cell>
          <cell r="AT129">
            <v>10000</v>
          </cell>
          <cell r="BF129">
            <v>5000</v>
          </cell>
          <cell r="BH129">
            <v>10000</v>
          </cell>
          <cell r="BJ129">
            <v>10000</v>
          </cell>
          <cell r="BK129">
            <v>10000</v>
          </cell>
          <cell r="BL129">
            <v>15000</v>
          </cell>
          <cell r="BM129">
            <v>10000</v>
          </cell>
          <cell r="BN129">
            <v>20000</v>
          </cell>
          <cell r="BQ129">
            <v>5001</v>
          </cell>
          <cell r="BS129">
            <v>20000</v>
          </cell>
          <cell r="BU129">
            <v>10000</v>
          </cell>
          <cell r="BV129">
            <v>10000</v>
          </cell>
          <cell r="BW129">
            <v>20000</v>
          </cell>
          <cell r="BY129">
            <v>5000</v>
          </cell>
          <cell r="BZ129">
            <v>10000</v>
          </cell>
          <cell r="CA129">
            <v>15000</v>
          </cell>
          <cell r="CB129">
            <v>7500</v>
          </cell>
          <cell r="CC129">
            <v>5000</v>
          </cell>
          <cell r="CD129">
            <v>10000</v>
          </cell>
          <cell r="CF129">
            <v>5000</v>
          </cell>
          <cell r="CH129">
            <v>10000</v>
          </cell>
          <cell r="CI129">
            <v>15000</v>
          </cell>
          <cell r="CO129">
            <v>10000</v>
          </cell>
          <cell r="CP129">
            <v>5000</v>
          </cell>
          <cell r="CT129">
            <v>13000</v>
          </cell>
          <cell r="CU129">
            <v>5000</v>
          </cell>
          <cell r="CW129">
            <v>10000</v>
          </cell>
          <cell r="CY129">
            <v>20000</v>
          </cell>
          <cell r="CZ129">
            <v>5000</v>
          </cell>
          <cell r="DA129">
            <v>5000</v>
          </cell>
          <cell r="DB129">
            <v>5000</v>
          </cell>
          <cell r="DC129">
            <v>5000</v>
          </cell>
          <cell r="DD129">
            <v>21000</v>
          </cell>
          <cell r="DE129" t="str">
            <v>ACTIVO</v>
          </cell>
          <cell r="DF129" t="str">
            <v>C</v>
          </cell>
          <cell r="DH129">
            <v>9571.4285714285706</v>
          </cell>
          <cell r="DI129">
            <v>1595.2380952380952</v>
          </cell>
        </row>
        <row r="130">
          <cell r="B130">
            <v>404733</v>
          </cell>
          <cell r="C130" t="str">
            <v>ETIQUETA CIRCULAR 9,8cm IMPR. KUCHEN  5 COL +UV</v>
          </cell>
          <cell r="D130">
            <v>4000</v>
          </cell>
          <cell r="E130">
            <v>5000</v>
          </cell>
          <cell r="F130">
            <v>7000</v>
          </cell>
          <cell r="G130">
            <v>15000</v>
          </cell>
          <cell r="I130">
            <v>7000</v>
          </cell>
          <cell r="J130">
            <v>8000</v>
          </cell>
          <cell r="K130">
            <v>6000</v>
          </cell>
          <cell r="L130">
            <v>8000</v>
          </cell>
          <cell r="M130">
            <v>8000</v>
          </cell>
          <cell r="N130">
            <v>1000</v>
          </cell>
          <cell r="O130">
            <v>12000</v>
          </cell>
          <cell r="R130">
            <v>4000</v>
          </cell>
          <cell r="S130">
            <v>7000</v>
          </cell>
          <cell r="T130">
            <v>6000</v>
          </cell>
          <cell r="V130">
            <v>8000</v>
          </cell>
          <cell r="W130">
            <v>8000</v>
          </cell>
          <cell r="X130">
            <v>7000</v>
          </cell>
          <cell r="Y130">
            <v>8000</v>
          </cell>
          <cell r="AB130">
            <v>3000</v>
          </cell>
          <cell r="AC130">
            <v>2000</v>
          </cell>
          <cell r="AD130">
            <v>3000</v>
          </cell>
          <cell r="AF130">
            <v>6000</v>
          </cell>
          <cell r="AH130">
            <v>5000</v>
          </cell>
          <cell r="AI130">
            <v>5000</v>
          </cell>
          <cell r="AJ130">
            <v>5000</v>
          </cell>
          <cell r="AK130">
            <v>4000</v>
          </cell>
          <cell r="AN130">
            <v>3000</v>
          </cell>
          <cell r="AO130">
            <v>1000</v>
          </cell>
          <cell r="AP130">
            <v>3000</v>
          </cell>
          <cell r="AQ130">
            <v>5000</v>
          </cell>
          <cell r="AR130">
            <v>8000</v>
          </cell>
          <cell r="AT130">
            <v>5000</v>
          </cell>
          <cell r="AU130">
            <v>11000</v>
          </cell>
          <cell r="AV130">
            <v>5000</v>
          </cell>
          <cell r="AW130">
            <v>10000</v>
          </cell>
          <cell r="AX130">
            <v>5000</v>
          </cell>
          <cell r="AY130">
            <v>5000</v>
          </cell>
          <cell r="AZ130">
            <v>4000</v>
          </cell>
          <cell r="BA130">
            <v>9000</v>
          </cell>
          <cell r="BB130">
            <v>4000</v>
          </cell>
          <cell r="BC130">
            <v>15000</v>
          </cell>
          <cell r="BE130">
            <v>2000</v>
          </cell>
          <cell r="BG130">
            <v>4000</v>
          </cell>
          <cell r="BH130">
            <v>14000</v>
          </cell>
          <cell r="BJ130">
            <v>5000</v>
          </cell>
          <cell r="BK130">
            <v>5000</v>
          </cell>
          <cell r="BL130">
            <v>5000</v>
          </cell>
          <cell r="BM130">
            <v>19000</v>
          </cell>
          <cell r="BN130">
            <v>8000</v>
          </cell>
          <cell r="BQ130">
            <v>8000</v>
          </cell>
          <cell r="BS130">
            <v>12000</v>
          </cell>
          <cell r="BU130">
            <v>4000</v>
          </cell>
          <cell r="BV130">
            <v>3000</v>
          </cell>
          <cell r="BW130">
            <v>8000</v>
          </cell>
          <cell r="BY130">
            <v>4000</v>
          </cell>
          <cell r="BZ130">
            <v>3000</v>
          </cell>
          <cell r="CA130">
            <v>5000</v>
          </cell>
          <cell r="CB130">
            <v>2000</v>
          </cell>
          <cell r="CD130">
            <v>13000</v>
          </cell>
          <cell r="CF130">
            <v>2000</v>
          </cell>
          <cell r="CH130">
            <v>2000</v>
          </cell>
          <cell r="CI130">
            <v>6000</v>
          </cell>
          <cell r="CM130">
            <v>2000</v>
          </cell>
          <cell r="CN130">
            <v>2000</v>
          </cell>
          <cell r="CO130">
            <v>1000</v>
          </cell>
          <cell r="CP130">
            <v>2000</v>
          </cell>
          <cell r="CQ130">
            <v>1000</v>
          </cell>
          <cell r="CR130">
            <v>8000</v>
          </cell>
          <cell r="CT130">
            <v>3000</v>
          </cell>
          <cell r="CU130">
            <v>1000</v>
          </cell>
          <cell r="CV130">
            <v>3000</v>
          </cell>
          <cell r="CW130">
            <v>6000</v>
          </cell>
          <cell r="CY130">
            <v>1000</v>
          </cell>
          <cell r="CZ130">
            <v>2000</v>
          </cell>
          <cell r="DA130">
            <v>3000</v>
          </cell>
          <cell r="DB130">
            <v>2000</v>
          </cell>
          <cell r="DC130">
            <v>3000</v>
          </cell>
          <cell r="DD130">
            <v>5000</v>
          </cell>
          <cell r="DE130" t="str">
            <v>ACTIVO</v>
          </cell>
          <cell r="DF130" t="str">
            <v>C</v>
          </cell>
          <cell r="DH130">
            <v>2894.7368421052633</v>
          </cell>
          <cell r="DI130">
            <v>482.45614035087721</v>
          </cell>
        </row>
        <row r="131">
          <cell r="B131">
            <v>404748</v>
          </cell>
          <cell r="C131" t="str">
            <v>ETIQUETA BLANCA 40x200 SISA</v>
          </cell>
          <cell r="D131">
            <v>6000</v>
          </cell>
          <cell r="E131">
            <v>6000</v>
          </cell>
          <cell r="F131">
            <v>9000</v>
          </cell>
          <cell r="G131">
            <v>21000</v>
          </cell>
          <cell r="I131">
            <v>16000</v>
          </cell>
          <cell r="J131">
            <v>12000</v>
          </cell>
          <cell r="K131">
            <v>12000</v>
          </cell>
          <cell r="L131">
            <v>10000</v>
          </cell>
          <cell r="M131">
            <v>9000</v>
          </cell>
          <cell r="O131">
            <v>15000</v>
          </cell>
          <cell r="Q131">
            <v>3000</v>
          </cell>
          <cell r="R131">
            <v>4000</v>
          </cell>
          <cell r="S131">
            <v>9000</v>
          </cell>
          <cell r="T131">
            <v>8000</v>
          </cell>
          <cell r="V131">
            <v>8000</v>
          </cell>
          <cell r="W131">
            <v>8000</v>
          </cell>
          <cell r="X131">
            <v>6000</v>
          </cell>
          <cell r="Y131">
            <v>4000</v>
          </cell>
          <cell r="AB131">
            <v>4000</v>
          </cell>
          <cell r="AC131">
            <v>4000</v>
          </cell>
          <cell r="AD131">
            <v>5000</v>
          </cell>
          <cell r="AF131">
            <v>6000</v>
          </cell>
          <cell r="AG131">
            <v>4000</v>
          </cell>
          <cell r="AH131">
            <v>5000</v>
          </cell>
          <cell r="AI131">
            <v>5000</v>
          </cell>
          <cell r="AJ131">
            <v>5000</v>
          </cell>
          <cell r="AK131">
            <v>2000</v>
          </cell>
          <cell r="AL131">
            <v>3000</v>
          </cell>
          <cell r="AM131">
            <v>2000</v>
          </cell>
          <cell r="AN131">
            <v>3000</v>
          </cell>
          <cell r="AO131">
            <v>3000</v>
          </cell>
          <cell r="AP131">
            <v>3000</v>
          </cell>
          <cell r="AQ131">
            <v>3000</v>
          </cell>
          <cell r="AR131">
            <v>6000</v>
          </cell>
          <cell r="AT131">
            <v>3000</v>
          </cell>
          <cell r="AU131">
            <v>1000</v>
          </cell>
          <cell r="AV131">
            <v>4000</v>
          </cell>
          <cell r="AW131">
            <v>8000</v>
          </cell>
          <cell r="AX131">
            <v>1000</v>
          </cell>
          <cell r="AY131">
            <v>2000</v>
          </cell>
          <cell r="BA131">
            <v>7000</v>
          </cell>
          <cell r="BB131">
            <v>7000</v>
          </cell>
          <cell r="BC131">
            <v>5000</v>
          </cell>
          <cell r="BD131">
            <v>6000</v>
          </cell>
          <cell r="BE131">
            <v>2000</v>
          </cell>
          <cell r="BF131">
            <v>2000</v>
          </cell>
          <cell r="BG131">
            <v>8000</v>
          </cell>
          <cell r="BH131">
            <v>14000</v>
          </cell>
          <cell r="BJ131">
            <v>5000</v>
          </cell>
          <cell r="BK131">
            <v>5000</v>
          </cell>
          <cell r="BL131">
            <v>5000</v>
          </cell>
          <cell r="BM131">
            <v>4000</v>
          </cell>
          <cell r="BN131">
            <v>8000</v>
          </cell>
          <cell r="BQ131">
            <v>10000</v>
          </cell>
          <cell r="BS131">
            <v>8000</v>
          </cell>
          <cell r="BU131">
            <v>8000</v>
          </cell>
          <cell r="BV131">
            <v>3000</v>
          </cell>
          <cell r="BW131">
            <v>13000</v>
          </cell>
          <cell r="BX131">
            <v>2000</v>
          </cell>
          <cell r="BY131">
            <v>4000</v>
          </cell>
          <cell r="BZ131">
            <v>3000</v>
          </cell>
          <cell r="CA131">
            <v>5000</v>
          </cell>
          <cell r="CB131">
            <v>2000</v>
          </cell>
          <cell r="CC131">
            <v>2000</v>
          </cell>
          <cell r="CD131">
            <v>12000</v>
          </cell>
          <cell r="CF131">
            <v>2000</v>
          </cell>
          <cell r="CG131">
            <v>2000</v>
          </cell>
          <cell r="CH131">
            <v>4000</v>
          </cell>
          <cell r="CI131">
            <v>6000</v>
          </cell>
          <cell r="CK131">
            <v>3000</v>
          </cell>
          <cell r="CL131">
            <v>3000</v>
          </cell>
          <cell r="CM131">
            <v>3000</v>
          </cell>
          <cell r="CN131">
            <v>4000</v>
          </cell>
          <cell r="CO131">
            <v>5000</v>
          </cell>
          <cell r="CP131">
            <v>2000</v>
          </cell>
          <cell r="CQ131">
            <v>3000</v>
          </cell>
          <cell r="CR131">
            <v>6000</v>
          </cell>
          <cell r="CS131">
            <v>4000</v>
          </cell>
          <cell r="CT131">
            <v>6000</v>
          </cell>
          <cell r="CU131">
            <v>7000</v>
          </cell>
          <cell r="CV131">
            <v>3000</v>
          </cell>
          <cell r="CW131">
            <v>8000</v>
          </cell>
          <cell r="CY131">
            <v>3000</v>
          </cell>
          <cell r="CZ131">
            <v>6000</v>
          </cell>
          <cell r="DA131">
            <v>5000</v>
          </cell>
          <cell r="DB131">
            <v>8000</v>
          </cell>
          <cell r="DC131">
            <v>5000</v>
          </cell>
          <cell r="DD131">
            <v>6000</v>
          </cell>
          <cell r="DE131" t="str">
            <v>ACTIVO</v>
          </cell>
          <cell r="DF131" t="str">
            <v>C</v>
          </cell>
          <cell r="DH131">
            <v>4521.739130434783</v>
          </cell>
          <cell r="DI131">
            <v>753.62318840579712</v>
          </cell>
        </row>
        <row r="132">
          <cell r="B132">
            <v>405103</v>
          </cell>
          <cell r="C132" t="str">
            <v>ETIQUETA BLANCA 200X50 SISA OPP</v>
          </cell>
          <cell r="D132">
            <v>15000</v>
          </cell>
          <cell r="E132">
            <v>4000</v>
          </cell>
          <cell r="G132">
            <v>3000</v>
          </cell>
          <cell r="I132">
            <v>2000</v>
          </cell>
          <cell r="J132">
            <v>3000</v>
          </cell>
          <cell r="K132">
            <v>14000</v>
          </cell>
          <cell r="L132">
            <v>15000</v>
          </cell>
          <cell r="M132">
            <v>14000</v>
          </cell>
          <cell r="N132">
            <v>19000</v>
          </cell>
          <cell r="O132">
            <v>24000</v>
          </cell>
          <cell r="P132">
            <v>4000</v>
          </cell>
          <cell r="Q132">
            <v>6000</v>
          </cell>
          <cell r="R132">
            <v>17000</v>
          </cell>
          <cell r="S132">
            <v>14000</v>
          </cell>
          <cell r="T132">
            <v>9000</v>
          </cell>
          <cell r="V132">
            <v>10000</v>
          </cell>
          <cell r="W132">
            <v>6000</v>
          </cell>
          <cell r="X132">
            <v>12000</v>
          </cell>
          <cell r="Y132">
            <v>50000</v>
          </cell>
          <cell r="AA132">
            <v>30000</v>
          </cell>
          <cell r="AB132">
            <v>8000</v>
          </cell>
          <cell r="AC132">
            <v>11000</v>
          </cell>
          <cell r="AD132">
            <v>5000</v>
          </cell>
          <cell r="AF132">
            <v>12000</v>
          </cell>
          <cell r="AH132">
            <v>8000</v>
          </cell>
          <cell r="AI132">
            <v>30000</v>
          </cell>
          <cell r="AJ132">
            <v>3000</v>
          </cell>
          <cell r="AL132">
            <v>7000</v>
          </cell>
          <cell r="AM132">
            <v>8000</v>
          </cell>
          <cell r="AN132">
            <v>7000</v>
          </cell>
          <cell r="AO132">
            <v>14000</v>
          </cell>
          <cell r="AP132">
            <v>12000</v>
          </cell>
          <cell r="AR132">
            <v>10000</v>
          </cell>
          <cell r="AT132">
            <v>8000</v>
          </cell>
          <cell r="AU132">
            <v>7000</v>
          </cell>
          <cell r="AV132">
            <v>8000</v>
          </cell>
          <cell r="AW132">
            <v>10000</v>
          </cell>
          <cell r="AX132">
            <v>7000</v>
          </cell>
          <cell r="AY132">
            <v>3000</v>
          </cell>
          <cell r="BA132">
            <v>5000</v>
          </cell>
          <cell r="BB132">
            <v>9000</v>
          </cell>
          <cell r="BC132">
            <v>4000</v>
          </cell>
          <cell r="BD132">
            <v>12000</v>
          </cell>
          <cell r="BE132">
            <v>3000</v>
          </cell>
          <cell r="BF132">
            <v>3000</v>
          </cell>
          <cell r="BG132">
            <v>4000</v>
          </cell>
          <cell r="BH132">
            <v>9000</v>
          </cell>
          <cell r="BJ132">
            <v>4000</v>
          </cell>
          <cell r="BK132">
            <v>4000</v>
          </cell>
          <cell r="BL132">
            <v>4000</v>
          </cell>
          <cell r="BM132">
            <v>13000</v>
          </cell>
          <cell r="BN132">
            <v>18000</v>
          </cell>
          <cell r="BO132">
            <v>2000</v>
          </cell>
          <cell r="BP132">
            <v>1000</v>
          </cell>
          <cell r="BQ132">
            <v>12000</v>
          </cell>
          <cell r="BS132">
            <v>11000</v>
          </cell>
          <cell r="BT132">
            <v>2000</v>
          </cell>
          <cell r="BU132">
            <v>7000</v>
          </cell>
          <cell r="BV132">
            <v>6000</v>
          </cell>
          <cell r="BW132">
            <v>13000</v>
          </cell>
          <cell r="BY132">
            <v>6000</v>
          </cell>
          <cell r="BZ132">
            <v>4000</v>
          </cell>
          <cell r="CA132">
            <v>9000</v>
          </cell>
          <cell r="CB132">
            <v>4000</v>
          </cell>
          <cell r="CD132">
            <v>180000</v>
          </cell>
          <cell r="CF132">
            <v>4000</v>
          </cell>
          <cell r="CH132">
            <v>4000</v>
          </cell>
          <cell r="CI132">
            <v>13000</v>
          </cell>
          <cell r="CJ132">
            <v>500</v>
          </cell>
          <cell r="CL132">
            <v>11000</v>
          </cell>
          <cell r="CM132">
            <v>9000</v>
          </cell>
          <cell r="CN132">
            <v>9000</v>
          </cell>
          <cell r="CO132">
            <v>10000</v>
          </cell>
          <cell r="CQ132">
            <v>6000</v>
          </cell>
          <cell r="CR132">
            <v>15000</v>
          </cell>
          <cell r="CT132">
            <v>1000</v>
          </cell>
          <cell r="CU132">
            <v>6000</v>
          </cell>
          <cell r="CV132">
            <v>6000</v>
          </cell>
          <cell r="CW132">
            <v>12000</v>
          </cell>
          <cell r="CY132">
            <v>4000</v>
          </cell>
          <cell r="CZ132">
            <v>10000</v>
          </cell>
          <cell r="DA132">
            <v>4000</v>
          </cell>
          <cell r="DC132">
            <v>7000</v>
          </cell>
          <cell r="DD132">
            <v>6000</v>
          </cell>
          <cell r="DE132" t="str">
            <v>ACTIVO</v>
          </cell>
          <cell r="DF132" t="str">
            <v>B</v>
          </cell>
          <cell r="DH132">
            <v>7236.8421052631575</v>
          </cell>
          <cell r="DI132">
            <v>1206.140350877193</v>
          </cell>
        </row>
        <row r="133">
          <cell r="B133">
            <v>405159</v>
          </cell>
          <cell r="C133" t="str">
            <v>ETIQUETA BLANCA 120X100 OPP</v>
          </cell>
          <cell r="D133">
            <v>16000</v>
          </cell>
          <cell r="E133">
            <v>12000</v>
          </cell>
          <cell r="F133">
            <v>14000</v>
          </cell>
          <cell r="G133">
            <v>20000</v>
          </cell>
          <cell r="H133">
            <v>3000</v>
          </cell>
          <cell r="I133">
            <v>21000</v>
          </cell>
          <cell r="J133">
            <v>20000</v>
          </cell>
          <cell r="K133">
            <v>15000</v>
          </cell>
          <cell r="L133">
            <v>12000</v>
          </cell>
          <cell r="M133">
            <v>12000</v>
          </cell>
          <cell r="N133">
            <v>20000</v>
          </cell>
          <cell r="O133">
            <v>16000</v>
          </cell>
          <cell r="Q133">
            <v>5000</v>
          </cell>
          <cell r="R133">
            <v>13000</v>
          </cell>
          <cell r="S133">
            <v>12000</v>
          </cell>
          <cell r="T133">
            <v>15000</v>
          </cell>
          <cell r="U133">
            <v>15000</v>
          </cell>
          <cell r="V133">
            <v>13000</v>
          </cell>
          <cell r="W133">
            <v>15000</v>
          </cell>
          <cell r="X133">
            <v>19000</v>
          </cell>
          <cell r="Y133">
            <v>17000</v>
          </cell>
          <cell r="Z133">
            <v>3000</v>
          </cell>
          <cell r="AA133">
            <v>20000</v>
          </cell>
          <cell r="AB133">
            <v>11000</v>
          </cell>
          <cell r="AC133">
            <v>7000</v>
          </cell>
          <cell r="AD133">
            <v>1000</v>
          </cell>
          <cell r="AF133">
            <v>9000</v>
          </cell>
          <cell r="AG133">
            <v>16000</v>
          </cell>
          <cell r="AH133">
            <v>24000</v>
          </cell>
          <cell r="AI133">
            <v>18200</v>
          </cell>
          <cell r="AJ133">
            <v>18000</v>
          </cell>
          <cell r="AK133">
            <v>12000</v>
          </cell>
          <cell r="AL133">
            <v>20000</v>
          </cell>
          <cell r="AM133">
            <v>13000</v>
          </cell>
          <cell r="AN133">
            <v>12000</v>
          </cell>
          <cell r="AO133">
            <v>14001</v>
          </cell>
          <cell r="AP133">
            <v>12000</v>
          </cell>
          <cell r="AQ133">
            <v>13999</v>
          </cell>
          <cell r="AR133">
            <v>25000</v>
          </cell>
          <cell r="AS133">
            <v>5000</v>
          </cell>
          <cell r="AT133">
            <v>7000</v>
          </cell>
          <cell r="AU133">
            <v>15000</v>
          </cell>
          <cell r="AV133">
            <v>3000</v>
          </cell>
          <cell r="AW133">
            <v>15000</v>
          </cell>
          <cell r="AX133">
            <v>12000</v>
          </cell>
          <cell r="AY133">
            <v>15000</v>
          </cell>
          <cell r="AZ133">
            <v>6000</v>
          </cell>
          <cell r="BA133">
            <v>11000</v>
          </cell>
          <cell r="BB133">
            <v>20000</v>
          </cell>
          <cell r="BC133">
            <v>6000</v>
          </cell>
          <cell r="BD133">
            <v>28000</v>
          </cell>
          <cell r="BE133">
            <v>13000</v>
          </cell>
          <cell r="BF133">
            <v>3000</v>
          </cell>
          <cell r="BG133">
            <v>10000</v>
          </cell>
          <cell r="BH133">
            <v>26000</v>
          </cell>
          <cell r="BI133">
            <v>3000</v>
          </cell>
          <cell r="BJ133">
            <v>18000</v>
          </cell>
          <cell r="BK133">
            <v>12000</v>
          </cell>
          <cell r="BL133">
            <v>12000</v>
          </cell>
          <cell r="BM133">
            <v>12000</v>
          </cell>
          <cell r="BN133">
            <v>23000</v>
          </cell>
          <cell r="BO133">
            <v>3000</v>
          </cell>
          <cell r="BQ133">
            <v>32000</v>
          </cell>
          <cell r="BR133">
            <v>2000</v>
          </cell>
          <cell r="BS133">
            <v>32000</v>
          </cell>
          <cell r="BT133">
            <v>3000</v>
          </cell>
          <cell r="BU133">
            <v>18000</v>
          </cell>
          <cell r="BV133">
            <v>9000</v>
          </cell>
          <cell r="BW133">
            <v>22000</v>
          </cell>
          <cell r="BX133">
            <v>2000</v>
          </cell>
          <cell r="BY133">
            <v>12000</v>
          </cell>
          <cell r="BZ133">
            <v>8000</v>
          </cell>
          <cell r="CA133">
            <v>21000</v>
          </cell>
          <cell r="CB133">
            <v>11000</v>
          </cell>
          <cell r="CD133">
            <v>52000</v>
          </cell>
          <cell r="CF133">
            <v>11000</v>
          </cell>
          <cell r="CG133">
            <v>3000</v>
          </cell>
          <cell r="CH133">
            <v>22000</v>
          </cell>
          <cell r="CI133">
            <v>27000</v>
          </cell>
          <cell r="CJ133">
            <v>5000</v>
          </cell>
          <cell r="CK133">
            <v>13000</v>
          </cell>
          <cell r="CL133">
            <v>20000</v>
          </cell>
          <cell r="CM133">
            <v>10000</v>
          </cell>
          <cell r="CN133">
            <v>17000</v>
          </cell>
          <cell r="CO133">
            <v>25000</v>
          </cell>
          <cell r="CP133">
            <v>6000</v>
          </cell>
          <cell r="CQ133">
            <v>17000</v>
          </cell>
          <cell r="CR133">
            <v>23000</v>
          </cell>
          <cell r="CS133">
            <v>3000</v>
          </cell>
          <cell r="CT133">
            <v>10000</v>
          </cell>
          <cell r="CU133">
            <v>18000</v>
          </cell>
          <cell r="CV133">
            <v>19000</v>
          </cell>
          <cell r="CW133">
            <v>40000</v>
          </cell>
          <cell r="CX133">
            <v>6000</v>
          </cell>
          <cell r="CY133">
            <v>9000</v>
          </cell>
          <cell r="CZ133">
            <v>12000</v>
          </cell>
          <cell r="DA133">
            <v>20000</v>
          </cell>
          <cell r="DC133">
            <v>11000</v>
          </cell>
          <cell r="DD133">
            <v>14000</v>
          </cell>
          <cell r="DE133" t="str">
            <v>ACTIVO</v>
          </cell>
          <cell r="DF133" t="str">
            <v>B</v>
          </cell>
          <cell r="DH133">
            <v>15041.666666666666</v>
          </cell>
          <cell r="DI133">
            <v>2506.9444444444443</v>
          </cell>
        </row>
        <row r="134">
          <cell r="B134">
            <v>405160</v>
          </cell>
          <cell r="C134" t="str">
            <v>ETIQUETA 200X50 POLIPROPILENO IMPR. QUINTA</v>
          </cell>
          <cell r="D134">
            <v>8000</v>
          </cell>
          <cell r="E134">
            <v>21000</v>
          </cell>
          <cell r="F134">
            <v>18000</v>
          </cell>
          <cell r="G134">
            <v>32000</v>
          </cell>
          <cell r="H134">
            <v>2000</v>
          </cell>
          <cell r="I134">
            <v>19000</v>
          </cell>
          <cell r="J134">
            <v>15000</v>
          </cell>
          <cell r="K134">
            <v>16000</v>
          </cell>
          <cell r="L134">
            <v>8000</v>
          </cell>
          <cell r="M134">
            <v>9000</v>
          </cell>
          <cell r="N134">
            <v>4000</v>
          </cell>
          <cell r="O134">
            <v>6000</v>
          </cell>
          <cell r="Q134">
            <v>3000</v>
          </cell>
          <cell r="R134">
            <v>4000</v>
          </cell>
          <cell r="S134">
            <v>3000</v>
          </cell>
          <cell r="T134">
            <v>5000</v>
          </cell>
          <cell r="V134">
            <v>6000</v>
          </cell>
          <cell r="W134">
            <v>3000</v>
          </cell>
          <cell r="X134">
            <v>7000</v>
          </cell>
          <cell r="Y134">
            <v>22000</v>
          </cell>
          <cell r="Z134">
            <v>3000</v>
          </cell>
          <cell r="AA134">
            <v>2000</v>
          </cell>
          <cell r="AB134">
            <v>2000</v>
          </cell>
          <cell r="AC134">
            <v>2000</v>
          </cell>
          <cell r="AD134">
            <v>2000</v>
          </cell>
          <cell r="AF134">
            <v>3500</v>
          </cell>
          <cell r="AG134">
            <v>7000</v>
          </cell>
          <cell r="AH134">
            <v>7000</v>
          </cell>
          <cell r="AI134">
            <v>2000</v>
          </cell>
          <cell r="AJ134">
            <v>3000</v>
          </cell>
          <cell r="AK134">
            <v>6000</v>
          </cell>
          <cell r="AL134">
            <v>2000</v>
          </cell>
          <cell r="AM134">
            <v>1000</v>
          </cell>
          <cell r="AN134">
            <v>5000</v>
          </cell>
          <cell r="AO134">
            <v>3000</v>
          </cell>
          <cell r="AP134">
            <v>5000</v>
          </cell>
          <cell r="AQ134">
            <v>6000</v>
          </cell>
          <cell r="AR134">
            <v>5000</v>
          </cell>
          <cell r="AS134">
            <v>4000</v>
          </cell>
          <cell r="AT134">
            <v>2000</v>
          </cell>
          <cell r="AU134">
            <v>7000</v>
          </cell>
          <cell r="AV134">
            <v>9000</v>
          </cell>
          <cell r="AW134">
            <v>11000</v>
          </cell>
          <cell r="AX134">
            <v>5000</v>
          </cell>
          <cell r="AY134">
            <v>4000</v>
          </cell>
          <cell r="AZ134">
            <v>2000</v>
          </cell>
          <cell r="BA134">
            <v>12000</v>
          </cell>
          <cell r="BB134">
            <v>6000</v>
          </cell>
          <cell r="BC134">
            <v>4000</v>
          </cell>
          <cell r="BD134">
            <v>4000</v>
          </cell>
          <cell r="BE134">
            <v>2000</v>
          </cell>
          <cell r="BG134">
            <v>7000</v>
          </cell>
          <cell r="BH134">
            <v>9000</v>
          </cell>
          <cell r="BI134">
            <v>4000</v>
          </cell>
          <cell r="BJ134">
            <v>10000</v>
          </cell>
          <cell r="BK134">
            <v>4000</v>
          </cell>
          <cell r="BL134">
            <v>4000</v>
          </cell>
          <cell r="BM134">
            <v>9000</v>
          </cell>
          <cell r="BN134">
            <v>15000</v>
          </cell>
          <cell r="BQ134">
            <v>10000</v>
          </cell>
          <cell r="BR134">
            <v>6000</v>
          </cell>
          <cell r="BS134">
            <v>9000</v>
          </cell>
          <cell r="BT134">
            <v>1000</v>
          </cell>
          <cell r="BU134">
            <v>11000</v>
          </cell>
          <cell r="BV134">
            <v>7000</v>
          </cell>
          <cell r="BW134">
            <v>9000</v>
          </cell>
          <cell r="BX134">
            <v>4000</v>
          </cell>
          <cell r="BY134">
            <v>6000</v>
          </cell>
          <cell r="BZ134">
            <v>10000</v>
          </cell>
          <cell r="CA134">
            <v>12000</v>
          </cell>
          <cell r="CB134">
            <v>6000</v>
          </cell>
          <cell r="CC134">
            <v>2000</v>
          </cell>
          <cell r="CD134">
            <v>52000</v>
          </cell>
          <cell r="CF134">
            <v>6000</v>
          </cell>
          <cell r="CH134">
            <v>7000</v>
          </cell>
          <cell r="CI134">
            <v>13000</v>
          </cell>
          <cell r="CJ134">
            <v>7000</v>
          </cell>
          <cell r="CK134">
            <v>9000</v>
          </cell>
          <cell r="CL134">
            <v>5000</v>
          </cell>
          <cell r="CM134">
            <v>6000</v>
          </cell>
          <cell r="CN134">
            <v>7000</v>
          </cell>
          <cell r="CO134">
            <v>10000</v>
          </cell>
          <cell r="CQ134">
            <v>7000</v>
          </cell>
          <cell r="CR134">
            <v>11000</v>
          </cell>
          <cell r="CT134">
            <v>6000</v>
          </cell>
          <cell r="CU134">
            <v>4000</v>
          </cell>
          <cell r="CV134">
            <v>4000</v>
          </cell>
          <cell r="CW134">
            <v>36000</v>
          </cell>
          <cell r="CX134">
            <v>2000</v>
          </cell>
          <cell r="CY134">
            <v>1000</v>
          </cell>
          <cell r="DA134">
            <v>3000</v>
          </cell>
          <cell r="DC134">
            <v>3000</v>
          </cell>
          <cell r="DD134">
            <v>8000</v>
          </cell>
          <cell r="DE134" t="str">
            <v>ACTIVO</v>
          </cell>
          <cell r="DF134" t="str">
            <v>C</v>
          </cell>
          <cell r="DH134">
            <v>7750</v>
          </cell>
          <cell r="DI134">
            <v>1291.6666666666667</v>
          </cell>
        </row>
        <row r="135">
          <cell r="B135">
            <v>404735</v>
          </cell>
          <cell r="C135" t="str">
            <v>ETIQUETA CIRCULAR 9,8cm IMPR. TARTA  5 COL +UV</v>
          </cell>
          <cell r="D135">
            <v>1000</v>
          </cell>
          <cell r="E135">
            <v>1000</v>
          </cell>
          <cell r="F135">
            <v>1000</v>
          </cell>
          <cell r="G135">
            <v>2000</v>
          </cell>
          <cell r="I135">
            <v>1000</v>
          </cell>
          <cell r="J135">
            <v>1000</v>
          </cell>
          <cell r="K135">
            <v>3500</v>
          </cell>
          <cell r="L135">
            <v>1000</v>
          </cell>
          <cell r="M135">
            <v>500</v>
          </cell>
          <cell r="N135">
            <v>1000</v>
          </cell>
          <cell r="O135">
            <v>2000</v>
          </cell>
          <cell r="R135">
            <v>1000</v>
          </cell>
          <cell r="AK135">
            <v>19000</v>
          </cell>
          <cell r="BO135">
            <v>19000</v>
          </cell>
          <cell r="BR135">
            <v>100</v>
          </cell>
          <cell r="BS135">
            <v>1900</v>
          </cell>
          <cell r="BU135">
            <v>3000</v>
          </cell>
          <cell r="BV135">
            <v>5000</v>
          </cell>
          <cell r="BW135">
            <v>4000</v>
          </cell>
          <cell r="BY135">
            <v>2000</v>
          </cell>
          <cell r="BZ135">
            <v>2000</v>
          </cell>
          <cell r="CA135">
            <v>2000</v>
          </cell>
          <cell r="CB135">
            <v>1000</v>
          </cell>
          <cell r="CD135">
            <v>6000</v>
          </cell>
          <cell r="CF135">
            <v>1000</v>
          </cell>
          <cell r="CH135">
            <v>1000</v>
          </cell>
          <cell r="CI135">
            <v>2000</v>
          </cell>
          <cell r="CQ135">
            <v>1000</v>
          </cell>
          <cell r="CR135">
            <v>1000</v>
          </cell>
          <cell r="CS135">
            <v>2000</v>
          </cell>
          <cell r="CT135">
            <v>3000</v>
          </cell>
          <cell r="CW135">
            <v>2000</v>
          </cell>
          <cell r="CY135">
            <v>1000</v>
          </cell>
          <cell r="CZ135">
            <v>1000</v>
          </cell>
          <cell r="DA135">
            <v>3000</v>
          </cell>
          <cell r="DC135">
            <v>2000</v>
          </cell>
          <cell r="DD135">
            <v>1000</v>
          </cell>
          <cell r="DE135" t="str">
            <v>ACTIVO</v>
          </cell>
          <cell r="DF135" t="str">
            <v>C</v>
          </cell>
          <cell r="DH135">
            <v>1615.3846153846155</v>
          </cell>
          <cell r="DI135">
            <v>269.23076923076923</v>
          </cell>
        </row>
        <row r="136">
          <cell r="B136">
            <v>405199</v>
          </cell>
          <cell r="C136" t="str">
            <v>ETIQUETA CONSUMO IMPRESO COLOR MOSTAZA</v>
          </cell>
          <cell r="D136">
            <v>6000</v>
          </cell>
          <cell r="E136">
            <v>6000</v>
          </cell>
          <cell r="F136">
            <v>10000</v>
          </cell>
          <cell r="G136">
            <v>10000</v>
          </cell>
          <cell r="H136">
            <v>10000</v>
          </cell>
          <cell r="I136">
            <v>8000</v>
          </cell>
          <cell r="J136">
            <v>14000</v>
          </cell>
          <cell r="K136">
            <v>20000</v>
          </cell>
          <cell r="L136">
            <v>10000</v>
          </cell>
          <cell r="M136">
            <v>4000</v>
          </cell>
          <cell r="N136">
            <v>20000</v>
          </cell>
          <cell r="P136">
            <v>8000</v>
          </cell>
          <cell r="Q136">
            <v>6000</v>
          </cell>
          <cell r="R136">
            <v>14000</v>
          </cell>
          <cell r="T136">
            <v>12000</v>
          </cell>
          <cell r="U136">
            <v>6000</v>
          </cell>
          <cell r="V136">
            <v>24000</v>
          </cell>
          <cell r="W136">
            <v>6000</v>
          </cell>
          <cell r="X136">
            <v>18000</v>
          </cell>
          <cell r="AA136">
            <v>4000</v>
          </cell>
          <cell r="AB136">
            <v>12000</v>
          </cell>
          <cell r="AC136">
            <v>8000</v>
          </cell>
          <cell r="AD136">
            <v>10000</v>
          </cell>
          <cell r="AF136">
            <v>16000</v>
          </cell>
          <cell r="AG136">
            <v>8000</v>
          </cell>
          <cell r="AH136">
            <v>44000</v>
          </cell>
          <cell r="AI136">
            <v>4000</v>
          </cell>
          <cell r="AJ136">
            <v>7500</v>
          </cell>
          <cell r="AK136">
            <v>6000</v>
          </cell>
          <cell r="AL136">
            <v>6000</v>
          </cell>
          <cell r="AM136">
            <v>20000</v>
          </cell>
          <cell r="AN136">
            <v>20000</v>
          </cell>
          <cell r="AO136">
            <v>12000</v>
          </cell>
          <cell r="AP136">
            <v>12000</v>
          </cell>
          <cell r="AQ136">
            <v>14000</v>
          </cell>
          <cell r="AR136">
            <v>12000</v>
          </cell>
          <cell r="AS136">
            <v>12000</v>
          </cell>
          <cell r="AT136">
            <v>18000</v>
          </cell>
          <cell r="AU136">
            <v>30000</v>
          </cell>
          <cell r="AV136">
            <v>16000</v>
          </cell>
          <cell r="AW136">
            <v>16000</v>
          </cell>
          <cell r="AX136">
            <v>4000</v>
          </cell>
          <cell r="AY136">
            <v>22000</v>
          </cell>
          <cell r="AZ136">
            <v>34000</v>
          </cell>
          <cell r="BA136">
            <v>6000</v>
          </cell>
          <cell r="BB136">
            <v>6000</v>
          </cell>
          <cell r="BC136">
            <v>20000</v>
          </cell>
          <cell r="BD136">
            <v>10000</v>
          </cell>
          <cell r="BE136">
            <v>20000</v>
          </cell>
          <cell r="BF136">
            <v>6000</v>
          </cell>
          <cell r="BG136">
            <v>25000</v>
          </cell>
          <cell r="BH136">
            <v>18000</v>
          </cell>
          <cell r="BI136">
            <v>22000</v>
          </cell>
          <cell r="BJ136">
            <v>14000</v>
          </cell>
          <cell r="BK136">
            <v>20000</v>
          </cell>
          <cell r="BL136">
            <v>12000</v>
          </cell>
          <cell r="BM136">
            <v>12000</v>
          </cell>
          <cell r="BN136">
            <v>12000</v>
          </cell>
          <cell r="BO136">
            <v>10000</v>
          </cell>
          <cell r="BP136">
            <v>6000</v>
          </cell>
          <cell r="BQ136">
            <v>18000</v>
          </cell>
          <cell r="BR136">
            <v>6000</v>
          </cell>
          <cell r="BS136">
            <v>26000</v>
          </cell>
          <cell r="BT136">
            <v>6000</v>
          </cell>
          <cell r="BU136">
            <v>24000</v>
          </cell>
          <cell r="BW136">
            <v>20000</v>
          </cell>
          <cell r="BX136">
            <v>16000</v>
          </cell>
          <cell r="BY136">
            <v>6000</v>
          </cell>
          <cell r="BZ136">
            <v>18000</v>
          </cell>
          <cell r="CA136">
            <v>18000</v>
          </cell>
          <cell r="CB136">
            <v>6000</v>
          </cell>
          <cell r="CC136">
            <v>14000</v>
          </cell>
          <cell r="CD136">
            <v>20000</v>
          </cell>
          <cell r="CE136">
            <v>8000</v>
          </cell>
          <cell r="CG136">
            <v>22000</v>
          </cell>
          <cell r="CH136">
            <v>8000</v>
          </cell>
          <cell r="CI136">
            <v>14000</v>
          </cell>
          <cell r="CJ136">
            <v>16000</v>
          </cell>
          <cell r="CK136">
            <v>16000</v>
          </cell>
          <cell r="CL136">
            <v>8000</v>
          </cell>
          <cell r="CM136">
            <v>14000</v>
          </cell>
          <cell r="CN136">
            <v>16000</v>
          </cell>
          <cell r="CO136">
            <v>14000</v>
          </cell>
          <cell r="CP136">
            <v>16000</v>
          </cell>
          <cell r="CQ136">
            <v>12000</v>
          </cell>
          <cell r="DE136" t="str">
            <v>ACTIVO</v>
          </cell>
          <cell r="DF136" t="str">
            <v>C</v>
          </cell>
          <cell r="DH136">
            <v>14181.818181818182</v>
          </cell>
          <cell r="DI136">
            <v>2363.6363636363635</v>
          </cell>
        </row>
        <row r="137">
          <cell r="B137">
            <v>405354</v>
          </cell>
          <cell r="C137" t="str">
            <v>ETIQ. CIRCULAR 90cm IMPR. JUMBO KUCHEN DE DURAZNO</v>
          </cell>
          <cell r="J137">
            <v>3000</v>
          </cell>
          <cell r="M137">
            <v>1000</v>
          </cell>
          <cell r="N137">
            <v>2000</v>
          </cell>
          <cell r="O137">
            <v>2000</v>
          </cell>
          <cell r="Q137">
            <v>1000</v>
          </cell>
          <cell r="R137">
            <v>2000</v>
          </cell>
          <cell r="T137">
            <v>1000</v>
          </cell>
          <cell r="V137">
            <v>1000</v>
          </cell>
          <cell r="W137">
            <v>2000</v>
          </cell>
          <cell r="X137">
            <v>2000</v>
          </cell>
          <cell r="AF137">
            <v>1000</v>
          </cell>
          <cell r="AH137">
            <v>1000</v>
          </cell>
          <cell r="AI137">
            <v>1000</v>
          </cell>
          <cell r="AJ137">
            <v>1000</v>
          </cell>
          <cell r="AK137">
            <v>1000</v>
          </cell>
          <cell r="AM137">
            <v>1000</v>
          </cell>
          <cell r="AN137">
            <v>3000</v>
          </cell>
          <cell r="AO137">
            <v>1000</v>
          </cell>
          <cell r="AP137">
            <v>1000</v>
          </cell>
          <cell r="AR137">
            <v>2000</v>
          </cell>
          <cell r="AT137">
            <v>1000</v>
          </cell>
          <cell r="AU137">
            <v>1000</v>
          </cell>
          <cell r="AV137">
            <v>3000</v>
          </cell>
          <cell r="AW137">
            <v>2000</v>
          </cell>
          <cell r="AY137">
            <v>2000</v>
          </cell>
          <cell r="BB137">
            <v>1000</v>
          </cell>
          <cell r="BC137">
            <v>1000</v>
          </cell>
          <cell r="BD137">
            <v>2000</v>
          </cell>
          <cell r="BE137">
            <v>3000</v>
          </cell>
          <cell r="BG137">
            <v>1000</v>
          </cell>
          <cell r="BH137">
            <v>3000</v>
          </cell>
          <cell r="BJ137">
            <v>2000</v>
          </cell>
          <cell r="BK137">
            <v>2000</v>
          </cell>
          <cell r="BL137">
            <v>2000</v>
          </cell>
          <cell r="BM137">
            <v>1000</v>
          </cell>
          <cell r="BN137">
            <v>2000</v>
          </cell>
          <cell r="BQ137">
            <v>2000</v>
          </cell>
          <cell r="BS137">
            <v>2000</v>
          </cell>
          <cell r="BU137">
            <v>3000</v>
          </cell>
          <cell r="BV137">
            <v>2000</v>
          </cell>
          <cell r="BW137">
            <v>3000</v>
          </cell>
          <cell r="BY137">
            <v>1000</v>
          </cell>
          <cell r="BZ137">
            <v>1000</v>
          </cell>
          <cell r="CA137">
            <v>2000</v>
          </cell>
          <cell r="CB137">
            <v>1000</v>
          </cell>
          <cell r="CD137">
            <v>8000</v>
          </cell>
          <cell r="CF137">
            <v>1000</v>
          </cell>
          <cell r="CH137">
            <v>1000</v>
          </cell>
          <cell r="CI137">
            <v>2000</v>
          </cell>
          <cell r="CM137">
            <v>2000</v>
          </cell>
          <cell r="CQ137">
            <v>1000</v>
          </cell>
          <cell r="CR137">
            <v>2000</v>
          </cell>
          <cell r="CS137">
            <v>1000</v>
          </cell>
          <cell r="CT137">
            <v>1000</v>
          </cell>
          <cell r="CU137">
            <v>1000</v>
          </cell>
          <cell r="CV137">
            <v>500</v>
          </cell>
          <cell r="CW137">
            <v>2000</v>
          </cell>
          <cell r="CZ137">
            <v>2000</v>
          </cell>
          <cell r="DA137">
            <v>1000</v>
          </cell>
          <cell r="DC137">
            <v>1000</v>
          </cell>
          <cell r="DD137">
            <v>1000</v>
          </cell>
          <cell r="DE137" t="str">
            <v>ACTIVO</v>
          </cell>
          <cell r="DF137" t="str">
            <v>C</v>
          </cell>
          <cell r="DH137">
            <v>1300</v>
          </cell>
          <cell r="DI137">
            <v>216.66666666666666</v>
          </cell>
        </row>
        <row r="138">
          <cell r="B138">
            <v>405360</v>
          </cell>
          <cell r="C138" t="str">
            <v>ETIQ. CIRCULAR 90cm IMPR. JUMBO KUCHEN DE FRAMBUESA</v>
          </cell>
          <cell r="J138">
            <v>2000</v>
          </cell>
          <cell r="K138">
            <v>2000</v>
          </cell>
          <cell r="M138">
            <v>1000</v>
          </cell>
          <cell r="N138">
            <v>2000</v>
          </cell>
          <cell r="O138">
            <v>2000</v>
          </cell>
          <cell r="R138">
            <v>2000</v>
          </cell>
          <cell r="X138">
            <v>2000</v>
          </cell>
          <cell r="Y138">
            <v>1000</v>
          </cell>
          <cell r="AJ138">
            <v>1000</v>
          </cell>
          <cell r="AK138">
            <v>1000</v>
          </cell>
          <cell r="AL138">
            <v>1000</v>
          </cell>
          <cell r="AM138">
            <v>1000</v>
          </cell>
          <cell r="AO138">
            <v>1</v>
          </cell>
          <cell r="AP138">
            <v>1000</v>
          </cell>
          <cell r="AQ138">
            <v>1000</v>
          </cell>
          <cell r="AR138">
            <v>1000</v>
          </cell>
          <cell r="AT138">
            <v>1000</v>
          </cell>
          <cell r="AU138">
            <v>1000</v>
          </cell>
          <cell r="AV138">
            <v>2000</v>
          </cell>
          <cell r="AW138">
            <v>6000</v>
          </cell>
          <cell r="AY138">
            <v>2000</v>
          </cell>
          <cell r="BA138">
            <v>1000</v>
          </cell>
          <cell r="BB138">
            <v>3000</v>
          </cell>
          <cell r="BE138">
            <v>1000</v>
          </cell>
          <cell r="BG138">
            <v>1000</v>
          </cell>
          <cell r="BH138">
            <v>4000</v>
          </cell>
          <cell r="BJ138">
            <v>2000</v>
          </cell>
          <cell r="BK138">
            <v>2000</v>
          </cell>
          <cell r="BL138">
            <v>2000</v>
          </cell>
          <cell r="BM138">
            <v>2000</v>
          </cell>
          <cell r="BN138">
            <v>4000</v>
          </cell>
          <cell r="BQ138">
            <v>3000</v>
          </cell>
          <cell r="BR138">
            <v>2000</v>
          </cell>
          <cell r="BS138">
            <v>2000</v>
          </cell>
          <cell r="BU138">
            <v>2000</v>
          </cell>
          <cell r="BV138">
            <v>2000</v>
          </cell>
          <cell r="BW138">
            <v>4000</v>
          </cell>
          <cell r="BY138">
            <v>1000</v>
          </cell>
          <cell r="BZ138">
            <v>1000</v>
          </cell>
          <cell r="CA138">
            <v>2000</v>
          </cell>
          <cell r="CB138">
            <v>1000</v>
          </cell>
          <cell r="CD138">
            <v>5000</v>
          </cell>
          <cell r="CF138">
            <v>1000</v>
          </cell>
          <cell r="CH138">
            <v>1000</v>
          </cell>
          <cell r="CI138">
            <v>2000</v>
          </cell>
          <cell r="CL138">
            <v>3000</v>
          </cell>
          <cell r="CN138">
            <v>2000</v>
          </cell>
          <cell r="CQ138">
            <v>2000</v>
          </cell>
          <cell r="CR138">
            <v>3000</v>
          </cell>
          <cell r="CS138">
            <v>1000</v>
          </cell>
          <cell r="CT138">
            <v>2000</v>
          </cell>
          <cell r="CY138">
            <v>1000</v>
          </cell>
          <cell r="DB138">
            <v>1000</v>
          </cell>
          <cell r="DC138">
            <v>1000</v>
          </cell>
          <cell r="DD138">
            <v>1000</v>
          </cell>
          <cell r="DE138" t="str">
            <v>ACTIVO</v>
          </cell>
          <cell r="DF138" t="str">
            <v>C</v>
          </cell>
          <cell r="DH138">
            <v>1615.3846153846155</v>
          </cell>
          <cell r="DI138">
            <v>269.23076923076923</v>
          </cell>
        </row>
        <row r="139">
          <cell r="B139">
            <v>405356</v>
          </cell>
          <cell r="C139" t="str">
            <v>ETIQ. CIRCULAR 90cm IMPR. JUMBO KUCHEN DE MANZANA TRENZADO</v>
          </cell>
          <cell r="J139">
            <v>2000</v>
          </cell>
          <cell r="M139">
            <v>1000</v>
          </cell>
          <cell r="N139">
            <v>1000</v>
          </cell>
          <cell r="O139">
            <v>2000</v>
          </cell>
          <cell r="Q139">
            <v>1000</v>
          </cell>
          <cell r="R139">
            <v>1000</v>
          </cell>
          <cell r="S139">
            <v>1000</v>
          </cell>
          <cell r="T139">
            <v>1000</v>
          </cell>
          <cell r="V139">
            <v>2000</v>
          </cell>
          <cell r="W139">
            <v>2000</v>
          </cell>
          <cell r="X139">
            <v>2000</v>
          </cell>
          <cell r="Y139">
            <v>1000</v>
          </cell>
          <cell r="AA139">
            <v>3000</v>
          </cell>
          <cell r="AB139">
            <v>3000</v>
          </cell>
          <cell r="AC139">
            <v>1000</v>
          </cell>
          <cell r="AD139">
            <v>1000</v>
          </cell>
          <cell r="AF139">
            <v>2000</v>
          </cell>
          <cell r="AG139">
            <v>1000</v>
          </cell>
          <cell r="AH139">
            <v>1000</v>
          </cell>
          <cell r="AI139">
            <v>1000</v>
          </cell>
          <cell r="AK139">
            <v>1000</v>
          </cell>
          <cell r="AM139">
            <v>1000</v>
          </cell>
          <cell r="AO139">
            <v>1000</v>
          </cell>
          <cell r="AV139">
            <v>2000</v>
          </cell>
          <cell r="AY139">
            <v>1000</v>
          </cell>
          <cell r="AZ139">
            <v>1000</v>
          </cell>
          <cell r="BA139">
            <v>1000</v>
          </cell>
          <cell r="BB139">
            <v>2000</v>
          </cell>
          <cell r="BE139">
            <v>2000</v>
          </cell>
          <cell r="BG139">
            <v>1000</v>
          </cell>
          <cell r="BH139">
            <v>2000</v>
          </cell>
          <cell r="BJ139">
            <v>3000</v>
          </cell>
          <cell r="BK139">
            <v>1000</v>
          </cell>
          <cell r="BL139">
            <v>1000</v>
          </cell>
          <cell r="BM139">
            <v>1000</v>
          </cell>
          <cell r="BN139">
            <v>2000</v>
          </cell>
          <cell r="BQ139">
            <v>4000</v>
          </cell>
          <cell r="BS139">
            <v>2000</v>
          </cell>
          <cell r="BU139">
            <v>1000</v>
          </cell>
          <cell r="BV139">
            <v>1000</v>
          </cell>
          <cell r="BW139">
            <v>2000</v>
          </cell>
          <cell r="BY139">
            <v>1000</v>
          </cell>
          <cell r="BZ139">
            <v>1000</v>
          </cell>
          <cell r="CA139">
            <v>2000</v>
          </cell>
          <cell r="CB139">
            <v>1000</v>
          </cell>
          <cell r="CD139">
            <v>4000</v>
          </cell>
          <cell r="CF139">
            <v>1000</v>
          </cell>
          <cell r="CH139">
            <v>1000</v>
          </cell>
          <cell r="CI139">
            <v>2000</v>
          </cell>
          <cell r="CM139">
            <v>4000</v>
          </cell>
          <cell r="CQ139">
            <v>1000</v>
          </cell>
          <cell r="CR139">
            <v>1000</v>
          </cell>
          <cell r="CS139">
            <v>1000</v>
          </cell>
          <cell r="CT139">
            <v>1000</v>
          </cell>
          <cell r="CU139">
            <v>1000</v>
          </cell>
          <cell r="CV139">
            <v>500</v>
          </cell>
          <cell r="CW139">
            <v>2000</v>
          </cell>
          <cell r="CZ139">
            <v>1000</v>
          </cell>
          <cell r="DA139">
            <v>1000</v>
          </cell>
          <cell r="DE139" t="str">
            <v>ACTIVO</v>
          </cell>
          <cell r="DF139" t="str">
            <v>C</v>
          </cell>
          <cell r="DH139">
            <v>1346.1538461538462</v>
          </cell>
          <cell r="DI139">
            <v>224.35897435897436</v>
          </cell>
        </row>
        <row r="140">
          <cell r="B140">
            <v>405357</v>
          </cell>
          <cell r="C140" t="str">
            <v>ETIQ. CIRCULAR 90cm IMPR. JUMBO KUCHEN DE STROISSEL MANZANA</v>
          </cell>
          <cell r="J140">
            <v>1000</v>
          </cell>
          <cell r="P140">
            <v>2000</v>
          </cell>
          <cell r="Q140">
            <v>1000</v>
          </cell>
          <cell r="R140">
            <v>1000</v>
          </cell>
          <cell r="S140">
            <v>1000</v>
          </cell>
          <cell r="T140">
            <v>1000</v>
          </cell>
          <cell r="W140">
            <v>1000</v>
          </cell>
          <cell r="AB140">
            <v>1000</v>
          </cell>
          <cell r="AD140">
            <v>1000</v>
          </cell>
          <cell r="AF140">
            <v>1000</v>
          </cell>
          <cell r="AH140">
            <v>1000</v>
          </cell>
          <cell r="AI140">
            <v>1000</v>
          </cell>
          <cell r="AJ140">
            <v>1000</v>
          </cell>
          <cell r="AK140">
            <v>1000</v>
          </cell>
          <cell r="AR140">
            <v>2000</v>
          </cell>
          <cell r="AT140">
            <v>1000</v>
          </cell>
          <cell r="AV140">
            <v>2000</v>
          </cell>
          <cell r="AW140">
            <v>2000</v>
          </cell>
          <cell r="AY140">
            <v>1000</v>
          </cell>
          <cell r="BD140">
            <v>2000</v>
          </cell>
          <cell r="BG140">
            <v>1000</v>
          </cell>
          <cell r="BH140">
            <v>2000</v>
          </cell>
          <cell r="BJ140">
            <v>1000</v>
          </cell>
          <cell r="BK140">
            <v>1000</v>
          </cell>
          <cell r="BL140">
            <v>1000</v>
          </cell>
          <cell r="BM140">
            <v>1000</v>
          </cell>
          <cell r="BN140">
            <v>2000</v>
          </cell>
          <cell r="BQ140">
            <v>2000</v>
          </cell>
          <cell r="BS140">
            <v>2000</v>
          </cell>
          <cell r="BU140">
            <v>1000</v>
          </cell>
          <cell r="BV140">
            <v>1000</v>
          </cell>
          <cell r="BW140">
            <v>2000</v>
          </cell>
          <cell r="BY140">
            <v>1000</v>
          </cell>
          <cell r="BZ140">
            <v>1000</v>
          </cell>
          <cell r="CA140">
            <v>2000</v>
          </cell>
          <cell r="CB140">
            <v>1000</v>
          </cell>
          <cell r="CD140">
            <v>5000</v>
          </cell>
          <cell r="CF140">
            <v>1000</v>
          </cell>
          <cell r="CH140">
            <v>1000</v>
          </cell>
          <cell r="CI140">
            <v>1000</v>
          </cell>
          <cell r="CM140">
            <v>2000</v>
          </cell>
          <cell r="CQ140">
            <v>1000</v>
          </cell>
          <cell r="CT140">
            <v>1000</v>
          </cell>
          <cell r="CU140">
            <v>1000</v>
          </cell>
          <cell r="CV140">
            <v>500</v>
          </cell>
          <cell r="CW140">
            <v>2000</v>
          </cell>
          <cell r="DE140" t="str">
            <v>ACTIVO</v>
          </cell>
          <cell r="DF140" t="str">
            <v>C</v>
          </cell>
          <cell r="DH140">
            <v>1166.6666666666667</v>
          </cell>
          <cell r="DI140">
            <v>194.44444444444446</v>
          </cell>
        </row>
        <row r="141">
          <cell r="B141">
            <v>405479</v>
          </cell>
          <cell r="C141" t="str">
            <v>ETIQUETA BLANCA 180X50 PAPEL SEMIBRILLO CRISME</v>
          </cell>
          <cell r="AB141">
            <v>2000</v>
          </cell>
          <cell r="AC141">
            <v>2000</v>
          </cell>
          <cell r="AG141">
            <v>4000</v>
          </cell>
          <cell r="AH141">
            <v>11000</v>
          </cell>
          <cell r="AI141">
            <v>4000</v>
          </cell>
          <cell r="AJ141">
            <v>9000</v>
          </cell>
          <cell r="AK141">
            <v>3000</v>
          </cell>
          <cell r="AL141">
            <v>5000</v>
          </cell>
          <cell r="AO141">
            <v>2500</v>
          </cell>
          <cell r="AQ141">
            <v>2500</v>
          </cell>
          <cell r="AS141">
            <v>4800</v>
          </cell>
          <cell r="AZ141">
            <v>4800</v>
          </cell>
          <cell r="BA141">
            <v>3200</v>
          </cell>
          <cell r="BB141">
            <v>2000</v>
          </cell>
          <cell r="BC141">
            <v>2000</v>
          </cell>
          <cell r="BD141">
            <v>4800</v>
          </cell>
          <cell r="BE141">
            <v>3200</v>
          </cell>
          <cell r="BG141">
            <v>2000</v>
          </cell>
          <cell r="BH141">
            <v>8000</v>
          </cell>
          <cell r="BK141">
            <v>2000</v>
          </cell>
          <cell r="BR141">
            <v>7500</v>
          </cell>
          <cell r="BS141">
            <v>6000</v>
          </cell>
          <cell r="BT141">
            <v>3000</v>
          </cell>
          <cell r="BU141">
            <v>4100</v>
          </cell>
          <cell r="BV141">
            <v>4000</v>
          </cell>
          <cell r="BW141">
            <v>4000</v>
          </cell>
          <cell r="BY141">
            <v>2000</v>
          </cell>
          <cell r="DE141" t="str">
            <v>ACTIVO</v>
          </cell>
          <cell r="DF141" t="str">
            <v>C</v>
          </cell>
          <cell r="DH141">
            <v>0</v>
          </cell>
          <cell r="DI141">
            <v>0</v>
          </cell>
        </row>
        <row r="142">
          <cell r="B142">
            <v>405049</v>
          </cell>
          <cell r="C142" t="str">
            <v>ETIQUETA AUTOADHESIVA 22X32 POLIPROPILENO (OPP)</v>
          </cell>
          <cell r="BF142">
            <v>10000</v>
          </cell>
          <cell r="BO142">
            <v>50000</v>
          </cell>
          <cell r="BV142">
            <v>70000</v>
          </cell>
          <cell r="BW142">
            <v>80000</v>
          </cell>
          <cell r="BX142">
            <v>20000</v>
          </cell>
          <cell r="BY142">
            <v>90000</v>
          </cell>
          <cell r="BZ142">
            <v>80000</v>
          </cell>
          <cell r="CA142">
            <v>50000</v>
          </cell>
          <cell r="CG142">
            <v>100000</v>
          </cell>
          <cell r="CH142">
            <v>120000</v>
          </cell>
          <cell r="CI142">
            <v>150000</v>
          </cell>
          <cell r="CJ142">
            <v>60000</v>
          </cell>
          <cell r="CK142">
            <v>80000</v>
          </cell>
          <cell r="CL142">
            <v>100000</v>
          </cell>
          <cell r="CM142">
            <v>60000</v>
          </cell>
          <cell r="CN142">
            <v>110000</v>
          </cell>
          <cell r="CO142">
            <v>130000</v>
          </cell>
          <cell r="CP142">
            <v>30000</v>
          </cell>
          <cell r="CQ142">
            <v>30000</v>
          </cell>
          <cell r="CR142">
            <v>20000</v>
          </cell>
          <cell r="CS142">
            <v>70000</v>
          </cell>
          <cell r="CT142">
            <v>20000</v>
          </cell>
          <cell r="CU142">
            <v>10000</v>
          </cell>
          <cell r="CV142">
            <v>90000</v>
          </cell>
          <cell r="CW142">
            <v>15000</v>
          </cell>
          <cell r="CZ142">
            <v>50000</v>
          </cell>
          <cell r="DA142">
            <v>10000</v>
          </cell>
          <cell r="DC142">
            <v>30000</v>
          </cell>
          <cell r="DD142">
            <v>10000</v>
          </cell>
          <cell r="DE142" t="str">
            <v>ACTIVO</v>
          </cell>
          <cell r="DF142" t="str">
            <v>C</v>
          </cell>
          <cell r="DH142">
            <v>61666.666666666664</v>
          </cell>
          <cell r="DI142">
            <v>10277.777777777777</v>
          </cell>
        </row>
        <row r="143">
          <cell r="B143">
            <v>405493</v>
          </cell>
          <cell r="C143" t="str">
            <v>ETIQUETA DECORATIVA PASTEL MIL HOJAS PASTELERA JUMBO</v>
          </cell>
          <cell r="BI143">
            <v>2500</v>
          </cell>
          <cell r="BJ143">
            <v>2500</v>
          </cell>
          <cell r="BN143">
            <v>2500</v>
          </cell>
          <cell r="BQ143">
            <v>2500</v>
          </cell>
          <cell r="DE143" t="str">
            <v>ACTIVO</v>
          </cell>
          <cell r="DF143" t="str">
            <v>C</v>
          </cell>
          <cell r="DH143">
            <v>0</v>
          </cell>
          <cell r="DI143">
            <v>0</v>
          </cell>
        </row>
        <row r="144">
          <cell r="B144">
            <v>405494</v>
          </cell>
          <cell r="C144" t="str">
            <v>ETIQUETA DECORATIVA PASTEL PIÑA JUMBO</v>
          </cell>
          <cell r="BI144">
            <v>2500</v>
          </cell>
          <cell r="BJ144">
            <v>2500</v>
          </cell>
          <cell r="BN144">
            <v>2500</v>
          </cell>
          <cell r="BQ144">
            <v>2500</v>
          </cell>
          <cell r="DE144" t="str">
            <v>ACTIVO</v>
          </cell>
          <cell r="DF144" t="str">
            <v>C</v>
          </cell>
          <cell r="DH144">
            <v>0</v>
          </cell>
          <cell r="DI144">
            <v>0</v>
          </cell>
        </row>
        <row r="145">
          <cell r="B145">
            <v>405495</v>
          </cell>
          <cell r="C145" t="str">
            <v>ETIQUETA DECORATIVA PASTEL TRES LECHES JUMBO</v>
          </cell>
          <cell r="BI145">
            <v>2500</v>
          </cell>
          <cell r="BJ145">
            <v>2500</v>
          </cell>
          <cell r="BN145">
            <v>2500</v>
          </cell>
          <cell r="BQ145">
            <v>2500</v>
          </cell>
          <cell r="DE145" t="str">
            <v>ACTIVO</v>
          </cell>
          <cell r="DF145" t="str">
            <v>C</v>
          </cell>
          <cell r="DH145">
            <v>0</v>
          </cell>
          <cell r="DI145">
            <v>0</v>
          </cell>
        </row>
        <row r="146">
          <cell r="B146">
            <v>405497</v>
          </cell>
          <cell r="C146" t="str">
            <v>ETIQUETA DECORATIVA PASTEL SELVA NEGRA JUMBO</v>
          </cell>
          <cell r="BI146">
            <v>2500</v>
          </cell>
          <cell r="BJ146">
            <v>2500</v>
          </cell>
          <cell r="BN146">
            <v>2500</v>
          </cell>
          <cell r="BQ146">
            <v>2500</v>
          </cell>
          <cell r="DE146" t="str">
            <v>ACTIVO</v>
          </cell>
          <cell r="DF146" t="str">
            <v>C</v>
          </cell>
          <cell r="DH146">
            <v>0</v>
          </cell>
          <cell r="DI146">
            <v>0</v>
          </cell>
        </row>
        <row r="147">
          <cell r="B147">
            <v>405498</v>
          </cell>
          <cell r="C147" t="str">
            <v>ETIQUETA DECORATIVA PASTEL TRUFA JUMBO</v>
          </cell>
          <cell r="BI147">
            <v>2500</v>
          </cell>
          <cell r="BJ147">
            <v>2500</v>
          </cell>
          <cell r="BN147">
            <v>2500</v>
          </cell>
          <cell r="BQ147">
            <v>2500</v>
          </cell>
          <cell r="DE147" t="str">
            <v>ACTIVO</v>
          </cell>
          <cell r="DF147" t="str">
            <v>C</v>
          </cell>
          <cell r="DH147">
            <v>0</v>
          </cell>
          <cell r="DI147">
            <v>0</v>
          </cell>
        </row>
        <row r="148">
          <cell r="B148">
            <v>405721</v>
          </cell>
          <cell r="C148" t="str">
            <v>ETIQUETA COLOR CREMA 245X40 OPP</v>
          </cell>
          <cell r="CR148">
            <v>39000</v>
          </cell>
          <cell r="CS148">
            <v>41000</v>
          </cell>
          <cell r="CT148">
            <v>71000</v>
          </cell>
          <cell r="CU148">
            <v>82000</v>
          </cell>
          <cell r="CV148">
            <v>65000</v>
          </cell>
          <cell r="CW148">
            <v>80000</v>
          </cell>
          <cell r="CX148">
            <v>11000</v>
          </cell>
          <cell r="CY148">
            <v>42000</v>
          </cell>
          <cell r="CZ148">
            <v>46000</v>
          </cell>
          <cell r="DA148">
            <v>38000</v>
          </cell>
          <cell r="DB148">
            <v>56000</v>
          </cell>
          <cell r="DC148">
            <v>43000</v>
          </cell>
          <cell r="DD148">
            <v>32000</v>
          </cell>
          <cell r="DE148" t="str">
            <v>ACTIVO</v>
          </cell>
          <cell r="DF148" t="str">
            <v/>
          </cell>
          <cell r="DH148">
            <v>49692.307692307695</v>
          </cell>
          <cell r="DI148">
            <v>8282.0512820512831</v>
          </cell>
        </row>
        <row r="149">
          <cell r="B149">
            <v>405717</v>
          </cell>
          <cell r="C149" t="str">
            <v>ETIQ. CIRCULAR 90cm IMPR. OPP TORTA SELVA NEGRA WALMART</v>
          </cell>
          <cell r="CR149">
            <v>10000</v>
          </cell>
          <cell r="CT149">
            <v>5000</v>
          </cell>
          <cell r="CU149">
            <v>5000</v>
          </cell>
          <cell r="CW149">
            <v>7000</v>
          </cell>
          <cell r="CZ149">
            <v>7000</v>
          </cell>
          <cell r="DA149">
            <v>3000</v>
          </cell>
          <cell r="DB149">
            <v>5000</v>
          </cell>
          <cell r="DD149">
            <v>5000</v>
          </cell>
          <cell r="DE149" t="str">
            <v>ACTIVO</v>
          </cell>
          <cell r="DF149" t="str">
            <v/>
          </cell>
          <cell r="DH149">
            <v>5875</v>
          </cell>
          <cell r="DI149">
            <v>979.16666666666663</v>
          </cell>
        </row>
        <row r="150">
          <cell r="B150">
            <v>405709</v>
          </cell>
          <cell r="C150" t="str">
            <v>ETIQ. CIRCULAR 90cm IMPR. OPP TORTA PIÑA WALMART</v>
          </cell>
          <cell r="CR150">
            <v>7000</v>
          </cell>
          <cell r="CU150">
            <v>2000</v>
          </cell>
          <cell r="CV150">
            <v>2000</v>
          </cell>
          <cell r="CY150">
            <v>3000</v>
          </cell>
          <cell r="CZ150">
            <v>2000</v>
          </cell>
          <cell r="DA150">
            <v>3000</v>
          </cell>
          <cell r="DB150">
            <v>6000</v>
          </cell>
          <cell r="DE150" t="str">
            <v>ACTIVO</v>
          </cell>
          <cell r="DF150" t="str">
            <v/>
          </cell>
          <cell r="DH150">
            <v>3571.4285714285716</v>
          </cell>
          <cell r="DI150">
            <v>595.2380952380953</v>
          </cell>
        </row>
        <row r="151">
          <cell r="B151">
            <v>405720</v>
          </cell>
          <cell r="C151" t="str">
            <v>ETIQ. CIRCULAR 80cm IMPR. OPP TORTA CHOCOLATE WALMART</v>
          </cell>
          <cell r="CR151">
            <v>5000</v>
          </cell>
          <cell r="CU151">
            <v>4000</v>
          </cell>
          <cell r="CY151">
            <v>3000</v>
          </cell>
          <cell r="CZ151">
            <v>4000</v>
          </cell>
          <cell r="DA151">
            <v>3000</v>
          </cell>
          <cell r="DB151">
            <v>3000</v>
          </cell>
          <cell r="DC151">
            <v>6000</v>
          </cell>
          <cell r="DD151">
            <v>6000</v>
          </cell>
          <cell r="DE151" t="str">
            <v>ACTIVO</v>
          </cell>
          <cell r="DF151" t="str">
            <v/>
          </cell>
          <cell r="DH151">
            <v>4250</v>
          </cell>
          <cell r="DI151">
            <v>708.33333333333337</v>
          </cell>
        </row>
        <row r="152">
          <cell r="B152">
            <v>405714</v>
          </cell>
          <cell r="C152" t="str">
            <v>ETIQ. CIRCULAR 90cm IMPR. OPP TORTA TRES LECHES WALMART</v>
          </cell>
          <cell r="CR152">
            <v>8000</v>
          </cell>
          <cell r="CS152">
            <v>2000</v>
          </cell>
          <cell r="CT152">
            <v>7000</v>
          </cell>
          <cell r="CU152">
            <v>5000</v>
          </cell>
          <cell r="CV152">
            <v>10000</v>
          </cell>
          <cell r="CW152">
            <v>12000</v>
          </cell>
          <cell r="CY152">
            <v>5000</v>
          </cell>
          <cell r="CZ152">
            <v>5000</v>
          </cell>
          <cell r="DA152">
            <v>6000</v>
          </cell>
          <cell r="DB152">
            <v>5000</v>
          </cell>
          <cell r="DC152">
            <v>4000</v>
          </cell>
          <cell r="DD152">
            <v>5000</v>
          </cell>
          <cell r="DE152" t="str">
            <v>ACTIVO</v>
          </cell>
          <cell r="DF152" t="str">
            <v/>
          </cell>
          <cell r="DH152">
            <v>6166.666666666667</v>
          </cell>
          <cell r="DI152">
            <v>1027.7777777777778</v>
          </cell>
        </row>
        <row r="153">
          <cell r="B153">
            <v>405713</v>
          </cell>
          <cell r="C153" t="str">
            <v>ETIQ. CIRCULAR 90cm IMPR. OPP TORTA PANQUEQUE NARANJA WALMART</v>
          </cell>
          <cell r="CR153">
            <v>4000</v>
          </cell>
          <cell r="CS153">
            <v>2000</v>
          </cell>
          <cell r="CT153">
            <v>2500</v>
          </cell>
          <cell r="CU153">
            <v>2000</v>
          </cell>
          <cell r="CV153">
            <v>3000</v>
          </cell>
          <cell r="CW153">
            <v>4500</v>
          </cell>
          <cell r="CY153">
            <v>6000</v>
          </cell>
          <cell r="CZ153">
            <v>4000</v>
          </cell>
          <cell r="DA153">
            <v>2000</v>
          </cell>
          <cell r="DB153">
            <v>3000</v>
          </cell>
          <cell r="DC153">
            <v>2000</v>
          </cell>
          <cell r="DD153">
            <v>2000</v>
          </cell>
          <cell r="DE153" t="str">
            <v>ACTIVO</v>
          </cell>
          <cell r="DF153" t="str">
            <v/>
          </cell>
          <cell r="DH153">
            <v>3083.3333333333335</v>
          </cell>
          <cell r="DI153">
            <v>513.88888888888891</v>
          </cell>
        </row>
        <row r="154">
          <cell r="B154">
            <v>405718</v>
          </cell>
          <cell r="C154" t="str">
            <v>ETIQ. CIRCULAR 90cm IMPR. OPP KUCHEN FRAMBUESA TRADICIONAL WALMART</v>
          </cell>
          <cell r="CR154">
            <v>2000</v>
          </cell>
          <cell r="CT154">
            <v>9000</v>
          </cell>
          <cell r="CU154">
            <v>7000</v>
          </cell>
          <cell r="CV154">
            <v>5500</v>
          </cell>
          <cell r="CW154">
            <v>9000</v>
          </cell>
          <cell r="CY154">
            <v>3000</v>
          </cell>
          <cell r="CZ154">
            <v>4000</v>
          </cell>
          <cell r="DC154">
            <v>1000</v>
          </cell>
          <cell r="DD154">
            <v>2000</v>
          </cell>
          <cell r="DE154" t="str">
            <v>ACTIVO</v>
          </cell>
          <cell r="DF154" t="str">
            <v/>
          </cell>
          <cell r="DH154">
            <v>4722.2222222222226</v>
          </cell>
          <cell r="DI154">
            <v>787.03703703703707</v>
          </cell>
        </row>
        <row r="155">
          <cell r="B155">
            <v>405722</v>
          </cell>
          <cell r="C155" t="str">
            <v>ETIQUETA CONSUMO</v>
          </cell>
          <cell r="CR155">
            <v>10000</v>
          </cell>
          <cell r="CS155">
            <v>16000</v>
          </cell>
          <cell r="CT155">
            <v>44000</v>
          </cell>
          <cell r="CU155">
            <v>48000</v>
          </cell>
          <cell r="CV155">
            <v>22000</v>
          </cell>
          <cell r="CW155">
            <v>27000</v>
          </cell>
          <cell r="CX155">
            <v>10000</v>
          </cell>
          <cell r="CY155">
            <v>25000</v>
          </cell>
          <cell r="CZ155">
            <v>21000</v>
          </cell>
          <cell r="DA155">
            <v>14000</v>
          </cell>
          <cell r="DB155">
            <v>10000</v>
          </cell>
          <cell r="DC155">
            <v>48000</v>
          </cell>
          <cell r="DD155">
            <v>6000</v>
          </cell>
          <cell r="DE155" t="str">
            <v>ACTIVO</v>
          </cell>
          <cell r="DF155" t="str">
            <v/>
          </cell>
          <cell r="DH155">
            <v>23153.846153846152</v>
          </cell>
          <cell r="DI155">
            <v>3858.9743589743589</v>
          </cell>
        </row>
        <row r="156">
          <cell r="B156">
            <v>405712</v>
          </cell>
          <cell r="C156" t="str">
            <v>ETIQ. CIRCULAR 90cm IMPR. OPP TORTA MIL HOJAS MANJAR ARTESANAL WALMART</v>
          </cell>
          <cell r="CR156">
            <v>10000</v>
          </cell>
          <cell r="CT156">
            <v>30000</v>
          </cell>
          <cell r="CU156">
            <v>20000</v>
          </cell>
          <cell r="DC156">
            <v>5000</v>
          </cell>
          <cell r="DE156" t="str">
            <v>ACTIVO</v>
          </cell>
          <cell r="DF156" t="str">
            <v/>
          </cell>
          <cell r="DH156">
            <v>16250</v>
          </cell>
          <cell r="DI156">
            <v>2708.3333333333335</v>
          </cell>
        </row>
        <row r="157">
          <cell r="B157">
            <v>405719</v>
          </cell>
          <cell r="C157" t="str">
            <v>ETIQ. CIRCULAR 80cm IMPR. OPP TORTA FRUTOS DEL BOSQUE WALMART</v>
          </cell>
          <cell r="CR157">
            <v>5000</v>
          </cell>
          <cell r="CT157">
            <v>5000</v>
          </cell>
          <cell r="CU157">
            <v>5000</v>
          </cell>
          <cell r="CY157">
            <v>3000</v>
          </cell>
          <cell r="CZ157">
            <v>1000</v>
          </cell>
          <cell r="DA157">
            <v>5000</v>
          </cell>
          <cell r="DB157">
            <v>1000</v>
          </cell>
          <cell r="DC157">
            <v>8000</v>
          </cell>
          <cell r="DE157" t="str">
            <v>ACTIVO</v>
          </cell>
          <cell r="DF157" t="str">
            <v/>
          </cell>
          <cell r="DH157">
            <v>4125</v>
          </cell>
          <cell r="DI157">
            <v>687.5</v>
          </cell>
        </row>
        <row r="158">
          <cell r="B158">
            <v>405733</v>
          </cell>
          <cell r="C158" t="str">
            <v>ETIQ. CIRCULAR 90cm IMPR. OPP TORTA PIÑA MARKETSIDE</v>
          </cell>
          <cell r="CS158">
            <v>3000</v>
          </cell>
          <cell r="CT158">
            <v>6000</v>
          </cell>
          <cell r="CU158">
            <v>3000</v>
          </cell>
          <cell r="CV158">
            <v>5000</v>
          </cell>
          <cell r="CW158">
            <v>14000</v>
          </cell>
          <cell r="CX158">
            <v>2000</v>
          </cell>
          <cell r="CZ158">
            <v>3000</v>
          </cell>
          <cell r="DA158">
            <v>5000</v>
          </cell>
          <cell r="DB158">
            <v>3000</v>
          </cell>
          <cell r="DC158">
            <v>7000</v>
          </cell>
          <cell r="DE158" t="str">
            <v>ACTIVO</v>
          </cell>
          <cell r="DF158" t="str">
            <v/>
          </cell>
          <cell r="DH158">
            <v>5100</v>
          </cell>
          <cell r="DI158">
            <v>850</v>
          </cell>
        </row>
        <row r="159">
          <cell r="B159">
            <v>405734</v>
          </cell>
          <cell r="C159" t="str">
            <v>ETIQ. CIRCULAR 90cm IMPR. OPP TORTA SELVA NEGRA MARKETSIDE</v>
          </cell>
          <cell r="CS159">
            <v>4000</v>
          </cell>
          <cell r="CU159">
            <v>9000</v>
          </cell>
          <cell r="CV159">
            <v>5000</v>
          </cell>
          <cell r="CW159">
            <v>16000</v>
          </cell>
          <cell r="CY159">
            <v>3000</v>
          </cell>
          <cell r="CZ159">
            <v>1000</v>
          </cell>
          <cell r="DA159">
            <v>5000</v>
          </cell>
          <cell r="DB159">
            <v>6000</v>
          </cell>
          <cell r="DC159">
            <v>6000</v>
          </cell>
          <cell r="DD159">
            <v>3000</v>
          </cell>
          <cell r="DE159" t="str">
            <v>ACTIVO</v>
          </cell>
          <cell r="DF159" t="str">
            <v/>
          </cell>
          <cell r="DH159">
            <v>5800</v>
          </cell>
          <cell r="DI159">
            <v>966.66666666666663</v>
          </cell>
        </row>
        <row r="160">
          <cell r="B160">
            <v>405736</v>
          </cell>
          <cell r="C160" t="str">
            <v>ETIQ. CIRCULAR 90cm IMPR. OPP TORTA AMOR MARKETSIDE</v>
          </cell>
          <cell r="CS160">
            <v>1000</v>
          </cell>
          <cell r="CT160">
            <v>5000</v>
          </cell>
          <cell r="CV160">
            <v>5000</v>
          </cell>
          <cell r="CW160">
            <v>4000</v>
          </cell>
          <cell r="CX160">
            <v>6000</v>
          </cell>
          <cell r="DB160">
            <v>3000</v>
          </cell>
          <cell r="DC160">
            <v>2000</v>
          </cell>
          <cell r="DD160">
            <v>1000</v>
          </cell>
          <cell r="DE160" t="str">
            <v>ACTIVO</v>
          </cell>
          <cell r="DF160" t="str">
            <v/>
          </cell>
          <cell r="DH160">
            <v>3375</v>
          </cell>
          <cell r="DI160">
            <v>562.5</v>
          </cell>
        </row>
        <row r="161">
          <cell r="B161">
            <v>405737</v>
          </cell>
          <cell r="C161" t="str">
            <v>ETIQ. CIRCULAR 90cm IMPR. OPP TORTA SAN JORGE MARKETSIDE</v>
          </cell>
          <cell r="CS161">
            <v>1000</v>
          </cell>
          <cell r="CT161">
            <v>13000</v>
          </cell>
          <cell r="CU161">
            <v>3000</v>
          </cell>
          <cell r="CV161">
            <v>7000</v>
          </cell>
          <cell r="CW161">
            <v>2000</v>
          </cell>
          <cell r="CY161">
            <v>1000</v>
          </cell>
          <cell r="CZ161">
            <v>3000</v>
          </cell>
          <cell r="DB161">
            <v>6000</v>
          </cell>
          <cell r="DC161">
            <v>3000</v>
          </cell>
          <cell r="DD161">
            <v>2000</v>
          </cell>
          <cell r="DE161" t="str">
            <v>ACTIVO</v>
          </cell>
          <cell r="DF161" t="str">
            <v/>
          </cell>
          <cell r="DH161">
            <v>4100</v>
          </cell>
          <cell r="DI161">
            <v>683.33333333333337</v>
          </cell>
        </row>
        <row r="162">
          <cell r="B162">
            <v>405735</v>
          </cell>
          <cell r="C162" t="str">
            <v>ETIQ. CIRCULAR 90cm IMPR. OPP TORTA VIENA MARKETSIDE</v>
          </cell>
          <cell r="CS162">
            <v>3000</v>
          </cell>
          <cell r="CT162">
            <v>5000</v>
          </cell>
          <cell r="CU162">
            <v>4000</v>
          </cell>
          <cell r="CV162">
            <v>3000</v>
          </cell>
          <cell r="CW162">
            <v>6000</v>
          </cell>
          <cell r="CZ162">
            <v>1000</v>
          </cell>
          <cell r="DA162">
            <v>6000</v>
          </cell>
          <cell r="DB162">
            <v>3000</v>
          </cell>
          <cell r="DC162">
            <v>3000</v>
          </cell>
          <cell r="DD162">
            <v>2000</v>
          </cell>
          <cell r="DE162" t="str">
            <v>ACTIVO</v>
          </cell>
          <cell r="DF162" t="str">
            <v/>
          </cell>
          <cell r="DH162">
            <v>3600</v>
          </cell>
          <cell r="DI162">
            <v>600</v>
          </cell>
        </row>
        <row r="163">
          <cell r="B163">
            <v>405738</v>
          </cell>
          <cell r="C163" t="str">
            <v>ETIQUETA CONSUMO MARKETSIDE</v>
          </cell>
          <cell r="CS163">
            <v>18000</v>
          </cell>
          <cell r="CT163">
            <v>54000</v>
          </cell>
          <cell r="CU163">
            <v>30000</v>
          </cell>
          <cell r="CV163">
            <v>18000</v>
          </cell>
          <cell r="CW163">
            <v>16000</v>
          </cell>
          <cell r="CX163">
            <v>6000</v>
          </cell>
          <cell r="CY163">
            <v>12000</v>
          </cell>
          <cell r="CZ163">
            <v>6000</v>
          </cell>
          <cell r="DA163">
            <v>1000</v>
          </cell>
          <cell r="DB163">
            <v>24000</v>
          </cell>
          <cell r="DC163">
            <v>59000</v>
          </cell>
          <cell r="DD163">
            <v>10000</v>
          </cell>
          <cell r="DE163" t="str">
            <v>ACTIVO</v>
          </cell>
          <cell r="DF163" t="str">
            <v/>
          </cell>
          <cell r="DH163">
            <v>21166.666666666668</v>
          </cell>
          <cell r="DI163">
            <v>3527.7777777777778</v>
          </cell>
        </row>
        <row r="164">
          <cell r="B164">
            <v>405711</v>
          </cell>
          <cell r="C164" t="str">
            <v>ETIQ. CIRCULAR 90cm IMPR. OPP TORTA HOJA MANJAR MERENGUE WALMART</v>
          </cell>
          <cell r="CS164">
            <v>1000</v>
          </cell>
          <cell r="CU164">
            <v>1000</v>
          </cell>
          <cell r="CV164">
            <v>1500</v>
          </cell>
          <cell r="CX164">
            <v>1000</v>
          </cell>
          <cell r="CY164">
            <v>1000</v>
          </cell>
          <cell r="DA164">
            <v>1000</v>
          </cell>
          <cell r="DD164">
            <v>1000</v>
          </cell>
          <cell r="DE164" t="str">
            <v>ACTIVO</v>
          </cell>
          <cell r="DF164" t="str">
            <v/>
          </cell>
          <cell r="DH164">
            <v>1071.4285714285713</v>
          </cell>
          <cell r="DI164">
            <v>178.57142857142856</v>
          </cell>
        </row>
        <row r="165">
          <cell r="B165">
            <v>405710</v>
          </cell>
          <cell r="C165" t="str">
            <v>ETIQ. CIRCULAR 90cm IMPR. OPP TORTA AMOR WALMART</v>
          </cell>
          <cell r="CU165">
            <v>3000</v>
          </cell>
          <cell r="DE165" t="str">
            <v>ACTIVO</v>
          </cell>
          <cell r="DF165" t="str">
            <v/>
          </cell>
          <cell r="DH165">
            <v>3000</v>
          </cell>
          <cell r="DI165">
            <v>500</v>
          </cell>
        </row>
        <row r="166">
          <cell r="B166">
            <v>405704</v>
          </cell>
          <cell r="C166" t="str">
            <v>ETIQ. CIRCULAR 90cm IMPR. JUMBO KUCHEN DE MANZANA</v>
          </cell>
          <cell r="CW166">
            <v>1000</v>
          </cell>
          <cell r="DE166" t="str">
            <v>ACTIVO</v>
          </cell>
          <cell r="DF166" t="str">
            <v/>
          </cell>
          <cell r="DH166">
            <v>1000</v>
          </cell>
          <cell r="DI166">
            <v>166.66666666666666</v>
          </cell>
        </row>
        <row r="167">
          <cell r="B167">
            <v>405773</v>
          </cell>
          <cell r="C167" t="str">
            <v>ETIQ. CIRCULAR 80cm IMPR. OPP TORTA SAN JORGE SMU</v>
          </cell>
          <cell r="CY167">
            <v>1000</v>
          </cell>
          <cell r="DE167" t="str">
            <v>ACTIVO</v>
          </cell>
          <cell r="DF167" t="str">
            <v/>
          </cell>
          <cell r="DH167">
            <v>1000</v>
          </cell>
          <cell r="DI167">
            <v>166.66666666666666</v>
          </cell>
        </row>
        <row r="168">
          <cell r="B168">
            <v>404755</v>
          </cell>
          <cell r="C168" t="str">
            <v>ETIQUETA KUCHEN MANZANA WALMART</v>
          </cell>
          <cell r="E168">
            <v>1500</v>
          </cell>
          <cell r="F168">
            <v>1500</v>
          </cell>
          <cell r="G168">
            <v>4000</v>
          </cell>
          <cell r="I168">
            <v>1500</v>
          </cell>
          <cell r="J168">
            <v>1500</v>
          </cell>
          <cell r="K168">
            <v>2000</v>
          </cell>
          <cell r="L168">
            <v>2000</v>
          </cell>
          <cell r="M168">
            <v>2000</v>
          </cell>
          <cell r="N168">
            <v>1000</v>
          </cell>
          <cell r="O168">
            <v>3500</v>
          </cell>
          <cell r="R168">
            <v>1000</v>
          </cell>
          <cell r="T168">
            <v>1000</v>
          </cell>
          <cell r="V168">
            <v>2000</v>
          </cell>
          <cell r="W168">
            <v>1000</v>
          </cell>
          <cell r="X168">
            <v>2000</v>
          </cell>
          <cell r="Y168">
            <v>3500</v>
          </cell>
          <cell r="AA168">
            <v>2000</v>
          </cell>
          <cell r="AB168">
            <v>1000</v>
          </cell>
          <cell r="AC168">
            <v>2000</v>
          </cell>
          <cell r="AD168">
            <v>500</v>
          </cell>
          <cell r="AF168">
            <v>2000</v>
          </cell>
          <cell r="AI168">
            <v>2000</v>
          </cell>
          <cell r="AJ168">
            <v>2000</v>
          </cell>
          <cell r="AK168">
            <v>2000</v>
          </cell>
          <cell r="AN168">
            <v>2000</v>
          </cell>
          <cell r="AO168">
            <v>500</v>
          </cell>
          <cell r="AP168">
            <v>4000</v>
          </cell>
          <cell r="AQ168">
            <v>2000</v>
          </cell>
          <cell r="AR168">
            <v>3500</v>
          </cell>
          <cell r="AT168">
            <v>4000</v>
          </cell>
          <cell r="AU168">
            <v>5000</v>
          </cell>
          <cell r="AV168">
            <v>2000</v>
          </cell>
          <cell r="AW168">
            <v>5000</v>
          </cell>
          <cell r="AX168">
            <v>4500</v>
          </cell>
          <cell r="AY168">
            <v>2500</v>
          </cell>
          <cell r="BA168">
            <v>2500</v>
          </cell>
          <cell r="BB168">
            <v>1000</v>
          </cell>
          <cell r="BD168">
            <v>1000</v>
          </cell>
          <cell r="BE168">
            <v>2000</v>
          </cell>
          <cell r="BG168">
            <v>1500</v>
          </cell>
          <cell r="BH168">
            <v>3000</v>
          </cell>
          <cell r="BJ168">
            <v>4000</v>
          </cell>
          <cell r="BK168">
            <v>2500</v>
          </cell>
          <cell r="BL168">
            <v>1500</v>
          </cell>
          <cell r="BM168">
            <v>1500</v>
          </cell>
          <cell r="BN168">
            <v>3000</v>
          </cell>
          <cell r="BQ168">
            <v>5000</v>
          </cell>
          <cell r="BS168">
            <v>5000</v>
          </cell>
          <cell r="BU168">
            <v>2000</v>
          </cell>
          <cell r="BV168">
            <v>1000</v>
          </cell>
          <cell r="BW168">
            <v>3000</v>
          </cell>
          <cell r="BY168">
            <v>1500</v>
          </cell>
          <cell r="BZ168">
            <v>3000</v>
          </cell>
          <cell r="CA168">
            <v>2500</v>
          </cell>
          <cell r="CB168">
            <v>1500</v>
          </cell>
          <cell r="CD168">
            <v>10000</v>
          </cell>
          <cell r="CF168">
            <v>1500</v>
          </cell>
          <cell r="CH168">
            <v>1500</v>
          </cell>
          <cell r="CI168">
            <v>6000</v>
          </cell>
          <cell r="CL168">
            <v>2500</v>
          </cell>
          <cell r="CM168">
            <v>2500</v>
          </cell>
          <cell r="CN168">
            <v>2500</v>
          </cell>
          <cell r="CO168">
            <v>4000</v>
          </cell>
          <cell r="CV168">
            <v>6500</v>
          </cell>
          <cell r="DE168" t="str">
            <v>SIN USO</v>
          </cell>
          <cell r="DF168" t="str">
            <v>C</v>
          </cell>
          <cell r="DH168">
            <v>3375</v>
          </cell>
          <cell r="DI168">
            <v>562.5</v>
          </cell>
        </row>
        <row r="169">
          <cell r="B169">
            <v>405496</v>
          </cell>
          <cell r="C169" t="str">
            <v>ETIQUETA DECORATIVA PANQUEQUE NARANJA JUMBO</v>
          </cell>
          <cell r="BJ169">
            <v>2500</v>
          </cell>
          <cell r="BN169">
            <v>2500</v>
          </cell>
          <cell r="BQ169">
            <v>2500</v>
          </cell>
          <cell r="DE169" t="str">
            <v>SIN USO</v>
          </cell>
          <cell r="DF169" t="str">
            <v>C</v>
          </cell>
          <cell r="DH169">
            <v>0</v>
          </cell>
          <cell r="DI169">
            <v>0</v>
          </cell>
        </row>
        <row r="170">
          <cell r="B170">
            <v>107418</v>
          </cell>
          <cell r="C170" t="str">
            <v>ETIQUETA GENERICA TORTA SELVA NEGRA ESPECIAL WALMART</v>
          </cell>
          <cell r="AH170">
            <v>11000</v>
          </cell>
          <cell r="AI170">
            <v>6000</v>
          </cell>
          <cell r="AK170">
            <v>3500</v>
          </cell>
          <cell r="AL170">
            <v>1000</v>
          </cell>
          <cell r="AN170">
            <v>7500</v>
          </cell>
          <cell r="AO170">
            <v>2000</v>
          </cell>
          <cell r="AP170">
            <v>8500</v>
          </cell>
          <cell r="AQ170">
            <v>3500</v>
          </cell>
          <cell r="AR170">
            <v>8500</v>
          </cell>
          <cell r="AS170">
            <v>3500</v>
          </cell>
          <cell r="AT170">
            <v>3000</v>
          </cell>
          <cell r="AU170">
            <v>5000</v>
          </cell>
          <cell r="AV170">
            <v>7000</v>
          </cell>
          <cell r="AW170">
            <v>4000</v>
          </cell>
          <cell r="AX170">
            <v>3500</v>
          </cell>
          <cell r="AY170">
            <v>3500</v>
          </cell>
          <cell r="BB170">
            <v>2500</v>
          </cell>
          <cell r="BC170">
            <v>3000</v>
          </cell>
          <cell r="BD170">
            <v>1500</v>
          </cell>
          <cell r="BE170">
            <v>4500</v>
          </cell>
          <cell r="BF170">
            <v>500</v>
          </cell>
          <cell r="BG170">
            <v>2000</v>
          </cell>
          <cell r="BH170">
            <v>6000</v>
          </cell>
          <cell r="BJ170">
            <v>4000</v>
          </cell>
          <cell r="BK170">
            <v>4000</v>
          </cell>
          <cell r="BL170">
            <v>9000</v>
          </cell>
          <cell r="BM170">
            <v>2000</v>
          </cell>
          <cell r="BN170">
            <v>4000</v>
          </cell>
          <cell r="BP170">
            <v>1000</v>
          </cell>
          <cell r="BQ170">
            <v>7000</v>
          </cell>
          <cell r="BR170">
            <v>2000</v>
          </cell>
          <cell r="BS170">
            <v>4000</v>
          </cell>
          <cell r="BU170">
            <v>3000</v>
          </cell>
          <cell r="BV170">
            <v>8500</v>
          </cell>
          <cell r="BW170">
            <v>1000</v>
          </cell>
          <cell r="CD170">
            <v>15500</v>
          </cell>
          <cell r="CF170">
            <v>2000</v>
          </cell>
          <cell r="CK170">
            <v>4000</v>
          </cell>
          <cell r="CN170">
            <v>4000</v>
          </cell>
          <cell r="CP170">
            <v>1000</v>
          </cell>
          <cell r="CV170">
            <v>7500</v>
          </cell>
          <cell r="DE170" t="str">
            <v>SIN USO</v>
          </cell>
          <cell r="DF170" t="str">
            <v>C</v>
          </cell>
          <cell r="DH170">
            <v>3700</v>
          </cell>
          <cell r="DI170">
            <v>616.66666666666663</v>
          </cell>
        </row>
        <row r="171">
          <cell r="B171">
            <v>107419</v>
          </cell>
          <cell r="C171" t="str">
            <v>ETIQUETA GENERICA TORTA CREMA PIÑA ESPECIAL WALMART</v>
          </cell>
          <cell r="AH171">
            <v>7000</v>
          </cell>
          <cell r="AI171">
            <v>1500</v>
          </cell>
          <cell r="AJ171">
            <v>2000</v>
          </cell>
          <cell r="AL171">
            <v>3000</v>
          </cell>
          <cell r="AM171">
            <v>2000</v>
          </cell>
          <cell r="AN171">
            <v>1500</v>
          </cell>
          <cell r="AO171">
            <v>3000</v>
          </cell>
          <cell r="AP171">
            <v>1000</v>
          </cell>
          <cell r="AQ171">
            <v>3500</v>
          </cell>
          <cell r="AR171">
            <v>3500</v>
          </cell>
          <cell r="AS171">
            <v>1500</v>
          </cell>
          <cell r="AT171">
            <v>5000</v>
          </cell>
          <cell r="AU171">
            <v>3500</v>
          </cell>
          <cell r="AV171">
            <v>3500</v>
          </cell>
          <cell r="AW171">
            <v>7000</v>
          </cell>
          <cell r="AX171">
            <v>5500</v>
          </cell>
          <cell r="AY171">
            <v>1500</v>
          </cell>
          <cell r="BA171">
            <v>500</v>
          </cell>
          <cell r="BB171">
            <v>3500</v>
          </cell>
          <cell r="BC171">
            <v>3000</v>
          </cell>
          <cell r="BE171">
            <v>4000</v>
          </cell>
          <cell r="BF171">
            <v>4000</v>
          </cell>
          <cell r="BG171">
            <v>1500</v>
          </cell>
          <cell r="BH171">
            <v>6000</v>
          </cell>
          <cell r="BJ171">
            <v>3500</v>
          </cell>
          <cell r="BK171">
            <v>3500</v>
          </cell>
          <cell r="BL171">
            <v>3500</v>
          </cell>
          <cell r="BM171">
            <v>2500</v>
          </cell>
          <cell r="BN171">
            <v>3000</v>
          </cell>
          <cell r="BQ171">
            <v>9000</v>
          </cell>
          <cell r="BS171">
            <v>3000</v>
          </cell>
          <cell r="BU171">
            <v>5000</v>
          </cell>
          <cell r="BV171">
            <v>7000</v>
          </cell>
          <cell r="BW171">
            <v>2500</v>
          </cell>
          <cell r="BY171">
            <v>1500</v>
          </cell>
          <cell r="CA171">
            <v>5000</v>
          </cell>
          <cell r="CB171">
            <v>3000</v>
          </cell>
          <cell r="CD171">
            <v>15000</v>
          </cell>
          <cell r="CE171">
            <v>2500</v>
          </cell>
          <cell r="CF171">
            <v>2000</v>
          </cell>
          <cell r="CI171">
            <v>3500</v>
          </cell>
          <cell r="CL171">
            <v>3000</v>
          </cell>
          <cell r="CM171">
            <v>5000</v>
          </cell>
          <cell r="CN171">
            <v>3000</v>
          </cell>
          <cell r="CO171">
            <v>7000</v>
          </cell>
          <cell r="CQ171">
            <v>2000</v>
          </cell>
          <cell r="CV171">
            <v>6000</v>
          </cell>
          <cell r="DE171" t="str">
            <v>SIN USO</v>
          </cell>
          <cell r="DF171" t="str">
            <v>C</v>
          </cell>
          <cell r="DH171">
            <v>3937.5</v>
          </cell>
          <cell r="DI171">
            <v>656.25</v>
          </cell>
        </row>
        <row r="172">
          <cell r="B172">
            <v>405492</v>
          </cell>
          <cell r="C172" t="str">
            <v>ETIQUETA GENERICA TORTA MIL HOJAS MANJAR ESPECIAL WALMART</v>
          </cell>
          <cell r="AI172">
            <v>1500</v>
          </cell>
          <cell r="AO172">
            <v>500</v>
          </cell>
          <cell r="AP172">
            <v>500</v>
          </cell>
          <cell r="AQ172">
            <v>1000</v>
          </cell>
          <cell r="AR172">
            <v>1000</v>
          </cell>
          <cell r="AS172">
            <v>2500</v>
          </cell>
          <cell r="AT172">
            <v>500</v>
          </cell>
          <cell r="AW172">
            <v>3500</v>
          </cell>
          <cell r="AX172">
            <v>2000</v>
          </cell>
          <cell r="AY172">
            <v>3000</v>
          </cell>
          <cell r="AZ172">
            <v>2500</v>
          </cell>
          <cell r="BA172">
            <v>7000</v>
          </cell>
          <cell r="BB172">
            <v>2000</v>
          </cell>
          <cell r="BC172">
            <v>6000</v>
          </cell>
          <cell r="BD172">
            <v>7500</v>
          </cell>
          <cell r="BE172">
            <v>6000</v>
          </cell>
          <cell r="BF172">
            <v>4000</v>
          </cell>
          <cell r="BG172">
            <v>1500</v>
          </cell>
          <cell r="BO172">
            <v>1000</v>
          </cell>
          <cell r="BQ172">
            <v>4500</v>
          </cell>
          <cell r="BU172">
            <v>500</v>
          </cell>
          <cell r="BV172">
            <v>1000</v>
          </cell>
          <cell r="CD172">
            <v>2000</v>
          </cell>
          <cell r="CO172">
            <v>500</v>
          </cell>
          <cell r="CR172">
            <v>11500</v>
          </cell>
          <cell r="CV172">
            <v>21500</v>
          </cell>
          <cell r="DE172" t="str">
            <v>SIN USO</v>
          </cell>
          <cell r="DF172" t="str">
            <v>C</v>
          </cell>
          <cell r="DH172">
            <v>11166.666666666666</v>
          </cell>
          <cell r="DI172">
            <v>1861.1111111111111</v>
          </cell>
        </row>
        <row r="173">
          <cell r="B173">
            <v>404756</v>
          </cell>
          <cell r="C173" t="str">
            <v>ETIQUETA KUCHEN 4 SABORES WALMART</v>
          </cell>
          <cell r="D173">
            <v>1500</v>
          </cell>
          <cell r="E173">
            <v>1500</v>
          </cell>
          <cell r="F173">
            <v>1500</v>
          </cell>
          <cell r="G173">
            <v>4000</v>
          </cell>
          <cell r="I173">
            <v>2500</v>
          </cell>
          <cell r="J173">
            <v>2000</v>
          </cell>
          <cell r="K173">
            <v>1500</v>
          </cell>
          <cell r="L173">
            <v>2000</v>
          </cell>
          <cell r="M173">
            <v>2000</v>
          </cell>
          <cell r="N173">
            <v>1000</v>
          </cell>
          <cell r="O173">
            <v>3500</v>
          </cell>
          <cell r="Q173">
            <v>2000</v>
          </cell>
          <cell r="R173">
            <v>2000</v>
          </cell>
          <cell r="S173">
            <v>2000</v>
          </cell>
          <cell r="V173">
            <v>2000</v>
          </cell>
          <cell r="W173">
            <v>1000</v>
          </cell>
          <cell r="Y173">
            <v>3500</v>
          </cell>
          <cell r="AA173">
            <v>3000</v>
          </cell>
          <cell r="AB173">
            <v>2000</v>
          </cell>
          <cell r="AC173">
            <v>2000</v>
          </cell>
          <cell r="AG173">
            <v>1000</v>
          </cell>
          <cell r="AH173">
            <v>1500</v>
          </cell>
          <cell r="AI173">
            <v>1500</v>
          </cell>
          <cell r="AJ173">
            <v>3000</v>
          </cell>
          <cell r="AL173">
            <v>2000</v>
          </cell>
          <cell r="AN173">
            <v>2000</v>
          </cell>
          <cell r="AO173">
            <v>500</v>
          </cell>
          <cell r="AP173">
            <v>2000</v>
          </cell>
          <cell r="AQ173">
            <v>3000</v>
          </cell>
          <cell r="AR173">
            <v>4000</v>
          </cell>
          <cell r="AT173">
            <v>500</v>
          </cell>
          <cell r="AU173">
            <v>1000</v>
          </cell>
          <cell r="AV173">
            <v>2000</v>
          </cell>
          <cell r="AW173">
            <v>5000</v>
          </cell>
          <cell r="AX173">
            <v>4500</v>
          </cell>
          <cell r="AY173">
            <v>2000</v>
          </cell>
          <cell r="AZ173">
            <v>1000</v>
          </cell>
          <cell r="BA173">
            <v>2500</v>
          </cell>
          <cell r="BC173">
            <v>500</v>
          </cell>
          <cell r="BD173">
            <v>2000</v>
          </cell>
          <cell r="BE173">
            <v>1000</v>
          </cell>
          <cell r="BG173">
            <v>1500</v>
          </cell>
          <cell r="BH173">
            <v>5000</v>
          </cell>
          <cell r="BJ173">
            <v>4000</v>
          </cell>
          <cell r="BK173">
            <v>2500</v>
          </cell>
          <cell r="BL173">
            <v>2500</v>
          </cell>
          <cell r="BM173">
            <v>2500</v>
          </cell>
          <cell r="BN173">
            <v>5000</v>
          </cell>
          <cell r="BQ173">
            <v>4500</v>
          </cell>
          <cell r="BS173">
            <v>4000</v>
          </cell>
          <cell r="BU173">
            <v>4500</v>
          </cell>
          <cell r="BV173">
            <v>1000</v>
          </cell>
          <cell r="BW173">
            <v>3000</v>
          </cell>
          <cell r="BY173">
            <v>1500</v>
          </cell>
          <cell r="BZ173">
            <v>1500</v>
          </cell>
          <cell r="CA173">
            <v>2500</v>
          </cell>
          <cell r="CB173">
            <v>1500</v>
          </cell>
          <cell r="CD173">
            <v>3000</v>
          </cell>
          <cell r="CF173">
            <v>2500</v>
          </cell>
          <cell r="CH173">
            <v>2500</v>
          </cell>
          <cell r="CI173">
            <v>3000</v>
          </cell>
          <cell r="CL173">
            <v>2500</v>
          </cell>
          <cell r="CM173">
            <v>2000</v>
          </cell>
          <cell r="CN173">
            <v>1000</v>
          </cell>
          <cell r="CO173">
            <v>6000</v>
          </cell>
          <cell r="CV173">
            <v>4500</v>
          </cell>
          <cell r="DE173" t="str">
            <v>SIN USO</v>
          </cell>
          <cell r="DF173" t="str">
            <v>C</v>
          </cell>
          <cell r="DH173">
            <v>3000</v>
          </cell>
          <cell r="DI173">
            <v>500</v>
          </cell>
        </row>
        <row r="174">
          <cell r="B174">
            <v>404757</v>
          </cell>
          <cell r="C174" t="str">
            <v>ETIQUETA KUCHEN FRAMBUESA WALMART</v>
          </cell>
          <cell r="D174">
            <v>2000</v>
          </cell>
          <cell r="E174">
            <v>2000</v>
          </cell>
          <cell r="F174">
            <v>500</v>
          </cell>
          <cell r="G174">
            <v>4500</v>
          </cell>
          <cell r="I174">
            <v>2500</v>
          </cell>
          <cell r="J174">
            <v>2000</v>
          </cell>
          <cell r="K174">
            <v>2000</v>
          </cell>
          <cell r="L174">
            <v>3000</v>
          </cell>
          <cell r="M174">
            <v>2500</v>
          </cell>
          <cell r="N174">
            <v>1500</v>
          </cell>
          <cell r="O174">
            <v>3500</v>
          </cell>
          <cell r="Q174">
            <v>1500</v>
          </cell>
          <cell r="R174">
            <v>1500</v>
          </cell>
          <cell r="S174">
            <v>2500</v>
          </cell>
          <cell r="T174">
            <v>1500</v>
          </cell>
          <cell r="W174">
            <v>6000</v>
          </cell>
          <cell r="X174">
            <v>5000</v>
          </cell>
          <cell r="Y174">
            <v>1000</v>
          </cell>
          <cell r="AA174">
            <v>2000</v>
          </cell>
          <cell r="AB174">
            <v>2000</v>
          </cell>
          <cell r="AC174">
            <v>2000</v>
          </cell>
          <cell r="AD174">
            <v>1500</v>
          </cell>
          <cell r="AF174">
            <v>2000</v>
          </cell>
          <cell r="AH174">
            <v>2000</v>
          </cell>
          <cell r="AI174">
            <v>2000</v>
          </cell>
          <cell r="AJ174">
            <v>1500</v>
          </cell>
          <cell r="AK174">
            <v>2000</v>
          </cell>
          <cell r="AL174">
            <v>2000</v>
          </cell>
          <cell r="AM174">
            <v>1000</v>
          </cell>
          <cell r="AN174">
            <v>2000</v>
          </cell>
          <cell r="AO174">
            <v>1500</v>
          </cell>
          <cell r="AP174">
            <v>2000</v>
          </cell>
          <cell r="AQ174">
            <v>2000</v>
          </cell>
          <cell r="AR174">
            <v>5500</v>
          </cell>
          <cell r="AS174">
            <v>500</v>
          </cell>
          <cell r="AT174">
            <v>1500</v>
          </cell>
          <cell r="AU174">
            <v>7000</v>
          </cell>
          <cell r="AV174">
            <v>3000</v>
          </cell>
          <cell r="AW174">
            <v>6000</v>
          </cell>
          <cell r="AX174">
            <v>4500</v>
          </cell>
          <cell r="AY174">
            <v>4000</v>
          </cell>
          <cell r="BA174">
            <v>2500</v>
          </cell>
          <cell r="BB174">
            <v>2000</v>
          </cell>
          <cell r="BD174">
            <v>5000</v>
          </cell>
          <cell r="BE174">
            <v>2000</v>
          </cell>
          <cell r="BG174">
            <v>2500</v>
          </cell>
          <cell r="BH174">
            <v>5000</v>
          </cell>
          <cell r="BJ174">
            <v>3500</v>
          </cell>
          <cell r="BK174">
            <v>3000</v>
          </cell>
          <cell r="BL174">
            <v>3000</v>
          </cell>
          <cell r="BM174">
            <v>3000</v>
          </cell>
          <cell r="BN174">
            <v>6000</v>
          </cell>
          <cell r="BO174">
            <v>2000</v>
          </cell>
          <cell r="BQ174">
            <v>7000</v>
          </cell>
          <cell r="BS174">
            <v>9500</v>
          </cell>
          <cell r="BU174">
            <v>2500</v>
          </cell>
          <cell r="BV174">
            <v>2000</v>
          </cell>
          <cell r="BW174">
            <v>4000</v>
          </cell>
          <cell r="BY174">
            <v>2000</v>
          </cell>
          <cell r="BZ174">
            <v>2000</v>
          </cell>
          <cell r="CA174">
            <v>4000</v>
          </cell>
          <cell r="CB174">
            <v>2000</v>
          </cell>
          <cell r="CD174">
            <v>13500</v>
          </cell>
          <cell r="CF174">
            <v>2500</v>
          </cell>
          <cell r="CH174">
            <v>3500</v>
          </cell>
          <cell r="CI174">
            <v>6500</v>
          </cell>
          <cell r="CL174">
            <v>3000</v>
          </cell>
          <cell r="CM174">
            <v>3000</v>
          </cell>
          <cell r="CN174">
            <v>3000</v>
          </cell>
          <cell r="CO174">
            <v>4500</v>
          </cell>
          <cell r="CP174">
            <v>1000</v>
          </cell>
          <cell r="CR174">
            <v>0</v>
          </cell>
          <cell r="CV174">
            <v>2000</v>
          </cell>
          <cell r="DE174" t="str">
            <v>SIN USO</v>
          </cell>
          <cell r="DF174" t="str">
            <v>C</v>
          </cell>
          <cell r="DH174">
            <v>3222.2222222222222</v>
          </cell>
          <cell r="DI174">
            <v>537.03703703703707</v>
          </cell>
        </row>
        <row r="175">
          <cell r="B175">
            <v>404719</v>
          </cell>
          <cell r="C175" t="str">
            <v>ETIQUETA BLANCA 100x120 SISA</v>
          </cell>
          <cell r="G175">
            <v>1000</v>
          </cell>
          <cell r="AQ175">
            <v>5000</v>
          </cell>
          <cell r="BC175">
            <v>14000</v>
          </cell>
          <cell r="BT175">
            <v>3000</v>
          </cell>
          <cell r="DE175" t="str">
            <v>SIN USO</v>
          </cell>
          <cell r="DF175" t="str">
            <v>C</v>
          </cell>
          <cell r="DH175">
            <v>0</v>
          </cell>
          <cell r="DI175">
            <v>0</v>
          </cell>
        </row>
        <row r="176">
          <cell r="B176">
            <v>404731</v>
          </cell>
          <cell r="C176" t="str">
            <v>ETIQUETA  4,2X6cm IMPR.PASTEL 5 COLOR + BARNIZ UV</v>
          </cell>
          <cell r="D176">
            <v>12500</v>
          </cell>
          <cell r="E176">
            <v>10000</v>
          </cell>
          <cell r="F176">
            <v>12500</v>
          </cell>
          <cell r="G176">
            <v>20000</v>
          </cell>
          <cell r="I176">
            <v>2000</v>
          </cell>
          <cell r="J176">
            <v>10000</v>
          </cell>
          <cell r="K176">
            <v>12500</v>
          </cell>
          <cell r="L176">
            <v>10000</v>
          </cell>
          <cell r="M176">
            <v>10000</v>
          </cell>
          <cell r="N176">
            <v>7500</v>
          </cell>
          <cell r="O176">
            <v>11000</v>
          </cell>
          <cell r="R176">
            <v>7500</v>
          </cell>
          <cell r="S176">
            <v>10000</v>
          </cell>
          <cell r="T176">
            <v>7500</v>
          </cell>
          <cell r="V176">
            <v>10000</v>
          </cell>
          <cell r="W176">
            <v>10000</v>
          </cell>
          <cell r="X176">
            <v>5000</v>
          </cell>
          <cell r="Y176">
            <v>7500</v>
          </cell>
          <cell r="AB176">
            <v>2500</v>
          </cell>
          <cell r="AC176">
            <v>2500</v>
          </cell>
          <cell r="AD176">
            <v>7500</v>
          </cell>
          <cell r="AE176">
            <v>3000</v>
          </cell>
          <cell r="AF176">
            <v>10000</v>
          </cell>
          <cell r="AH176">
            <v>15000</v>
          </cell>
          <cell r="AI176">
            <v>10000</v>
          </cell>
          <cell r="AJ176">
            <v>7500</v>
          </cell>
          <cell r="AK176">
            <v>7500</v>
          </cell>
          <cell r="AL176">
            <v>4500</v>
          </cell>
          <cell r="AM176">
            <v>4000</v>
          </cell>
          <cell r="AR176">
            <v>10000</v>
          </cell>
          <cell r="AT176">
            <v>5000</v>
          </cell>
          <cell r="AU176">
            <v>5000</v>
          </cell>
          <cell r="AV176">
            <v>5000</v>
          </cell>
          <cell r="AW176">
            <v>20000</v>
          </cell>
          <cell r="AX176">
            <v>5000</v>
          </cell>
          <cell r="AY176">
            <v>10000</v>
          </cell>
          <cell r="BA176">
            <v>5000</v>
          </cell>
          <cell r="BB176">
            <v>15000</v>
          </cell>
          <cell r="BC176">
            <v>5000</v>
          </cell>
          <cell r="BD176">
            <v>5000</v>
          </cell>
          <cell r="BE176">
            <v>5000</v>
          </cell>
          <cell r="BG176">
            <v>7500</v>
          </cell>
          <cell r="BH176">
            <v>12500</v>
          </cell>
          <cell r="DE176" t="str">
            <v>SIN USO</v>
          </cell>
          <cell r="DF176" t="str">
            <v>C</v>
          </cell>
          <cell r="DH176">
            <v>0</v>
          </cell>
          <cell r="DI176">
            <v>0</v>
          </cell>
        </row>
        <row r="177">
          <cell r="B177">
            <v>405572</v>
          </cell>
          <cell r="C177" t="str">
            <v>ETIQUETA GENÉRICA TORTA SELVA NEGRA MEDIANA WALMART</v>
          </cell>
          <cell r="BG177">
            <v>8500</v>
          </cell>
          <cell r="BH177">
            <v>4500</v>
          </cell>
          <cell r="BJ177">
            <v>3000</v>
          </cell>
          <cell r="BN177">
            <v>3500</v>
          </cell>
          <cell r="BQ177">
            <v>5000</v>
          </cell>
          <cell r="BS177">
            <v>8000</v>
          </cell>
          <cell r="BU177">
            <v>1000</v>
          </cell>
          <cell r="BV177">
            <v>1500</v>
          </cell>
          <cell r="BW177">
            <v>8500</v>
          </cell>
          <cell r="BX177">
            <v>1000</v>
          </cell>
          <cell r="CA177">
            <v>5500</v>
          </cell>
          <cell r="CB177">
            <v>3000</v>
          </cell>
          <cell r="CD177">
            <v>7000</v>
          </cell>
          <cell r="CI177">
            <v>4000</v>
          </cell>
          <cell r="CM177">
            <v>2000</v>
          </cell>
          <cell r="CN177">
            <v>4000</v>
          </cell>
          <cell r="CO177">
            <v>8000</v>
          </cell>
          <cell r="CQ177">
            <v>500</v>
          </cell>
          <cell r="CV177">
            <v>4000</v>
          </cell>
          <cell r="DE177" t="str">
            <v>SIN USO</v>
          </cell>
          <cell r="DF177" t="str">
            <v>C</v>
          </cell>
          <cell r="DH177">
            <v>3750</v>
          </cell>
          <cell r="DI177">
            <v>625</v>
          </cell>
        </row>
        <row r="178">
          <cell r="B178">
            <v>405571</v>
          </cell>
          <cell r="C178" t="str">
            <v>ETIQUETA GENÉRICA TORTA CREMA PIÑA MEDIANA WALMART</v>
          </cell>
          <cell r="BG178">
            <v>8000</v>
          </cell>
          <cell r="BH178">
            <v>5000</v>
          </cell>
          <cell r="BJ178">
            <v>4000</v>
          </cell>
          <cell r="BK178">
            <v>2000</v>
          </cell>
          <cell r="BL178">
            <v>5000</v>
          </cell>
          <cell r="BM178">
            <v>3500</v>
          </cell>
          <cell r="BN178">
            <v>4000</v>
          </cell>
          <cell r="BP178">
            <v>3000</v>
          </cell>
          <cell r="BQ178">
            <v>2500</v>
          </cell>
          <cell r="BS178">
            <v>3500</v>
          </cell>
          <cell r="BT178">
            <v>2000</v>
          </cell>
          <cell r="BU178">
            <v>1500</v>
          </cell>
          <cell r="BV178">
            <v>1500</v>
          </cell>
          <cell r="BW178">
            <v>11000</v>
          </cell>
          <cell r="BX178">
            <v>500</v>
          </cell>
          <cell r="CA178">
            <v>5000</v>
          </cell>
          <cell r="CB178">
            <v>1500</v>
          </cell>
          <cell r="CD178">
            <v>34500</v>
          </cell>
          <cell r="CF178">
            <v>2000</v>
          </cell>
          <cell r="CH178">
            <v>3500</v>
          </cell>
          <cell r="CI178">
            <v>4000</v>
          </cell>
          <cell r="CO178">
            <v>6000</v>
          </cell>
          <cell r="CQ178">
            <v>3500</v>
          </cell>
          <cell r="CV178">
            <v>500</v>
          </cell>
          <cell r="DE178" t="str">
            <v>SIN USO</v>
          </cell>
          <cell r="DF178" t="str">
            <v>C</v>
          </cell>
          <cell r="DH178">
            <v>3250</v>
          </cell>
          <cell r="DI178">
            <v>541.66666666666663</v>
          </cell>
        </row>
        <row r="179">
          <cell r="B179">
            <v>404744</v>
          </cell>
          <cell r="C179" t="str">
            <v>ETIQUETA CIRCULAR 9cm IMPR. TORTA TRS LECHES</v>
          </cell>
          <cell r="E179">
            <v>2000</v>
          </cell>
          <cell r="DE179" t="str">
            <v>SIN USO</v>
          </cell>
          <cell r="DF179" t="str">
            <v/>
          </cell>
          <cell r="DH179">
            <v>0</v>
          </cell>
          <cell r="DI179">
            <v>0</v>
          </cell>
        </row>
        <row r="180">
          <cell r="B180">
            <v>404722</v>
          </cell>
          <cell r="C180" t="str">
            <v>ETIQUETA BLANCA 30X40</v>
          </cell>
          <cell r="D180">
            <v>130000</v>
          </cell>
          <cell r="E180">
            <v>70000</v>
          </cell>
          <cell r="F180">
            <v>90000</v>
          </cell>
          <cell r="G180">
            <v>150000</v>
          </cell>
          <cell r="H180">
            <v>20000</v>
          </cell>
          <cell r="I180">
            <v>90000</v>
          </cell>
          <cell r="J180">
            <v>80000</v>
          </cell>
          <cell r="K180">
            <v>110000</v>
          </cell>
          <cell r="L180">
            <v>80000</v>
          </cell>
          <cell r="M180">
            <v>70000</v>
          </cell>
          <cell r="N180">
            <v>60000</v>
          </cell>
          <cell r="O180">
            <v>60000</v>
          </cell>
          <cell r="Q180">
            <v>90000</v>
          </cell>
          <cell r="R180">
            <v>32000</v>
          </cell>
          <cell r="S180">
            <v>50000</v>
          </cell>
          <cell r="T180">
            <v>73000</v>
          </cell>
          <cell r="U180">
            <v>20000</v>
          </cell>
          <cell r="V180">
            <v>60000</v>
          </cell>
          <cell r="W180">
            <v>70000</v>
          </cell>
          <cell r="X180">
            <v>80000</v>
          </cell>
          <cell r="Y180">
            <v>150000</v>
          </cell>
          <cell r="Z180">
            <v>40000</v>
          </cell>
          <cell r="AA180">
            <v>70000</v>
          </cell>
          <cell r="AB180">
            <v>40000</v>
          </cell>
          <cell r="AC180">
            <v>40000</v>
          </cell>
          <cell r="AF180">
            <v>10000</v>
          </cell>
          <cell r="AG180">
            <v>40000</v>
          </cell>
          <cell r="AH180">
            <v>30000</v>
          </cell>
          <cell r="AI180">
            <v>50000</v>
          </cell>
          <cell r="AJ180">
            <v>60000</v>
          </cell>
          <cell r="AK180">
            <v>40000</v>
          </cell>
          <cell r="AL180">
            <v>70000</v>
          </cell>
          <cell r="AM180">
            <v>40000</v>
          </cell>
          <cell r="AN180">
            <v>80000</v>
          </cell>
          <cell r="AO180">
            <v>60000</v>
          </cell>
          <cell r="AP180">
            <v>110000</v>
          </cell>
          <cell r="AQ180">
            <v>40000</v>
          </cell>
          <cell r="AR180">
            <v>120000</v>
          </cell>
          <cell r="AS180">
            <v>20000</v>
          </cell>
          <cell r="AT180">
            <v>70000</v>
          </cell>
          <cell r="AU180">
            <v>160000</v>
          </cell>
          <cell r="AV180">
            <v>70000</v>
          </cell>
          <cell r="AW180">
            <v>100000</v>
          </cell>
          <cell r="AX180">
            <v>80000</v>
          </cell>
          <cell r="AY180">
            <v>110000</v>
          </cell>
          <cell r="BA180">
            <v>60000</v>
          </cell>
          <cell r="BB180">
            <v>90000</v>
          </cell>
          <cell r="BC180">
            <v>80000</v>
          </cell>
          <cell r="BD180">
            <v>100000</v>
          </cell>
          <cell r="BE180">
            <v>70000</v>
          </cell>
          <cell r="BG180">
            <v>60000</v>
          </cell>
          <cell r="BH180">
            <v>130000</v>
          </cell>
          <cell r="BI180">
            <v>60000</v>
          </cell>
          <cell r="BJ180">
            <v>50000</v>
          </cell>
          <cell r="BK180">
            <v>70000</v>
          </cell>
          <cell r="BL180">
            <v>70000</v>
          </cell>
          <cell r="BM180">
            <v>60000</v>
          </cell>
          <cell r="BN180">
            <v>150000</v>
          </cell>
          <cell r="BP180">
            <v>10000</v>
          </cell>
          <cell r="BQ180">
            <v>90000</v>
          </cell>
          <cell r="BS180">
            <v>130000</v>
          </cell>
          <cell r="BT180">
            <v>100000</v>
          </cell>
          <cell r="BU180">
            <v>20000</v>
          </cell>
          <cell r="DE180" t="str">
            <v>SIN USO</v>
          </cell>
          <cell r="DF180" t="str">
            <v>C</v>
          </cell>
          <cell r="DH180">
            <v>0</v>
          </cell>
          <cell r="DI180">
            <v>0</v>
          </cell>
        </row>
        <row r="181">
          <cell r="B181">
            <v>405172</v>
          </cell>
          <cell r="C181" t="str">
            <v>ETIQUETA GENERICA TORTA CHOCOLATE 8 PP</v>
          </cell>
          <cell r="D181">
            <v>2500</v>
          </cell>
          <cell r="F181">
            <v>3000</v>
          </cell>
          <cell r="G181">
            <v>6500</v>
          </cell>
          <cell r="H181">
            <v>500</v>
          </cell>
          <cell r="I181">
            <v>6000</v>
          </cell>
          <cell r="J181">
            <v>5500</v>
          </cell>
          <cell r="K181">
            <v>1500</v>
          </cell>
          <cell r="M181">
            <v>3000</v>
          </cell>
          <cell r="N181">
            <v>4000</v>
          </cell>
          <cell r="O181">
            <v>3000</v>
          </cell>
          <cell r="P181">
            <v>3000</v>
          </cell>
          <cell r="Q181">
            <v>3000</v>
          </cell>
          <cell r="R181">
            <v>4000</v>
          </cell>
          <cell r="S181">
            <v>3000</v>
          </cell>
          <cell r="T181">
            <v>5000</v>
          </cell>
          <cell r="W181">
            <v>2500</v>
          </cell>
          <cell r="X181">
            <v>6000</v>
          </cell>
          <cell r="Y181">
            <v>3000</v>
          </cell>
          <cell r="AA181">
            <v>4000</v>
          </cell>
          <cell r="AD181">
            <v>3500</v>
          </cell>
          <cell r="AF181">
            <v>5500</v>
          </cell>
          <cell r="AK181">
            <v>5000</v>
          </cell>
          <cell r="AM181">
            <v>1000</v>
          </cell>
          <cell r="AN181">
            <v>5000</v>
          </cell>
          <cell r="AQ181">
            <v>4500</v>
          </cell>
          <cell r="AR181">
            <v>5000</v>
          </cell>
          <cell r="AS181">
            <v>4000</v>
          </cell>
          <cell r="AU181">
            <v>4000</v>
          </cell>
          <cell r="AW181">
            <v>5000</v>
          </cell>
          <cell r="AX181">
            <v>4500</v>
          </cell>
          <cell r="AY181">
            <v>5000</v>
          </cell>
          <cell r="BA181">
            <v>2500</v>
          </cell>
          <cell r="BB181">
            <v>5000</v>
          </cell>
          <cell r="BD181">
            <v>5000</v>
          </cell>
          <cell r="BE181">
            <v>4500</v>
          </cell>
          <cell r="BG181">
            <v>2500</v>
          </cell>
          <cell r="BH181">
            <v>2500</v>
          </cell>
          <cell r="BJ181">
            <v>2500</v>
          </cell>
          <cell r="BK181">
            <v>2500</v>
          </cell>
          <cell r="BL181">
            <v>5500</v>
          </cell>
          <cell r="BM181">
            <v>1000</v>
          </cell>
          <cell r="BN181">
            <v>5000</v>
          </cell>
          <cell r="BQ181">
            <v>9500</v>
          </cell>
          <cell r="BU181">
            <v>2500</v>
          </cell>
          <cell r="BW181">
            <v>1500</v>
          </cell>
          <cell r="BY181">
            <v>2500</v>
          </cell>
          <cell r="BZ181">
            <v>2500</v>
          </cell>
          <cell r="CA181">
            <v>5000</v>
          </cell>
          <cell r="CD181">
            <v>14500</v>
          </cell>
          <cell r="CI181">
            <v>5000</v>
          </cell>
          <cell r="CN181">
            <v>4000</v>
          </cell>
          <cell r="CS181">
            <v>1000</v>
          </cell>
          <cell r="CV181">
            <v>22500</v>
          </cell>
          <cell r="DE181" t="str">
            <v>SIN USO</v>
          </cell>
          <cell r="DF181" t="str">
            <v>C</v>
          </cell>
          <cell r="DH181">
            <v>8125</v>
          </cell>
          <cell r="DI181">
            <v>1354.1666666666667</v>
          </cell>
        </row>
        <row r="182">
          <cell r="B182">
            <v>405182</v>
          </cell>
          <cell r="C182" t="str">
            <v>ETIQUETA GENERICA TORTA CREMA PIÑA</v>
          </cell>
          <cell r="D182">
            <v>3000</v>
          </cell>
          <cell r="G182">
            <v>5000</v>
          </cell>
          <cell r="I182">
            <v>1000</v>
          </cell>
          <cell r="J182">
            <v>2500</v>
          </cell>
          <cell r="K182">
            <v>5000</v>
          </cell>
          <cell r="L182">
            <v>3000</v>
          </cell>
          <cell r="O182">
            <v>2500</v>
          </cell>
          <cell r="S182">
            <v>500</v>
          </cell>
          <cell r="T182">
            <v>3000</v>
          </cell>
          <cell r="V182">
            <v>3000</v>
          </cell>
          <cell r="W182">
            <v>3000</v>
          </cell>
          <cell r="X182">
            <v>3000</v>
          </cell>
          <cell r="Z182">
            <v>500</v>
          </cell>
          <cell r="AA182">
            <v>5000</v>
          </cell>
          <cell r="AB182">
            <v>5000</v>
          </cell>
          <cell r="AC182">
            <v>5500</v>
          </cell>
          <cell r="AF182">
            <v>4000</v>
          </cell>
          <cell r="AG182">
            <v>2000</v>
          </cell>
          <cell r="AJ182">
            <v>5500</v>
          </cell>
          <cell r="AL182">
            <v>500</v>
          </cell>
          <cell r="AS182">
            <v>3000</v>
          </cell>
          <cell r="AV182">
            <v>5000</v>
          </cell>
          <cell r="AW182">
            <v>6000</v>
          </cell>
          <cell r="AX182">
            <v>2500</v>
          </cell>
          <cell r="AY182">
            <v>3000</v>
          </cell>
          <cell r="BA182">
            <v>2500</v>
          </cell>
          <cell r="BB182">
            <v>3500</v>
          </cell>
          <cell r="BD182">
            <v>4500</v>
          </cell>
          <cell r="BE182">
            <v>2500</v>
          </cell>
          <cell r="BF182">
            <v>2000</v>
          </cell>
          <cell r="BH182">
            <v>5500</v>
          </cell>
          <cell r="BJ182">
            <v>2500</v>
          </cell>
          <cell r="BM182">
            <v>5000</v>
          </cell>
          <cell r="BQ182">
            <v>2500</v>
          </cell>
          <cell r="BU182">
            <v>4500</v>
          </cell>
          <cell r="BW182">
            <v>3000</v>
          </cell>
          <cell r="BY182">
            <v>3000</v>
          </cell>
          <cell r="BZ182">
            <v>2500</v>
          </cell>
          <cell r="CA182">
            <v>4500</v>
          </cell>
          <cell r="CB182">
            <v>2500</v>
          </cell>
          <cell r="CG182">
            <v>5000</v>
          </cell>
          <cell r="CI182">
            <v>4500</v>
          </cell>
          <cell r="CJ182">
            <v>2500</v>
          </cell>
          <cell r="CV182">
            <v>36000</v>
          </cell>
          <cell r="DE182" t="str">
            <v>SIN USO</v>
          </cell>
          <cell r="DF182" t="str">
            <v>C</v>
          </cell>
          <cell r="DH182">
            <v>12000</v>
          </cell>
          <cell r="DI182">
            <v>2000</v>
          </cell>
        </row>
        <row r="183">
          <cell r="B183">
            <v>405186</v>
          </cell>
          <cell r="C183" t="str">
            <v>ETIQUETA GENERICA TORTA HOLANDESA</v>
          </cell>
          <cell r="D183">
            <v>3000</v>
          </cell>
          <cell r="E183">
            <v>2500</v>
          </cell>
          <cell r="F183">
            <v>2000</v>
          </cell>
          <cell r="G183">
            <v>4500</v>
          </cell>
          <cell r="H183">
            <v>1500</v>
          </cell>
          <cell r="I183">
            <v>2000</v>
          </cell>
          <cell r="J183">
            <v>2500</v>
          </cell>
          <cell r="K183">
            <v>2500</v>
          </cell>
          <cell r="L183">
            <v>3000</v>
          </cell>
          <cell r="M183">
            <v>3000</v>
          </cell>
          <cell r="N183">
            <v>3000</v>
          </cell>
          <cell r="O183">
            <v>5000</v>
          </cell>
          <cell r="Q183">
            <v>3000</v>
          </cell>
          <cell r="R183">
            <v>3000</v>
          </cell>
          <cell r="S183">
            <v>3000</v>
          </cell>
          <cell r="T183">
            <v>4500</v>
          </cell>
          <cell r="V183">
            <v>5000</v>
          </cell>
          <cell r="W183">
            <v>7000</v>
          </cell>
          <cell r="X183">
            <v>7000</v>
          </cell>
          <cell r="Y183">
            <v>11500</v>
          </cell>
          <cell r="AA183">
            <v>4000</v>
          </cell>
          <cell r="AG183">
            <v>2000</v>
          </cell>
          <cell r="AH183">
            <v>3500</v>
          </cell>
          <cell r="AI183">
            <v>5000</v>
          </cell>
          <cell r="AJ183">
            <v>4000</v>
          </cell>
          <cell r="AK183">
            <v>3500</v>
          </cell>
          <cell r="AL183">
            <v>5000</v>
          </cell>
          <cell r="AM183">
            <v>1500</v>
          </cell>
          <cell r="AQ183">
            <v>1500</v>
          </cell>
          <cell r="AR183">
            <v>1000</v>
          </cell>
          <cell r="AS183">
            <v>1500</v>
          </cell>
          <cell r="AT183">
            <v>2500</v>
          </cell>
          <cell r="AU183">
            <v>3500</v>
          </cell>
          <cell r="AV183">
            <v>8500</v>
          </cell>
          <cell r="AW183">
            <v>7000</v>
          </cell>
          <cell r="AX183">
            <v>1000</v>
          </cell>
          <cell r="BA183">
            <v>4500</v>
          </cell>
          <cell r="BB183">
            <v>5000</v>
          </cell>
          <cell r="BC183">
            <v>3000</v>
          </cell>
          <cell r="BD183">
            <v>2000</v>
          </cell>
          <cell r="BE183">
            <v>3000</v>
          </cell>
          <cell r="BG183">
            <v>3500</v>
          </cell>
          <cell r="BH183">
            <v>6000</v>
          </cell>
          <cell r="BJ183">
            <v>3500</v>
          </cell>
          <cell r="BK183">
            <v>3000</v>
          </cell>
          <cell r="BL183">
            <v>3500</v>
          </cell>
          <cell r="BM183">
            <v>3000</v>
          </cell>
          <cell r="BN183">
            <v>6000</v>
          </cell>
          <cell r="BQ183">
            <v>5000</v>
          </cell>
          <cell r="BR183">
            <v>1000</v>
          </cell>
          <cell r="BS183">
            <v>7000</v>
          </cell>
          <cell r="BU183">
            <v>9500</v>
          </cell>
          <cell r="BV183">
            <v>2500</v>
          </cell>
          <cell r="BW183">
            <v>6500</v>
          </cell>
          <cell r="BY183">
            <v>4500</v>
          </cell>
          <cell r="BZ183">
            <v>4000</v>
          </cell>
          <cell r="CA183">
            <v>5000</v>
          </cell>
          <cell r="CB183">
            <v>2500</v>
          </cell>
          <cell r="CD183">
            <v>1500</v>
          </cell>
          <cell r="CF183">
            <v>2500</v>
          </cell>
          <cell r="CH183">
            <v>2500</v>
          </cell>
          <cell r="CI183">
            <v>5015</v>
          </cell>
          <cell r="CK183">
            <v>500</v>
          </cell>
          <cell r="CL183">
            <v>2000</v>
          </cell>
          <cell r="CM183">
            <v>2500</v>
          </cell>
          <cell r="CN183">
            <v>2000</v>
          </cell>
          <cell r="CO183">
            <v>5000</v>
          </cell>
          <cell r="CP183">
            <v>2000</v>
          </cell>
          <cell r="CQ183">
            <v>2000</v>
          </cell>
          <cell r="CR183">
            <v>1000</v>
          </cell>
          <cell r="CV183">
            <v>2000</v>
          </cell>
          <cell r="DE183" t="str">
            <v>SIN USO</v>
          </cell>
          <cell r="DF183" t="str">
            <v>C</v>
          </cell>
          <cell r="DH183">
            <v>2417.9166666666665</v>
          </cell>
          <cell r="DI183">
            <v>402.98611111111109</v>
          </cell>
        </row>
        <row r="184">
          <cell r="B184">
            <v>405671</v>
          </cell>
          <cell r="C184" t="str">
            <v>ETIQUETA TORTA SAN JORGE LÚCUMA SMU</v>
          </cell>
          <cell r="CI184">
            <v>1000</v>
          </cell>
          <cell r="CJ184">
            <v>4500</v>
          </cell>
          <cell r="CK184">
            <v>1000</v>
          </cell>
          <cell r="CL184">
            <v>4000</v>
          </cell>
          <cell r="CM184">
            <v>500</v>
          </cell>
          <cell r="CO184">
            <v>4000</v>
          </cell>
          <cell r="CP184">
            <v>500</v>
          </cell>
          <cell r="CQ184">
            <v>500</v>
          </cell>
          <cell r="DE184" t="str">
            <v>SIN USO</v>
          </cell>
          <cell r="DF184" t="str">
            <v/>
          </cell>
          <cell r="DH184">
            <v>2000</v>
          </cell>
          <cell r="DI184">
            <v>333.33333333333331</v>
          </cell>
        </row>
        <row r="185">
          <cell r="B185">
            <v>405189</v>
          </cell>
          <cell r="C185" t="str">
            <v>ETIQUETA GENERICA TORTA SELVA NEGRA</v>
          </cell>
          <cell r="E185">
            <v>3000</v>
          </cell>
          <cell r="G185">
            <v>9000</v>
          </cell>
          <cell r="H185">
            <v>2000</v>
          </cell>
          <cell r="I185">
            <v>3000</v>
          </cell>
          <cell r="J185">
            <v>3500</v>
          </cell>
          <cell r="K185">
            <v>6000</v>
          </cell>
          <cell r="L185">
            <v>3000</v>
          </cell>
          <cell r="M185">
            <v>3000</v>
          </cell>
          <cell r="N185">
            <v>3000</v>
          </cell>
          <cell r="O185">
            <v>4000</v>
          </cell>
          <cell r="Q185">
            <v>6000</v>
          </cell>
          <cell r="R185">
            <v>3000</v>
          </cell>
          <cell r="S185">
            <v>3000</v>
          </cell>
          <cell r="T185">
            <v>3500</v>
          </cell>
          <cell r="V185">
            <v>2000</v>
          </cell>
          <cell r="W185">
            <v>6500</v>
          </cell>
          <cell r="Y185">
            <v>11000</v>
          </cell>
          <cell r="AA185">
            <v>7500</v>
          </cell>
          <cell r="AC185">
            <v>3000</v>
          </cell>
          <cell r="AF185">
            <v>8500</v>
          </cell>
          <cell r="AG185">
            <v>7000</v>
          </cell>
          <cell r="AI185">
            <v>1000</v>
          </cell>
          <cell r="AJ185">
            <v>2000</v>
          </cell>
          <cell r="AK185">
            <v>1500</v>
          </cell>
          <cell r="AS185">
            <v>12000</v>
          </cell>
          <cell r="AT185">
            <v>4500</v>
          </cell>
          <cell r="AU185">
            <v>11500</v>
          </cell>
          <cell r="AV185">
            <v>6000</v>
          </cell>
          <cell r="AW185">
            <v>3000</v>
          </cell>
          <cell r="AX185">
            <v>2500</v>
          </cell>
          <cell r="AY185">
            <v>2000</v>
          </cell>
          <cell r="AZ185">
            <v>5000</v>
          </cell>
          <cell r="BA185">
            <v>8500</v>
          </cell>
          <cell r="BB185">
            <v>5000</v>
          </cell>
          <cell r="BC185">
            <v>2500</v>
          </cell>
          <cell r="BD185">
            <v>5000</v>
          </cell>
          <cell r="BE185">
            <v>2500</v>
          </cell>
          <cell r="BF185">
            <v>2000</v>
          </cell>
          <cell r="BG185">
            <v>2000</v>
          </cell>
          <cell r="BH185">
            <v>14000</v>
          </cell>
          <cell r="BL185">
            <v>2001</v>
          </cell>
          <cell r="BO185">
            <v>1000</v>
          </cell>
          <cell r="BQ185">
            <v>5000</v>
          </cell>
          <cell r="BS185">
            <v>15500</v>
          </cell>
          <cell r="BU185">
            <v>2000</v>
          </cell>
          <cell r="BV185">
            <v>500</v>
          </cell>
          <cell r="BW185">
            <v>3500</v>
          </cell>
          <cell r="BX185">
            <v>500</v>
          </cell>
          <cell r="CA185">
            <v>3500</v>
          </cell>
          <cell r="CB185">
            <v>4500</v>
          </cell>
          <cell r="CC185">
            <v>2000</v>
          </cell>
          <cell r="CF185">
            <v>7000</v>
          </cell>
          <cell r="CH185">
            <v>5500</v>
          </cell>
          <cell r="CI185">
            <v>9500</v>
          </cell>
          <cell r="CK185">
            <v>2000</v>
          </cell>
          <cell r="CL185">
            <v>5000</v>
          </cell>
          <cell r="CM185">
            <v>5000</v>
          </cell>
          <cell r="CN185">
            <v>5000</v>
          </cell>
          <cell r="CQ185">
            <v>5000</v>
          </cell>
          <cell r="CV185">
            <v>23000</v>
          </cell>
          <cell r="DE185" t="str">
            <v>SIN USO</v>
          </cell>
          <cell r="DF185" t="str">
            <v>C</v>
          </cell>
          <cell r="DH185">
            <v>7444.4444444444443</v>
          </cell>
          <cell r="DI185">
            <v>1240.7407407407406</v>
          </cell>
        </row>
        <row r="186">
          <cell r="B186">
            <v>405355</v>
          </cell>
          <cell r="C186" t="str">
            <v>ETIQ. CIRCULAR 90cm IMPR. JUMBO KUCHEN DE FRUTILLA</v>
          </cell>
          <cell r="J186">
            <v>3000</v>
          </cell>
          <cell r="L186">
            <v>1000</v>
          </cell>
          <cell r="M186">
            <v>500</v>
          </cell>
          <cell r="N186">
            <v>1000</v>
          </cell>
          <cell r="O186">
            <v>2000</v>
          </cell>
          <cell r="R186">
            <v>1000</v>
          </cell>
          <cell r="DE186" t="str">
            <v>SIN USO</v>
          </cell>
          <cell r="DF186" t="str">
            <v/>
          </cell>
          <cell r="DH186">
            <v>0</v>
          </cell>
          <cell r="DI186">
            <v>0</v>
          </cell>
        </row>
        <row r="187">
          <cell r="B187">
            <v>405216</v>
          </cell>
          <cell r="C187" t="str">
            <v>ETIQUETA GENERICA TORTA PANQUEQUE NARANJA</v>
          </cell>
          <cell r="D187">
            <v>2000</v>
          </cell>
          <cell r="E187">
            <v>2000</v>
          </cell>
          <cell r="F187">
            <v>1500</v>
          </cell>
          <cell r="G187">
            <v>3000</v>
          </cell>
          <cell r="I187">
            <v>1500</v>
          </cell>
          <cell r="J187">
            <v>1500</v>
          </cell>
          <cell r="K187">
            <v>1500</v>
          </cell>
          <cell r="L187">
            <v>2500</v>
          </cell>
          <cell r="M187">
            <v>1500</v>
          </cell>
          <cell r="N187">
            <v>1500</v>
          </cell>
          <cell r="O187">
            <v>3000</v>
          </cell>
          <cell r="Q187">
            <v>1500</v>
          </cell>
          <cell r="R187">
            <v>1500</v>
          </cell>
          <cell r="S187">
            <v>2000</v>
          </cell>
          <cell r="T187">
            <v>5000</v>
          </cell>
          <cell r="U187">
            <v>3000</v>
          </cell>
          <cell r="V187">
            <v>6000</v>
          </cell>
          <cell r="W187">
            <v>3000</v>
          </cell>
          <cell r="X187">
            <v>2000</v>
          </cell>
          <cell r="Y187">
            <v>7500</v>
          </cell>
          <cell r="AC187">
            <v>1000</v>
          </cell>
          <cell r="AD187">
            <v>2500</v>
          </cell>
          <cell r="AF187">
            <v>2500</v>
          </cell>
          <cell r="AG187">
            <v>1000</v>
          </cell>
          <cell r="AH187">
            <v>2500</v>
          </cell>
          <cell r="AI187">
            <v>2500</v>
          </cell>
          <cell r="AJ187">
            <v>2500</v>
          </cell>
          <cell r="AK187">
            <v>2000</v>
          </cell>
          <cell r="AL187">
            <v>2000</v>
          </cell>
          <cell r="AM187">
            <v>2000</v>
          </cell>
          <cell r="AO187">
            <v>500</v>
          </cell>
          <cell r="AP187">
            <v>4000</v>
          </cell>
          <cell r="AQ187">
            <v>2000</v>
          </cell>
          <cell r="AR187">
            <v>3500</v>
          </cell>
          <cell r="AT187">
            <v>1500</v>
          </cell>
          <cell r="AU187">
            <v>2500</v>
          </cell>
          <cell r="AW187">
            <v>3000</v>
          </cell>
          <cell r="AX187">
            <v>1000</v>
          </cell>
          <cell r="AY187">
            <v>500</v>
          </cell>
          <cell r="BA187">
            <v>1500</v>
          </cell>
          <cell r="BB187">
            <v>1500</v>
          </cell>
          <cell r="BC187">
            <v>1500</v>
          </cell>
          <cell r="BD187">
            <v>4000</v>
          </cell>
          <cell r="BE187">
            <v>1500</v>
          </cell>
          <cell r="BG187">
            <v>2000</v>
          </cell>
          <cell r="BH187">
            <v>4500</v>
          </cell>
          <cell r="BJ187">
            <v>2000</v>
          </cell>
          <cell r="BK187">
            <v>2000</v>
          </cell>
          <cell r="BL187">
            <v>2000</v>
          </cell>
          <cell r="BM187">
            <v>1500</v>
          </cell>
          <cell r="BN187">
            <v>5000</v>
          </cell>
          <cell r="BQ187">
            <v>4500</v>
          </cell>
          <cell r="BS187">
            <v>4500</v>
          </cell>
          <cell r="BT187">
            <v>1000</v>
          </cell>
          <cell r="BU187">
            <v>2000</v>
          </cell>
          <cell r="BV187">
            <v>2000</v>
          </cell>
          <cell r="BW187">
            <v>3000</v>
          </cell>
          <cell r="BX187">
            <v>500</v>
          </cell>
          <cell r="BY187">
            <v>2000</v>
          </cell>
          <cell r="BZ187">
            <v>2000</v>
          </cell>
          <cell r="CA187">
            <v>3500</v>
          </cell>
          <cell r="CB187">
            <v>1500</v>
          </cell>
          <cell r="CD187">
            <v>16000</v>
          </cell>
          <cell r="CF187">
            <v>2000</v>
          </cell>
          <cell r="CH187">
            <v>2000</v>
          </cell>
          <cell r="CI187">
            <v>5000</v>
          </cell>
          <cell r="CK187">
            <v>5000</v>
          </cell>
          <cell r="CN187">
            <v>1000</v>
          </cell>
          <cell r="CO187">
            <v>4000</v>
          </cell>
          <cell r="CP187">
            <v>1500</v>
          </cell>
          <cell r="CQ187">
            <v>1000</v>
          </cell>
          <cell r="DE187" t="str">
            <v>SIN USO</v>
          </cell>
          <cell r="DF187" t="str">
            <v>C</v>
          </cell>
          <cell r="DH187">
            <v>2687.5</v>
          </cell>
          <cell r="DI187">
            <v>447.91666666666669</v>
          </cell>
        </row>
        <row r="188">
          <cell r="B188">
            <v>405312</v>
          </cell>
          <cell r="C188" t="str">
            <v>ETIQUETA GENERICA TORTA FRUTOS DEL BOSQUE</v>
          </cell>
          <cell r="D188">
            <v>5000</v>
          </cell>
          <cell r="E188">
            <v>2500</v>
          </cell>
          <cell r="G188">
            <v>5000</v>
          </cell>
          <cell r="I188">
            <v>1000</v>
          </cell>
          <cell r="J188">
            <v>1000</v>
          </cell>
          <cell r="K188">
            <v>1500</v>
          </cell>
          <cell r="L188">
            <v>3000</v>
          </cell>
          <cell r="P188">
            <v>2500</v>
          </cell>
          <cell r="Q188">
            <v>2000</v>
          </cell>
          <cell r="S188">
            <v>3500</v>
          </cell>
          <cell r="T188">
            <v>1000</v>
          </cell>
          <cell r="V188">
            <v>1500</v>
          </cell>
          <cell r="W188">
            <v>1000</v>
          </cell>
          <cell r="X188">
            <v>5000</v>
          </cell>
          <cell r="AB188">
            <v>4000</v>
          </cell>
          <cell r="AI188">
            <v>2000</v>
          </cell>
          <cell r="AJ188">
            <v>4000</v>
          </cell>
          <cell r="AK188">
            <v>5000</v>
          </cell>
          <cell r="AL188">
            <v>2500</v>
          </cell>
          <cell r="AM188">
            <v>1000</v>
          </cell>
          <cell r="AN188">
            <v>2000</v>
          </cell>
          <cell r="AP188">
            <v>5000</v>
          </cell>
          <cell r="AR188">
            <v>3500</v>
          </cell>
          <cell r="BA188">
            <v>3500</v>
          </cell>
          <cell r="BB188">
            <v>1500</v>
          </cell>
          <cell r="BC188">
            <v>2500</v>
          </cell>
          <cell r="BD188">
            <v>3000</v>
          </cell>
          <cell r="BE188">
            <v>3000</v>
          </cell>
          <cell r="BH188">
            <v>2500</v>
          </cell>
          <cell r="BI188">
            <v>2500</v>
          </cell>
          <cell r="BJ188">
            <v>2500</v>
          </cell>
          <cell r="BK188">
            <v>2500</v>
          </cell>
          <cell r="BL188">
            <v>2500</v>
          </cell>
          <cell r="BM188">
            <v>5000</v>
          </cell>
          <cell r="BQ188">
            <v>2000</v>
          </cell>
          <cell r="BS188">
            <v>5000</v>
          </cell>
          <cell r="BT188">
            <v>1500</v>
          </cell>
          <cell r="BY188">
            <v>2500</v>
          </cell>
          <cell r="BZ188">
            <v>2500</v>
          </cell>
          <cell r="CA188">
            <v>2500</v>
          </cell>
          <cell r="CB188">
            <v>1500</v>
          </cell>
          <cell r="CD188">
            <v>10500</v>
          </cell>
          <cell r="CI188">
            <v>5000</v>
          </cell>
          <cell r="CL188">
            <v>5000</v>
          </cell>
          <cell r="CM188">
            <v>2500</v>
          </cell>
          <cell r="CN188">
            <v>5000</v>
          </cell>
          <cell r="CO188">
            <v>10000</v>
          </cell>
          <cell r="CR188">
            <v>0</v>
          </cell>
          <cell r="CT188">
            <v>500</v>
          </cell>
          <cell r="CV188">
            <v>9500</v>
          </cell>
          <cell r="DE188" t="str">
            <v>SIN USO</v>
          </cell>
          <cell r="DF188" t="str">
            <v>C</v>
          </cell>
          <cell r="DH188">
            <v>5357.1428571428569</v>
          </cell>
          <cell r="DI188">
            <v>892.85714285714278</v>
          </cell>
        </row>
        <row r="189">
          <cell r="B189">
            <v>405191</v>
          </cell>
          <cell r="C189" t="str">
            <v>ETIQUETA GENERICA TORTA TRES LECHES</v>
          </cell>
          <cell r="D189">
            <v>7500</v>
          </cell>
          <cell r="E189">
            <v>6000</v>
          </cell>
          <cell r="F189">
            <v>6000</v>
          </cell>
          <cell r="G189">
            <v>11000</v>
          </cell>
          <cell r="I189">
            <v>6500</v>
          </cell>
          <cell r="J189">
            <v>5500</v>
          </cell>
          <cell r="K189">
            <v>7000</v>
          </cell>
          <cell r="L189">
            <v>7500</v>
          </cell>
          <cell r="M189">
            <v>5500</v>
          </cell>
          <cell r="N189">
            <v>5000</v>
          </cell>
          <cell r="O189">
            <v>7500</v>
          </cell>
          <cell r="Q189">
            <v>2000</v>
          </cell>
          <cell r="R189">
            <v>5000</v>
          </cell>
          <cell r="S189">
            <v>7000</v>
          </cell>
          <cell r="T189">
            <v>5000</v>
          </cell>
          <cell r="V189">
            <v>6500</v>
          </cell>
          <cell r="W189">
            <v>6000</v>
          </cell>
          <cell r="Y189">
            <v>11000</v>
          </cell>
          <cell r="AA189">
            <v>2000</v>
          </cell>
          <cell r="AB189">
            <v>7000</v>
          </cell>
          <cell r="AC189">
            <v>5000</v>
          </cell>
          <cell r="AD189">
            <v>10000</v>
          </cell>
          <cell r="AG189">
            <v>4500</v>
          </cell>
          <cell r="AH189">
            <v>4000</v>
          </cell>
          <cell r="AI189">
            <v>4000</v>
          </cell>
          <cell r="AK189">
            <v>1500</v>
          </cell>
          <cell r="AN189">
            <v>3000</v>
          </cell>
          <cell r="AP189">
            <v>2000</v>
          </cell>
          <cell r="AQ189">
            <v>6000</v>
          </cell>
          <cell r="AR189">
            <v>10500</v>
          </cell>
          <cell r="AT189">
            <v>4500</v>
          </cell>
          <cell r="AU189">
            <v>9000</v>
          </cell>
          <cell r="AV189">
            <v>5000</v>
          </cell>
          <cell r="AW189">
            <v>12000</v>
          </cell>
          <cell r="AX189">
            <v>5000</v>
          </cell>
          <cell r="AY189">
            <v>5500</v>
          </cell>
          <cell r="BA189">
            <v>5500</v>
          </cell>
          <cell r="BB189">
            <v>2000</v>
          </cell>
          <cell r="BC189">
            <v>5500</v>
          </cell>
          <cell r="BD189">
            <v>9500</v>
          </cell>
          <cell r="BE189">
            <v>6000</v>
          </cell>
          <cell r="BG189">
            <v>6000</v>
          </cell>
          <cell r="BH189">
            <v>14500</v>
          </cell>
          <cell r="BJ189">
            <v>11500</v>
          </cell>
          <cell r="BK189">
            <v>8500</v>
          </cell>
          <cell r="BL189">
            <v>8500</v>
          </cell>
          <cell r="BM189">
            <v>8000</v>
          </cell>
          <cell r="BN189">
            <v>13000</v>
          </cell>
          <cell r="BP189">
            <v>1000</v>
          </cell>
          <cell r="BQ189">
            <v>11000</v>
          </cell>
          <cell r="BS189">
            <v>7000</v>
          </cell>
          <cell r="BU189">
            <v>9500</v>
          </cell>
          <cell r="BV189">
            <v>2000</v>
          </cell>
          <cell r="BW189">
            <v>9000</v>
          </cell>
          <cell r="BY189">
            <v>5000</v>
          </cell>
          <cell r="BZ189">
            <v>5500</v>
          </cell>
          <cell r="CA189">
            <v>9000</v>
          </cell>
          <cell r="CB189">
            <v>4000</v>
          </cell>
          <cell r="CD189">
            <v>8000</v>
          </cell>
          <cell r="CF189">
            <v>4500</v>
          </cell>
          <cell r="CH189">
            <v>5000</v>
          </cell>
          <cell r="CI189">
            <v>10000</v>
          </cell>
          <cell r="CK189">
            <v>1000</v>
          </cell>
          <cell r="CL189">
            <v>5000</v>
          </cell>
          <cell r="CM189">
            <v>5000</v>
          </cell>
          <cell r="CN189">
            <v>5000</v>
          </cell>
          <cell r="CO189">
            <v>5000</v>
          </cell>
          <cell r="CQ189">
            <v>3600</v>
          </cell>
          <cell r="CR189">
            <v>0</v>
          </cell>
          <cell r="CU189">
            <v>2500</v>
          </cell>
          <cell r="CV189">
            <v>18900</v>
          </cell>
          <cell r="DE189" t="str">
            <v>SIN USO</v>
          </cell>
          <cell r="DF189" t="str">
            <v>C</v>
          </cell>
          <cell r="DH189">
            <v>5954.545454545455</v>
          </cell>
          <cell r="DI189">
            <v>992.42424242424249</v>
          </cell>
        </row>
        <row r="190">
          <cell r="B190">
            <v>405193</v>
          </cell>
          <cell r="C190" t="str">
            <v>ETIQUETA GENERICA TORTA SAN JORGE</v>
          </cell>
          <cell r="D190">
            <v>2000</v>
          </cell>
          <cell r="E190">
            <v>2000</v>
          </cell>
          <cell r="F190">
            <v>2000</v>
          </cell>
          <cell r="G190">
            <v>3500</v>
          </cell>
          <cell r="I190">
            <v>1500</v>
          </cell>
          <cell r="J190">
            <v>1500</v>
          </cell>
          <cell r="K190">
            <v>1500</v>
          </cell>
          <cell r="L190">
            <v>2000</v>
          </cell>
          <cell r="M190">
            <v>2000</v>
          </cell>
          <cell r="N190">
            <v>2000</v>
          </cell>
          <cell r="O190">
            <v>3500</v>
          </cell>
          <cell r="Q190">
            <v>1500</v>
          </cell>
          <cell r="R190">
            <v>2000</v>
          </cell>
          <cell r="S190">
            <v>2000</v>
          </cell>
          <cell r="T190">
            <v>1000</v>
          </cell>
          <cell r="V190">
            <v>2000</v>
          </cell>
          <cell r="W190">
            <v>1000</v>
          </cell>
          <cell r="X190">
            <v>3000</v>
          </cell>
          <cell r="Y190">
            <v>1500</v>
          </cell>
          <cell r="AA190">
            <v>2000</v>
          </cell>
          <cell r="AB190">
            <v>2000</v>
          </cell>
          <cell r="AC190">
            <v>1000</v>
          </cell>
          <cell r="AD190">
            <v>2000</v>
          </cell>
          <cell r="AF190">
            <v>1500</v>
          </cell>
          <cell r="AG190">
            <v>2000</v>
          </cell>
          <cell r="AH190">
            <v>1500</v>
          </cell>
          <cell r="AI190">
            <v>1500</v>
          </cell>
          <cell r="AJ190">
            <v>3000</v>
          </cell>
          <cell r="AK190">
            <v>2000</v>
          </cell>
          <cell r="AL190">
            <v>2000</v>
          </cell>
          <cell r="AM190">
            <v>2500</v>
          </cell>
          <cell r="AN190">
            <v>2000</v>
          </cell>
          <cell r="AO190">
            <v>1000</v>
          </cell>
          <cell r="AP190">
            <v>2000</v>
          </cell>
          <cell r="AQ190">
            <v>2500</v>
          </cell>
          <cell r="AR190">
            <v>5000</v>
          </cell>
          <cell r="AS190">
            <v>500</v>
          </cell>
          <cell r="AT190">
            <v>3000</v>
          </cell>
          <cell r="AU190">
            <v>3000</v>
          </cell>
          <cell r="AV190">
            <v>2500</v>
          </cell>
          <cell r="AW190">
            <v>4000</v>
          </cell>
          <cell r="AX190">
            <v>3000</v>
          </cell>
          <cell r="AY190">
            <v>3500</v>
          </cell>
          <cell r="BA190">
            <v>3000</v>
          </cell>
          <cell r="BB190">
            <v>2000</v>
          </cell>
          <cell r="BC190">
            <v>1000</v>
          </cell>
          <cell r="BD190">
            <v>4000</v>
          </cell>
          <cell r="BE190">
            <v>3000</v>
          </cell>
          <cell r="BF190">
            <v>1500</v>
          </cell>
          <cell r="BG190">
            <v>3000</v>
          </cell>
          <cell r="BH190">
            <v>6000</v>
          </cell>
          <cell r="BJ190">
            <v>3500</v>
          </cell>
          <cell r="BK190">
            <v>3000</v>
          </cell>
          <cell r="BL190">
            <v>2000</v>
          </cell>
          <cell r="BM190">
            <v>2500</v>
          </cell>
          <cell r="BN190">
            <v>6000</v>
          </cell>
          <cell r="BO190">
            <v>3500</v>
          </cell>
          <cell r="BQ190">
            <v>10500</v>
          </cell>
          <cell r="BS190">
            <v>5500</v>
          </cell>
          <cell r="BT190">
            <v>1500</v>
          </cell>
          <cell r="BU190">
            <v>12000</v>
          </cell>
          <cell r="BV190">
            <v>4000</v>
          </cell>
          <cell r="BW190">
            <v>5000</v>
          </cell>
          <cell r="BY190">
            <v>3000</v>
          </cell>
          <cell r="BZ190">
            <v>2500</v>
          </cell>
          <cell r="CA190">
            <v>5000</v>
          </cell>
          <cell r="CB190">
            <v>2500</v>
          </cell>
          <cell r="CD190">
            <v>12000</v>
          </cell>
          <cell r="CF190">
            <v>2500</v>
          </cell>
          <cell r="CH190">
            <v>3000</v>
          </cell>
          <cell r="CI190">
            <v>4000</v>
          </cell>
          <cell r="CK190">
            <v>2000</v>
          </cell>
          <cell r="CL190">
            <v>2500</v>
          </cell>
          <cell r="CM190">
            <v>2500</v>
          </cell>
          <cell r="CN190">
            <v>3500</v>
          </cell>
          <cell r="CO190">
            <v>1500</v>
          </cell>
          <cell r="CR190">
            <v>4500</v>
          </cell>
          <cell r="DE190" t="str">
            <v>SIN USO</v>
          </cell>
          <cell r="DF190" t="str">
            <v>C</v>
          </cell>
          <cell r="DH190">
            <v>2888.8888888888887</v>
          </cell>
          <cell r="DI190">
            <v>481.48148148148147</v>
          </cell>
        </row>
        <row r="191">
          <cell r="B191">
            <v>405198</v>
          </cell>
          <cell r="C191" t="str">
            <v>ETIQUETA CONSUMO IMPRESO COLOR CAFÉ</v>
          </cell>
          <cell r="D191">
            <v>12000</v>
          </cell>
          <cell r="E191">
            <v>6000</v>
          </cell>
          <cell r="F191">
            <v>10000</v>
          </cell>
          <cell r="G191">
            <v>20000</v>
          </cell>
          <cell r="H191">
            <v>10000</v>
          </cell>
          <cell r="I191">
            <v>16000</v>
          </cell>
          <cell r="J191">
            <v>22000</v>
          </cell>
          <cell r="K191">
            <v>20000</v>
          </cell>
          <cell r="L191">
            <v>10000</v>
          </cell>
          <cell r="M191">
            <v>6000</v>
          </cell>
          <cell r="N191">
            <v>20000</v>
          </cell>
          <cell r="O191">
            <v>10000</v>
          </cell>
          <cell r="P191">
            <v>6000</v>
          </cell>
          <cell r="Q191">
            <v>48000</v>
          </cell>
          <cell r="R191">
            <v>8000</v>
          </cell>
          <cell r="S191">
            <v>16000</v>
          </cell>
          <cell r="T191">
            <v>12000</v>
          </cell>
          <cell r="U191">
            <v>16000</v>
          </cell>
          <cell r="V191">
            <v>22000</v>
          </cell>
          <cell r="W191">
            <v>6000</v>
          </cell>
          <cell r="X191">
            <v>20000</v>
          </cell>
          <cell r="Y191">
            <v>8000</v>
          </cell>
          <cell r="Z191">
            <v>8000</v>
          </cell>
          <cell r="AA191">
            <v>10000</v>
          </cell>
          <cell r="AB191">
            <v>16000</v>
          </cell>
          <cell r="AC191">
            <v>16000</v>
          </cell>
          <cell r="AD191">
            <v>10000</v>
          </cell>
          <cell r="AF191">
            <v>16000</v>
          </cell>
          <cell r="AG191">
            <v>14000</v>
          </cell>
          <cell r="AH191">
            <v>36000</v>
          </cell>
          <cell r="AI191">
            <v>26000</v>
          </cell>
          <cell r="AJ191">
            <v>6000</v>
          </cell>
          <cell r="AK191">
            <v>6000</v>
          </cell>
          <cell r="AL191">
            <v>12000</v>
          </cell>
          <cell r="AM191">
            <v>20000</v>
          </cell>
          <cell r="AN191">
            <v>28000</v>
          </cell>
          <cell r="AO191">
            <v>6000</v>
          </cell>
          <cell r="AP191">
            <v>22000</v>
          </cell>
          <cell r="AQ191">
            <v>14000</v>
          </cell>
          <cell r="AR191">
            <v>18000</v>
          </cell>
          <cell r="AS191">
            <v>20000</v>
          </cell>
          <cell r="AT191">
            <v>20000</v>
          </cell>
          <cell r="AU191">
            <v>30000</v>
          </cell>
          <cell r="AV191">
            <v>16000</v>
          </cell>
          <cell r="AW191">
            <v>36000</v>
          </cell>
          <cell r="AX191">
            <v>4000</v>
          </cell>
          <cell r="AY191">
            <v>22000</v>
          </cell>
          <cell r="AZ191">
            <v>38000</v>
          </cell>
          <cell r="BA191">
            <v>12000</v>
          </cell>
          <cell r="BB191">
            <v>12000</v>
          </cell>
          <cell r="BC191">
            <v>18000</v>
          </cell>
          <cell r="BD191">
            <v>10000</v>
          </cell>
          <cell r="BE191">
            <v>32000</v>
          </cell>
          <cell r="BF191">
            <v>6000</v>
          </cell>
          <cell r="BG191">
            <v>17000</v>
          </cell>
          <cell r="BH191">
            <v>26000</v>
          </cell>
          <cell r="BI191">
            <v>16000</v>
          </cell>
          <cell r="BJ191">
            <v>28000</v>
          </cell>
          <cell r="BK191">
            <v>16000</v>
          </cell>
          <cell r="BL191">
            <v>22000</v>
          </cell>
          <cell r="BM191">
            <v>12000</v>
          </cell>
          <cell r="BN191">
            <v>12000</v>
          </cell>
          <cell r="BO191">
            <v>16000</v>
          </cell>
          <cell r="BP191">
            <v>6000</v>
          </cell>
          <cell r="BQ191">
            <v>18000</v>
          </cell>
          <cell r="BR191">
            <v>6000</v>
          </cell>
          <cell r="BS191">
            <v>26000</v>
          </cell>
          <cell r="BT191">
            <v>6000</v>
          </cell>
          <cell r="BU191">
            <v>16000</v>
          </cell>
          <cell r="BV191">
            <v>28000</v>
          </cell>
          <cell r="BW191">
            <v>10000</v>
          </cell>
          <cell r="BX191">
            <v>16000</v>
          </cell>
          <cell r="BZ191">
            <v>8000</v>
          </cell>
          <cell r="CA191">
            <v>18000</v>
          </cell>
          <cell r="CB191">
            <v>6000</v>
          </cell>
          <cell r="CC191">
            <v>10000</v>
          </cell>
          <cell r="CD191">
            <v>10000</v>
          </cell>
          <cell r="CE191">
            <v>16000</v>
          </cell>
          <cell r="CG191">
            <v>12000</v>
          </cell>
          <cell r="CH191">
            <v>8000</v>
          </cell>
          <cell r="CI191">
            <v>8000</v>
          </cell>
          <cell r="CJ191">
            <v>16000</v>
          </cell>
          <cell r="CK191">
            <v>8000</v>
          </cell>
          <cell r="CL191">
            <v>8000</v>
          </cell>
          <cell r="CM191">
            <v>14000</v>
          </cell>
          <cell r="CN191">
            <v>14000</v>
          </cell>
          <cell r="CO191">
            <v>18000</v>
          </cell>
          <cell r="CP191">
            <v>10000</v>
          </cell>
          <cell r="CQ191">
            <v>4000</v>
          </cell>
          <cell r="CR191">
            <v>12000</v>
          </cell>
          <cell r="CV191">
            <v>2000</v>
          </cell>
          <cell r="DE191" t="str">
            <v>SIN USO</v>
          </cell>
          <cell r="DF191" t="str">
            <v>C</v>
          </cell>
          <cell r="DH191">
            <v>10307.692307692309</v>
          </cell>
          <cell r="DI191">
            <v>1717.948717948718</v>
          </cell>
        </row>
        <row r="192">
          <cell r="B192">
            <v>405111</v>
          </cell>
          <cell r="C192" t="str">
            <v>ETIQUETA CIRCULAR TORTA AMOR</v>
          </cell>
          <cell r="E192">
            <v>2000</v>
          </cell>
          <cell r="Z192">
            <v>2000</v>
          </cell>
          <cell r="AA192">
            <v>1000</v>
          </cell>
          <cell r="AW192">
            <v>6000</v>
          </cell>
          <cell r="DE192" t="str">
            <v>SIN USO</v>
          </cell>
          <cell r="DF192" t="str">
            <v>C</v>
          </cell>
          <cell r="DH192">
            <v>0</v>
          </cell>
          <cell r="DI192">
            <v>0</v>
          </cell>
        </row>
        <row r="193">
          <cell r="B193">
            <v>404749</v>
          </cell>
          <cell r="C193" t="str">
            <v>ETIQUETA BLANCA 100x80 JUMBO</v>
          </cell>
          <cell r="AX193">
            <v>5000</v>
          </cell>
          <cell r="DE193" t="str">
            <v>SIN USO</v>
          </cell>
          <cell r="DF193" t="str">
            <v>C</v>
          </cell>
          <cell r="DH193">
            <v>0</v>
          </cell>
          <cell r="DI193">
            <v>0</v>
          </cell>
        </row>
        <row r="194">
          <cell r="B194">
            <v>405174</v>
          </cell>
          <cell r="C194" t="str">
            <v>ETIQUETA GENERICA TORTA CHOCOLATE MANJAR</v>
          </cell>
          <cell r="D194">
            <v>2000</v>
          </cell>
          <cell r="E194">
            <v>3000</v>
          </cell>
          <cell r="F194">
            <v>2500</v>
          </cell>
          <cell r="G194">
            <v>4500</v>
          </cell>
          <cell r="I194">
            <v>5000</v>
          </cell>
          <cell r="J194">
            <v>4500</v>
          </cell>
          <cell r="K194">
            <v>5000</v>
          </cell>
          <cell r="L194">
            <v>2500</v>
          </cell>
          <cell r="M194">
            <v>4500</v>
          </cell>
          <cell r="N194">
            <v>5500</v>
          </cell>
          <cell r="O194">
            <v>2500</v>
          </cell>
          <cell r="Q194">
            <v>500</v>
          </cell>
          <cell r="R194">
            <v>5500</v>
          </cell>
          <cell r="S194">
            <v>3000</v>
          </cell>
          <cell r="V194">
            <v>5000</v>
          </cell>
          <cell r="W194">
            <v>4000</v>
          </cell>
          <cell r="X194">
            <v>3500</v>
          </cell>
          <cell r="AA194">
            <v>9500</v>
          </cell>
          <cell r="AB194">
            <v>1500</v>
          </cell>
          <cell r="AD194">
            <v>3000</v>
          </cell>
          <cell r="AI194">
            <v>3500</v>
          </cell>
          <cell r="AL194">
            <v>5000</v>
          </cell>
          <cell r="AQ194">
            <v>4000</v>
          </cell>
          <cell r="AR194">
            <v>5500</v>
          </cell>
          <cell r="AU194">
            <v>4000</v>
          </cell>
          <cell r="AW194">
            <v>4000</v>
          </cell>
          <cell r="BA194">
            <v>3000</v>
          </cell>
          <cell r="BC194">
            <v>4500</v>
          </cell>
          <cell r="BD194">
            <v>6000</v>
          </cell>
          <cell r="BE194">
            <v>4000</v>
          </cell>
          <cell r="BG194">
            <v>4000</v>
          </cell>
          <cell r="BH194">
            <v>5000</v>
          </cell>
          <cell r="BJ194">
            <v>8500</v>
          </cell>
          <cell r="BK194">
            <v>2000</v>
          </cell>
          <cell r="BM194">
            <v>4000</v>
          </cell>
          <cell r="BN194">
            <v>8000</v>
          </cell>
          <cell r="BQ194">
            <v>1500</v>
          </cell>
          <cell r="CV194">
            <v>22000</v>
          </cell>
          <cell r="DE194" t="str">
            <v>SIN USO</v>
          </cell>
          <cell r="DF194" t="str">
            <v>C</v>
          </cell>
          <cell r="DH194">
            <v>22000</v>
          </cell>
          <cell r="DI194">
            <v>3666.6666666666665</v>
          </cell>
        </row>
        <row r="195">
          <cell r="B195">
            <v>405176</v>
          </cell>
          <cell r="C195" t="str">
            <v>ETIQUETA GENERICA TORTA CHOCOQUINDA</v>
          </cell>
          <cell r="D195">
            <v>3000</v>
          </cell>
          <cell r="E195">
            <v>3500</v>
          </cell>
          <cell r="F195">
            <v>3000</v>
          </cell>
          <cell r="G195">
            <v>3000</v>
          </cell>
          <cell r="I195">
            <v>1500</v>
          </cell>
          <cell r="J195">
            <v>1500</v>
          </cell>
          <cell r="K195">
            <v>3000</v>
          </cell>
          <cell r="L195">
            <v>3000</v>
          </cell>
          <cell r="M195">
            <v>3000</v>
          </cell>
          <cell r="O195">
            <v>3000</v>
          </cell>
          <cell r="T195">
            <v>2500</v>
          </cell>
          <cell r="Y195">
            <v>4000</v>
          </cell>
          <cell r="AB195">
            <v>4000</v>
          </cell>
          <cell r="AH195">
            <v>500</v>
          </cell>
          <cell r="AJ195">
            <v>4500</v>
          </cell>
          <cell r="AK195">
            <v>2000</v>
          </cell>
          <cell r="AO195">
            <v>2000</v>
          </cell>
          <cell r="AP195">
            <v>2500</v>
          </cell>
          <cell r="AQ195">
            <v>3500</v>
          </cell>
          <cell r="AR195">
            <v>1500</v>
          </cell>
          <cell r="AU195">
            <v>4500</v>
          </cell>
          <cell r="AW195">
            <v>5000</v>
          </cell>
          <cell r="BA195">
            <v>1500</v>
          </cell>
          <cell r="BB195">
            <v>1000</v>
          </cell>
          <cell r="BU195">
            <v>24000</v>
          </cell>
          <cell r="CV195">
            <v>24000</v>
          </cell>
          <cell r="DE195" t="str">
            <v>SIN USO</v>
          </cell>
          <cell r="DF195" t="str">
            <v>C</v>
          </cell>
          <cell r="DH195">
            <v>24000</v>
          </cell>
          <cell r="DI195">
            <v>4000</v>
          </cell>
        </row>
        <row r="196">
          <cell r="B196">
            <v>405178</v>
          </cell>
          <cell r="C196" t="str">
            <v>ETIQUETA GENERICA TORTA CREMA MARACUYA</v>
          </cell>
          <cell r="E196">
            <v>3000</v>
          </cell>
          <cell r="F196">
            <v>500</v>
          </cell>
          <cell r="G196">
            <v>1000</v>
          </cell>
          <cell r="I196">
            <v>500</v>
          </cell>
          <cell r="J196">
            <v>500</v>
          </cell>
          <cell r="K196">
            <v>500</v>
          </cell>
          <cell r="L196">
            <v>1000</v>
          </cell>
          <cell r="M196">
            <v>500</v>
          </cell>
          <cell r="Q196">
            <v>500</v>
          </cell>
          <cell r="R196">
            <v>500</v>
          </cell>
          <cell r="S196">
            <v>500</v>
          </cell>
          <cell r="DE196" t="str">
            <v>SIN USO</v>
          </cell>
          <cell r="DF196" t="str">
            <v/>
          </cell>
          <cell r="DH196">
            <v>0</v>
          </cell>
          <cell r="DI196">
            <v>0</v>
          </cell>
        </row>
        <row r="197">
          <cell r="B197">
            <v>405180</v>
          </cell>
          <cell r="C197" t="str">
            <v>ETIQUETA GENERICA TORTA CREMA MOKA</v>
          </cell>
          <cell r="E197">
            <v>3500</v>
          </cell>
          <cell r="F197">
            <v>3000</v>
          </cell>
          <cell r="G197">
            <v>3500</v>
          </cell>
          <cell r="I197">
            <v>1000</v>
          </cell>
          <cell r="J197">
            <v>1500</v>
          </cell>
          <cell r="K197">
            <v>5000</v>
          </cell>
          <cell r="L197">
            <v>3000</v>
          </cell>
          <cell r="M197">
            <v>2500</v>
          </cell>
          <cell r="O197">
            <v>2500</v>
          </cell>
          <cell r="T197">
            <v>2500</v>
          </cell>
          <cell r="V197">
            <v>2500</v>
          </cell>
          <cell r="W197">
            <v>2500</v>
          </cell>
          <cell r="AB197">
            <v>5500</v>
          </cell>
          <cell r="AK197">
            <v>500</v>
          </cell>
          <cell r="AL197">
            <v>500</v>
          </cell>
          <cell r="AM197">
            <v>2000</v>
          </cell>
          <cell r="AN197">
            <v>2000</v>
          </cell>
          <cell r="AO197">
            <v>2500</v>
          </cell>
          <cell r="AP197">
            <v>2500</v>
          </cell>
          <cell r="AR197">
            <v>3000</v>
          </cell>
          <cell r="AT197">
            <v>1000</v>
          </cell>
          <cell r="AX197">
            <v>2500</v>
          </cell>
          <cell r="BA197">
            <v>500</v>
          </cell>
          <cell r="BU197">
            <v>11500</v>
          </cell>
          <cell r="DE197" t="str">
            <v>SIN USO</v>
          </cell>
          <cell r="DF197" t="str">
            <v>C</v>
          </cell>
          <cell r="DH197">
            <v>0</v>
          </cell>
          <cell r="DI197">
            <v>0</v>
          </cell>
        </row>
        <row r="198">
          <cell r="B198">
            <v>405187</v>
          </cell>
          <cell r="C198" t="str">
            <v>ETIQUETA GENERICA TORTA MOUSSE MANJAR</v>
          </cell>
          <cell r="D198">
            <v>3000</v>
          </cell>
          <cell r="E198">
            <v>3000</v>
          </cell>
          <cell r="G198">
            <v>3000</v>
          </cell>
          <cell r="J198">
            <v>4000</v>
          </cell>
          <cell r="K198">
            <v>2000</v>
          </cell>
          <cell r="M198">
            <v>2500</v>
          </cell>
          <cell r="O198">
            <v>2500</v>
          </cell>
          <cell r="R198">
            <v>2500</v>
          </cell>
          <cell r="S198">
            <v>2500</v>
          </cell>
          <cell r="T198">
            <v>1500</v>
          </cell>
          <cell r="V198">
            <v>3000</v>
          </cell>
          <cell r="W198">
            <v>2500</v>
          </cell>
          <cell r="AB198">
            <v>5500</v>
          </cell>
          <cell r="AI198">
            <v>500</v>
          </cell>
          <cell r="AJ198">
            <v>4000</v>
          </cell>
          <cell r="AO198">
            <v>2500</v>
          </cell>
          <cell r="AR198">
            <v>4000</v>
          </cell>
          <cell r="AX198">
            <v>5000</v>
          </cell>
          <cell r="AZ198">
            <v>1000</v>
          </cell>
          <cell r="BA198">
            <v>2500</v>
          </cell>
          <cell r="BD198">
            <v>2000</v>
          </cell>
          <cell r="BG198">
            <v>2000</v>
          </cell>
          <cell r="BJ198">
            <v>3000</v>
          </cell>
          <cell r="BK198">
            <v>2500</v>
          </cell>
          <cell r="BL198">
            <v>2500</v>
          </cell>
          <cell r="BM198">
            <v>2500</v>
          </cell>
          <cell r="BU198">
            <v>15500</v>
          </cell>
          <cell r="DE198" t="str">
            <v>SIN USO</v>
          </cell>
          <cell r="DF198" t="str">
            <v>C</v>
          </cell>
          <cell r="DH198">
            <v>0</v>
          </cell>
          <cell r="DI198">
            <v>0</v>
          </cell>
        </row>
        <row r="199">
          <cell r="B199">
            <v>107298</v>
          </cell>
          <cell r="C199" t="str">
            <v>ETIQUETA GENÉRICA TORTA RAINBOW</v>
          </cell>
          <cell r="D199">
            <v>1000</v>
          </cell>
          <cell r="E199">
            <v>1000</v>
          </cell>
          <cell r="F199">
            <v>1000</v>
          </cell>
          <cell r="G199">
            <v>1000</v>
          </cell>
          <cell r="H199">
            <v>1000</v>
          </cell>
          <cell r="I199">
            <v>1000</v>
          </cell>
          <cell r="J199">
            <v>1000</v>
          </cell>
          <cell r="K199">
            <v>500</v>
          </cell>
          <cell r="M199">
            <v>1000</v>
          </cell>
          <cell r="N199">
            <v>1000</v>
          </cell>
          <cell r="O199">
            <v>2000</v>
          </cell>
          <cell r="R199">
            <v>1000</v>
          </cell>
          <cell r="W199">
            <v>1000</v>
          </cell>
          <cell r="AA199">
            <v>500</v>
          </cell>
          <cell r="AP199">
            <v>5000</v>
          </cell>
          <cell r="DE199" t="str">
            <v>SIN USO</v>
          </cell>
          <cell r="DF199" t="str">
            <v>C</v>
          </cell>
          <cell r="DH199">
            <v>0</v>
          </cell>
          <cell r="DI199">
            <v>0</v>
          </cell>
        </row>
        <row r="200">
          <cell r="B200">
            <v>107327</v>
          </cell>
          <cell r="C200" t="str">
            <v>ETIQUETA GENERICA TORTA HOJA MANJAR CHOCOLATE</v>
          </cell>
          <cell r="D200">
            <v>500</v>
          </cell>
          <cell r="E200">
            <v>3000</v>
          </cell>
          <cell r="F200">
            <v>2000</v>
          </cell>
          <cell r="G200">
            <v>8500</v>
          </cell>
          <cell r="H200">
            <v>1000</v>
          </cell>
          <cell r="I200">
            <v>6500</v>
          </cell>
          <cell r="J200">
            <v>4500</v>
          </cell>
          <cell r="K200">
            <v>2500</v>
          </cell>
          <cell r="L200">
            <v>6500</v>
          </cell>
          <cell r="M200">
            <v>4500</v>
          </cell>
          <cell r="N200">
            <v>4000</v>
          </cell>
          <cell r="O200">
            <v>8000</v>
          </cell>
          <cell r="Q200">
            <v>4500</v>
          </cell>
          <cell r="R200">
            <v>3000</v>
          </cell>
          <cell r="S200">
            <v>5000</v>
          </cell>
          <cell r="T200">
            <v>2500</v>
          </cell>
          <cell r="V200">
            <v>3500</v>
          </cell>
          <cell r="W200">
            <v>1000</v>
          </cell>
          <cell r="Y200">
            <v>6500</v>
          </cell>
          <cell r="AA200">
            <v>3000</v>
          </cell>
          <cell r="AC200">
            <v>1000</v>
          </cell>
          <cell r="AF200">
            <v>3500</v>
          </cell>
          <cell r="AG200">
            <v>1500</v>
          </cell>
          <cell r="AH200">
            <v>3500</v>
          </cell>
          <cell r="AJ200">
            <v>5000</v>
          </cell>
          <cell r="AK200">
            <v>3000</v>
          </cell>
          <cell r="AL200">
            <v>500</v>
          </cell>
          <cell r="AM200">
            <v>2000</v>
          </cell>
          <cell r="AN200">
            <v>2000</v>
          </cell>
          <cell r="AO200">
            <v>2000</v>
          </cell>
          <cell r="AP200">
            <v>2000</v>
          </cell>
          <cell r="AQ200">
            <v>2500</v>
          </cell>
          <cell r="AR200">
            <v>1000</v>
          </cell>
          <cell r="AT200">
            <v>3500</v>
          </cell>
          <cell r="AU200">
            <v>13501</v>
          </cell>
          <cell r="AV200">
            <v>7000</v>
          </cell>
          <cell r="DE200" t="str">
            <v>SIN USO</v>
          </cell>
          <cell r="DF200" t="str">
            <v>C</v>
          </cell>
          <cell r="DH200">
            <v>0</v>
          </cell>
          <cell r="DI200">
            <v>0</v>
          </cell>
        </row>
        <row r="201">
          <cell r="B201">
            <v>405376</v>
          </cell>
          <cell r="C201" t="str">
            <v>ETIQUETA CIRCULAR 9cm TORTA SACHER</v>
          </cell>
          <cell r="K201">
            <v>1500</v>
          </cell>
          <cell r="M201">
            <v>5000</v>
          </cell>
          <cell r="N201">
            <v>4000</v>
          </cell>
          <cell r="P201">
            <v>3000</v>
          </cell>
          <cell r="R201">
            <v>4000</v>
          </cell>
          <cell r="S201">
            <v>4000</v>
          </cell>
          <cell r="V201">
            <v>1000</v>
          </cell>
          <cell r="X201">
            <v>6000</v>
          </cell>
          <cell r="Y201">
            <v>6000</v>
          </cell>
          <cell r="Z201">
            <v>2000</v>
          </cell>
          <cell r="AC201">
            <v>5000</v>
          </cell>
          <cell r="AF201">
            <v>5000</v>
          </cell>
          <cell r="AH201">
            <v>4000</v>
          </cell>
          <cell r="AI201">
            <v>4000</v>
          </cell>
          <cell r="AK201">
            <v>10000</v>
          </cell>
          <cell r="AL201">
            <v>1000</v>
          </cell>
          <cell r="AM201">
            <v>3000</v>
          </cell>
          <cell r="AN201">
            <v>3000</v>
          </cell>
          <cell r="AP201">
            <v>2000</v>
          </cell>
          <cell r="AR201">
            <v>2500</v>
          </cell>
          <cell r="AS201">
            <v>3500</v>
          </cell>
          <cell r="BO201">
            <v>8000</v>
          </cell>
          <cell r="DE201" t="str">
            <v>SIN USO</v>
          </cell>
          <cell r="DF201" t="str">
            <v>C</v>
          </cell>
          <cell r="DH201">
            <v>0</v>
          </cell>
          <cell r="DI201">
            <v>0</v>
          </cell>
        </row>
        <row r="202">
          <cell r="B202">
            <v>405377</v>
          </cell>
          <cell r="C202" t="str">
            <v>ETIQUETA CIRCULAR 9cm TORTA MANJAR LUCUMA</v>
          </cell>
          <cell r="K202">
            <v>1500</v>
          </cell>
          <cell r="L202">
            <v>3000</v>
          </cell>
          <cell r="M202">
            <v>3500</v>
          </cell>
          <cell r="N202">
            <v>3000</v>
          </cell>
          <cell r="O202">
            <v>6000</v>
          </cell>
          <cell r="Q202">
            <v>3000</v>
          </cell>
          <cell r="R202">
            <v>1500</v>
          </cell>
          <cell r="S202">
            <v>2000</v>
          </cell>
          <cell r="AK202">
            <v>17000</v>
          </cell>
          <cell r="AO202">
            <v>6000</v>
          </cell>
          <cell r="DE202" t="str">
            <v>SIN USO</v>
          </cell>
          <cell r="DF202" t="str">
            <v>C</v>
          </cell>
          <cell r="DH202">
            <v>0</v>
          </cell>
          <cell r="DI202">
            <v>0</v>
          </cell>
        </row>
        <row r="203">
          <cell r="B203">
            <v>405353</v>
          </cell>
          <cell r="C203" t="str">
            <v>ETIQ. CIRCULAR 90cm IMPR. TORTA CUSINE &amp; CO JUMBO COOKIES AND CREAM</v>
          </cell>
          <cell r="K203">
            <v>1000</v>
          </cell>
          <cell r="L203">
            <v>3000</v>
          </cell>
          <cell r="M203">
            <v>5000</v>
          </cell>
          <cell r="V203">
            <v>10000</v>
          </cell>
          <cell r="DE203" t="str">
            <v>SIN USO</v>
          </cell>
          <cell r="DF203" t="str">
            <v/>
          </cell>
          <cell r="DH203">
            <v>0</v>
          </cell>
          <cell r="DI203">
            <v>0</v>
          </cell>
        </row>
        <row r="204">
          <cell r="B204">
            <v>405378</v>
          </cell>
          <cell r="C204" t="str">
            <v>ETIQUETA CIRCULAR 9cm TORTA GUINDA CHOCOLATE</v>
          </cell>
          <cell r="K204">
            <v>8000</v>
          </cell>
          <cell r="M204">
            <v>4000</v>
          </cell>
          <cell r="N204">
            <v>3000</v>
          </cell>
          <cell r="P204">
            <v>4000</v>
          </cell>
          <cell r="Q204">
            <v>2000</v>
          </cell>
          <cell r="R204">
            <v>1500</v>
          </cell>
          <cell r="S204">
            <v>2000</v>
          </cell>
          <cell r="T204">
            <v>3000</v>
          </cell>
          <cell r="V204">
            <v>15000</v>
          </cell>
          <cell r="AO204">
            <v>5000</v>
          </cell>
          <cell r="AQ204">
            <v>4000</v>
          </cell>
          <cell r="BM204">
            <v>5000</v>
          </cell>
          <cell r="DE204" t="str">
            <v>SIN USO</v>
          </cell>
          <cell r="DF204" t="str">
            <v>C</v>
          </cell>
          <cell r="DH204">
            <v>0</v>
          </cell>
          <cell r="DI204">
            <v>0</v>
          </cell>
        </row>
        <row r="205">
          <cell r="B205">
            <v>405402</v>
          </cell>
          <cell r="C205" t="str">
            <v>ETIQUETA GENERICA TORTA CHOCOLATE AVELLANA</v>
          </cell>
          <cell r="N205">
            <v>1000</v>
          </cell>
          <cell r="Q205">
            <v>1500</v>
          </cell>
          <cell r="R205">
            <v>1000</v>
          </cell>
          <cell r="Y205">
            <v>4000</v>
          </cell>
          <cell r="AH205">
            <v>3500</v>
          </cell>
          <cell r="AN205">
            <v>1000</v>
          </cell>
          <cell r="AP205">
            <v>1500</v>
          </cell>
          <cell r="AS205">
            <v>1000</v>
          </cell>
          <cell r="AW205">
            <v>1000</v>
          </cell>
          <cell r="AZ205">
            <v>2500</v>
          </cell>
          <cell r="BD205">
            <v>2000</v>
          </cell>
          <cell r="BJ205">
            <v>1000</v>
          </cell>
          <cell r="BL205">
            <v>1000</v>
          </cell>
          <cell r="CV205">
            <v>7000</v>
          </cell>
          <cell r="DE205" t="str">
            <v>SIN USO</v>
          </cell>
          <cell r="DF205" t="str">
            <v>C</v>
          </cell>
          <cell r="DH205">
            <v>7000</v>
          </cell>
          <cell r="DI205">
            <v>1166.6666666666667</v>
          </cell>
        </row>
        <row r="206">
          <cell r="B206">
            <v>405310</v>
          </cell>
          <cell r="C206" t="str">
            <v>ETIQUETA OPP TRANSPARENTE 22X32 CRISME</v>
          </cell>
          <cell r="AC206">
            <v>15000</v>
          </cell>
          <cell r="AG206">
            <v>5000</v>
          </cell>
          <cell r="AH206">
            <v>5000</v>
          </cell>
          <cell r="AP206">
            <v>5000</v>
          </cell>
          <cell r="BB206">
            <v>5000</v>
          </cell>
          <cell r="BC206">
            <v>20000</v>
          </cell>
          <cell r="BD206">
            <v>10000</v>
          </cell>
          <cell r="BW206">
            <v>20000</v>
          </cell>
          <cell r="CA206">
            <v>50000</v>
          </cell>
          <cell r="CB206">
            <v>30000</v>
          </cell>
          <cell r="CC206">
            <v>40000</v>
          </cell>
          <cell r="CD206">
            <v>175000</v>
          </cell>
          <cell r="CP206">
            <v>10000</v>
          </cell>
          <cell r="CS206">
            <v>20000</v>
          </cell>
          <cell r="CY206">
            <v>20000</v>
          </cell>
          <cell r="DE206" t="str">
            <v>SIN USO</v>
          </cell>
          <cell r="DF206" t="str">
            <v>C</v>
          </cell>
          <cell r="DH206">
            <v>16666.666666666668</v>
          </cell>
          <cell r="DI206">
            <v>2777.7777777777778</v>
          </cell>
        </row>
        <row r="207">
          <cell r="B207">
            <v>107407</v>
          </cell>
          <cell r="C207" t="str">
            <v>ETIQUETA GALLETA AMERICAN CRISPY CHIP DE CHOCOLATE</v>
          </cell>
          <cell r="Z207">
            <v>1000</v>
          </cell>
          <cell r="AH207">
            <v>1000</v>
          </cell>
          <cell r="AJ207">
            <v>2000</v>
          </cell>
          <cell r="AN207">
            <v>1000</v>
          </cell>
          <cell r="AU207">
            <v>2000</v>
          </cell>
          <cell r="AV207">
            <v>1000</v>
          </cell>
          <cell r="AY207">
            <v>1000</v>
          </cell>
          <cell r="BA207">
            <v>1000</v>
          </cell>
          <cell r="BD207">
            <v>2000</v>
          </cell>
          <cell r="BE207">
            <v>500</v>
          </cell>
          <cell r="BK207">
            <v>1200</v>
          </cell>
          <cell r="BR207">
            <v>1000</v>
          </cell>
          <cell r="BS207">
            <v>1000</v>
          </cell>
          <cell r="BX207">
            <v>1000</v>
          </cell>
          <cell r="BY207">
            <v>2000</v>
          </cell>
          <cell r="DE207" t="str">
            <v>SIN USO</v>
          </cell>
          <cell r="DF207" t="str">
            <v>C</v>
          </cell>
          <cell r="DH207">
            <v>0</v>
          </cell>
          <cell r="DI207">
            <v>0</v>
          </cell>
        </row>
        <row r="208">
          <cell r="B208">
            <v>107408</v>
          </cell>
          <cell r="C208" t="str">
            <v>ETIQUETA GALLETA AMERICAN CRISPY CARAMELO SALADO</v>
          </cell>
          <cell r="Z208">
            <v>1000</v>
          </cell>
          <cell r="AF208">
            <v>1000</v>
          </cell>
          <cell r="AH208">
            <v>1000</v>
          </cell>
          <cell r="AJ208">
            <v>2000</v>
          </cell>
          <cell r="AY208">
            <v>1000</v>
          </cell>
          <cell r="BB208">
            <v>3000</v>
          </cell>
          <cell r="BD208">
            <v>1000</v>
          </cell>
          <cell r="BY208">
            <v>2000</v>
          </cell>
          <cell r="DE208" t="str">
            <v>SIN USO</v>
          </cell>
          <cell r="DF208" t="str">
            <v>C</v>
          </cell>
          <cell r="DH208">
            <v>0</v>
          </cell>
          <cell r="DI208">
            <v>0</v>
          </cell>
        </row>
        <row r="209">
          <cell r="B209">
            <v>107409</v>
          </cell>
          <cell r="C209" t="str">
            <v>ETIQUETA GALLETA AMERICAN CRISPY ALMENDRAS Y CRAMBERRY</v>
          </cell>
          <cell r="Z209">
            <v>1000</v>
          </cell>
          <cell r="AH209">
            <v>1000</v>
          </cell>
          <cell r="AP209">
            <v>1000</v>
          </cell>
          <cell r="BX209">
            <v>3000</v>
          </cell>
          <cell r="DE209" t="str">
            <v>SIN USO</v>
          </cell>
          <cell r="DF209" t="str">
            <v>C</v>
          </cell>
          <cell r="DH209">
            <v>0</v>
          </cell>
          <cell r="DI209">
            <v>0</v>
          </cell>
        </row>
        <row r="210">
          <cell r="B210">
            <v>107410</v>
          </cell>
          <cell r="C210" t="str">
            <v>ETIQUETA GALLETA AMERICAN CRISPY BROWNIE CHIPS</v>
          </cell>
          <cell r="Z210">
            <v>1000</v>
          </cell>
          <cell r="AH210">
            <v>3000</v>
          </cell>
          <cell r="AL210">
            <v>500</v>
          </cell>
          <cell r="AP210">
            <v>1000</v>
          </cell>
          <cell r="AR210">
            <v>1000</v>
          </cell>
          <cell r="BG210">
            <v>1000</v>
          </cell>
          <cell r="BW210">
            <v>3000</v>
          </cell>
          <cell r="DE210" t="str">
            <v>SIN USO</v>
          </cell>
          <cell r="DF210" t="str">
            <v>C</v>
          </cell>
          <cell r="DH210">
            <v>0</v>
          </cell>
          <cell r="DI210">
            <v>0</v>
          </cell>
        </row>
        <row r="211">
          <cell r="B211">
            <v>107411</v>
          </cell>
          <cell r="C211" t="str">
            <v>ETIQUETA GALLETA AMERICAN COCADA CRANBERRY</v>
          </cell>
          <cell r="Z211">
            <v>1000</v>
          </cell>
          <cell r="AH211">
            <v>2000</v>
          </cell>
          <cell r="DE211" t="str">
            <v>SIN USO</v>
          </cell>
          <cell r="DF211" t="str">
            <v>C</v>
          </cell>
          <cell r="DH211">
            <v>0</v>
          </cell>
          <cell r="DI211">
            <v>0</v>
          </cell>
        </row>
        <row r="212">
          <cell r="B212">
            <v>107412</v>
          </cell>
          <cell r="C212" t="str">
            <v>ETIQUETA GALLETA AMERICAN CHUNK CHOCOLATE</v>
          </cell>
          <cell r="Z212">
            <v>1000</v>
          </cell>
          <cell r="AH212">
            <v>1000</v>
          </cell>
          <cell r="AT212">
            <v>1000</v>
          </cell>
          <cell r="BA212">
            <v>1000</v>
          </cell>
          <cell r="BH212">
            <v>1000</v>
          </cell>
          <cell r="BS212">
            <v>1600</v>
          </cell>
          <cell r="DE212" t="str">
            <v>SIN USO</v>
          </cell>
          <cell r="DF212" t="str">
            <v>C</v>
          </cell>
          <cell r="DH212">
            <v>0</v>
          </cell>
          <cell r="DI212">
            <v>0</v>
          </cell>
        </row>
        <row r="213">
          <cell r="B213">
            <v>107413</v>
          </cell>
          <cell r="C213" t="str">
            <v>ETIQUETA GALLETA AMERICAN CHUNK MACADAMIA Y CHOCOLATE BLANCO</v>
          </cell>
          <cell r="Z213">
            <v>1000</v>
          </cell>
          <cell r="AH213">
            <v>1000</v>
          </cell>
          <cell r="AQ213">
            <v>2000</v>
          </cell>
          <cell r="BS213">
            <v>4000</v>
          </cell>
          <cell r="DE213" t="str">
            <v>SIN USO</v>
          </cell>
          <cell r="DF213" t="str">
            <v>C</v>
          </cell>
          <cell r="DH213">
            <v>0</v>
          </cell>
          <cell r="DI213">
            <v>0</v>
          </cell>
        </row>
        <row r="214">
          <cell r="B214">
            <v>107414</v>
          </cell>
          <cell r="C214" t="str">
            <v>ETIQUETA GALLETA AMERICAN CHUNK CHOCOLATE Y CARAMELO</v>
          </cell>
          <cell r="Z214">
            <v>1000</v>
          </cell>
          <cell r="AF214">
            <v>1000</v>
          </cell>
          <cell r="AH214">
            <v>4000</v>
          </cell>
          <cell r="AJ214">
            <v>1000</v>
          </cell>
          <cell r="DE214" t="str">
            <v>SIN USO</v>
          </cell>
          <cell r="DF214" t="str">
            <v>C</v>
          </cell>
          <cell r="DH214">
            <v>0</v>
          </cell>
          <cell r="DI214">
            <v>0</v>
          </cell>
        </row>
        <row r="215">
          <cell r="B215">
            <v>405771</v>
          </cell>
          <cell r="C215" t="str">
            <v>ETIQUETA 300X57 TORTA HOJA MERENGUE SMU</v>
          </cell>
          <cell r="DA215">
            <v>2000</v>
          </cell>
          <cell r="DB215">
            <v>1000</v>
          </cell>
          <cell r="DC215">
            <v>3000</v>
          </cell>
          <cell r="DE215" t="str">
            <v>ACTIVO</v>
          </cell>
          <cell r="DF215" t="str">
            <v/>
          </cell>
          <cell r="DH215">
            <v>2000</v>
          </cell>
          <cell r="DI215">
            <v>333.33333333333331</v>
          </cell>
        </row>
        <row r="216">
          <cell r="D216">
            <v>318500</v>
          </cell>
          <cell r="E216">
            <v>240500</v>
          </cell>
          <cell r="F216">
            <v>261000</v>
          </cell>
          <cell r="G216">
            <v>481500</v>
          </cell>
          <cell r="H216">
            <v>62500</v>
          </cell>
          <cell r="I216">
            <v>274500</v>
          </cell>
          <cell r="J216">
            <v>319000</v>
          </cell>
          <cell r="K216">
            <v>360000</v>
          </cell>
          <cell r="L216">
            <v>267000</v>
          </cell>
          <cell r="M216">
            <v>256500</v>
          </cell>
          <cell r="N216">
            <v>244000</v>
          </cell>
          <cell r="O216">
            <v>313500</v>
          </cell>
          <cell r="P216">
            <v>32500</v>
          </cell>
          <cell r="Q216">
            <v>215500</v>
          </cell>
          <cell r="R216">
            <v>199500</v>
          </cell>
          <cell r="S216">
            <v>220500</v>
          </cell>
          <cell r="T216">
            <v>253500</v>
          </cell>
          <cell r="U216">
            <v>65000</v>
          </cell>
          <cell r="V216">
            <v>296000</v>
          </cell>
          <cell r="W216">
            <v>236500</v>
          </cell>
          <cell r="X216">
            <v>280500</v>
          </cell>
          <cell r="Y216">
            <v>387500</v>
          </cell>
          <cell r="Z216">
            <v>66500</v>
          </cell>
          <cell r="AA216">
            <v>219500</v>
          </cell>
          <cell r="AB216">
            <v>185000</v>
          </cell>
          <cell r="AC216">
            <v>168500</v>
          </cell>
          <cell r="AD216">
            <v>104500</v>
          </cell>
          <cell r="AE216">
            <v>15500</v>
          </cell>
          <cell r="AF216">
            <v>176000</v>
          </cell>
          <cell r="AG216">
            <v>159500</v>
          </cell>
          <cell r="AH216">
            <v>293500</v>
          </cell>
          <cell r="AI216">
            <v>240200</v>
          </cell>
          <cell r="AJ216">
            <v>216000</v>
          </cell>
          <cell r="AK216">
            <v>217500</v>
          </cell>
          <cell r="AL216">
            <v>198000</v>
          </cell>
          <cell r="AM216">
            <v>169000</v>
          </cell>
          <cell r="AN216">
            <v>237500</v>
          </cell>
          <cell r="AO216">
            <v>192502</v>
          </cell>
          <cell r="AP216">
            <v>304000</v>
          </cell>
          <cell r="AQ216">
            <v>192999</v>
          </cell>
          <cell r="AR216">
            <v>390500</v>
          </cell>
          <cell r="AS216">
            <v>109300</v>
          </cell>
          <cell r="AT216">
            <v>250000</v>
          </cell>
          <cell r="AU216">
            <v>431501</v>
          </cell>
          <cell r="AV216">
            <v>254500</v>
          </cell>
          <cell r="AW216">
            <v>449000</v>
          </cell>
          <cell r="AX216">
            <v>241000</v>
          </cell>
          <cell r="AY216">
            <v>285000</v>
          </cell>
          <cell r="AZ216">
            <v>124300</v>
          </cell>
          <cell r="BA216">
            <v>234200</v>
          </cell>
          <cell r="BB216">
            <v>277000</v>
          </cell>
          <cell r="BC216">
            <v>280500</v>
          </cell>
          <cell r="BD216">
            <v>359300</v>
          </cell>
          <cell r="BE216">
            <v>254700</v>
          </cell>
          <cell r="BF216">
            <v>49000</v>
          </cell>
          <cell r="BG216">
            <v>245000</v>
          </cell>
          <cell r="BH216">
            <v>471000</v>
          </cell>
          <cell r="BI216">
            <v>135000</v>
          </cell>
          <cell r="BJ216">
            <v>276500</v>
          </cell>
          <cell r="BK216">
            <v>256700</v>
          </cell>
          <cell r="BL216">
            <v>272001</v>
          </cell>
          <cell r="BM216">
            <v>257000</v>
          </cell>
          <cell r="BN216">
            <v>448500</v>
          </cell>
          <cell r="BO216">
            <v>128000</v>
          </cell>
          <cell r="BP216">
            <v>35500</v>
          </cell>
          <cell r="BQ216">
            <v>428001</v>
          </cell>
          <cell r="BR216">
            <v>51100</v>
          </cell>
          <cell r="BS216">
            <v>462500</v>
          </cell>
          <cell r="BT216">
            <v>137500</v>
          </cell>
          <cell r="BU216">
            <v>298600</v>
          </cell>
          <cell r="BV216">
            <v>221500</v>
          </cell>
          <cell r="BW216">
            <v>376000</v>
          </cell>
          <cell r="BX216">
            <v>91500</v>
          </cell>
          <cell r="BY216">
            <v>199500</v>
          </cell>
          <cell r="BZ216">
            <v>227000</v>
          </cell>
          <cell r="CA216">
            <v>335500</v>
          </cell>
          <cell r="CB216">
            <v>169500</v>
          </cell>
          <cell r="CC216">
            <v>92000</v>
          </cell>
          <cell r="CD216">
            <v>873500</v>
          </cell>
          <cell r="CE216">
            <v>31500</v>
          </cell>
          <cell r="CF216">
            <v>95000</v>
          </cell>
          <cell r="CG216">
            <v>161500</v>
          </cell>
          <cell r="CH216">
            <v>262500</v>
          </cell>
          <cell r="CI216">
            <v>413015</v>
          </cell>
          <cell r="CJ216">
            <v>133500</v>
          </cell>
          <cell r="CK216">
            <v>220000</v>
          </cell>
          <cell r="CL216">
            <v>237500</v>
          </cell>
          <cell r="CM216">
            <v>202000</v>
          </cell>
          <cell r="CN216">
            <v>272000</v>
          </cell>
          <cell r="CO216">
            <v>371500</v>
          </cell>
          <cell r="CP216">
            <v>94500</v>
          </cell>
          <cell r="CQ216">
            <v>143100</v>
          </cell>
          <cell r="CR216">
            <v>233000</v>
          </cell>
          <cell r="CS216">
            <v>205000</v>
          </cell>
          <cell r="CT216">
            <v>384500</v>
          </cell>
          <cell r="CU216">
            <v>343000</v>
          </cell>
          <cell r="CV216">
            <v>570400</v>
          </cell>
          <cell r="CW216">
            <v>427500</v>
          </cell>
          <cell r="CX216">
            <v>56500</v>
          </cell>
          <cell r="CY216">
            <v>222500</v>
          </cell>
          <cell r="CZ216">
            <v>286000</v>
          </cell>
          <cell r="DA216">
            <v>202000</v>
          </cell>
          <cell r="DB216">
            <v>180500</v>
          </cell>
          <cell r="DC216">
            <v>342500</v>
          </cell>
          <cell r="DD216">
            <v>210000</v>
          </cell>
          <cell r="DE216" t="str">
            <v>ACTIVO</v>
          </cell>
          <cell r="DF216" t="str">
            <v/>
          </cell>
          <cell r="DH216">
            <v>250780.6</v>
          </cell>
          <cell r="DI216">
            <v>41796.76666666667</v>
          </cell>
        </row>
        <row r="217">
          <cell r="B217">
            <v>401010</v>
          </cell>
          <cell r="C217" t="str">
            <v>STRECH FILM BLANCO</v>
          </cell>
          <cell r="F217">
            <v>2</v>
          </cell>
          <cell r="L217">
            <v>12</v>
          </cell>
          <cell r="M217">
            <v>2</v>
          </cell>
          <cell r="P217">
            <v>6</v>
          </cell>
          <cell r="Z217">
            <v>6</v>
          </cell>
          <cell r="AC217">
            <v>12</v>
          </cell>
          <cell r="AJ217">
            <v>165</v>
          </cell>
          <cell r="AT217">
            <v>11</v>
          </cell>
          <cell r="BG217">
            <v>21</v>
          </cell>
          <cell r="BR217">
            <v>30</v>
          </cell>
          <cell r="BV217">
            <v>24</v>
          </cell>
          <cell r="CJ217">
            <v>1</v>
          </cell>
          <cell r="CR217">
            <v>19</v>
          </cell>
          <cell r="CT217">
            <v>1</v>
          </cell>
          <cell r="CU217">
            <v>1</v>
          </cell>
          <cell r="CV217">
            <v>3</v>
          </cell>
          <cell r="DB217">
            <v>62</v>
          </cell>
          <cell r="DC217">
            <v>6</v>
          </cell>
          <cell r="DE217" t="str">
            <v>ACTIVO</v>
          </cell>
          <cell r="DF217" t="str">
            <v>C</v>
          </cell>
          <cell r="DH217">
            <v>13.285714285714286</v>
          </cell>
          <cell r="DI217">
            <v>2.2142857142857144</v>
          </cell>
        </row>
        <row r="218">
          <cell r="B218">
            <v>401012</v>
          </cell>
          <cell r="C218" t="str">
            <v>STRECH FILM VERDE</v>
          </cell>
          <cell r="D218">
            <v>2</v>
          </cell>
          <cell r="E218">
            <v>6</v>
          </cell>
          <cell r="G218">
            <v>9</v>
          </cell>
          <cell r="H218">
            <v>15</v>
          </cell>
          <cell r="I218">
            <v>12</v>
          </cell>
          <cell r="J218">
            <v>3</v>
          </cell>
          <cell r="K218">
            <v>2</v>
          </cell>
          <cell r="N218">
            <v>7</v>
          </cell>
          <cell r="O218">
            <v>7</v>
          </cell>
          <cell r="R218">
            <v>6</v>
          </cell>
          <cell r="S218">
            <v>5</v>
          </cell>
          <cell r="V218">
            <v>3</v>
          </cell>
          <cell r="W218">
            <v>8</v>
          </cell>
          <cell r="X218">
            <v>3</v>
          </cell>
          <cell r="Y218">
            <v>6</v>
          </cell>
          <cell r="Z218">
            <v>6</v>
          </cell>
          <cell r="AC218">
            <v>3</v>
          </cell>
          <cell r="AI218">
            <v>6</v>
          </cell>
          <cell r="AJ218">
            <v>6</v>
          </cell>
          <cell r="AK218">
            <v>42</v>
          </cell>
          <cell r="AL218">
            <v>5</v>
          </cell>
          <cell r="AM218">
            <v>3</v>
          </cell>
          <cell r="AN218">
            <v>1</v>
          </cell>
          <cell r="AO218">
            <v>2</v>
          </cell>
          <cell r="AR218">
            <v>6</v>
          </cell>
          <cell r="AU218">
            <v>10</v>
          </cell>
          <cell r="AW218">
            <v>3</v>
          </cell>
          <cell r="AX218">
            <v>10</v>
          </cell>
          <cell r="AY218">
            <v>5</v>
          </cell>
          <cell r="AZ218">
            <v>3</v>
          </cell>
          <cell r="BA218">
            <v>3</v>
          </cell>
          <cell r="BB218">
            <v>4</v>
          </cell>
          <cell r="BC218">
            <v>4</v>
          </cell>
          <cell r="BD218">
            <v>8</v>
          </cell>
          <cell r="BE218">
            <v>1</v>
          </cell>
          <cell r="BF218">
            <v>1</v>
          </cell>
          <cell r="BI218">
            <v>1</v>
          </cell>
          <cell r="BJ218">
            <v>5</v>
          </cell>
          <cell r="BK218">
            <v>3</v>
          </cell>
          <cell r="BL218">
            <v>4</v>
          </cell>
          <cell r="BO218">
            <v>3</v>
          </cell>
          <cell r="BP218">
            <v>4</v>
          </cell>
          <cell r="BR218">
            <v>2</v>
          </cell>
          <cell r="BS218">
            <v>4</v>
          </cell>
          <cell r="BU218">
            <v>1</v>
          </cell>
          <cell r="BV218">
            <v>1</v>
          </cell>
          <cell r="BW218">
            <v>2</v>
          </cell>
          <cell r="BZ218">
            <v>7</v>
          </cell>
          <cell r="CB218">
            <v>2</v>
          </cell>
          <cell r="CD218">
            <v>2</v>
          </cell>
          <cell r="CF218">
            <v>1</v>
          </cell>
          <cell r="CG218">
            <v>6</v>
          </cell>
          <cell r="CH218">
            <v>1</v>
          </cell>
          <cell r="CI218">
            <v>4</v>
          </cell>
          <cell r="CK218">
            <v>3</v>
          </cell>
          <cell r="CL218">
            <v>4</v>
          </cell>
          <cell r="CM218">
            <v>2</v>
          </cell>
          <cell r="CN218">
            <v>2</v>
          </cell>
          <cell r="CO218">
            <v>5</v>
          </cell>
          <cell r="CP218">
            <v>6</v>
          </cell>
          <cell r="CQ218">
            <v>4</v>
          </cell>
          <cell r="CR218">
            <v>5</v>
          </cell>
          <cell r="CS218">
            <v>3</v>
          </cell>
          <cell r="CT218">
            <v>3</v>
          </cell>
          <cell r="CU218">
            <v>6</v>
          </cell>
          <cell r="CV218">
            <v>2</v>
          </cell>
          <cell r="CW218">
            <v>2</v>
          </cell>
          <cell r="CX218">
            <v>2</v>
          </cell>
          <cell r="CY218">
            <v>3</v>
          </cell>
          <cell r="CZ218">
            <v>4</v>
          </cell>
          <cell r="DA218">
            <v>3</v>
          </cell>
          <cell r="DB218">
            <v>62</v>
          </cell>
          <cell r="DC218">
            <v>3</v>
          </cell>
          <cell r="DD218">
            <v>2</v>
          </cell>
          <cell r="DE218" t="str">
            <v>ACTIVO</v>
          </cell>
          <cell r="DF218" t="str">
            <v>C</v>
          </cell>
          <cell r="DH218">
            <v>5.75</v>
          </cell>
          <cell r="DI218">
            <v>0.95833333333333337</v>
          </cell>
        </row>
        <row r="219">
          <cell r="B219">
            <v>401013</v>
          </cell>
          <cell r="C219" t="str">
            <v>STRECH FILM AZUL</v>
          </cell>
          <cell r="D219">
            <v>33</v>
          </cell>
          <cell r="E219">
            <v>12</v>
          </cell>
          <cell r="G219">
            <v>8</v>
          </cell>
          <cell r="H219">
            <v>15</v>
          </cell>
          <cell r="I219">
            <v>12</v>
          </cell>
          <cell r="J219">
            <v>36</v>
          </cell>
          <cell r="K219">
            <v>21</v>
          </cell>
          <cell r="L219">
            <v>13</v>
          </cell>
          <cell r="M219">
            <v>9</v>
          </cell>
          <cell r="N219">
            <v>12</v>
          </cell>
          <cell r="O219">
            <v>3</v>
          </cell>
          <cell r="P219">
            <v>5</v>
          </cell>
          <cell r="X219">
            <v>1</v>
          </cell>
          <cell r="Y219">
            <v>6</v>
          </cell>
          <cell r="Z219">
            <v>6</v>
          </cell>
          <cell r="AB219">
            <v>1</v>
          </cell>
          <cell r="AE219">
            <v>4</v>
          </cell>
          <cell r="AF219">
            <v>5</v>
          </cell>
          <cell r="AG219">
            <v>9</v>
          </cell>
          <cell r="AH219">
            <v>5</v>
          </cell>
          <cell r="AI219">
            <v>58</v>
          </cell>
          <cell r="AJ219">
            <v>9</v>
          </cell>
          <cell r="AK219">
            <v>49</v>
          </cell>
          <cell r="AL219">
            <v>8</v>
          </cell>
          <cell r="AN219">
            <v>4</v>
          </cell>
          <cell r="AO219">
            <v>10</v>
          </cell>
          <cell r="AP219">
            <v>5</v>
          </cell>
          <cell r="AY219">
            <v>4</v>
          </cell>
          <cell r="AZ219">
            <v>9</v>
          </cell>
          <cell r="BA219">
            <v>7</v>
          </cell>
          <cell r="BB219">
            <v>5</v>
          </cell>
          <cell r="BC219">
            <v>7</v>
          </cell>
          <cell r="BD219">
            <v>6</v>
          </cell>
          <cell r="BE219">
            <v>4</v>
          </cell>
          <cell r="BF219">
            <v>1</v>
          </cell>
          <cell r="BG219">
            <v>3</v>
          </cell>
          <cell r="BH219">
            <v>4</v>
          </cell>
          <cell r="BI219">
            <v>8</v>
          </cell>
          <cell r="BJ219">
            <v>12</v>
          </cell>
          <cell r="BK219">
            <v>10</v>
          </cell>
          <cell r="BL219">
            <v>5</v>
          </cell>
          <cell r="BM219">
            <v>1</v>
          </cell>
          <cell r="BN219">
            <v>7</v>
          </cell>
          <cell r="BO219">
            <v>7</v>
          </cell>
          <cell r="BP219">
            <v>2</v>
          </cell>
          <cell r="BQ219">
            <v>10</v>
          </cell>
          <cell r="BR219">
            <v>6</v>
          </cell>
          <cell r="BS219">
            <v>15</v>
          </cell>
          <cell r="BT219">
            <v>3</v>
          </cell>
          <cell r="BU219">
            <v>11</v>
          </cell>
          <cell r="BV219">
            <v>6</v>
          </cell>
          <cell r="BW219">
            <v>6</v>
          </cell>
          <cell r="BX219">
            <v>2</v>
          </cell>
          <cell r="BY219">
            <v>5</v>
          </cell>
          <cell r="BZ219">
            <v>10</v>
          </cell>
          <cell r="CA219">
            <v>17</v>
          </cell>
          <cell r="CB219">
            <v>6</v>
          </cell>
          <cell r="CC219">
            <v>7</v>
          </cell>
          <cell r="CD219">
            <v>5</v>
          </cell>
          <cell r="CE219">
            <v>3</v>
          </cell>
          <cell r="CG219">
            <v>9</v>
          </cell>
          <cell r="CH219">
            <v>5</v>
          </cell>
          <cell r="CI219">
            <v>14</v>
          </cell>
          <cell r="CJ219">
            <v>2</v>
          </cell>
          <cell r="CK219">
            <v>11</v>
          </cell>
          <cell r="CL219">
            <v>10</v>
          </cell>
          <cell r="CM219">
            <v>5</v>
          </cell>
          <cell r="CO219">
            <v>8</v>
          </cell>
          <cell r="CP219">
            <v>68</v>
          </cell>
          <cell r="CQ219">
            <v>11</v>
          </cell>
          <cell r="CR219">
            <v>13</v>
          </cell>
          <cell r="CS219">
            <v>8</v>
          </cell>
          <cell r="CT219">
            <v>1</v>
          </cell>
          <cell r="CU219">
            <v>12</v>
          </cell>
          <cell r="CV219">
            <v>18</v>
          </cell>
          <cell r="CW219">
            <v>9</v>
          </cell>
          <cell r="CX219">
            <v>17</v>
          </cell>
          <cell r="CY219">
            <v>96</v>
          </cell>
          <cell r="CZ219">
            <v>4</v>
          </cell>
          <cell r="DA219">
            <v>11</v>
          </cell>
          <cell r="DB219">
            <v>8</v>
          </cell>
          <cell r="DC219">
            <v>14</v>
          </cell>
          <cell r="DD219">
            <v>4</v>
          </cell>
          <cell r="DE219" t="str">
            <v>ACTIVO</v>
          </cell>
          <cell r="DF219" t="str">
            <v>C</v>
          </cell>
          <cell r="DH219">
            <v>15.565217391304348</v>
          </cell>
          <cell r="DI219">
            <v>2.5942028985507246</v>
          </cell>
        </row>
        <row r="220">
          <cell r="B220">
            <v>401015</v>
          </cell>
          <cell r="C220" t="str">
            <v>STRECH FILM AMARILLO</v>
          </cell>
          <cell r="I220">
            <v>2</v>
          </cell>
          <cell r="M220">
            <v>1</v>
          </cell>
          <cell r="AA220">
            <v>1</v>
          </cell>
          <cell r="AJ220">
            <v>1</v>
          </cell>
          <cell r="AK220">
            <v>60</v>
          </cell>
          <cell r="BP220">
            <v>2</v>
          </cell>
          <cell r="BX220">
            <v>3</v>
          </cell>
          <cell r="CD220">
            <v>1</v>
          </cell>
          <cell r="CH220">
            <v>1</v>
          </cell>
          <cell r="CL220">
            <v>1</v>
          </cell>
          <cell r="CO220">
            <v>1</v>
          </cell>
          <cell r="CP220">
            <v>4</v>
          </cell>
          <cell r="CR220">
            <v>1</v>
          </cell>
          <cell r="CU220">
            <v>3</v>
          </cell>
          <cell r="CV220">
            <v>2</v>
          </cell>
          <cell r="CW220">
            <v>2</v>
          </cell>
          <cell r="CX220">
            <v>2</v>
          </cell>
          <cell r="DA220">
            <v>1</v>
          </cell>
          <cell r="DB220">
            <v>60</v>
          </cell>
          <cell r="DD220">
            <v>1</v>
          </cell>
          <cell r="DE220" t="str">
            <v>ACTIVO</v>
          </cell>
          <cell r="DF220" t="str">
            <v>C</v>
          </cell>
          <cell r="DH220">
            <v>6.583333333333333</v>
          </cell>
          <cell r="DI220">
            <v>1.0972222222222221</v>
          </cell>
        </row>
        <row r="221">
          <cell r="B221">
            <v>401011</v>
          </cell>
          <cell r="C221" t="str">
            <v>STRECH FILM NEGRO</v>
          </cell>
          <cell r="L221">
            <v>2</v>
          </cell>
          <cell r="N221">
            <v>2</v>
          </cell>
          <cell r="O221">
            <v>1</v>
          </cell>
          <cell r="R221">
            <v>3</v>
          </cell>
          <cell r="S221">
            <v>2</v>
          </cell>
          <cell r="T221">
            <v>2</v>
          </cell>
          <cell r="V221">
            <v>5</v>
          </cell>
          <cell r="AB221">
            <v>2</v>
          </cell>
          <cell r="AC221">
            <v>6</v>
          </cell>
          <cell r="AG221">
            <v>3</v>
          </cell>
          <cell r="AH221">
            <v>2</v>
          </cell>
          <cell r="AI221">
            <v>2</v>
          </cell>
          <cell r="AK221">
            <v>64</v>
          </cell>
          <cell r="AL221">
            <v>1</v>
          </cell>
          <cell r="AN221">
            <v>6</v>
          </cell>
          <cell r="AP221">
            <v>2</v>
          </cell>
          <cell r="AT221">
            <v>4</v>
          </cell>
          <cell r="AY221">
            <v>2</v>
          </cell>
          <cell r="BC221">
            <v>2</v>
          </cell>
          <cell r="BH221">
            <v>3</v>
          </cell>
          <cell r="BI221">
            <v>3</v>
          </cell>
          <cell r="BU221">
            <v>1</v>
          </cell>
          <cell r="BW221">
            <v>3</v>
          </cell>
          <cell r="BZ221">
            <v>6</v>
          </cell>
          <cell r="CI221">
            <v>2</v>
          </cell>
          <cell r="CM221">
            <v>1</v>
          </cell>
          <cell r="CP221">
            <v>5</v>
          </cell>
          <cell r="CV221">
            <v>2</v>
          </cell>
          <cell r="CW221">
            <v>3</v>
          </cell>
          <cell r="CX221">
            <v>1</v>
          </cell>
          <cell r="DE221" t="str">
            <v>ACTIVO</v>
          </cell>
          <cell r="DF221" t="str">
            <v>C</v>
          </cell>
          <cell r="DH221">
            <v>2.3333333333333335</v>
          </cell>
          <cell r="DI221">
            <v>0.3888888888888889</v>
          </cell>
        </row>
        <row r="222">
          <cell r="B222">
            <v>401014</v>
          </cell>
          <cell r="C222" t="str">
            <v>STRECH FILM ANARANJADO</v>
          </cell>
          <cell r="O222">
            <v>3</v>
          </cell>
          <cell r="Q222">
            <v>3</v>
          </cell>
          <cell r="R222">
            <v>11</v>
          </cell>
          <cell r="X222">
            <v>3</v>
          </cell>
          <cell r="AH222">
            <v>2</v>
          </cell>
          <cell r="AK222">
            <v>62</v>
          </cell>
          <cell r="AL222">
            <v>1</v>
          </cell>
          <cell r="AM222">
            <v>2</v>
          </cell>
          <cell r="AO222">
            <v>4</v>
          </cell>
          <cell r="AY222">
            <v>1</v>
          </cell>
          <cell r="BH222">
            <v>3</v>
          </cell>
          <cell r="BR222">
            <v>1</v>
          </cell>
          <cell r="CF222">
            <v>4</v>
          </cell>
          <cell r="CK222">
            <v>1</v>
          </cell>
          <cell r="CL222">
            <v>1</v>
          </cell>
          <cell r="CO222">
            <v>1</v>
          </cell>
          <cell r="CT222">
            <v>1</v>
          </cell>
          <cell r="CV222">
            <v>1</v>
          </cell>
          <cell r="CW222">
            <v>2</v>
          </cell>
          <cell r="DA222">
            <v>2</v>
          </cell>
          <cell r="DB222">
            <v>60</v>
          </cell>
          <cell r="DE222" t="str">
            <v>ACTIVO</v>
          </cell>
          <cell r="DF222" t="str">
            <v>C</v>
          </cell>
          <cell r="DH222">
            <v>8.1111111111111107</v>
          </cell>
          <cell r="DI222">
            <v>1.3518518518518519</v>
          </cell>
        </row>
        <row r="223">
          <cell r="B223">
            <v>401019</v>
          </cell>
          <cell r="C223" t="str">
            <v>STRECH FILM ROJO</v>
          </cell>
          <cell r="P223">
            <v>6</v>
          </cell>
          <cell r="S223">
            <v>11</v>
          </cell>
          <cell r="T223">
            <v>17</v>
          </cell>
          <cell r="U223">
            <v>9</v>
          </cell>
          <cell r="V223">
            <v>4</v>
          </cell>
          <cell r="W223">
            <v>11</v>
          </cell>
          <cell r="X223">
            <v>14</v>
          </cell>
          <cell r="AA223">
            <v>4</v>
          </cell>
          <cell r="AC223">
            <v>2</v>
          </cell>
          <cell r="AK223">
            <v>60</v>
          </cell>
          <cell r="AT223">
            <v>6</v>
          </cell>
          <cell r="AV223">
            <v>3</v>
          </cell>
          <cell r="AW223">
            <v>5</v>
          </cell>
          <cell r="AX223">
            <v>11</v>
          </cell>
          <cell r="AY223">
            <v>4</v>
          </cell>
          <cell r="BA223">
            <v>3</v>
          </cell>
          <cell r="BC223">
            <v>1</v>
          </cell>
          <cell r="BD223">
            <v>2</v>
          </cell>
          <cell r="BE223">
            <v>2</v>
          </cell>
          <cell r="BF223">
            <v>3</v>
          </cell>
          <cell r="BL223">
            <v>9</v>
          </cell>
          <cell r="BM223">
            <v>5</v>
          </cell>
          <cell r="BN223">
            <v>2</v>
          </cell>
          <cell r="BP223">
            <v>3</v>
          </cell>
          <cell r="BQ223">
            <v>1</v>
          </cell>
          <cell r="CJ223">
            <v>4</v>
          </cell>
          <cell r="CM223">
            <v>2</v>
          </cell>
          <cell r="CN223">
            <v>5</v>
          </cell>
          <cell r="CO223">
            <v>1</v>
          </cell>
          <cell r="CT223">
            <v>6</v>
          </cell>
          <cell r="CV223">
            <v>2</v>
          </cell>
          <cell r="DB223">
            <v>60</v>
          </cell>
          <cell r="DE223" t="str">
            <v>ACTIVO</v>
          </cell>
          <cell r="DF223" t="str">
            <v>C</v>
          </cell>
          <cell r="DH223">
            <v>11.428571428571429</v>
          </cell>
          <cell r="DI223">
            <v>1.9047619047619049</v>
          </cell>
        </row>
        <row r="224">
          <cell r="B224">
            <v>402111</v>
          </cell>
          <cell r="C224" t="str">
            <v>FILM TRANSPARENTE  685 MM (23CM) BATTISTA</v>
          </cell>
          <cell r="H224">
            <v>300</v>
          </cell>
          <cell r="DE224" t="str">
            <v>SIN USO</v>
          </cell>
          <cell r="DF224" t="str">
            <v/>
          </cell>
          <cell r="DH224">
            <v>0</v>
          </cell>
          <cell r="DI224">
            <v>0</v>
          </cell>
        </row>
        <row r="225">
          <cell r="D225">
            <v>35</v>
          </cell>
          <cell r="E225">
            <v>18</v>
          </cell>
          <cell r="F225">
            <v>2</v>
          </cell>
          <cell r="G225">
            <v>17</v>
          </cell>
          <cell r="H225">
            <v>330</v>
          </cell>
          <cell r="I225">
            <v>26</v>
          </cell>
          <cell r="J225">
            <v>39</v>
          </cell>
          <cell r="K225">
            <v>23</v>
          </cell>
          <cell r="L225">
            <v>27</v>
          </cell>
          <cell r="M225">
            <v>12</v>
          </cell>
          <cell r="N225">
            <v>21</v>
          </cell>
          <cell r="O225">
            <v>14</v>
          </cell>
          <cell r="P225">
            <v>17</v>
          </cell>
          <cell r="Q225">
            <v>3</v>
          </cell>
          <cell r="R225">
            <v>20</v>
          </cell>
          <cell r="S225">
            <v>18</v>
          </cell>
          <cell r="T225">
            <v>19</v>
          </cell>
          <cell r="U225">
            <v>9</v>
          </cell>
          <cell r="V225">
            <v>12</v>
          </cell>
          <cell r="W225">
            <v>19</v>
          </cell>
          <cell r="X225">
            <v>21</v>
          </cell>
          <cell r="Y225">
            <v>12</v>
          </cell>
          <cell r="Z225">
            <v>18</v>
          </cell>
          <cell r="AA225">
            <v>5</v>
          </cell>
          <cell r="AB225">
            <v>3</v>
          </cell>
          <cell r="AC225">
            <v>23</v>
          </cell>
          <cell r="AE225">
            <v>4</v>
          </cell>
          <cell r="AF225">
            <v>5</v>
          </cell>
          <cell r="AG225">
            <v>12</v>
          </cell>
          <cell r="AH225">
            <v>9</v>
          </cell>
          <cell r="AI225">
            <v>66</v>
          </cell>
          <cell r="AJ225">
            <v>181</v>
          </cell>
          <cell r="AK225">
            <v>337</v>
          </cell>
          <cell r="AL225">
            <v>15</v>
          </cell>
          <cell r="AM225">
            <v>5</v>
          </cell>
          <cell r="AN225">
            <v>11</v>
          </cell>
          <cell r="AO225">
            <v>16</v>
          </cell>
          <cell r="AP225">
            <v>7</v>
          </cell>
          <cell r="AR225">
            <v>6</v>
          </cell>
          <cell r="AT225">
            <v>21</v>
          </cell>
          <cell r="AU225">
            <v>10</v>
          </cell>
          <cell r="AV225">
            <v>3</v>
          </cell>
          <cell r="AW225">
            <v>8</v>
          </cell>
          <cell r="AX225">
            <v>21</v>
          </cell>
          <cell r="AY225">
            <v>16</v>
          </cell>
          <cell r="AZ225">
            <v>12</v>
          </cell>
          <cell r="BA225">
            <v>13</v>
          </cell>
          <cell r="BB225">
            <v>9</v>
          </cell>
          <cell r="BC225">
            <v>14</v>
          </cell>
          <cell r="BD225">
            <v>16</v>
          </cell>
          <cell r="BE225">
            <v>7</v>
          </cell>
          <cell r="BF225">
            <v>5</v>
          </cell>
          <cell r="BG225">
            <v>24</v>
          </cell>
          <cell r="BH225">
            <v>10</v>
          </cell>
          <cell r="BI225">
            <v>12</v>
          </cell>
          <cell r="BJ225">
            <v>17</v>
          </cell>
          <cell r="BK225">
            <v>13</v>
          </cell>
          <cell r="BL225">
            <v>18</v>
          </cell>
          <cell r="BM225">
            <v>6</v>
          </cell>
          <cell r="BN225">
            <v>9</v>
          </cell>
          <cell r="BO225">
            <v>10</v>
          </cell>
          <cell r="BP225">
            <v>11</v>
          </cell>
          <cell r="BQ225">
            <v>11</v>
          </cell>
          <cell r="BR225">
            <v>39</v>
          </cell>
          <cell r="BS225">
            <v>19</v>
          </cell>
          <cell r="BT225">
            <v>3</v>
          </cell>
          <cell r="BU225">
            <v>13</v>
          </cell>
          <cell r="BV225">
            <v>31</v>
          </cell>
          <cell r="BW225">
            <v>11</v>
          </cell>
          <cell r="BX225">
            <v>5</v>
          </cell>
          <cell r="BY225">
            <v>5</v>
          </cell>
          <cell r="BZ225">
            <v>23</v>
          </cell>
          <cell r="CA225">
            <v>17</v>
          </cell>
          <cell r="CB225">
            <v>8</v>
          </cell>
          <cell r="CC225">
            <v>7</v>
          </cell>
          <cell r="CD225">
            <v>8</v>
          </cell>
          <cell r="CE225">
            <v>3</v>
          </cell>
          <cell r="CF225">
            <v>5</v>
          </cell>
          <cell r="CG225">
            <v>15</v>
          </cell>
          <cell r="CH225">
            <v>7</v>
          </cell>
          <cell r="CI225">
            <v>20</v>
          </cell>
          <cell r="CJ225">
            <v>7</v>
          </cell>
          <cell r="CK225">
            <v>15</v>
          </cell>
          <cell r="CL225">
            <v>16</v>
          </cell>
          <cell r="CM225">
            <v>10</v>
          </cell>
          <cell r="CN225">
            <v>7</v>
          </cell>
          <cell r="CO225">
            <v>16</v>
          </cell>
          <cell r="CP225">
            <v>83</v>
          </cell>
          <cell r="CQ225">
            <v>15</v>
          </cell>
          <cell r="CR225">
            <v>38</v>
          </cell>
          <cell r="CS225">
            <v>11</v>
          </cell>
          <cell r="CT225">
            <v>12</v>
          </cell>
          <cell r="CU225">
            <v>22</v>
          </cell>
          <cell r="CV225">
            <v>30</v>
          </cell>
          <cell r="CW225">
            <v>18</v>
          </cell>
          <cell r="CX225">
            <v>22</v>
          </cell>
          <cell r="CY225">
            <v>99</v>
          </cell>
          <cell r="CZ225">
            <v>8</v>
          </cell>
          <cell r="DA225">
            <v>17</v>
          </cell>
          <cell r="DB225">
            <v>312</v>
          </cell>
          <cell r="DC225">
            <v>23</v>
          </cell>
          <cell r="DD225">
            <v>7</v>
          </cell>
          <cell r="DE225" t="str">
            <v>ACTIVO</v>
          </cell>
          <cell r="DF225" t="str">
            <v/>
          </cell>
          <cell r="DH225">
            <v>33.4</v>
          </cell>
          <cell r="DI225">
            <v>5.5666666666666664</v>
          </cell>
        </row>
        <row r="226">
          <cell r="B226">
            <v>405285</v>
          </cell>
          <cell r="C226" t="str">
            <v>FRUTILLA PICADILLO CONGELADA ALTA FRUTA</v>
          </cell>
          <cell r="G226">
            <v>15</v>
          </cell>
          <cell r="H226">
            <v>69.5</v>
          </cell>
          <cell r="I226">
            <v>40.5</v>
          </cell>
          <cell r="J226">
            <v>79.5</v>
          </cell>
          <cell r="K226">
            <v>230.2</v>
          </cell>
          <cell r="L226">
            <v>136</v>
          </cell>
          <cell r="M226">
            <v>133.69999999999999</v>
          </cell>
          <cell r="N226">
            <v>135.99999999999997</v>
          </cell>
          <cell r="O226">
            <v>13.6</v>
          </cell>
          <cell r="P226">
            <v>149.68</v>
          </cell>
          <cell r="Q226">
            <v>163.19999999999999</v>
          </cell>
          <cell r="R226">
            <v>122.19999999999999</v>
          </cell>
          <cell r="S226">
            <v>108.69999999999999</v>
          </cell>
          <cell r="T226">
            <v>54.4</v>
          </cell>
          <cell r="U226">
            <v>95.199999999999989</v>
          </cell>
          <cell r="V226">
            <v>68</v>
          </cell>
          <cell r="W226">
            <v>95.21</v>
          </cell>
          <cell r="X226">
            <v>108.8</v>
          </cell>
          <cell r="AG226">
            <v>13.65</v>
          </cell>
          <cell r="AQ226">
            <v>50</v>
          </cell>
          <cell r="BQ226">
            <v>445</v>
          </cell>
          <cell r="DE226" t="str">
            <v>SIN USO</v>
          </cell>
          <cell r="DF226" t="str">
            <v>C</v>
          </cell>
          <cell r="DH226">
            <v>0</v>
          </cell>
          <cell r="DI226">
            <v>0</v>
          </cell>
        </row>
        <row r="227">
          <cell r="B227">
            <v>107354</v>
          </cell>
          <cell r="C227" t="str">
            <v>FRUTILLA CONGELADA ALTA FRUTA</v>
          </cell>
          <cell r="BR227">
            <v>109.2</v>
          </cell>
          <cell r="DE227" t="str">
            <v>SIN USO</v>
          </cell>
          <cell r="DF227" t="str">
            <v>C</v>
          </cell>
          <cell r="DH227">
            <v>0</v>
          </cell>
          <cell r="DI227">
            <v>0</v>
          </cell>
        </row>
        <row r="228">
          <cell r="B228">
            <v>402132</v>
          </cell>
          <cell r="C228" t="str">
            <v>FRAMBUESA CONGELADA ALTA FRUTA</v>
          </cell>
          <cell r="J228">
            <v>98.5</v>
          </cell>
          <cell r="K228">
            <v>1.5</v>
          </cell>
          <cell r="L228">
            <v>70</v>
          </cell>
          <cell r="M228">
            <v>30</v>
          </cell>
          <cell r="T228">
            <v>19</v>
          </cell>
          <cell r="U228">
            <v>179</v>
          </cell>
          <cell r="V228">
            <v>180</v>
          </cell>
          <cell r="W228">
            <v>114.5</v>
          </cell>
          <cell r="X228">
            <v>195</v>
          </cell>
          <cell r="Y228">
            <v>154</v>
          </cell>
          <cell r="AB228">
            <v>148</v>
          </cell>
          <cell r="AC228">
            <v>78</v>
          </cell>
          <cell r="AD228">
            <v>54</v>
          </cell>
          <cell r="AE228">
            <v>52</v>
          </cell>
          <cell r="AF228">
            <v>147</v>
          </cell>
          <cell r="AG228">
            <v>80</v>
          </cell>
          <cell r="AH228">
            <v>50.25</v>
          </cell>
          <cell r="AI228">
            <v>895</v>
          </cell>
          <cell r="AJ228">
            <v>92.5</v>
          </cell>
          <cell r="AK228">
            <v>102</v>
          </cell>
          <cell r="AL228">
            <v>171.5</v>
          </cell>
          <cell r="AM228">
            <v>36</v>
          </cell>
          <cell r="AQ228">
            <v>1.5</v>
          </cell>
          <cell r="AY228">
            <v>66</v>
          </cell>
          <cell r="AZ228">
            <v>200</v>
          </cell>
          <cell r="BA228">
            <v>190</v>
          </cell>
          <cell r="BB228">
            <v>398</v>
          </cell>
          <cell r="BC228">
            <v>198</v>
          </cell>
          <cell r="BD228">
            <v>253</v>
          </cell>
          <cell r="BE228">
            <v>91</v>
          </cell>
          <cell r="BF228">
            <v>18.7</v>
          </cell>
          <cell r="BL228">
            <v>85</v>
          </cell>
          <cell r="BM228">
            <v>239.5</v>
          </cell>
          <cell r="BN228">
            <v>162</v>
          </cell>
          <cell r="BO228">
            <v>192</v>
          </cell>
          <cell r="BP228">
            <v>21</v>
          </cell>
          <cell r="CB228">
            <v>56</v>
          </cell>
          <cell r="CC228">
            <v>103.5</v>
          </cell>
          <cell r="CD228">
            <v>268</v>
          </cell>
          <cell r="CE228">
            <v>41</v>
          </cell>
          <cell r="CF228">
            <v>36</v>
          </cell>
          <cell r="CG228">
            <v>132</v>
          </cell>
          <cell r="CH228">
            <v>218</v>
          </cell>
          <cell r="CI228">
            <v>324</v>
          </cell>
          <cell r="CJ228">
            <v>252</v>
          </cell>
          <cell r="CK228">
            <v>204</v>
          </cell>
          <cell r="CL228">
            <v>72</v>
          </cell>
          <cell r="CM228">
            <v>138.19999999999999</v>
          </cell>
          <cell r="CN228">
            <v>192</v>
          </cell>
          <cell r="CO228">
            <v>120</v>
          </cell>
          <cell r="CP228">
            <v>228</v>
          </cell>
          <cell r="CQ228">
            <v>120</v>
          </cell>
          <cell r="CR228">
            <v>108</v>
          </cell>
          <cell r="CW228">
            <v>38</v>
          </cell>
          <cell r="CX228">
            <v>112</v>
          </cell>
          <cell r="CY228">
            <v>145</v>
          </cell>
          <cell r="CZ228">
            <v>117.5</v>
          </cell>
          <cell r="DA228">
            <v>235</v>
          </cell>
          <cell r="DB228">
            <v>185</v>
          </cell>
          <cell r="DC228">
            <v>137.5</v>
          </cell>
          <cell r="DD228">
            <v>262.5</v>
          </cell>
          <cell r="DE228" t="str">
            <v>ACTIVO</v>
          </cell>
          <cell r="DF228" t="str">
            <v>B</v>
          </cell>
          <cell r="DH228">
            <v>160.79523809523809</v>
          </cell>
          <cell r="DI228">
            <v>26.799206349206347</v>
          </cell>
        </row>
        <row r="229">
          <cell r="B229">
            <v>107306</v>
          </cell>
          <cell r="C229" t="str">
            <v>FRAMBUESA CONGELADA FRUTOS DEL MAIPO</v>
          </cell>
          <cell r="F229">
            <v>8</v>
          </cell>
          <cell r="G229">
            <v>82</v>
          </cell>
          <cell r="H229">
            <v>68</v>
          </cell>
          <cell r="I229">
            <v>72.5</v>
          </cell>
          <cell r="K229">
            <v>123.5</v>
          </cell>
          <cell r="M229">
            <v>147.5</v>
          </cell>
          <cell r="T229">
            <v>180</v>
          </cell>
          <cell r="U229">
            <v>7.5</v>
          </cell>
          <cell r="W229">
            <v>78.5</v>
          </cell>
          <cell r="X229">
            <v>3.5</v>
          </cell>
          <cell r="Y229">
            <v>92</v>
          </cell>
          <cell r="Z229">
            <v>114.5</v>
          </cell>
          <cell r="AA229">
            <v>16</v>
          </cell>
          <cell r="AB229">
            <v>96</v>
          </cell>
          <cell r="AC229">
            <v>135</v>
          </cell>
          <cell r="AD229">
            <v>30</v>
          </cell>
          <cell r="AE229">
            <v>64</v>
          </cell>
          <cell r="AF229">
            <v>167</v>
          </cell>
          <cell r="AG229">
            <v>16.25</v>
          </cell>
          <cell r="AH229">
            <v>2.75</v>
          </cell>
          <cell r="AL229">
            <v>25</v>
          </cell>
          <cell r="AM229">
            <v>119</v>
          </cell>
          <cell r="AN229">
            <v>164</v>
          </cell>
          <cell r="AO229">
            <v>194</v>
          </cell>
          <cell r="AP229">
            <v>180</v>
          </cell>
          <cell r="AQ229">
            <v>172</v>
          </cell>
          <cell r="AR229">
            <v>1179</v>
          </cell>
          <cell r="AS229">
            <v>98</v>
          </cell>
          <cell r="AT229">
            <v>204</v>
          </cell>
          <cell r="AU229">
            <v>173</v>
          </cell>
          <cell r="AV229">
            <v>110</v>
          </cell>
          <cell r="AW229">
            <v>135.5</v>
          </cell>
          <cell r="AX229">
            <v>110.5</v>
          </cell>
          <cell r="BE229">
            <v>156</v>
          </cell>
          <cell r="BF229">
            <v>193.3</v>
          </cell>
          <cell r="BG229">
            <v>258</v>
          </cell>
          <cell r="BH229">
            <v>199.5</v>
          </cell>
          <cell r="BI229">
            <v>182</v>
          </cell>
          <cell r="BJ229">
            <v>404</v>
          </cell>
          <cell r="BK229">
            <v>213.5</v>
          </cell>
          <cell r="BL229">
            <v>154.5</v>
          </cell>
          <cell r="BR229">
            <v>232</v>
          </cell>
          <cell r="BS229">
            <v>244</v>
          </cell>
          <cell r="BT229">
            <v>85</v>
          </cell>
          <cell r="BU229">
            <v>241</v>
          </cell>
          <cell r="BV229">
            <v>106</v>
          </cell>
          <cell r="BW229">
            <v>202</v>
          </cell>
          <cell r="BX229">
            <v>116</v>
          </cell>
          <cell r="BY229">
            <v>126</v>
          </cell>
          <cell r="BZ229">
            <v>220.9</v>
          </cell>
          <cell r="CA229">
            <v>182.5</v>
          </cell>
          <cell r="CB229">
            <v>81</v>
          </cell>
          <cell r="CC229">
            <v>14.5</v>
          </cell>
          <cell r="CS229">
            <v>138</v>
          </cell>
          <cell r="CT229">
            <v>112</v>
          </cell>
          <cell r="CU229">
            <v>210</v>
          </cell>
          <cell r="CV229">
            <v>124</v>
          </cell>
          <cell r="CW229">
            <v>120</v>
          </cell>
          <cell r="DE229" t="str">
            <v>ACTIVO</v>
          </cell>
          <cell r="DF229" t="str">
            <v>B</v>
          </cell>
          <cell r="DH229">
            <v>140.80000000000001</v>
          </cell>
          <cell r="DI229">
            <v>23.466666666666669</v>
          </cell>
        </row>
        <row r="230">
          <cell r="B230">
            <v>107317</v>
          </cell>
          <cell r="C230" t="str">
            <v>CRUMBLE FRAMBUESA CONGELADA ALTA FRUTA</v>
          </cell>
          <cell r="CR230">
            <v>40</v>
          </cell>
          <cell r="CT230">
            <v>550</v>
          </cell>
          <cell r="CU230">
            <v>220</v>
          </cell>
          <cell r="CV230">
            <v>280</v>
          </cell>
          <cell r="CW230">
            <v>530</v>
          </cell>
          <cell r="CX230">
            <v>180</v>
          </cell>
          <cell r="CZ230">
            <v>80</v>
          </cell>
          <cell r="DA230">
            <v>140</v>
          </cell>
          <cell r="DB230">
            <v>130</v>
          </cell>
          <cell r="DC230">
            <v>40</v>
          </cell>
          <cell r="DD230">
            <v>90</v>
          </cell>
          <cell r="DE230" t="str">
            <v>ACTIVO</v>
          </cell>
          <cell r="DF230" t="str">
            <v/>
          </cell>
          <cell r="DH230">
            <v>207.27272727272728</v>
          </cell>
          <cell r="DI230">
            <v>34.545454545454547</v>
          </cell>
        </row>
        <row r="231">
          <cell r="B231">
            <v>402131</v>
          </cell>
          <cell r="C231" t="str">
            <v>FRAMBUESA CONGELADA MINUTO VERDE</v>
          </cell>
          <cell r="R231">
            <v>100</v>
          </cell>
          <cell r="DE231" t="str">
            <v>SIN USO</v>
          </cell>
          <cell r="DF231" t="str">
            <v/>
          </cell>
          <cell r="DH231">
            <v>0</v>
          </cell>
          <cell r="DI231">
            <v>0</v>
          </cell>
        </row>
        <row r="232">
          <cell r="B232">
            <v>107368</v>
          </cell>
          <cell r="C232" t="str">
            <v>FRAMBUESA MITAD CONGELADA MEL</v>
          </cell>
          <cell r="K232">
            <v>220</v>
          </cell>
          <cell r="L232">
            <v>110</v>
          </cell>
          <cell r="M232">
            <v>70</v>
          </cell>
          <cell r="DE232" t="str">
            <v>SIN USO</v>
          </cell>
          <cell r="DF232" t="str">
            <v/>
          </cell>
          <cell r="DH232">
            <v>0</v>
          </cell>
          <cell r="DI232">
            <v>0</v>
          </cell>
        </row>
        <row r="233">
          <cell r="B233">
            <v>107277</v>
          </cell>
          <cell r="C233" t="str">
            <v>PULPA MARACUYÁ CON PEPAS ALTA FRUTA</v>
          </cell>
          <cell r="E233">
            <v>13</v>
          </cell>
          <cell r="F233">
            <v>2</v>
          </cell>
          <cell r="G233">
            <v>12</v>
          </cell>
          <cell r="H233">
            <v>30</v>
          </cell>
          <cell r="I233">
            <v>14</v>
          </cell>
          <cell r="J233">
            <v>13</v>
          </cell>
          <cell r="K233">
            <v>10</v>
          </cell>
          <cell r="L233">
            <v>20</v>
          </cell>
          <cell r="M233">
            <v>15</v>
          </cell>
          <cell r="N233">
            <v>15</v>
          </cell>
          <cell r="P233">
            <v>30</v>
          </cell>
          <cell r="Q233">
            <v>15</v>
          </cell>
          <cell r="S233">
            <v>15</v>
          </cell>
          <cell r="BQ233">
            <v>180</v>
          </cell>
          <cell r="DE233" t="str">
            <v>SIN USO</v>
          </cell>
          <cell r="DF233" t="str">
            <v>C</v>
          </cell>
          <cell r="DH233">
            <v>0</v>
          </cell>
          <cell r="DI233">
            <v>0</v>
          </cell>
        </row>
        <row r="234">
          <cell r="E234">
            <v>13</v>
          </cell>
          <cell r="F234">
            <v>10</v>
          </cell>
          <cell r="G234">
            <v>109</v>
          </cell>
          <cell r="H234">
            <v>167.5</v>
          </cell>
          <cell r="I234">
            <v>127</v>
          </cell>
          <cell r="J234">
            <v>191</v>
          </cell>
          <cell r="K234">
            <v>585.20000000000005</v>
          </cell>
          <cell r="L234">
            <v>336</v>
          </cell>
          <cell r="M234">
            <v>396.2</v>
          </cell>
          <cell r="N234">
            <v>150.99999999999997</v>
          </cell>
          <cell r="O234">
            <v>13.6</v>
          </cell>
          <cell r="P234">
            <v>179.68</v>
          </cell>
          <cell r="Q234">
            <v>178.2</v>
          </cell>
          <cell r="R234">
            <v>222.2</v>
          </cell>
          <cell r="S234">
            <v>123.69999999999999</v>
          </cell>
          <cell r="T234">
            <v>253.4</v>
          </cell>
          <cell r="U234">
            <v>281.7</v>
          </cell>
          <cell r="V234">
            <v>248</v>
          </cell>
          <cell r="W234">
            <v>288.20999999999998</v>
          </cell>
          <cell r="X234">
            <v>307.3</v>
          </cell>
          <cell r="Y234">
            <v>246</v>
          </cell>
          <cell r="Z234">
            <v>114.5</v>
          </cell>
          <cell r="AA234">
            <v>16</v>
          </cell>
          <cell r="AB234">
            <v>244</v>
          </cell>
          <cell r="AC234">
            <v>213</v>
          </cell>
          <cell r="AD234">
            <v>84</v>
          </cell>
          <cell r="AE234">
            <v>116</v>
          </cell>
          <cell r="AF234">
            <v>314</v>
          </cell>
          <cell r="AG234">
            <v>109.9</v>
          </cell>
          <cell r="AH234">
            <v>53</v>
          </cell>
          <cell r="AI234">
            <v>895</v>
          </cell>
          <cell r="AJ234">
            <v>92.5</v>
          </cell>
          <cell r="AK234">
            <v>102</v>
          </cell>
          <cell r="AL234">
            <v>196.5</v>
          </cell>
          <cell r="AM234">
            <v>155</v>
          </cell>
          <cell r="AN234">
            <v>164</v>
          </cell>
          <cell r="AO234">
            <v>194</v>
          </cell>
          <cell r="AP234">
            <v>180</v>
          </cell>
          <cell r="AQ234">
            <v>223.5</v>
          </cell>
          <cell r="AR234">
            <v>1179</v>
          </cell>
          <cell r="AS234">
            <v>98</v>
          </cell>
          <cell r="AT234">
            <v>204</v>
          </cell>
          <cell r="AU234">
            <v>173</v>
          </cell>
          <cell r="AV234">
            <v>110</v>
          </cell>
          <cell r="AW234">
            <v>135.5</v>
          </cell>
          <cell r="AX234">
            <v>110.5</v>
          </cell>
          <cell r="AY234">
            <v>66</v>
          </cell>
          <cell r="AZ234">
            <v>200</v>
          </cell>
          <cell r="BA234">
            <v>190</v>
          </cell>
          <cell r="BB234">
            <v>398</v>
          </cell>
          <cell r="BC234">
            <v>198</v>
          </cell>
          <cell r="BD234">
            <v>253</v>
          </cell>
          <cell r="BE234">
            <v>247</v>
          </cell>
          <cell r="BF234">
            <v>212</v>
          </cell>
          <cell r="BG234">
            <v>258</v>
          </cell>
          <cell r="BH234">
            <v>199.5</v>
          </cell>
          <cell r="BI234">
            <v>182</v>
          </cell>
          <cell r="BJ234">
            <v>404</v>
          </cell>
          <cell r="BK234">
            <v>213.5</v>
          </cell>
          <cell r="BL234">
            <v>239.5</v>
          </cell>
          <cell r="BM234">
            <v>239.5</v>
          </cell>
          <cell r="BN234">
            <v>162</v>
          </cell>
          <cell r="BO234">
            <v>192</v>
          </cell>
          <cell r="BP234">
            <v>21</v>
          </cell>
          <cell r="BQ234">
            <v>625</v>
          </cell>
          <cell r="BR234">
            <v>341.2</v>
          </cell>
          <cell r="BS234">
            <v>244</v>
          </cell>
          <cell r="BT234">
            <v>85</v>
          </cell>
          <cell r="BU234">
            <v>241</v>
          </cell>
          <cell r="BV234">
            <v>106</v>
          </cell>
          <cell r="BW234">
            <v>202</v>
          </cell>
          <cell r="BX234">
            <v>116</v>
          </cell>
          <cell r="BY234">
            <v>126</v>
          </cell>
          <cell r="BZ234">
            <v>220.9</v>
          </cell>
          <cell r="CA234">
            <v>182.5</v>
          </cell>
          <cell r="CB234">
            <v>137</v>
          </cell>
          <cell r="CC234">
            <v>118</v>
          </cell>
          <cell r="CD234">
            <v>268</v>
          </cell>
          <cell r="CE234">
            <v>41</v>
          </cell>
          <cell r="CF234">
            <v>36</v>
          </cell>
          <cell r="CG234">
            <v>132</v>
          </cell>
          <cell r="CH234">
            <v>218</v>
          </cell>
          <cell r="CI234">
            <v>324</v>
          </cell>
          <cell r="CJ234">
            <v>252</v>
          </cell>
          <cell r="CK234">
            <v>204</v>
          </cell>
          <cell r="CL234">
            <v>72</v>
          </cell>
          <cell r="CM234">
            <v>138.19999999999999</v>
          </cell>
          <cell r="CN234">
            <v>192</v>
          </cell>
          <cell r="CO234">
            <v>120</v>
          </cell>
          <cell r="CP234">
            <v>228</v>
          </cell>
          <cell r="CQ234">
            <v>120</v>
          </cell>
          <cell r="CR234">
            <v>148</v>
          </cell>
          <cell r="CS234">
            <v>138</v>
          </cell>
          <cell r="CT234">
            <v>662</v>
          </cell>
          <cell r="CU234">
            <v>430</v>
          </cell>
          <cell r="CV234">
            <v>404</v>
          </cell>
          <cell r="CW234">
            <v>688</v>
          </cell>
          <cell r="CX234">
            <v>292</v>
          </cell>
          <cell r="CY234">
            <v>145</v>
          </cell>
          <cell r="CZ234">
            <v>197.5</v>
          </cell>
          <cell r="DA234">
            <v>375</v>
          </cell>
          <cell r="DB234">
            <v>315</v>
          </cell>
          <cell r="DC234">
            <v>177.5</v>
          </cell>
          <cell r="DD234">
            <v>352.5</v>
          </cell>
          <cell r="DE234" t="str">
            <v>ACTIVO</v>
          </cell>
          <cell r="DF234" t="str">
            <v/>
          </cell>
          <cell r="DH234">
            <v>254.428</v>
          </cell>
          <cell r="DI234">
            <v>42.404666666666664</v>
          </cell>
        </row>
        <row r="235">
          <cell r="B235">
            <v>107183</v>
          </cell>
          <cell r="C235" t="str">
            <v>FRUIT FILLING MANZANA FRUCOL</v>
          </cell>
          <cell r="D235">
            <v>939.30000000000007</v>
          </cell>
          <cell r="E235">
            <v>728.5</v>
          </cell>
          <cell r="F235">
            <v>629.30000000000007</v>
          </cell>
          <cell r="G235">
            <v>837.00000000000011</v>
          </cell>
          <cell r="H235">
            <v>868.00000000000011</v>
          </cell>
          <cell r="I235">
            <v>744.00000000000011</v>
          </cell>
          <cell r="J235">
            <v>1026.0999999999999</v>
          </cell>
          <cell r="K235">
            <v>734.69999999999993</v>
          </cell>
          <cell r="L235">
            <v>1419.8000000000004</v>
          </cell>
          <cell r="M235">
            <v>1092.2</v>
          </cell>
          <cell r="N235">
            <v>1376.4000000000003</v>
          </cell>
          <cell r="O235">
            <v>883.49999999999989</v>
          </cell>
          <cell r="P235">
            <v>1153.2</v>
          </cell>
          <cell r="Q235">
            <v>1258.5999999999999</v>
          </cell>
          <cell r="R235">
            <v>1565.5</v>
          </cell>
          <cell r="S235">
            <v>1035.4000000000001</v>
          </cell>
          <cell r="T235">
            <v>1004.4000000000001</v>
          </cell>
          <cell r="U235">
            <v>1109.8</v>
          </cell>
          <cell r="V235">
            <v>1897.1999999999994</v>
          </cell>
          <cell r="W235">
            <v>629.29999999999995</v>
          </cell>
          <cell r="X235">
            <v>1267.2</v>
          </cell>
          <cell r="Y235">
            <v>1668.3500000000004</v>
          </cell>
          <cell r="Z235">
            <v>551.80000000000007</v>
          </cell>
          <cell r="AA235">
            <v>1499.3</v>
          </cell>
          <cell r="AB235">
            <v>898.95000000000016</v>
          </cell>
          <cell r="AC235">
            <v>870.25000000000011</v>
          </cell>
          <cell r="AD235">
            <v>313.10000000000002</v>
          </cell>
          <cell r="AE235">
            <v>306.89999999999998</v>
          </cell>
          <cell r="AF235">
            <v>1072.5999999999999</v>
          </cell>
          <cell r="AG235">
            <v>1325.7999999999995</v>
          </cell>
          <cell r="AH235">
            <v>40.5</v>
          </cell>
          <cell r="AP235">
            <v>3</v>
          </cell>
          <cell r="AQ235">
            <v>39</v>
          </cell>
          <cell r="AU235">
            <v>445.1</v>
          </cell>
          <cell r="AY235">
            <v>467.80000000000007</v>
          </cell>
          <cell r="BB235">
            <v>873.59999999999991</v>
          </cell>
          <cell r="BC235">
            <v>421.6</v>
          </cell>
          <cell r="BD235">
            <v>723.45</v>
          </cell>
          <cell r="BE235">
            <v>397.85</v>
          </cell>
          <cell r="BF235">
            <v>184.4</v>
          </cell>
          <cell r="BG235">
            <v>350.25000000000006</v>
          </cell>
          <cell r="BH235">
            <v>401.85</v>
          </cell>
          <cell r="BI235">
            <v>562.15000000000009</v>
          </cell>
          <cell r="BJ235">
            <v>861.6</v>
          </cell>
          <cell r="BK235">
            <v>273</v>
          </cell>
          <cell r="BL235">
            <v>225</v>
          </cell>
          <cell r="BM235">
            <v>274</v>
          </cell>
          <cell r="BN235">
            <v>411.9</v>
          </cell>
          <cell r="BO235">
            <v>759</v>
          </cell>
          <cell r="BP235">
            <v>417</v>
          </cell>
          <cell r="BQ235">
            <v>711</v>
          </cell>
          <cell r="BR235">
            <v>714</v>
          </cell>
          <cell r="BS235">
            <v>453</v>
          </cell>
          <cell r="BT235">
            <v>1149</v>
          </cell>
          <cell r="BU235">
            <v>586.5</v>
          </cell>
          <cell r="BV235">
            <v>280.3</v>
          </cell>
          <cell r="BW235">
            <v>568.79999999999995</v>
          </cell>
          <cell r="BX235">
            <v>588</v>
          </cell>
          <cell r="BY235">
            <v>824.5</v>
          </cell>
          <cell r="BZ235">
            <v>527.15000000000009</v>
          </cell>
          <cell r="CA235">
            <v>495.55</v>
          </cell>
          <cell r="CB235">
            <v>347.15000000000003</v>
          </cell>
          <cell r="CC235">
            <v>540.54999999999995</v>
          </cell>
          <cell r="CD235">
            <v>427.85</v>
          </cell>
          <cell r="CE235">
            <v>27</v>
          </cell>
          <cell r="CG235">
            <v>403.85</v>
          </cell>
          <cell r="CH235">
            <v>628.75</v>
          </cell>
          <cell r="CI235">
            <v>895.3</v>
          </cell>
          <cell r="CJ235">
            <v>858.6</v>
          </cell>
          <cell r="CK235">
            <v>429.3</v>
          </cell>
          <cell r="CL235">
            <v>858.6</v>
          </cell>
          <cell r="CM235">
            <v>429.3</v>
          </cell>
          <cell r="CN235">
            <v>707.3</v>
          </cell>
          <cell r="CO235">
            <v>429.3</v>
          </cell>
          <cell r="CP235">
            <v>3.1</v>
          </cell>
          <cell r="CT235">
            <v>74.2</v>
          </cell>
          <cell r="CU235">
            <v>275.55</v>
          </cell>
          <cell r="CV235">
            <v>191.95000000000002</v>
          </cell>
          <cell r="CW235">
            <v>193.45</v>
          </cell>
          <cell r="CX235">
            <v>156.95000000000002</v>
          </cell>
          <cell r="CY235">
            <v>129.85</v>
          </cell>
          <cell r="CZ235">
            <v>111.3</v>
          </cell>
          <cell r="DA235">
            <v>119.7</v>
          </cell>
          <cell r="DB235">
            <v>129.85</v>
          </cell>
          <cell r="DC235">
            <v>143.1</v>
          </cell>
          <cell r="DD235">
            <v>229.7</v>
          </cell>
          <cell r="DE235" t="str">
            <v>ACTIVO</v>
          </cell>
          <cell r="DF235" t="str">
            <v>B</v>
          </cell>
          <cell r="DH235">
            <v>352.33333333333337</v>
          </cell>
          <cell r="DI235">
            <v>58.722222222222229</v>
          </cell>
        </row>
        <row r="236">
          <cell r="B236">
            <v>107401</v>
          </cell>
          <cell r="C236" t="str">
            <v>DURAZNO EN SLICE LAS PERDICES</v>
          </cell>
          <cell r="BL236">
            <v>59.4</v>
          </cell>
          <cell r="BR236">
            <v>376</v>
          </cell>
          <cell r="DE236" t="str">
            <v>ACTIVO</v>
          </cell>
          <cell r="DF236" t="str">
            <v>C</v>
          </cell>
          <cell r="DH236">
            <v>0</v>
          </cell>
          <cell r="DI236">
            <v>0</v>
          </cell>
        </row>
        <row r="237">
          <cell r="B237">
            <v>107313</v>
          </cell>
          <cell r="C237" t="str">
            <v>DURAZNO EN CUBOS CAMPOS</v>
          </cell>
          <cell r="AU237">
            <v>6.62</v>
          </cell>
          <cell r="AV237">
            <v>250.20000000000002</v>
          </cell>
          <cell r="AW237">
            <v>21.6</v>
          </cell>
          <cell r="BC237">
            <v>230.85000000000002</v>
          </cell>
          <cell r="BD237">
            <v>356.4</v>
          </cell>
          <cell r="BE237">
            <v>162</v>
          </cell>
          <cell r="BG237">
            <v>45</v>
          </cell>
          <cell r="BH237">
            <v>30.8</v>
          </cell>
          <cell r="BI237">
            <v>18</v>
          </cell>
          <cell r="BJ237">
            <v>10.8</v>
          </cell>
          <cell r="BK237">
            <v>18</v>
          </cell>
          <cell r="BL237">
            <v>59.4</v>
          </cell>
          <cell r="BM237">
            <v>14.4</v>
          </cell>
          <cell r="BN237">
            <v>7.2</v>
          </cell>
          <cell r="BO237">
            <v>5.4</v>
          </cell>
          <cell r="BP237">
            <v>16.200000000000003</v>
          </cell>
          <cell r="BQ237">
            <v>6.52</v>
          </cell>
          <cell r="DE237" t="str">
            <v>ACTIVO</v>
          </cell>
          <cell r="DF237" t="str">
            <v>C</v>
          </cell>
          <cell r="DH237">
            <v>0</v>
          </cell>
          <cell r="DI237">
            <v>0</v>
          </cell>
        </row>
        <row r="238">
          <cell r="B238">
            <v>107125</v>
          </cell>
          <cell r="C238" t="str">
            <v>DURAZNO EN CUBOS ALTO LA CRUZ</v>
          </cell>
          <cell r="F238">
            <v>9.4499999999999993</v>
          </cell>
          <cell r="G238">
            <v>41.440000000000005</v>
          </cell>
          <cell r="H238">
            <v>79.599999999999994</v>
          </cell>
          <cell r="I238">
            <v>61.2</v>
          </cell>
          <cell r="J238">
            <v>102.6</v>
          </cell>
          <cell r="K238">
            <v>205.74</v>
          </cell>
          <cell r="L238">
            <v>344.02000000000004</v>
          </cell>
          <cell r="M238">
            <v>270.12</v>
          </cell>
          <cell r="N238">
            <v>229.49999999999997</v>
          </cell>
          <cell r="O238">
            <v>93.96</v>
          </cell>
          <cell r="P238">
            <v>435.32999999999993</v>
          </cell>
          <cell r="Q238">
            <v>390.59999999999997</v>
          </cell>
          <cell r="R238">
            <v>318.60000000000008</v>
          </cell>
          <cell r="S238">
            <v>261</v>
          </cell>
          <cell r="T238">
            <v>319.39999999999998</v>
          </cell>
          <cell r="U238">
            <v>372.6</v>
          </cell>
          <cell r="V238">
            <v>335.1</v>
          </cell>
          <cell r="W238">
            <v>254.80999999999997</v>
          </cell>
          <cell r="X238">
            <v>275.52</v>
          </cell>
          <cell r="Y238">
            <v>334.79999999999995</v>
          </cell>
          <cell r="Z238">
            <v>259.2</v>
          </cell>
          <cell r="AA238">
            <v>250.39999999999998</v>
          </cell>
          <cell r="AB238">
            <v>308.34000000000003</v>
          </cell>
          <cell r="AC238">
            <v>334.12</v>
          </cell>
          <cell r="AD238">
            <v>153</v>
          </cell>
          <cell r="AE238">
            <v>160.19999999999999</v>
          </cell>
          <cell r="AF238">
            <v>419.57999999999993</v>
          </cell>
          <cell r="AG238">
            <v>68.760000000000005</v>
          </cell>
          <cell r="AH238">
            <v>261.06</v>
          </cell>
          <cell r="AI238">
            <v>266.39999999999998</v>
          </cell>
          <cell r="AJ238">
            <v>255.60000000000002</v>
          </cell>
          <cell r="AK238">
            <v>608.08000000000004</v>
          </cell>
          <cell r="AL238">
            <v>248.4</v>
          </cell>
          <cell r="AM238">
            <v>235.8</v>
          </cell>
          <cell r="AN238">
            <v>244.88000000000002</v>
          </cell>
          <cell r="AO238">
            <v>297</v>
          </cell>
          <cell r="AP238">
            <v>250.20000000000002</v>
          </cell>
          <cell r="AQ238">
            <v>237.6</v>
          </cell>
          <cell r="AR238">
            <v>282.59999999999997</v>
          </cell>
          <cell r="AS238">
            <v>264.60000000000002</v>
          </cell>
          <cell r="AT238">
            <v>315</v>
          </cell>
          <cell r="AU238">
            <v>236.4</v>
          </cell>
          <cell r="AV238">
            <v>43.2</v>
          </cell>
          <cell r="AW238">
            <v>302.40000000000003</v>
          </cell>
          <cell r="AX238">
            <v>262.8</v>
          </cell>
          <cell r="AY238">
            <v>255.6</v>
          </cell>
          <cell r="AZ238">
            <v>397.8</v>
          </cell>
          <cell r="BA238">
            <v>325.79999999999995</v>
          </cell>
          <cell r="BB238">
            <v>445.04999999999995</v>
          </cell>
          <cell r="BC238">
            <v>125.54999999999998</v>
          </cell>
          <cell r="BE238">
            <v>165.6</v>
          </cell>
          <cell r="BF238">
            <v>347.40000000000003</v>
          </cell>
          <cell r="BG238">
            <v>295.2</v>
          </cell>
          <cell r="BH238">
            <v>313.20000000000005</v>
          </cell>
          <cell r="BI238">
            <v>277.2</v>
          </cell>
          <cell r="BJ238">
            <v>228.6</v>
          </cell>
          <cell r="BK238">
            <v>266.39999999999998</v>
          </cell>
          <cell r="BL238">
            <v>279</v>
          </cell>
          <cell r="BM238">
            <v>261</v>
          </cell>
          <cell r="BN238">
            <v>259.2</v>
          </cell>
          <cell r="BO238">
            <v>295.2</v>
          </cell>
          <cell r="BP238">
            <v>27</v>
          </cell>
          <cell r="BQ238">
            <v>348.08</v>
          </cell>
          <cell r="BR238">
            <v>360</v>
          </cell>
          <cell r="BS238">
            <v>311.39999999999998</v>
          </cell>
          <cell r="BT238">
            <v>250.20000000000002</v>
          </cell>
          <cell r="BU238">
            <v>259.2</v>
          </cell>
          <cell r="BV238">
            <v>241.2</v>
          </cell>
          <cell r="BW238">
            <v>232.20000000000002</v>
          </cell>
          <cell r="BX238">
            <v>182.4</v>
          </cell>
          <cell r="BY238">
            <v>192.6</v>
          </cell>
          <cell r="BZ238">
            <v>242.05</v>
          </cell>
          <cell r="CA238">
            <v>239.4</v>
          </cell>
          <cell r="CB238">
            <v>154.80000000000001</v>
          </cell>
          <cell r="CC238">
            <v>300.60000000000002</v>
          </cell>
          <cell r="CD238">
            <v>171.32</v>
          </cell>
          <cell r="CE238">
            <v>90.04</v>
          </cell>
          <cell r="CF238">
            <v>68.400000000000006</v>
          </cell>
          <cell r="CG238">
            <v>203.4</v>
          </cell>
          <cell r="CH238">
            <v>187.20000000000002</v>
          </cell>
          <cell r="CI238">
            <v>261.00000000000006</v>
          </cell>
          <cell r="CJ238">
            <v>169.2</v>
          </cell>
          <cell r="CK238">
            <v>181.82999999999998</v>
          </cell>
          <cell r="CL238">
            <v>160.19999999999999</v>
          </cell>
          <cell r="CM238">
            <v>158.4</v>
          </cell>
          <cell r="CN238">
            <v>183.6</v>
          </cell>
          <cell r="CO238">
            <v>198</v>
          </cell>
          <cell r="CP238">
            <v>183.60000000000002</v>
          </cell>
          <cell r="CQ238">
            <v>194.40000000000003</v>
          </cell>
          <cell r="CR238">
            <v>232.2</v>
          </cell>
          <cell r="CS238">
            <v>196.2</v>
          </cell>
          <cell r="CT238">
            <v>272.80000000000007</v>
          </cell>
          <cell r="CU238">
            <v>203.39999999999998</v>
          </cell>
          <cell r="CV238">
            <v>203.4</v>
          </cell>
          <cell r="CW238">
            <v>243.68</v>
          </cell>
          <cell r="CX238">
            <v>237.60000000000002</v>
          </cell>
          <cell r="CY238">
            <v>210.6</v>
          </cell>
          <cell r="CZ238">
            <v>183.6</v>
          </cell>
          <cell r="DA238">
            <v>221.4</v>
          </cell>
          <cell r="DB238">
            <v>763.2</v>
          </cell>
          <cell r="DC238">
            <v>50.4</v>
          </cell>
          <cell r="DD238">
            <v>225</v>
          </cell>
          <cell r="DE238" t="str">
            <v>ACTIVO</v>
          </cell>
          <cell r="DF238" t="str">
            <v>B</v>
          </cell>
          <cell r="DH238">
            <v>215.70839999999995</v>
          </cell>
          <cell r="DI238">
            <v>35.951399999999992</v>
          </cell>
        </row>
        <row r="239">
          <cell r="B239">
            <v>107102</v>
          </cell>
          <cell r="C239" t="str">
            <v>TRUFA CHOCOLATE PURATOS</v>
          </cell>
          <cell r="D239">
            <v>227.5</v>
          </cell>
          <cell r="E239">
            <v>241</v>
          </cell>
          <cell r="F239">
            <v>210.5</v>
          </cell>
          <cell r="G239">
            <v>262.5</v>
          </cell>
          <cell r="H239">
            <v>202</v>
          </cell>
          <cell r="I239">
            <v>68</v>
          </cell>
          <cell r="J239">
            <v>217</v>
          </cell>
          <cell r="K239">
            <v>215</v>
          </cell>
          <cell r="L239">
            <v>249</v>
          </cell>
          <cell r="M239">
            <v>251</v>
          </cell>
          <cell r="N239">
            <v>285</v>
          </cell>
          <cell r="P239">
            <v>211.5</v>
          </cell>
          <cell r="Q239">
            <v>293</v>
          </cell>
          <cell r="R239">
            <v>228</v>
          </cell>
          <cell r="S239">
            <v>204.5</v>
          </cell>
          <cell r="T239">
            <v>180</v>
          </cell>
          <cell r="U239">
            <v>280</v>
          </cell>
          <cell r="V239">
            <v>236</v>
          </cell>
          <cell r="W239">
            <v>230</v>
          </cell>
          <cell r="X239">
            <v>108</v>
          </cell>
          <cell r="Z239">
            <v>218.5</v>
          </cell>
          <cell r="AA239">
            <v>140.5</v>
          </cell>
          <cell r="AB239">
            <v>241</v>
          </cell>
          <cell r="AC239">
            <v>173.5</v>
          </cell>
          <cell r="AD239">
            <v>69</v>
          </cell>
          <cell r="AE239">
            <v>95.5</v>
          </cell>
          <cell r="AF239">
            <v>229</v>
          </cell>
          <cell r="AG239">
            <v>218.5</v>
          </cell>
          <cell r="AH239">
            <v>180</v>
          </cell>
          <cell r="AI239">
            <v>252</v>
          </cell>
          <cell r="AJ239">
            <v>256</v>
          </cell>
          <cell r="AK239">
            <v>212.5</v>
          </cell>
          <cell r="AL239">
            <v>217.5</v>
          </cell>
          <cell r="AM239">
            <v>204</v>
          </cell>
          <cell r="AN239">
            <v>264</v>
          </cell>
          <cell r="AO239">
            <v>240</v>
          </cell>
          <cell r="AP239">
            <v>264</v>
          </cell>
          <cell r="AQ239">
            <v>225</v>
          </cell>
          <cell r="AR239">
            <v>240</v>
          </cell>
          <cell r="AS239">
            <v>250</v>
          </cell>
          <cell r="AT239">
            <v>284</v>
          </cell>
          <cell r="AU239">
            <v>269.5</v>
          </cell>
          <cell r="AV239">
            <v>200</v>
          </cell>
          <cell r="AW239">
            <v>228</v>
          </cell>
          <cell r="AX239">
            <v>176</v>
          </cell>
          <cell r="AY239">
            <v>216</v>
          </cell>
          <cell r="AZ239">
            <v>224</v>
          </cell>
          <cell r="BA239">
            <v>200</v>
          </cell>
          <cell r="BB239">
            <v>199.5</v>
          </cell>
          <cell r="BC239">
            <v>226</v>
          </cell>
          <cell r="BD239">
            <v>172</v>
          </cell>
          <cell r="BE239">
            <v>176</v>
          </cell>
          <cell r="BF239">
            <v>165</v>
          </cell>
          <cell r="BG239">
            <v>196</v>
          </cell>
          <cell r="BH239">
            <v>224</v>
          </cell>
          <cell r="BI239">
            <v>165</v>
          </cell>
          <cell r="BJ239">
            <v>156</v>
          </cell>
          <cell r="BK239">
            <v>378</v>
          </cell>
          <cell r="BL239">
            <v>220</v>
          </cell>
          <cell r="BM239">
            <v>229</v>
          </cell>
          <cell r="BN239">
            <v>196</v>
          </cell>
          <cell r="BO239">
            <v>186</v>
          </cell>
          <cell r="BP239">
            <v>60</v>
          </cell>
          <cell r="BQ239">
            <v>193</v>
          </cell>
          <cell r="BR239">
            <v>152</v>
          </cell>
          <cell r="BS239">
            <v>242</v>
          </cell>
          <cell r="BT239">
            <v>142</v>
          </cell>
          <cell r="BU239">
            <v>220</v>
          </cell>
          <cell r="BV239">
            <v>187</v>
          </cell>
          <cell r="BW239">
            <v>202</v>
          </cell>
          <cell r="BX239">
            <v>165.5</v>
          </cell>
          <cell r="BY239">
            <v>180.5</v>
          </cell>
          <cell r="BZ239">
            <v>145.5</v>
          </cell>
          <cell r="CA239">
            <v>192</v>
          </cell>
          <cell r="CB239">
            <v>128</v>
          </cell>
          <cell r="CC239">
            <v>633</v>
          </cell>
          <cell r="CD239">
            <v>127</v>
          </cell>
          <cell r="CE239">
            <v>56</v>
          </cell>
          <cell r="CF239">
            <v>44</v>
          </cell>
          <cell r="CG239">
            <v>137</v>
          </cell>
          <cell r="CH239">
            <v>129</v>
          </cell>
          <cell r="CI239">
            <v>144</v>
          </cell>
          <cell r="CJ239">
            <v>112</v>
          </cell>
          <cell r="CK239">
            <v>140</v>
          </cell>
          <cell r="CL239">
            <v>108</v>
          </cell>
          <cell r="CM239">
            <v>120</v>
          </cell>
          <cell r="CN239">
            <v>136</v>
          </cell>
          <cell r="CO239">
            <v>140</v>
          </cell>
          <cell r="CP239">
            <v>164</v>
          </cell>
          <cell r="CQ239">
            <v>152</v>
          </cell>
          <cell r="CR239">
            <v>172</v>
          </cell>
          <cell r="CS239">
            <v>160</v>
          </cell>
          <cell r="CT239">
            <v>184</v>
          </cell>
          <cell r="CU239">
            <v>164</v>
          </cell>
          <cell r="CV239">
            <v>184</v>
          </cell>
          <cell r="CW239">
            <v>192</v>
          </cell>
          <cell r="CX239">
            <v>136</v>
          </cell>
          <cell r="CY239">
            <v>216</v>
          </cell>
          <cell r="CZ239">
            <v>172</v>
          </cell>
          <cell r="DA239">
            <v>191</v>
          </cell>
          <cell r="DB239">
            <v>202</v>
          </cell>
          <cell r="DC239">
            <v>168</v>
          </cell>
          <cell r="DD239">
            <v>168</v>
          </cell>
          <cell r="DE239" t="str">
            <v>ACTIVO</v>
          </cell>
          <cell r="DF239" t="str">
            <v>B</v>
          </cell>
          <cell r="DH239">
            <v>153.4</v>
          </cell>
          <cell r="DI239">
            <v>25.566666666666666</v>
          </cell>
        </row>
        <row r="240">
          <cell r="B240">
            <v>107124</v>
          </cell>
          <cell r="C240" t="str">
            <v>DURAZNO EN MITADES ALTO LA CRUZ</v>
          </cell>
          <cell r="D240">
            <v>346.41</v>
          </cell>
          <cell r="E240">
            <v>288.89999999999998</v>
          </cell>
          <cell r="F240">
            <v>223.64999999999998</v>
          </cell>
          <cell r="G240">
            <v>244.44</v>
          </cell>
          <cell r="H240">
            <v>271.33999999999997</v>
          </cell>
          <cell r="I240">
            <v>241.47</v>
          </cell>
          <cell r="J240">
            <v>214.20000000000002</v>
          </cell>
          <cell r="K240">
            <v>183.24</v>
          </cell>
          <cell r="L240">
            <v>323.73</v>
          </cell>
          <cell r="M240">
            <v>226.12</v>
          </cell>
          <cell r="N240">
            <v>187.20000000000002</v>
          </cell>
          <cell r="O240">
            <v>55.8</v>
          </cell>
          <cell r="P240">
            <v>213.51999999999998</v>
          </cell>
          <cell r="Q240">
            <v>217.79999999999998</v>
          </cell>
          <cell r="R240">
            <v>225.4</v>
          </cell>
          <cell r="S240">
            <v>117</v>
          </cell>
          <cell r="U240">
            <v>151.19999999999999</v>
          </cell>
          <cell r="V240">
            <v>216</v>
          </cell>
          <cell r="W240">
            <v>75.599999999999994</v>
          </cell>
          <cell r="AR240">
            <v>7.2</v>
          </cell>
          <cell r="BC240">
            <v>297</v>
          </cell>
          <cell r="BR240">
            <v>1.8</v>
          </cell>
          <cell r="BX240">
            <v>7.2</v>
          </cell>
          <cell r="CD240">
            <v>7.2</v>
          </cell>
          <cell r="CN240">
            <v>3.6</v>
          </cell>
          <cell r="DE240" t="str">
            <v>ACTIVO</v>
          </cell>
          <cell r="DF240" t="str">
            <v>C</v>
          </cell>
          <cell r="DH240">
            <v>3.6</v>
          </cell>
          <cell r="DI240">
            <v>0.6</v>
          </cell>
        </row>
        <row r="241">
          <cell r="B241">
            <v>107144</v>
          </cell>
          <cell r="C241" t="str">
            <v>MANZANAS SLICE MEL</v>
          </cell>
          <cell r="G241">
            <v>56.999999999999993</v>
          </cell>
          <cell r="H241">
            <v>58.9</v>
          </cell>
          <cell r="I241">
            <v>91.2</v>
          </cell>
          <cell r="J241">
            <v>131.1</v>
          </cell>
          <cell r="K241">
            <v>214.7</v>
          </cell>
          <cell r="L241">
            <v>476.89999999999986</v>
          </cell>
          <cell r="M241">
            <v>271.7</v>
          </cell>
          <cell r="N241">
            <v>243.20000000000002</v>
          </cell>
          <cell r="O241">
            <v>136.80000000000001</v>
          </cell>
          <cell r="P241">
            <v>410.4</v>
          </cell>
          <cell r="Q241">
            <v>461.7</v>
          </cell>
          <cell r="R241">
            <v>364.79999999999995</v>
          </cell>
          <cell r="S241">
            <v>340.1</v>
          </cell>
          <cell r="T241">
            <v>286.89999999999998</v>
          </cell>
          <cell r="U241">
            <v>375.90000000000003</v>
          </cell>
          <cell r="V241">
            <v>402.50000000000006</v>
          </cell>
          <cell r="W241">
            <v>429.79999999999995</v>
          </cell>
          <cell r="X241">
            <v>321.09999999999997</v>
          </cell>
          <cell r="Y241">
            <v>408.5</v>
          </cell>
          <cell r="Z241">
            <v>279.08</v>
          </cell>
          <cell r="AA241">
            <v>289.79999999999995</v>
          </cell>
          <cell r="AB241">
            <v>332.5</v>
          </cell>
          <cell r="AC241">
            <v>235.60000000000002</v>
          </cell>
          <cell r="AD241">
            <v>153.9</v>
          </cell>
          <cell r="AE241">
            <v>121.6</v>
          </cell>
          <cell r="AF241">
            <v>302.10000000000002</v>
          </cell>
          <cell r="AG241">
            <v>220.4</v>
          </cell>
          <cell r="AH241">
            <v>182.39999999999998</v>
          </cell>
          <cell r="AI241">
            <v>273.59999999999997</v>
          </cell>
          <cell r="AJ241">
            <v>840.20000000000027</v>
          </cell>
          <cell r="AK241">
            <v>294.50000000000006</v>
          </cell>
          <cell r="AL241">
            <v>287.39999999999998</v>
          </cell>
          <cell r="AM241">
            <v>294.5</v>
          </cell>
          <cell r="AN241">
            <v>231.79999999999998</v>
          </cell>
          <cell r="AO241">
            <v>383.80000000000007</v>
          </cell>
          <cell r="AP241">
            <v>278</v>
          </cell>
          <cell r="AQ241">
            <v>317.5</v>
          </cell>
          <cell r="AR241">
            <v>317.3</v>
          </cell>
          <cell r="AS241">
            <v>328.7</v>
          </cell>
          <cell r="AT241">
            <v>275.5</v>
          </cell>
          <cell r="AU241">
            <v>258.40000000000003</v>
          </cell>
          <cell r="AV241">
            <v>332.49999999999994</v>
          </cell>
          <cell r="AW241">
            <v>284.2</v>
          </cell>
          <cell r="AX241">
            <v>273.60000000000002</v>
          </cell>
          <cell r="AY241">
            <v>319.20000000000005</v>
          </cell>
          <cell r="AZ241">
            <v>579.5</v>
          </cell>
          <cell r="BA241">
            <v>342</v>
          </cell>
          <cell r="BB241">
            <v>421.79999999999995</v>
          </cell>
          <cell r="BC241">
            <v>433.20000000000005</v>
          </cell>
          <cell r="BD241">
            <v>370.50000000000006</v>
          </cell>
          <cell r="BE241">
            <v>374.29999999999995</v>
          </cell>
          <cell r="BF241">
            <v>423.7</v>
          </cell>
          <cell r="BG241">
            <v>357.20000000000005</v>
          </cell>
          <cell r="BH241">
            <v>431.30000000000007</v>
          </cell>
          <cell r="BI241">
            <v>343.90000000000003</v>
          </cell>
          <cell r="BJ241">
            <v>281.20000000000005</v>
          </cell>
          <cell r="BK241">
            <v>429.40000000000003</v>
          </cell>
          <cell r="BL241">
            <v>473.09999999999997</v>
          </cell>
          <cell r="BM241">
            <v>400.9</v>
          </cell>
          <cell r="BN241">
            <v>378.09999999999997</v>
          </cell>
          <cell r="BO241">
            <v>440.8</v>
          </cell>
          <cell r="BP241">
            <v>47.5</v>
          </cell>
          <cell r="BQ241">
            <v>488.2</v>
          </cell>
          <cell r="BR241">
            <v>490.2</v>
          </cell>
          <cell r="BS241">
            <v>406.6</v>
          </cell>
          <cell r="BT241">
            <v>353.4</v>
          </cell>
          <cell r="BU241">
            <v>320.7</v>
          </cell>
          <cell r="BV241">
            <v>304</v>
          </cell>
          <cell r="BW241">
            <v>302.10000000000002</v>
          </cell>
          <cell r="BX241">
            <v>235.60000000000002</v>
          </cell>
          <cell r="BY241">
            <v>248.89999999999998</v>
          </cell>
          <cell r="BZ241">
            <v>337.3</v>
          </cell>
          <cell r="CA241">
            <v>317.3</v>
          </cell>
          <cell r="CB241">
            <v>214.70000000000002</v>
          </cell>
          <cell r="CC241">
            <v>307.3</v>
          </cell>
          <cell r="CD241">
            <v>222.3</v>
          </cell>
          <cell r="CE241">
            <v>157.69999999999999</v>
          </cell>
          <cell r="CF241">
            <v>87.399999999999991</v>
          </cell>
          <cell r="CG241">
            <v>277</v>
          </cell>
          <cell r="CH241">
            <v>254.6</v>
          </cell>
          <cell r="CI241">
            <v>238.90000000000003</v>
          </cell>
          <cell r="CJ241">
            <v>216.60000000000002</v>
          </cell>
          <cell r="CK241">
            <v>245.10000000000002</v>
          </cell>
          <cell r="CL241">
            <v>199.5</v>
          </cell>
          <cell r="CM241">
            <v>199.5</v>
          </cell>
          <cell r="CN241">
            <v>245.10000000000002</v>
          </cell>
          <cell r="CO241">
            <v>243.20000000000002</v>
          </cell>
          <cell r="CP241">
            <v>355.3</v>
          </cell>
          <cell r="CQ241">
            <v>378.09999999999997</v>
          </cell>
          <cell r="CR241">
            <v>443.20000000000005</v>
          </cell>
          <cell r="CS241">
            <v>400.9</v>
          </cell>
          <cell r="CT241">
            <v>461.70000000000005</v>
          </cell>
          <cell r="CU241">
            <v>391.8</v>
          </cell>
          <cell r="CV241">
            <v>423.70000000000005</v>
          </cell>
          <cell r="CW241">
            <v>397.1</v>
          </cell>
          <cell r="CX241">
            <v>416.09999999999997</v>
          </cell>
          <cell r="CY241">
            <v>450.30000000000007</v>
          </cell>
          <cell r="CZ241">
            <v>362.6</v>
          </cell>
          <cell r="DA241">
            <v>431.2999999999999</v>
          </cell>
          <cell r="DB241">
            <v>435.09999999999997</v>
          </cell>
          <cell r="DC241">
            <v>402.79999999999995</v>
          </cell>
          <cell r="DD241">
            <v>442.69999999999987</v>
          </cell>
          <cell r="DE241" t="str">
            <v>ACTIVO</v>
          </cell>
          <cell r="DF241" t="str">
            <v>A</v>
          </cell>
          <cell r="DH241">
            <v>335.98400000000009</v>
          </cell>
          <cell r="DI241">
            <v>55.997333333333351</v>
          </cell>
        </row>
        <row r="242">
          <cell r="B242">
            <v>107240</v>
          </cell>
          <cell r="C242" t="str">
            <v>CRUSHED DE FRAMBUESA ALTO LA CRUZ</v>
          </cell>
          <cell r="D242">
            <v>37.200000000000003</v>
          </cell>
          <cell r="E242">
            <v>34.1</v>
          </cell>
          <cell r="F242">
            <v>31.000000000000004</v>
          </cell>
          <cell r="G242">
            <v>27.900000000000002</v>
          </cell>
          <cell r="H242">
            <v>24.8</v>
          </cell>
          <cell r="I242">
            <v>9.3000000000000007</v>
          </cell>
          <cell r="J242">
            <v>27.900000000000002</v>
          </cell>
          <cell r="K242">
            <v>21.7</v>
          </cell>
          <cell r="L242">
            <v>31.000000000000004</v>
          </cell>
          <cell r="M242">
            <v>21.700000000000003</v>
          </cell>
          <cell r="N242">
            <v>21.700000000000003</v>
          </cell>
          <cell r="P242">
            <v>16.900000000000002</v>
          </cell>
          <cell r="Q242">
            <v>31.000000000000004</v>
          </cell>
          <cell r="R242">
            <v>18.600000000000001</v>
          </cell>
          <cell r="S242">
            <v>18.600000000000001</v>
          </cell>
          <cell r="T242">
            <v>15.5</v>
          </cell>
          <cell r="U242">
            <v>24.800000000000004</v>
          </cell>
          <cell r="V242">
            <v>24.800000000000004</v>
          </cell>
          <cell r="W242">
            <v>15.5</v>
          </cell>
          <cell r="X242">
            <v>12.4</v>
          </cell>
          <cell r="Z242">
            <v>18.600000000000001</v>
          </cell>
          <cell r="AA242">
            <v>18.600000000000001</v>
          </cell>
          <cell r="AB242">
            <v>52.7</v>
          </cell>
          <cell r="AC242">
            <v>18.600000000000001</v>
          </cell>
          <cell r="AD242">
            <v>6.2</v>
          </cell>
          <cell r="AE242">
            <v>6.2</v>
          </cell>
          <cell r="AF242">
            <v>24.800000000000004</v>
          </cell>
          <cell r="AG242">
            <v>18.600000000000001</v>
          </cell>
          <cell r="AH242">
            <v>18.600000000000001</v>
          </cell>
          <cell r="AI242">
            <v>55.800000000000004</v>
          </cell>
          <cell r="AJ242">
            <v>18.600000000000001</v>
          </cell>
          <cell r="AK242">
            <v>18.600000000000001</v>
          </cell>
          <cell r="AL242">
            <v>24.800000000000004</v>
          </cell>
          <cell r="AM242">
            <v>21.700000000000003</v>
          </cell>
          <cell r="AN242">
            <v>24.800000000000004</v>
          </cell>
          <cell r="AO242">
            <v>24.800000000000004</v>
          </cell>
          <cell r="AP242">
            <v>18.600000000000001</v>
          </cell>
          <cell r="AQ242">
            <v>21.700000000000003</v>
          </cell>
          <cell r="AR242">
            <v>24.800000000000004</v>
          </cell>
          <cell r="AS242">
            <v>24.8</v>
          </cell>
          <cell r="AT242">
            <v>31.000000000000007</v>
          </cell>
          <cell r="AU242">
            <v>21.700000000000003</v>
          </cell>
          <cell r="AV242">
            <v>21.700000000000003</v>
          </cell>
          <cell r="AW242">
            <v>24.800000000000004</v>
          </cell>
          <cell r="AX242">
            <v>21.700000000000003</v>
          </cell>
          <cell r="AY242">
            <v>21.700000000000003</v>
          </cell>
          <cell r="AZ242">
            <v>24.800000000000004</v>
          </cell>
          <cell r="BA242">
            <v>24.800000000000004</v>
          </cell>
          <cell r="BB242">
            <v>18.600000000000001</v>
          </cell>
          <cell r="BC242">
            <v>21.700000000000003</v>
          </cell>
          <cell r="BD242">
            <v>21.700000000000003</v>
          </cell>
          <cell r="BE242">
            <v>18.600000000000001</v>
          </cell>
          <cell r="BF242">
            <v>18.600000000000001</v>
          </cell>
          <cell r="BG242">
            <v>23.600000000000005</v>
          </cell>
          <cell r="BH242">
            <v>27.900000000000002</v>
          </cell>
          <cell r="BI242">
            <v>21.700000000000003</v>
          </cell>
          <cell r="BJ242">
            <v>18.600000000000001</v>
          </cell>
          <cell r="BK242">
            <v>24.8</v>
          </cell>
          <cell r="BL242">
            <v>21.700000000000003</v>
          </cell>
          <cell r="BM242">
            <v>21.700000000000003</v>
          </cell>
          <cell r="BN242">
            <v>18.600000000000001</v>
          </cell>
          <cell r="BO242">
            <v>18.600000000000001</v>
          </cell>
          <cell r="BP242">
            <v>3.1</v>
          </cell>
          <cell r="BQ242">
            <v>21.700000000000003</v>
          </cell>
          <cell r="BR242">
            <v>15.5</v>
          </cell>
          <cell r="BS242">
            <v>21.700000000000003</v>
          </cell>
          <cell r="BT242">
            <v>18.600000000000001</v>
          </cell>
          <cell r="BU242">
            <v>21.700000000000003</v>
          </cell>
          <cell r="BV242">
            <v>21.700000000000003</v>
          </cell>
          <cell r="BW242">
            <v>18.600000000000001</v>
          </cell>
          <cell r="BX242">
            <v>15.5</v>
          </cell>
          <cell r="BY242">
            <v>18.600000000000001</v>
          </cell>
          <cell r="BZ242">
            <v>24.800000000000004</v>
          </cell>
          <cell r="CA242">
            <v>21.7</v>
          </cell>
          <cell r="CB242">
            <v>15.5</v>
          </cell>
          <cell r="CC242">
            <v>18.600000000000001</v>
          </cell>
          <cell r="CD242">
            <v>18.600000000000001</v>
          </cell>
          <cell r="CE242">
            <v>9.3000000000000007</v>
          </cell>
          <cell r="CF242">
            <v>6.2</v>
          </cell>
          <cell r="CG242">
            <v>18.600000000000001</v>
          </cell>
          <cell r="CH242">
            <v>9.3000000000000007</v>
          </cell>
          <cell r="DE242" t="str">
            <v>SIN USO</v>
          </cell>
          <cell r="DF242" t="str">
            <v>C</v>
          </cell>
          <cell r="DH242">
            <v>11.366666666666667</v>
          </cell>
          <cell r="DI242">
            <v>1.8944444444444446</v>
          </cell>
        </row>
        <row r="243">
          <cell r="B243">
            <v>107346</v>
          </cell>
          <cell r="C243" t="str">
            <v>PIÑA EN CUBOS LAS PERDICES</v>
          </cell>
          <cell r="X243">
            <v>1.84</v>
          </cell>
          <cell r="AA243">
            <v>202.4</v>
          </cell>
          <cell r="AC243">
            <v>183.6</v>
          </cell>
          <cell r="AO243">
            <v>386</v>
          </cell>
          <cell r="AQ243">
            <v>599.83999999999992</v>
          </cell>
          <cell r="AR243">
            <v>618.24</v>
          </cell>
          <cell r="AS243">
            <v>176.64</v>
          </cell>
          <cell r="AT243">
            <v>172.98</v>
          </cell>
          <cell r="AU243">
            <v>465.82</v>
          </cell>
          <cell r="AV243">
            <v>826.16000000000008</v>
          </cell>
          <cell r="AX243">
            <v>69.92</v>
          </cell>
          <cell r="AY243">
            <v>691.4</v>
          </cell>
          <cell r="AZ243">
            <v>176.64</v>
          </cell>
          <cell r="BA243">
            <v>138</v>
          </cell>
          <cell r="BD243">
            <v>79.12</v>
          </cell>
          <cell r="BE243">
            <v>491.28</v>
          </cell>
          <cell r="BF243">
            <v>872.16000000000008</v>
          </cell>
          <cell r="BG243">
            <v>552.20000000000005</v>
          </cell>
          <cell r="BH243">
            <v>822.48</v>
          </cell>
          <cell r="BI243">
            <v>491.08000000000004</v>
          </cell>
          <cell r="BJ243">
            <v>500.48</v>
          </cell>
          <cell r="BK243">
            <v>674.96</v>
          </cell>
          <cell r="BL243">
            <v>726.64</v>
          </cell>
          <cell r="BM243">
            <v>221.60000000000002</v>
          </cell>
          <cell r="BN243">
            <v>318.03999999999996</v>
          </cell>
          <cell r="BO243">
            <v>712.53</v>
          </cell>
          <cell r="BP243">
            <v>285.2</v>
          </cell>
          <cell r="BQ243">
            <v>212.99</v>
          </cell>
          <cell r="BR243">
            <v>99.32</v>
          </cell>
          <cell r="BT243">
            <v>51.48</v>
          </cell>
          <cell r="CA243">
            <v>730.48</v>
          </cell>
          <cell r="CB243">
            <v>439.76</v>
          </cell>
          <cell r="CC243">
            <v>479.80999999999995</v>
          </cell>
          <cell r="CD243">
            <v>551.99999999999989</v>
          </cell>
          <cell r="CE243">
            <v>765.44</v>
          </cell>
          <cell r="CG243">
            <v>607.20000000000005</v>
          </cell>
          <cell r="CH243">
            <v>170.23999999999998</v>
          </cell>
          <cell r="CI243">
            <v>603.52</v>
          </cell>
          <cell r="CJ243">
            <v>368</v>
          </cell>
          <cell r="CL243">
            <v>783.44</v>
          </cell>
          <cell r="CM243">
            <v>681.72</v>
          </cell>
          <cell r="CO243">
            <v>1271.44</v>
          </cell>
          <cell r="CP243">
            <v>912.64</v>
          </cell>
          <cell r="CQ243">
            <v>11.040000000000001</v>
          </cell>
          <cell r="CR243">
            <v>244.71999999999997</v>
          </cell>
          <cell r="CS243">
            <v>559.36</v>
          </cell>
          <cell r="CT243">
            <v>767.4</v>
          </cell>
          <cell r="CU243">
            <v>559.36</v>
          </cell>
          <cell r="CV243">
            <v>1118.72</v>
          </cell>
          <cell r="CW243">
            <v>559.36</v>
          </cell>
          <cell r="CX243">
            <v>215.28</v>
          </cell>
          <cell r="CY243">
            <v>516.96</v>
          </cell>
          <cell r="CZ243">
            <v>516.83999999999992</v>
          </cell>
          <cell r="DA243">
            <v>430.56</v>
          </cell>
          <cell r="DB243">
            <v>1431.52</v>
          </cell>
          <cell r="DC243">
            <v>559.3599999999999</v>
          </cell>
          <cell r="DD243">
            <v>636.64</v>
          </cell>
          <cell r="DE243" t="str">
            <v>ACTIVO</v>
          </cell>
          <cell r="DF243" t="str">
            <v>B</v>
          </cell>
          <cell r="DH243">
            <v>614.78727272727281</v>
          </cell>
          <cell r="DI243">
            <v>102.46454545454547</v>
          </cell>
        </row>
        <row r="244">
          <cell r="B244">
            <v>107282</v>
          </cell>
          <cell r="C244" t="str">
            <v>PIÑA EN CUBOS</v>
          </cell>
          <cell r="D244">
            <v>113.68</v>
          </cell>
          <cell r="E244">
            <v>77.680000000000007</v>
          </cell>
          <cell r="F244">
            <v>204.39</v>
          </cell>
          <cell r="G244">
            <v>90.160000000000011</v>
          </cell>
          <cell r="H244">
            <v>161.92000000000002</v>
          </cell>
          <cell r="I244">
            <v>44.16</v>
          </cell>
          <cell r="J244">
            <v>517.04</v>
          </cell>
          <cell r="K244">
            <v>31.98</v>
          </cell>
          <cell r="L244">
            <v>1.84</v>
          </cell>
          <cell r="M244">
            <v>125.12</v>
          </cell>
          <cell r="N244">
            <v>106.72</v>
          </cell>
          <cell r="Q244">
            <v>97.52</v>
          </cell>
          <cell r="S244">
            <v>128.53</v>
          </cell>
          <cell r="T244">
            <v>125.12</v>
          </cell>
          <cell r="U244">
            <v>3.64</v>
          </cell>
          <cell r="V244">
            <v>242.88</v>
          </cell>
          <cell r="W244">
            <v>147.24</v>
          </cell>
          <cell r="Z244">
            <v>82.34</v>
          </cell>
          <cell r="AJ244">
            <v>601.67999999999995</v>
          </cell>
          <cell r="DE244" t="str">
            <v>SIN USO</v>
          </cell>
          <cell r="DF244" t="str">
            <v>C</v>
          </cell>
          <cell r="DH244">
            <v>0</v>
          </cell>
          <cell r="DI244">
            <v>0</v>
          </cell>
        </row>
        <row r="245">
          <cell r="B245">
            <v>107123</v>
          </cell>
          <cell r="C245" t="str">
            <v>PIÑA EN CUBOS ALTO LA CRUZ</v>
          </cell>
          <cell r="AE245">
            <v>62.37</v>
          </cell>
          <cell r="AF245">
            <v>170.93</v>
          </cell>
          <cell r="AG245">
            <v>268.63999999999993</v>
          </cell>
          <cell r="AH245">
            <v>1495.8799999999999</v>
          </cell>
          <cell r="AI245">
            <v>778.31999999999994</v>
          </cell>
          <cell r="AJ245">
            <v>81.040000000000006</v>
          </cell>
          <cell r="AL245">
            <v>1.8</v>
          </cell>
          <cell r="BS245">
            <v>279.68</v>
          </cell>
          <cell r="BT245">
            <v>680.36</v>
          </cell>
          <cell r="BU245">
            <v>516.64</v>
          </cell>
          <cell r="BV245">
            <v>954.96</v>
          </cell>
          <cell r="BW245">
            <v>215.28</v>
          </cell>
          <cell r="BX245">
            <v>478.95000000000005</v>
          </cell>
          <cell r="BY245">
            <v>95.68</v>
          </cell>
          <cell r="BZ245">
            <v>206.08</v>
          </cell>
          <cell r="CA245">
            <v>95.68</v>
          </cell>
          <cell r="CC245">
            <v>26.19</v>
          </cell>
          <cell r="DE245" t="str">
            <v>SIN USO</v>
          </cell>
          <cell r="DF245" t="str">
            <v>B</v>
          </cell>
          <cell r="DH245">
            <v>0</v>
          </cell>
          <cell r="DI245">
            <v>0</v>
          </cell>
        </row>
        <row r="246">
          <cell r="B246">
            <v>405500</v>
          </cell>
          <cell r="C246" t="str">
            <v>PIÑA EN CUBOS CAMPOS</v>
          </cell>
          <cell r="AK246">
            <v>192.92</v>
          </cell>
          <cell r="AL246">
            <v>605.64</v>
          </cell>
          <cell r="AM246">
            <v>401.11999999999995</v>
          </cell>
          <cell r="AN246">
            <v>399.28</v>
          </cell>
          <cell r="AO246">
            <v>37.32</v>
          </cell>
          <cell r="AP246">
            <v>31.28</v>
          </cell>
          <cell r="DE246" t="str">
            <v>SIN USO</v>
          </cell>
          <cell r="DF246" t="str">
            <v>C</v>
          </cell>
          <cell r="DH246">
            <v>0</v>
          </cell>
          <cell r="DI246">
            <v>0</v>
          </cell>
        </row>
        <row r="247">
          <cell r="B247">
            <v>107324</v>
          </cell>
          <cell r="C247" t="str">
            <v>MARRASQUINO FRUCOL</v>
          </cell>
          <cell r="D247">
            <v>244.79999999999998</v>
          </cell>
          <cell r="E247">
            <v>214.60000000000002</v>
          </cell>
          <cell r="F247">
            <v>223</v>
          </cell>
          <cell r="G247">
            <v>221.2</v>
          </cell>
          <cell r="H247">
            <v>392.8</v>
          </cell>
          <cell r="I247">
            <v>238.2</v>
          </cell>
          <cell r="J247">
            <v>238</v>
          </cell>
          <cell r="K247">
            <v>203.19999999999996</v>
          </cell>
          <cell r="L247">
            <v>270.8</v>
          </cell>
          <cell r="M247">
            <v>332.20000000000005</v>
          </cell>
          <cell r="N247">
            <v>389.40000000000009</v>
          </cell>
          <cell r="O247">
            <v>61</v>
          </cell>
          <cell r="P247">
            <v>253.2</v>
          </cell>
          <cell r="Q247">
            <v>298.8</v>
          </cell>
          <cell r="R247">
            <v>234</v>
          </cell>
          <cell r="S247">
            <v>237.6</v>
          </cell>
          <cell r="T247">
            <v>288</v>
          </cell>
          <cell r="U247">
            <v>224.89999999999998</v>
          </cell>
          <cell r="V247">
            <v>357.40000000000009</v>
          </cell>
          <cell r="W247">
            <v>187</v>
          </cell>
          <cell r="X247">
            <v>194.4</v>
          </cell>
          <cell r="Y247">
            <v>297</v>
          </cell>
          <cell r="Z247">
            <v>242.00000000000003</v>
          </cell>
          <cell r="AA247">
            <v>406.80000000000007</v>
          </cell>
          <cell r="AB247">
            <v>183.59999999999997</v>
          </cell>
          <cell r="AC247">
            <v>257.40000000000003</v>
          </cell>
          <cell r="AD247">
            <v>72</v>
          </cell>
          <cell r="AE247">
            <v>48.96</v>
          </cell>
          <cell r="AF247">
            <v>304.59999999999997</v>
          </cell>
          <cell r="AG247">
            <v>339.94000000000005</v>
          </cell>
          <cell r="AH247">
            <v>459.8</v>
          </cell>
          <cell r="AI247">
            <v>302.8</v>
          </cell>
          <cell r="AJ247">
            <v>371.59999999999991</v>
          </cell>
          <cell r="AK247">
            <v>230.40000000000003</v>
          </cell>
          <cell r="AL247">
            <v>142</v>
          </cell>
          <cell r="AM247">
            <v>104.4</v>
          </cell>
          <cell r="AN247">
            <v>246.6</v>
          </cell>
          <cell r="AO247">
            <v>342.00000000000006</v>
          </cell>
          <cell r="AP247">
            <v>228.6</v>
          </cell>
          <cell r="AQ247">
            <v>254.10000000000002</v>
          </cell>
          <cell r="AR247">
            <v>396</v>
          </cell>
          <cell r="AS247">
            <v>302.40000000000003</v>
          </cell>
          <cell r="AT247">
            <v>387.00000000000006</v>
          </cell>
          <cell r="AU247">
            <v>532.79999999999995</v>
          </cell>
          <cell r="AV247">
            <v>500.40000000000009</v>
          </cell>
          <cell r="AW247">
            <v>327.60000000000002</v>
          </cell>
          <cell r="AX247">
            <v>381.59999999999991</v>
          </cell>
          <cell r="AY247">
            <v>352.79999999999995</v>
          </cell>
          <cell r="AZ247">
            <v>471.6</v>
          </cell>
          <cell r="BA247">
            <v>453.59999999999997</v>
          </cell>
          <cell r="BB247">
            <v>268.2</v>
          </cell>
          <cell r="BC247">
            <v>235.79999999999998</v>
          </cell>
          <cell r="BD247">
            <v>322.2</v>
          </cell>
          <cell r="BE247">
            <v>288</v>
          </cell>
          <cell r="BF247">
            <v>451.39999999999992</v>
          </cell>
          <cell r="BG247">
            <v>424.8</v>
          </cell>
          <cell r="BH247">
            <v>581.4</v>
          </cell>
          <cell r="BI247">
            <v>340.2</v>
          </cell>
          <cell r="BJ247">
            <v>354.59999999999997</v>
          </cell>
          <cell r="BK247">
            <v>307.8</v>
          </cell>
          <cell r="BL247">
            <v>343.8</v>
          </cell>
          <cell r="BM247">
            <v>196.2</v>
          </cell>
          <cell r="BN247">
            <v>278.99999999999994</v>
          </cell>
          <cell r="BO247">
            <v>505.8</v>
          </cell>
          <cell r="BP247">
            <v>120.60000000000002</v>
          </cell>
          <cell r="BQ247">
            <v>359.99999999999994</v>
          </cell>
          <cell r="BR247">
            <v>316.8</v>
          </cell>
          <cell r="BS247">
            <v>475.2</v>
          </cell>
          <cell r="BT247">
            <v>300.60000000000002</v>
          </cell>
          <cell r="BU247">
            <v>390.59999999999997</v>
          </cell>
          <cell r="BV247">
            <v>536.69999999999993</v>
          </cell>
          <cell r="BW247">
            <v>318.59999999999997</v>
          </cell>
          <cell r="BX247">
            <v>286.2</v>
          </cell>
          <cell r="BY247">
            <v>141</v>
          </cell>
          <cell r="BZ247">
            <v>252.20000000000002</v>
          </cell>
          <cell r="CA247">
            <v>379.8</v>
          </cell>
          <cell r="CB247">
            <v>230.4</v>
          </cell>
          <cell r="CC247">
            <v>313.2000000000001</v>
          </cell>
          <cell r="CD247">
            <v>309.7</v>
          </cell>
          <cell r="CE247">
            <v>250.2</v>
          </cell>
          <cell r="CF247">
            <v>198</v>
          </cell>
          <cell r="CG247">
            <v>475.2000000000001</v>
          </cell>
          <cell r="CH247">
            <v>202.59999999999997</v>
          </cell>
          <cell r="CI247">
            <v>329.40000000000003</v>
          </cell>
          <cell r="CJ247">
            <v>379.8</v>
          </cell>
          <cell r="CK247">
            <v>180</v>
          </cell>
          <cell r="CL247">
            <v>480.6</v>
          </cell>
          <cell r="CM247">
            <v>388.8</v>
          </cell>
          <cell r="CN247">
            <v>156.6</v>
          </cell>
          <cell r="CO247">
            <v>207.00000000000006</v>
          </cell>
          <cell r="CP247">
            <v>281.39999999999998</v>
          </cell>
          <cell r="CQ247">
            <v>252.00000000000003</v>
          </cell>
          <cell r="CR247">
            <v>304.2000000000001</v>
          </cell>
          <cell r="CS247">
            <v>226.80000000000004</v>
          </cell>
          <cell r="CT247">
            <v>322.2</v>
          </cell>
          <cell r="CU247">
            <v>381.60000000000014</v>
          </cell>
          <cell r="CV247">
            <v>478.80000000000007</v>
          </cell>
          <cell r="CW247">
            <v>157.58000000000001</v>
          </cell>
          <cell r="CX247">
            <v>257.39999999999998</v>
          </cell>
          <cell r="CY247">
            <v>419.40000000000009</v>
          </cell>
          <cell r="CZ247">
            <v>325.79999999999995</v>
          </cell>
          <cell r="DA247">
            <v>351.3</v>
          </cell>
          <cell r="DB247">
            <v>375.70000000000005</v>
          </cell>
          <cell r="DC247">
            <v>37.799999999999997</v>
          </cell>
          <cell r="DE247" t="str">
            <v>ACTIVO</v>
          </cell>
          <cell r="DF247" t="str">
            <v>A</v>
          </cell>
          <cell r="DH247">
            <v>298.74916666666672</v>
          </cell>
          <cell r="DI247">
            <v>49.791527777777787</v>
          </cell>
        </row>
        <row r="248">
          <cell r="B248">
            <v>107001</v>
          </cell>
          <cell r="C248" t="str">
            <v>MARRASQUINO ALTO LA CRUZ</v>
          </cell>
          <cell r="AI248">
            <v>61.7</v>
          </cell>
          <cell r="AK248">
            <v>48.4</v>
          </cell>
          <cell r="AL248">
            <v>100.6</v>
          </cell>
          <cell r="AM248">
            <v>93.399999999999991</v>
          </cell>
          <cell r="AN248">
            <v>39.6</v>
          </cell>
          <cell r="AO248">
            <v>3.6</v>
          </cell>
          <cell r="AQ248">
            <v>29.700000000000003</v>
          </cell>
          <cell r="CQ248">
            <v>36</v>
          </cell>
          <cell r="CW248">
            <v>23.400000000000002</v>
          </cell>
          <cell r="CY248">
            <v>1.8</v>
          </cell>
          <cell r="DB248">
            <v>9.8000000000000007</v>
          </cell>
          <cell r="DC248">
            <v>404.99999999999994</v>
          </cell>
          <cell r="DD248">
            <v>304.2000000000001</v>
          </cell>
          <cell r="DE248" t="str">
            <v>ACTIVO</v>
          </cell>
          <cell r="DF248" t="str">
            <v>C</v>
          </cell>
          <cell r="DH248">
            <v>130.03333333333333</v>
          </cell>
          <cell r="DI248">
            <v>21.672222222222221</v>
          </cell>
        </row>
        <row r="249">
          <cell r="B249">
            <v>107314</v>
          </cell>
          <cell r="C249" t="str">
            <v>MARRASQUINO CAMPOS</v>
          </cell>
          <cell r="CN249">
            <v>61.2</v>
          </cell>
          <cell r="CO249">
            <v>154.80000000000001</v>
          </cell>
          <cell r="CP249">
            <v>116.4</v>
          </cell>
          <cell r="CQ249">
            <v>83.399999999999991</v>
          </cell>
          <cell r="CR249">
            <v>14.4</v>
          </cell>
          <cell r="CW249">
            <v>47.62</v>
          </cell>
          <cell r="DE249" t="str">
            <v>ACTIVO</v>
          </cell>
          <cell r="DF249" t="str">
            <v/>
          </cell>
          <cell r="DH249">
            <v>79.636666666666656</v>
          </cell>
          <cell r="DI249">
            <v>13.272777777777776</v>
          </cell>
        </row>
        <row r="250">
          <cell r="B250">
            <v>405574</v>
          </cell>
          <cell r="C250" t="str">
            <v>PIÑA EN RODAJAS CAMPOS</v>
          </cell>
          <cell r="BJ250">
            <v>110.9</v>
          </cell>
          <cell r="BK250">
            <v>310.03999999999996</v>
          </cell>
          <cell r="BL250">
            <v>372.6</v>
          </cell>
          <cell r="BM250">
            <v>106.24</v>
          </cell>
          <cell r="BN250">
            <v>212.4</v>
          </cell>
          <cell r="BO250">
            <v>221.29</v>
          </cell>
          <cell r="BP250">
            <v>147.60000000000002</v>
          </cell>
          <cell r="BQ250">
            <v>5.4000000000000021</v>
          </cell>
          <cell r="BS250">
            <v>122.4</v>
          </cell>
          <cell r="BT250">
            <v>252.42</v>
          </cell>
          <cell r="BZ250">
            <v>9</v>
          </cell>
          <cell r="CA250">
            <v>210.8</v>
          </cell>
          <cell r="CB250">
            <v>18.2</v>
          </cell>
          <cell r="DE250" t="str">
            <v>ACTIVO</v>
          </cell>
          <cell r="DF250" t="str">
            <v>B</v>
          </cell>
          <cell r="DH250">
            <v>0</v>
          </cell>
          <cell r="DI250">
            <v>0</v>
          </cell>
        </row>
        <row r="251">
          <cell r="B251">
            <v>107117</v>
          </cell>
          <cell r="C251" t="str">
            <v>PIÑA EN RODAJAS ALTO LA CRUZ</v>
          </cell>
          <cell r="D251">
            <v>83.100000000000009</v>
          </cell>
          <cell r="E251">
            <v>62.760000000000005</v>
          </cell>
          <cell r="F251">
            <v>70.269999999999982</v>
          </cell>
          <cell r="G251">
            <v>62.260000000000005</v>
          </cell>
          <cell r="H251">
            <v>57.14</v>
          </cell>
          <cell r="I251">
            <v>52.019999999999996</v>
          </cell>
          <cell r="J251">
            <v>49.68</v>
          </cell>
          <cell r="K251">
            <v>44.36</v>
          </cell>
          <cell r="L251">
            <v>58.879999999999995</v>
          </cell>
          <cell r="M251">
            <v>69.25</v>
          </cell>
          <cell r="N251">
            <v>56.789999999999992</v>
          </cell>
          <cell r="O251">
            <v>5.52</v>
          </cell>
          <cell r="P251">
            <v>49.3</v>
          </cell>
          <cell r="Q251">
            <v>31.229999999999997</v>
          </cell>
          <cell r="AH251">
            <v>381.37</v>
          </cell>
          <cell r="AI251">
            <v>35.799999999999997</v>
          </cell>
          <cell r="AJ251">
            <v>279.64</v>
          </cell>
          <cell r="AK251">
            <v>177.62</v>
          </cell>
          <cell r="AL251">
            <v>179</v>
          </cell>
          <cell r="AM251">
            <v>200.48</v>
          </cell>
          <cell r="AN251">
            <v>209.46999999999997</v>
          </cell>
          <cell r="AO251">
            <v>232.7</v>
          </cell>
          <cell r="AP251">
            <v>207.6</v>
          </cell>
          <cell r="AQ251">
            <v>321.56000000000006</v>
          </cell>
          <cell r="AR251">
            <v>286.39999999999998</v>
          </cell>
          <cell r="AS251">
            <v>44.059999999999995</v>
          </cell>
          <cell r="AT251">
            <v>273.97000000000003</v>
          </cell>
          <cell r="AU251">
            <v>562.05999999999995</v>
          </cell>
          <cell r="AV251">
            <v>275.66000000000003</v>
          </cell>
          <cell r="AW251">
            <v>242.86</v>
          </cell>
          <cell r="AX251">
            <v>248.4</v>
          </cell>
          <cell r="AY251">
            <v>251.93</v>
          </cell>
          <cell r="AZ251">
            <v>252</v>
          </cell>
          <cell r="BA251">
            <v>174.76999999999998</v>
          </cell>
          <cell r="BB251">
            <v>44.980000000000004</v>
          </cell>
          <cell r="BC251">
            <v>244.8</v>
          </cell>
          <cell r="BD251">
            <v>93.76</v>
          </cell>
          <cell r="BE251">
            <v>214.28</v>
          </cell>
          <cell r="BF251">
            <v>307.79000000000002</v>
          </cell>
          <cell r="BG251">
            <v>318.60000000000002</v>
          </cell>
          <cell r="BH251">
            <v>352.8</v>
          </cell>
          <cell r="BI251">
            <v>266</v>
          </cell>
          <cell r="BJ251">
            <v>208.38</v>
          </cell>
          <cell r="BK251">
            <v>1.72</v>
          </cell>
          <cell r="BO251">
            <v>230.4</v>
          </cell>
          <cell r="BP251">
            <v>3.6</v>
          </cell>
          <cell r="BQ251">
            <v>302.39999999999998</v>
          </cell>
          <cell r="BR251">
            <v>140.38999999999999</v>
          </cell>
          <cell r="BS251">
            <v>39.6</v>
          </cell>
          <cell r="BT251">
            <v>135.00000000000003</v>
          </cell>
          <cell r="BU251">
            <v>232.2</v>
          </cell>
          <cell r="BV251">
            <v>430.2</v>
          </cell>
          <cell r="BW251">
            <v>133.19999999999999</v>
          </cell>
          <cell r="BX251">
            <v>312.48</v>
          </cell>
          <cell r="BY251">
            <v>72.240000000000009</v>
          </cell>
          <cell r="BZ251">
            <v>56.239999999999995</v>
          </cell>
          <cell r="CA251">
            <v>223.20000000000002</v>
          </cell>
          <cell r="CB251">
            <v>190.88000000000002</v>
          </cell>
          <cell r="CC251">
            <v>160.19</v>
          </cell>
          <cell r="CD251">
            <v>291.91000000000003</v>
          </cell>
          <cell r="CE251">
            <v>361.8</v>
          </cell>
          <cell r="CF251">
            <v>12.58</v>
          </cell>
          <cell r="CG251">
            <v>216.08</v>
          </cell>
          <cell r="CH251">
            <v>168.03</v>
          </cell>
          <cell r="CI251">
            <v>269.97000000000003</v>
          </cell>
          <cell r="CJ251">
            <v>140.37</v>
          </cell>
          <cell r="CK251">
            <v>43.169999999999995</v>
          </cell>
          <cell r="CL251">
            <v>406.63</v>
          </cell>
          <cell r="CM251">
            <v>379.79999999999995</v>
          </cell>
          <cell r="CN251">
            <v>37.800000000000004</v>
          </cell>
          <cell r="CO251">
            <v>106.53</v>
          </cell>
          <cell r="CR251">
            <v>0.75</v>
          </cell>
          <cell r="CV251">
            <v>10.89</v>
          </cell>
          <cell r="CX251">
            <v>12.53</v>
          </cell>
          <cell r="CY251">
            <v>1.58</v>
          </cell>
          <cell r="DC251">
            <v>216.05999999999997</v>
          </cell>
          <cell r="DD251">
            <v>217.75</v>
          </cell>
          <cell r="DE251" t="str">
            <v>ACTIVO</v>
          </cell>
          <cell r="DF251" t="str">
            <v>B</v>
          </cell>
          <cell r="DH251">
            <v>140.03249999999997</v>
          </cell>
          <cell r="DI251">
            <v>23.338749999999994</v>
          </cell>
        </row>
        <row r="252">
          <cell r="B252">
            <v>107348</v>
          </cell>
          <cell r="C252" t="str">
            <v>PIÑA EN RODAJA LAS PERDICES</v>
          </cell>
          <cell r="R252">
            <v>92.629999999999981</v>
          </cell>
          <cell r="S252">
            <v>35.799999999999997</v>
          </cell>
          <cell r="T252">
            <v>76.53000000000003</v>
          </cell>
          <cell r="U252">
            <v>41.62</v>
          </cell>
          <cell r="V252">
            <v>55.49</v>
          </cell>
          <cell r="W252">
            <v>51.989999999999995</v>
          </cell>
          <cell r="X252">
            <v>217.84</v>
          </cell>
          <cell r="Z252">
            <v>39.379999999999995</v>
          </cell>
          <cell r="AA252">
            <v>87.42</v>
          </cell>
          <cell r="AB252">
            <v>53.8</v>
          </cell>
          <cell r="AC252">
            <v>133.51999999999998</v>
          </cell>
          <cell r="AD252">
            <v>10.74</v>
          </cell>
          <cell r="AE252">
            <v>34.44</v>
          </cell>
          <cell r="AF252">
            <v>423.0499999999999</v>
          </cell>
          <cell r="AG252">
            <v>41.919999999999987</v>
          </cell>
          <cell r="AH252">
            <v>10.74</v>
          </cell>
          <cell r="AI252">
            <v>23.270000000000003</v>
          </cell>
          <cell r="AJ252">
            <v>100.24000000000001</v>
          </cell>
          <cell r="AK252">
            <v>13.86</v>
          </cell>
          <cell r="AL252">
            <v>35.799999999999997</v>
          </cell>
          <cell r="CO252">
            <v>325.78000000000003</v>
          </cell>
          <cell r="CP252">
            <v>343.72999999999996</v>
          </cell>
          <cell r="CQ252">
            <v>46.760000000000005</v>
          </cell>
          <cell r="CR252">
            <v>72.86999999999999</v>
          </cell>
          <cell r="CS252">
            <v>246.60000000000002</v>
          </cell>
          <cell r="CT252">
            <v>462.60000000000008</v>
          </cell>
          <cell r="CU252">
            <v>313.21999999999997</v>
          </cell>
          <cell r="CV252">
            <v>471.58000000000004</v>
          </cell>
          <cell r="CW252">
            <v>251.99999999999997</v>
          </cell>
          <cell r="CX252">
            <v>28.8</v>
          </cell>
          <cell r="CY252">
            <v>211.12</v>
          </cell>
          <cell r="CZ252">
            <v>130.54</v>
          </cell>
          <cell r="DA252">
            <v>230.66</v>
          </cell>
          <cell r="DB252">
            <v>585</v>
          </cell>
          <cell r="DC252">
            <v>61.86</v>
          </cell>
          <cell r="DE252" t="str">
            <v>ACTIVO</v>
          </cell>
          <cell r="DF252" t="str">
            <v>C</v>
          </cell>
          <cell r="DH252">
            <v>252.20800000000003</v>
          </cell>
          <cell r="DI252">
            <v>42.034666666666674</v>
          </cell>
        </row>
        <row r="253">
          <cell r="D253">
            <v>1991.9900000000002</v>
          </cell>
          <cell r="E253">
            <v>1647.5400000000002</v>
          </cell>
          <cell r="F253">
            <v>1601.56</v>
          </cell>
          <cell r="G253">
            <v>1843.9000000000003</v>
          </cell>
          <cell r="H253">
            <v>2116.5</v>
          </cell>
          <cell r="I253">
            <v>1549.5500000000002</v>
          </cell>
          <cell r="J253">
            <v>2523.6199999999994</v>
          </cell>
          <cell r="K253">
            <v>1854.6200000000001</v>
          </cell>
          <cell r="L253">
            <v>3175.9700000000003</v>
          </cell>
          <cell r="M253">
            <v>2659.41</v>
          </cell>
          <cell r="N253">
            <v>2895.91</v>
          </cell>
          <cell r="O253">
            <v>1236.58</v>
          </cell>
          <cell r="P253">
            <v>2743.35</v>
          </cell>
          <cell r="Q253">
            <v>3080.25</v>
          </cell>
          <cell r="R253">
            <v>3047.53</v>
          </cell>
          <cell r="S253">
            <v>2378.5300000000002</v>
          </cell>
          <cell r="T253">
            <v>2295.8500000000004</v>
          </cell>
          <cell r="U253">
            <v>2584.46</v>
          </cell>
          <cell r="V253">
            <v>3767.3699999999994</v>
          </cell>
          <cell r="W253">
            <v>2021.2399999999998</v>
          </cell>
          <cell r="X253">
            <v>2398.3000000000002</v>
          </cell>
          <cell r="Y253">
            <v>2708.6500000000005</v>
          </cell>
          <cell r="Z253">
            <v>1690.8999999999996</v>
          </cell>
          <cell r="AA253">
            <v>2895.2200000000003</v>
          </cell>
          <cell r="AB253">
            <v>2070.8900000000003</v>
          </cell>
          <cell r="AC253">
            <v>2206.59</v>
          </cell>
          <cell r="AD253">
            <v>777.94</v>
          </cell>
          <cell r="AE253">
            <v>836.17000000000007</v>
          </cell>
          <cell r="AF253">
            <v>2946.6599999999994</v>
          </cell>
          <cell r="AG253">
            <v>2502.5599999999995</v>
          </cell>
          <cell r="AH253">
            <v>3030.35</v>
          </cell>
          <cell r="AI253">
            <v>2049.69</v>
          </cell>
          <cell r="AJ253">
            <v>2804.5999999999995</v>
          </cell>
          <cell r="AK253">
            <v>1796.8800000000003</v>
          </cell>
          <cell r="AL253">
            <v>1842.9399999999998</v>
          </cell>
          <cell r="AM253">
            <v>1555.4</v>
          </cell>
          <cell r="AN253">
            <v>1660.4299999999996</v>
          </cell>
          <cell r="AO253">
            <v>1947.2199999999998</v>
          </cell>
          <cell r="AP253">
            <v>1281.28</v>
          </cell>
          <cell r="AQ253">
            <v>2046</v>
          </cell>
          <cell r="AR253">
            <v>2172.54</v>
          </cell>
          <cell r="AS253">
            <v>1391.1999999999998</v>
          </cell>
          <cell r="AT253">
            <v>1739.45</v>
          </cell>
          <cell r="AU253">
            <v>2798.4</v>
          </cell>
          <cell r="AV253">
            <v>2449.8200000000002</v>
          </cell>
          <cell r="AW253">
            <v>1431.46</v>
          </cell>
          <cell r="AX253">
            <v>1434.02</v>
          </cell>
          <cell r="AY253">
            <v>2576.4299999999998</v>
          </cell>
          <cell r="AZ253">
            <v>2126.3399999999997</v>
          </cell>
          <cell r="BA253">
            <v>1658.9699999999998</v>
          </cell>
          <cell r="BB253">
            <v>2271.7299999999996</v>
          </cell>
          <cell r="BC253">
            <v>2236.5</v>
          </cell>
          <cell r="BD253">
            <v>2139.13</v>
          </cell>
          <cell r="BE253">
            <v>2287.9100000000003</v>
          </cell>
          <cell r="BF253">
            <v>2770.45</v>
          </cell>
          <cell r="BG253">
            <v>2562.85</v>
          </cell>
          <cell r="BH253">
            <v>3185.7300000000005</v>
          </cell>
          <cell r="BI253">
            <v>2485.23</v>
          </cell>
          <cell r="BJ253">
            <v>2731.16</v>
          </cell>
          <cell r="BK253">
            <v>2684.12</v>
          </cell>
          <cell r="BL253">
            <v>2780.64</v>
          </cell>
          <cell r="BM253">
            <v>1725.04</v>
          </cell>
          <cell r="BN253">
            <v>2080.4399999999996</v>
          </cell>
          <cell r="BO253">
            <v>3375.02</v>
          </cell>
          <cell r="BP253">
            <v>1127.8</v>
          </cell>
          <cell r="BQ253">
            <v>2649.29</v>
          </cell>
          <cell r="BR253">
            <v>2666.01</v>
          </cell>
          <cell r="BS253">
            <v>2351.58</v>
          </cell>
          <cell r="BT253">
            <v>3333.06</v>
          </cell>
          <cell r="BU253">
            <v>2547.54</v>
          </cell>
          <cell r="BV253">
            <v>2956.06</v>
          </cell>
          <cell r="BW253">
            <v>1990.7799999999997</v>
          </cell>
          <cell r="BX253">
            <v>2271.83</v>
          </cell>
          <cell r="BY253">
            <v>1774.02</v>
          </cell>
          <cell r="BZ253">
            <v>1800.32</v>
          </cell>
          <cell r="CA253">
            <v>2905.9100000000003</v>
          </cell>
          <cell r="CB253">
            <v>1739.3900000000003</v>
          </cell>
          <cell r="CC253">
            <v>2779.44</v>
          </cell>
          <cell r="CD253">
            <v>2127.88</v>
          </cell>
          <cell r="CE253">
            <v>1717.48</v>
          </cell>
          <cell r="CF253">
            <v>416.58</v>
          </cell>
          <cell r="CG253">
            <v>2338.33</v>
          </cell>
          <cell r="CH253">
            <v>1749.7199999999998</v>
          </cell>
          <cell r="CI253">
            <v>2742.09</v>
          </cell>
          <cell r="CJ253">
            <v>2244.5700000000002</v>
          </cell>
          <cell r="CK253">
            <v>1219.4000000000001</v>
          </cell>
          <cell r="CL253">
            <v>2996.97</v>
          </cell>
          <cell r="CM253">
            <v>2357.52</v>
          </cell>
          <cell r="CN253">
            <v>1531.1999999999998</v>
          </cell>
          <cell r="CO253">
            <v>3076.0500000000006</v>
          </cell>
          <cell r="CP253">
            <v>2360.17</v>
          </cell>
          <cell r="CQ253">
            <v>1153.7</v>
          </cell>
          <cell r="CR253">
            <v>1484.3400000000001</v>
          </cell>
          <cell r="CS253">
            <v>1789.8600000000001</v>
          </cell>
          <cell r="CT253">
            <v>2544.8999999999996</v>
          </cell>
          <cell r="CU253">
            <v>2288.9300000000003</v>
          </cell>
          <cell r="CV253">
            <v>3083.04</v>
          </cell>
          <cell r="CW253">
            <v>2066.19</v>
          </cell>
          <cell r="CX253">
            <v>1460.6599999999999</v>
          </cell>
          <cell r="CY253">
            <v>2157.61</v>
          </cell>
          <cell r="CZ253">
            <v>1802.6799999999998</v>
          </cell>
          <cell r="DA253">
            <v>1975.9199999999998</v>
          </cell>
          <cell r="DB253">
            <v>3932.17</v>
          </cell>
          <cell r="DC253">
            <v>2044.3799999999997</v>
          </cell>
          <cell r="DD253">
            <v>2223.9899999999998</v>
          </cell>
          <cell r="DE253" t="str">
            <v>ACTIVO</v>
          </cell>
          <cell r="DF253" t="str">
            <v/>
          </cell>
          <cell r="DH253">
            <v>2121.6387999999997</v>
          </cell>
          <cell r="DI253">
            <v>353.60646666666662</v>
          </cell>
        </row>
        <row r="254">
          <cell r="B254">
            <v>107289</v>
          </cell>
          <cell r="C254" t="str">
            <v>HOJARASCA 16CM OBERENA</v>
          </cell>
          <cell r="AN254">
            <v>500</v>
          </cell>
          <cell r="DE254" t="str">
            <v>SIN USO</v>
          </cell>
          <cell r="DF254" t="str">
            <v>C</v>
          </cell>
          <cell r="DH254">
            <v>0</v>
          </cell>
          <cell r="DI254">
            <v>0</v>
          </cell>
        </row>
        <row r="255">
          <cell r="B255">
            <v>300004</v>
          </cell>
          <cell r="C255" t="str">
            <v>GRANA BLANCA</v>
          </cell>
          <cell r="BM255">
            <v>40</v>
          </cell>
          <cell r="DE255" t="str">
            <v>SIN USO</v>
          </cell>
          <cell r="DF255">
            <v>0</v>
          </cell>
          <cell r="DH255">
            <v>0</v>
          </cell>
          <cell r="DI255">
            <v>0</v>
          </cell>
        </row>
        <row r="256">
          <cell r="B256">
            <v>107210</v>
          </cell>
          <cell r="C256" t="str">
            <v>DISCO MERENGUE PAVESI</v>
          </cell>
          <cell r="BN256">
            <v>540</v>
          </cell>
          <cell r="BO256">
            <v>1044</v>
          </cell>
          <cell r="BQ256">
            <v>3930</v>
          </cell>
          <cell r="BR256">
            <v>72</v>
          </cell>
          <cell r="CL256">
            <v>2088</v>
          </cell>
          <cell r="CN256">
            <v>612</v>
          </cell>
          <cell r="CP256">
            <v>1584</v>
          </cell>
          <cell r="CQ256">
            <v>504</v>
          </cell>
          <cell r="CR256">
            <v>828</v>
          </cell>
          <cell r="CV256">
            <v>3744</v>
          </cell>
          <cell r="DA256">
            <v>540</v>
          </cell>
          <cell r="DE256" t="str">
            <v>ACTIVO</v>
          </cell>
          <cell r="DF256" t="str">
            <v>C</v>
          </cell>
          <cell r="DH256">
            <v>1414.2857142857142</v>
          </cell>
          <cell r="DI256">
            <v>235.71428571428569</v>
          </cell>
        </row>
        <row r="257">
          <cell r="B257">
            <v>405345</v>
          </cell>
          <cell r="C257" t="str">
            <v>DISCO PANQUEQUE CHOCOLATE 18 CM ENCOMIENDA TOTTUS</v>
          </cell>
          <cell r="BQ257">
            <v>576</v>
          </cell>
          <cell r="DE257" t="str">
            <v>ACTIVO</v>
          </cell>
          <cell r="DF257" t="str">
            <v>C</v>
          </cell>
          <cell r="DH257">
            <v>0</v>
          </cell>
          <cell r="DI257">
            <v>0</v>
          </cell>
        </row>
        <row r="258">
          <cell r="B258">
            <v>393253</v>
          </cell>
          <cell r="C258" t="str">
            <v>SUB DISCO HOJA 10 PP</v>
          </cell>
          <cell r="BX258">
            <v>6000</v>
          </cell>
          <cell r="BY258">
            <v>1710</v>
          </cell>
          <cell r="BZ258">
            <v>720</v>
          </cell>
          <cell r="CA258">
            <v>1170</v>
          </cell>
          <cell r="CB258">
            <v>5310</v>
          </cell>
          <cell r="CD258">
            <v>180</v>
          </cell>
          <cell r="CH258">
            <v>360</v>
          </cell>
          <cell r="CI258">
            <v>10350</v>
          </cell>
          <cell r="CJ258">
            <v>6030</v>
          </cell>
          <cell r="CK258">
            <v>1070</v>
          </cell>
          <cell r="CN258">
            <v>540</v>
          </cell>
          <cell r="CO258">
            <v>13680</v>
          </cell>
          <cell r="CR258">
            <v>1620</v>
          </cell>
          <cell r="CX258">
            <v>6120</v>
          </cell>
          <cell r="CY258">
            <v>630</v>
          </cell>
          <cell r="DA258">
            <v>11880</v>
          </cell>
          <cell r="DC258">
            <v>8370</v>
          </cell>
          <cell r="DD258">
            <v>5814</v>
          </cell>
          <cell r="DE258" t="str">
            <v>ACTIVO</v>
          </cell>
          <cell r="DF258" t="str">
            <v>C</v>
          </cell>
          <cell r="DH258">
            <v>5538.666666666667</v>
          </cell>
          <cell r="DI258">
            <v>923.1111111111112</v>
          </cell>
        </row>
        <row r="259">
          <cell r="B259">
            <v>405658</v>
          </cell>
          <cell r="C259" t="str">
            <v>SUB DISCO PANQUEQUE VAINILLA 16 CM</v>
          </cell>
          <cell r="CA259">
            <v>1800</v>
          </cell>
          <cell r="CC259">
            <v>900</v>
          </cell>
          <cell r="CH259">
            <v>720</v>
          </cell>
          <cell r="CJ259">
            <v>5400</v>
          </cell>
          <cell r="CK259">
            <v>18000</v>
          </cell>
          <cell r="CL259">
            <v>648</v>
          </cell>
          <cell r="CN259">
            <v>20520</v>
          </cell>
          <cell r="CP259">
            <v>572</v>
          </cell>
          <cell r="CQ259">
            <v>5088</v>
          </cell>
          <cell r="CS259">
            <v>11880</v>
          </cell>
          <cell r="CX259">
            <v>12360</v>
          </cell>
          <cell r="CY259">
            <v>2000</v>
          </cell>
          <cell r="CZ259">
            <v>12960</v>
          </cell>
          <cell r="DA259">
            <v>520</v>
          </cell>
          <cell r="DC259">
            <v>12240</v>
          </cell>
          <cell r="DD259">
            <v>10890</v>
          </cell>
          <cell r="DE259" t="str">
            <v>ACTIVO</v>
          </cell>
          <cell r="DF259" t="str">
            <v>C</v>
          </cell>
          <cell r="DH259">
            <v>8128.4285714285716</v>
          </cell>
          <cell r="DI259">
            <v>1354.7380952380952</v>
          </cell>
        </row>
        <row r="260">
          <cell r="B260">
            <v>362073</v>
          </cell>
          <cell r="C260" t="str">
            <v>DISCO DE HOJA 15 PP 1X30</v>
          </cell>
          <cell r="CB260">
            <v>675</v>
          </cell>
          <cell r="DE260" t="str">
            <v>ACTIVO</v>
          </cell>
          <cell r="DF260" t="str">
            <v>C</v>
          </cell>
          <cell r="DH260">
            <v>0</v>
          </cell>
          <cell r="DI260">
            <v>0</v>
          </cell>
        </row>
        <row r="261">
          <cell r="B261">
            <v>362105</v>
          </cell>
          <cell r="C261" t="str">
            <v>HOJARASCA 19 CMS. PAVESI</v>
          </cell>
          <cell r="CI261">
            <v>6240</v>
          </cell>
          <cell r="CJ261">
            <v>12420</v>
          </cell>
          <cell r="CK261">
            <v>12312</v>
          </cell>
          <cell r="CL261">
            <v>38776</v>
          </cell>
          <cell r="CM261">
            <v>52893</v>
          </cell>
          <cell r="CN261">
            <v>25272</v>
          </cell>
          <cell r="CO261">
            <v>35082</v>
          </cell>
          <cell r="CP261">
            <v>34344</v>
          </cell>
          <cell r="CQ261">
            <v>26784</v>
          </cell>
          <cell r="CR261">
            <v>70740</v>
          </cell>
          <cell r="CS261">
            <v>35208</v>
          </cell>
          <cell r="CT261">
            <v>69228</v>
          </cell>
          <cell r="CU261">
            <v>145476</v>
          </cell>
          <cell r="CV261">
            <v>149688</v>
          </cell>
          <cell r="CW261">
            <v>116964</v>
          </cell>
          <cell r="CX261">
            <v>35928</v>
          </cell>
          <cell r="CY261">
            <v>66636</v>
          </cell>
          <cell r="CZ261">
            <v>56736</v>
          </cell>
          <cell r="DA261">
            <v>75600</v>
          </cell>
          <cell r="DB261">
            <v>36504</v>
          </cell>
          <cell r="DC261">
            <v>52164</v>
          </cell>
          <cell r="DD261">
            <v>30996</v>
          </cell>
          <cell r="DE261" t="str">
            <v>ACTIVO</v>
          </cell>
          <cell r="DF261" t="str">
            <v/>
          </cell>
          <cell r="DH261">
            <v>53908.681818181816</v>
          </cell>
          <cell r="DI261">
            <v>8984.7803030303021</v>
          </cell>
        </row>
        <row r="262">
          <cell r="B262">
            <v>405645</v>
          </cell>
          <cell r="C262" t="str">
            <v>BIZCOCHO # 20 BLANCO C/AMAPOLAS PAVESI</v>
          </cell>
          <cell r="CS262">
            <v>8</v>
          </cell>
          <cell r="CT262">
            <v>8</v>
          </cell>
          <cell r="CV262">
            <v>87</v>
          </cell>
          <cell r="CX262">
            <v>21</v>
          </cell>
          <cell r="CY262">
            <v>19</v>
          </cell>
          <cell r="DE262" t="str">
            <v>ACTIVO</v>
          </cell>
          <cell r="DF262" t="str">
            <v/>
          </cell>
          <cell r="DH262">
            <v>28.6</v>
          </cell>
          <cell r="DI262">
            <v>4.7666666666666666</v>
          </cell>
        </row>
        <row r="263">
          <cell r="B263">
            <v>430440</v>
          </cell>
          <cell r="C263" t="str">
            <v>PLANCHA PANQUEQUE VAINILLA OBERENA</v>
          </cell>
          <cell r="CV263">
            <v>60</v>
          </cell>
          <cell r="DE263" t="str">
            <v>SIN USO</v>
          </cell>
          <cell r="DF263" t="str">
            <v/>
          </cell>
          <cell r="DH263">
            <v>60</v>
          </cell>
          <cell r="DI263">
            <v>10</v>
          </cell>
        </row>
        <row r="264">
          <cell r="B264">
            <v>353009</v>
          </cell>
          <cell r="C264" t="str">
            <v>DISCO PANQUEQUE VAINILLA 19 CM. SEMI ELABORADO UND</v>
          </cell>
          <cell r="D264">
            <v>23832</v>
          </cell>
          <cell r="E264">
            <v>5544</v>
          </cell>
          <cell r="F264">
            <v>16776</v>
          </cell>
          <cell r="G264">
            <v>14400</v>
          </cell>
          <cell r="H264">
            <v>11520</v>
          </cell>
          <cell r="I264">
            <v>4752</v>
          </cell>
          <cell r="J264">
            <v>14400</v>
          </cell>
          <cell r="K264">
            <v>4248</v>
          </cell>
          <cell r="L264">
            <v>15984</v>
          </cell>
          <cell r="M264">
            <v>16920</v>
          </cell>
          <cell r="N264">
            <v>20736</v>
          </cell>
          <cell r="O264">
            <v>6480</v>
          </cell>
          <cell r="P264">
            <v>6984</v>
          </cell>
          <cell r="Q264">
            <v>9864</v>
          </cell>
          <cell r="R264">
            <v>3456</v>
          </cell>
          <cell r="S264">
            <v>10584</v>
          </cell>
          <cell r="T264">
            <v>8784</v>
          </cell>
          <cell r="U264">
            <v>1768</v>
          </cell>
          <cell r="V264">
            <v>7272</v>
          </cell>
          <cell r="X264">
            <v>2880</v>
          </cell>
          <cell r="AC264">
            <v>8640</v>
          </cell>
          <cell r="AD264">
            <v>3238</v>
          </cell>
          <cell r="AE264">
            <v>9504</v>
          </cell>
          <cell r="AF264">
            <v>8422</v>
          </cell>
          <cell r="AG264">
            <v>2160</v>
          </cell>
          <cell r="AH264">
            <v>15768</v>
          </cell>
          <cell r="AI264">
            <v>25786</v>
          </cell>
          <cell r="AK264">
            <v>7704</v>
          </cell>
          <cell r="AL264">
            <v>13032</v>
          </cell>
          <cell r="AN264">
            <v>15264</v>
          </cell>
          <cell r="AO264">
            <v>21024</v>
          </cell>
          <cell r="AP264">
            <v>11520</v>
          </cell>
          <cell r="AQ264">
            <v>11664</v>
          </cell>
          <cell r="AR264">
            <v>4752</v>
          </cell>
          <cell r="AS264">
            <v>72</v>
          </cell>
          <cell r="AU264">
            <v>12474</v>
          </cell>
          <cell r="AV264">
            <v>12456</v>
          </cell>
          <cell r="AW264">
            <v>20808</v>
          </cell>
          <cell r="AX264">
            <v>11952</v>
          </cell>
          <cell r="AY264">
            <v>12097</v>
          </cell>
          <cell r="AZ264">
            <v>4320</v>
          </cell>
          <cell r="BB264">
            <v>8568</v>
          </cell>
          <cell r="BC264">
            <v>1440</v>
          </cell>
          <cell r="BD264">
            <v>11660</v>
          </cell>
          <cell r="BE264">
            <v>15264</v>
          </cell>
          <cell r="BF264">
            <v>5328</v>
          </cell>
          <cell r="BG264">
            <v>2304</v>
          </cell>
          <cell r="BI264">
            <v>6264</v>
          </cell>
          <cell r="BJ264">
            <v>792</v>
          </cell>
          <cell r="BK264">
            <v>8208</v>
          </cell>
          <cell r="BL264">
            <v>1008</v>
          </cell>
          <cell r="BM264">
            <v>4824</v>
          </cell>
          <cell r="BN264">
            <v>9720</v>
          </cell>
          <cell r="BO264">
            <v>4752</v>
          </cell>
          <cell r="BP264">
            <v>4752</v>
          </cell>
          <cell r="BQ264">
            <v>8856</v>
          </cell>
          <cell r="BR264">
            <v>11808</v>
          </cell>
          <cell r="BS264">
            <v>10008</v>
          </cell>
          <cell r="BT264">
            <v>6768</v>
          </cell>
          <cell r="BU264">
            <v>14832</v>
          </cell>
          <cell r="BV264">
            <v>2160</v>
          </cell>
          <cell r="BW264">
            <v>1440</v>
          </cell>
          <cell r="BX264">
            <v>3672</v>
          </cell>
          <cell r="BZ264">
            <v>13230</v>
          </cell>
          <cell r="CA264">
            <v>30744</v>
          </cell>
          <cell r="CB264">
            <v>13536</v>
          </cell>
          <cell r="CC264">
            <v>720</v>
          </cell>
          <cell r="CE264">
            <v>4200</v>
          </cell>
          <cell r="CG264">
            <v>18312</v>
          </cell>
          <cell r="CI264">
            <v>24984</v>
          </cell>
          <cell r="CN264">
            <v>3888</v>
          </cell>
          <cell r="CP264">
            <v>8136</v>
          </cell>
          <cell r="CR264">
            <v>1292</v>
          </cell>
          <cell r="CS264">
            <v>4320</v>
          </cell>
          <cell r="CT264">
            <v>12528</v>
          </cell>
          <cell r="CU264">
            <v>23616</v>
          </cell>
          <cell r="CV264">
            <v>23112</v>
          </cell>
          <cell r="CW264">
            <v>4752</v>
          </cell>
          <cell r="CX264">
            <v>11904</v>
          </cell>
          <cell r="CY264">
            <v>19152</v>
          </cell>
          <cell r="CZ264">
            <v>14280</v>
          </cell>
          <cell r="DA264">
            <v>16800</v>
          </cell>
          <cell r="DB264">
            <v>7848</v>
          </cell>
          <cell r="DD264">
            <v>23904</v>
          </cell>
          <cell r="DE264" t="str">
            <v>INSUMO</v>
          </cell>
          <cell r="DF264" t="str">
            <v>A</v>
          </cell>
          <cell r="DH264">
            <v>13676.75</v>
          </cell>
          <cell r="DI264">
            <v>2279.4583333333335</v>
          </cell>
        </row>
        <row r="265">
          <cell r="B265">
            <v>362029</v>
          </cell>
          <cell r="C265" t="str">
            <v>PLANCHA DE HOJA  42X36X1 cm (1x12)</v>
          </cell>
          <cell r="D265">
            <v>524</v>
          </cell>
          <cell r="E265">
            <v>376</v>
          </cell>
          <cell r="F265">
            <v>724</v>
          </cell>
          <cell r="G265">
            <v>752</v>
          </cell>
          <cell r="H265">
            <v>684</v>
          </cell>
          <cell r="I265">
            <v>412</v>
          </cell>
          <cell r="J265">
            <v>972</v>
          </cell>
          <cell r="K265">
            <v>972</v>
          </cell>
          <cell r="L265">
            <v>1156</v>
          </cell>
          <cell r="M265">
            <v>1076</v>
          </cell>
          <cell r="N265">
            <v>695</v>
          </cell>
          <cell r="O265">
            <v>176</v>
          </cell>
          <cell r="P265">
            <v>1213</v>
          </cell>
          <cell r="Q265">
            <v>905</v>
          </cell>
          <cell r="R265">
            <v>662</v>
          </cell>
          <cell r="S265">
            <v>1102</v>
          </cell>
          <cell r="T265">
            <v>112</v>
          </cell>
          <cell r="U265">
            <v>880</v>
          </cell>
          <cell r="V265">
            <v>932</v>
          </cell>
          <cell r="W265">
            <v>1160</v>
          </cell>
          <cell r="X265">
            <v>460</v>
          </cell>
          <cell r="Y265">
            <v>192</v>
          </cell>
          <cell r="Z265">
            <v>1236</v>
          </cell>
          <cell r="AA265">
            <v>372</v>
          </cell>
          <cell r="AB265">
            <v>292</v>
          </cell>
          <cell r="AH265">
            <v>44</v>
          </cell>
          <cell r="AI265">
            <v>508</v>
          </cell>
          <cell r="AJ265">
            <v>928</v>
          </cell>
          <cell r="AK265">
            <v>468</v>
          </cell>
          <cell r="AL265">
            <v>544</v>
          </cell>
          <cell r="AM265">
            <v>420</v>
          </cell>
          <cell r="AR265">
            <v>1344</v>
          </cell>
          <cell r="AT265">
            <v>1008</v>
          </cell>
          <cell r="AU265">
            <v>260</v>
          </cell>
          <cell r="AV265">
            <v>684</v>
          </cell>
          <cell r="AW265">
            <v>1152</v>
          </cell>
          <cell r="AX265">
            <v>528</v>
          </cell>
          <cell r="AY265">
            <v>1064</v>
          </cell>
          <cell r="AZ265">
            <v>1492</v>
          </cell>
          <cell r="BA265">
            <v>412</v>
          </cell>
          <cell r="BB265">
            <v>1288</v>
          </cell>
          <cell r="BC265">
            <v>12</v>
          </cell>
          <cell r="BD265">
            <v>804</v>
          </cell>
          <cell r="BE265">
            <v>820</v>
          </cell>
          <cell r="BF265">
            <v>956</v>
          </cell>
          <cell r="BG265">
            <v>1352</v>
          </cell>
          <cell r="BH265">
            <v>1212</v>
          </cell>
          <cell r="BI265">
            <v>476</v>
          </cell>
          <cell r="BJ265">
            <v>452</v>
          </cell>
          <cell r="BK265">
            <v>1100</v>
          </cell>
          <cell r="BL265">
            <v>1564</v>
          </cell>
          <cell r="BM265">
            <v>236</v>
          </cell>
          <cell r="BN265">
            <v>1064</v>
          </cell>
          <cell r="BO265">
            <v>1084</v>
          </cell>
          <cell r="BP265">
            <v>636</v>
          </cell>
          <cell r="BQ265">
            <v>104</v>
          </cell>
          <cell r="BR265">
            <v>708</v>
          </cell>
          <cell r="BS265">
            <v>592</v>
          </cell>
          <cell r="BT265">
            <v>624</v>
          </cell>
          <cell r="BU265">
            <v>1164</v>
          </cell>
          <cell r="BV265">
            <v>1068</v>
          </cell>
          <cell r="BW265">
            <v>1024</v>
          </cell>
          <cell r="BX265">
            <v>812</v>
          </cell>
          <cell r="BY265">
            <v>1092</v>
          </cell>
          <cell r="BZ265">
            <v>1392</v>
          </cell>
          <cell r="CA265">
            <v>752</v>
          </cell>
          <cell r="CB265">
            <v>760</v>
          </cell>
          <cell r="CC265">
            <v>276</v>
          </cell>
          <cell r="CE265">
            <v>268</v>
          </cell>
          <cell r="CF265">
            <v>64</v>
          </cell>
          <cell r="CG265">
            <v>760</v>
          </cell>
          <cell r="CH265">
            <v>816</v>
          </cell>
          <cell r="CI265">
            <v>800</v>
          </cell>
          <cell r="CJ265">
            <v>932</v>
          </cell>
          <cell r="CK265">
            <v>868</v>
          </cell>
          <cell r="CL265">
            <v>840</v>
          </cell>
          <cell r="CM265">
            <v>924</v>
          </cell>
          <cell r="CN265">
            <v>1012</v>
          </cell>
          <cell r="CO265">
            <v>944</v>
          </cell>
          <cell r="CP265">
            <v>1344</v>
          </cell>
          <cell r="CQ265">
            <v>984</v>
          </cell>
          <cell r="CR265">
            <v>536</v>
          </cell>
          <cell r="CT265">
            <v>1008</v>
          </cell>
          <cell r="CU265">
            <v>1024</v>
          </cell>
          <cell r="CV265">
            <v>1000</v>
          </cell>
          <cell r="CW265">
            <v>824</v>
          </cell>
          <cell r="CX265">
            <v>1128</v>
          </cell>
          <cell r="CY265">
            <v>1480</v>
          </cell>
          <cell r="CZ265">
            <v>1020</v>
          </cell>
          <cell r="DA265">
            <v>1244</v>
          </cell>
          <cell r="DB265">
            <v>1008</v>
          </cell>
          <cell r="DC265">
            <v>772</v>
          </cell>
          <cell r="DD265">
            <v>1040</v>
          </cell>
          <cell r="DE265" t="str">
            <v>INSUMO</v>
          </cell>
          <cell r="DF265" t="str">
            <v>B</v>
          </cell>
          <cell r="DH265">
            <v>932.16666666666663</v>
          </cell>
          <cell r="DI265">
            <v>155.36111111111111</v>
          </cell>
        </row>
        <row r="266">
          <cell r="B266">
            <v>362106</v>
          </cell>
          <cell r="C266" t="str">
            <v>HOJARASCA OBERENA</v>
          </cell>
          <cell r="D266">
            <v>15624</v>
          </cell>
          <cell r="E266">
            <v>10944</v>
          </cell>
          <cell r="F266">
            <v>9000</v>
          </cell>
          <cell r="G266">
            <v>24624</v>
          </cell>
          <cell r="H266">
            <v>14688</v>
          </cell>
          <cell r="I266">
            <v>13968</v>
          </cell>
          <cell r="J266">
            <v>21240</v>
          </cell>
          <cell r="K266">
            <v>16056</v>
          </cell>
          <cell r="L266">
            <v>19296</v>
          </cell>
          <cell r="M266">
            <v>15048</v>
          </cell>
          <cell r="N266">
            <v>18432</v>
          </cell>
          <cell r="O266">
            <v>18144</v>
          </cell>
          <cell r="P266">
            <v>10728</v>
          </cell>
          <cell r="Q266">
            <v>20880</v>
          </cell>
          <cell r="R266">
            <v>20088</v>
          </cell>
          <cell r="S266">
            <v>15408</v>
          </cell>
          <cell r="T266">
            <v>15768</v>
          </cell>
          <cell r="U266">
            <v>16200</v>
          </cell>
          <cell r="V266">
            <v>16344</v>
          </cell>
          <cell r="W266">
            <v>15408</v>
          </cell>
          <cell r="X266">
            <v>15264</v>
          </cell>
          <cell r="Y266">
            <v>20808</v>
          </cell>
          <cell r="Z266">
            <v>16632</v>
          </cell>
          <cell r="AA266">
            <v>14256</v>
          </cell>
          <cell r="AB266">
            <v>29017.871999999999</v>
          </cell>
          <cell r="AC266">
            <v>10080</v>
          </cell>
          <cell r="AE266">
            <v>21312</v>
          </cell>
          <cell r="AF266">
            <v>12456</v>
          </cell>
          <cell r="AG266">
            <v>18612</v>
          </cell>
          <cell r="AH266">
            <v>18432</v>
          </cell>
          <cell r="AI266">
            <v>16776</v>
          </cell>
          <cell r="AJ266">
            <v>24954</v>
          </cell>
          <cell r="AK266">
            <v>16488</v>
          </cell>
          <cell r="AL266">
            <v>15480</v>
          </cell>
          <cell r="AM266">
            <v>23976</v>
          </cell>
          <cell r="AN266">
            <v>24264</v>
          </cell>
          <cell r="AO266">
            <v>23400</v>
          </cell>
          <cell r="AP266">
            <v>28872</v>
          </cell>
          <cell r="AQ266">
            <v>24768</v>
          </cell>
          <cell r="AR266">
            <v>25353</v>
          </cell>
          <cell r="AS266">
            <v>35712</v>
          </cell>
          <cell r="AT266">
            <v>27648</v>
          </cell>
          <cell r="AU266">
            <v>24336</v>
          </cell>
          <cell r="AV266">
            <v>33336</v>
          </cell>
          <cell r="AW266">
            <v>25476</v>
          </cell>
          <cell r="AX266">
            <v>22392</v>
          </cell>
          <cell r="AY266">
            <v>17640</v>
          </cell>
          <cell r="AZ266">
            <v>16704</v>
          </cell>
          <cell r="BA266">
            <v>43056</v>
          </cell>
          <cell r="BB266">
            <v>432</v>
          </cell>
          <cell r="BC266">
            <v>30024</v>
          </cell>
          <cell r="BD266">
            <v>28152</v>
          </cell>
          <cell r="BE266">
            <v>22536</v>
          </cell>
          <cell r="BF266">
            <v>23184</v>
          </cell>
          <cell r="BG266">
            <v>25786</v>
          </cell>
          <cell r="BH266">
            <v>24120</v>
          </cell>
          <cell r="BI266">
            <v>29808</v>
          </cell>
          <cell r="BJ266">
            <v>12960</v>
          </cell>
          <cell r="BK266">
            <v>19584</v>
          </cell>
          <cell r="BL266">
            <v>27792</v>
          </cell>
          <cell r="BM266">
            <v>13608</v>
          </cell>
          <cell r="BN266">
            <v>31104</v>
          </cell>
          <cell r="BO266">
            <v>26568</v>
          </cell>
          <cell r="BP266">
            <v>6264</v>
          </cell>
          <cell r="BQ266">
            <v>38844</v>
          </cell>
          <cell r="BR266">
            <v>22680</v>
          </cell>
          <cell r="BS266">
            <v>26280</v>
          </cell>
          <cell r="BT266">
            <v>14616</v>
          </cell>
          <cell r="BU266">
            <v>23184</v>
          </cell>
          <cell r="BV266">
            <v>26424</v>
          </cell>
          <cell r="BW266">
            <v>20664</v>
          </cell>
          <cell r="BX266">
            <v>22320</v>
          </cell>
          <cell r="BY266">
            <v>33984</v>
          </cell>
          <cell r="BZ266">
            <v>32400</v>
          </cell>
          <cell r="CA266">
            <v>17136</v>
          </cell>
          <cell r="CB266">
            <v>22032</v>
          </cell>
          <cell r="CC266">
            <v>26352</v>
          </cell>
          <cell r="CD266">
            <v>21960</v>
          </cell>
          <cell r="CE266">
            <v>12600</v>
          </cell>
          <cell r="CG266">
            <v>28728</v>
          </cell>
          <cell r="CH266">
            <v>31608</v>
          </cell>
          <cell r="CI266">
            <v>33930</v>
          </cell>
          <cell r="CJ266">
            <v>41832</v>
          </cell>
          <cell r="CK266">
            <v>29691</v>
          </cell>
          <cell r="CL266">
            <v>1386</v>
          </cell>
          <cell r="DE266" t="str">
            <v>SIN USO</v>
          </cell>
          <cell r="DF266" t="str">
            <v>A</v>
          </cell>
          <cell r="DH266">
            <v>27862.5</v>
          </cell>
          <cell r="DI266">
            <v>4643.75</v>
          </cell>
        </row>
        <row r="267">
          <cell r="B267">
            <v>393040</v>
          </cell>
          <cell r="C267" t="str">
            <v>SUB DISCO HOJA 15 PP</v>
          </cell>
          <cell r="D267">
            <v>11925</v>
          </cell>
          <cell r="E267">
            <v>8955</v>
          </cell>
          <cell r="F267">
            <v>20610</v>
          </cell>
          <cell r="G267">
            <v>20430</v>
          </cell>
          <cell r="H267">
            <v>29790</v>
          </cell>
          <cell r="I267">
            <v>33255</v>
          </cell>
          <cell r="J267">
            <v>22095</v>
          </cell>
          <cell r="K267">
            <v>21870</v>
          </cell>
          <cell r="L267">
            <v>17325</v>
          </cell>
          <cell r="M267">
            <v>10890</v>
          </cell>
          <cell r="N267">
            <v>20910</v>
          </cell>
          <cell r="O267">
            <v>1936.35</v>
          </cell>
          <cell r="P267">
            <v>24435</v>
          </cell>
          <cell r="Q267">
            <v>9240</v>
          </cell>
          <cell r="R267">
            <v>15975</v>
          </cell>
          <cell r="S267">
            <v>7965</v>
          </cell>
          <cell r="T267">
            <v>9510</v>
          </cell>
          <cell r="U267">
            <v>20385</v>
          </cell>
          <cell r="V267">
            <v>10845</v>
          </cell>
          <cell r="W267">
            <v>27495</v>
          </cell>
          <cell r="X267">
            <v>4050</v>
          </cell>
          <cell r="Y267">
            <v>22410</v>
          </cell>
          <cell r="Z267">
            <v>11700</v>
          </cell>
          <cell r="AA267">
            <v>4050</v>
          </cell>
          <cell r="AB267">
            <v>5985</v>
          </cell>
          <cell r="AC267">
            <v>14979</v>
          </cell>
          <cell r="AF267">
            <v>6525</v>
          </cell>
          <cell r="AG267">
            <v>4950</v>
          </cell>
          <cell r="AH267">
            <v>14850</v>
          </cell>
          <cell r="AI267">
            <v>9775</v>
          </cell>
          <cell r="AJ267">
            <v>405</v>
          </cell>
          <cell r="AK267">
            <v>4500</v>
          </cell>
          <cell r="AL267">
            <v>9270</v>
          </cell>
          <cell r="AM267">
            <v>8550</v>
          </cell>
          <cell r="AN267">
            <v>10575</v>
          </cell>
          <cell r="AO267">
            <v>11745</v>
          </cell>
          <cell r="AP267">
            <v>3015</v>
          </cell>
          <cell r="AQ267">
            <v>13860</v>
          </cell>
          <cell r="AR267">
            <v>15345</v>
          </cell>
          <cell r="AS267">
            <v>6930</v>
          </cell>
          <cell r="AT267">
            <v>11925</v>
          </cell>
          <cell r="AU267">
            <v>20880</v>
          </cell>
          <cell r="AV267">
            <v>19215</v>
          </cell>
          <cell r="AW267">
            <v>31905</v>
          </cell>
          <cell r="AX267">
            <v>7020</v>
          </cell>
          <cell r="AZ267">
            <v>14760</v>
          </cell>
          <cell r="BA267">
            <v>10665</v>
          </cell>
          <cell r="BB267">
            <v>5580</v>
          </cell>
          <cell r="BC267">
            <v>24930</v>
          </cell>
          <cell r="BD267">
            <v>28935</v>
          </cell>
          <cell r="BE267">
            <v>30885</v>
          </cell>
          <cell r="BF267">
            <v>3915</v>
          </cell>
          <cell r="BG267">
            <v>555</v>
          </cell>
          <cell r="BH267">
            <v>1620</v>
          </cell>
          <cell r="BI267">
            <v>7605</v>
          </cell>
          <cell r="BJ267">
            <v>990</v>
          </cell>
          <cell r="BK267">
            <v>8820</v>
          </cell>
          <cell r="BL267">
            <v>2070</v>
          </cell>
          <cell r="BM267">
            <v>2520</v>
          </cell>
          <cell r="BN267">
            <v>21051</v>
          </cell>
          <cell r="BO267">
            <v>14490</v>
          </cell>
          <cell r="BP267">
            <v>405</v>
          </cell>
          <cell r="BQ267">
            <v>7479</v>
          </cell>
          <cell r="BR267">
            <v>1845</v>
          </cell>
          <cell r="BS267">
            <v>15880</v>
          </cell>
          <cell r="BT267">
            <v>3285</v>
          </cell>
          <cell r="BU267">
            <v>12195</v>
          </cell>
          <cell r="BV267">
            <v>495</v>
          </cell>
          <cell r="BW267">
            <v>7200</v>
          </cell>
          <cell r="BX267">
            <v>13410</v>
          </cell>
          <cell r="BY267">
            <v>1845</v>
          </cell>
          <cell r="BZ267">
            <v>450</v>
          </cell>
          <cell r="CA267">
            <v>13635</v>
          </cell>
          <cell r="CB267">
            <v>6390</v>
          </cell>
          <cell r="CC267">
            <v>9675</v>
          </cell>
          <cell r="CD267">
            <v>675</v>
          </cell>
          <cell r="CG267">
            <v>455</v>
          </cell>
          <cell r="CH267">
            <v>11605</v>
          </cell>
          <cell r="CI267">
            <v>4585</v>
          </cell>
          <cell r="CJ267">
            <v>8775</v>
          </cell>
          <cell r="CK267">
            <v>3195</v>
          </cell>
          <cell r="CL267">
            <v>450</v>
          </cell>
          <cell r="CN267">
            <v>495</v>
          </cell>
          <cell r="CP267">
            <v>17550</v>
          </cell>
          <cell r="CQ267">
            <v>12600</v>
          </cell>
          <cell r="CR267">
            <v>7155</v>
          </cell>
          <cell r="CS267">
            <v>9900</v>
          </cell>
          <cell r="CT267">
            <v>9000</v>
          </cell>
          <cell r="CY267">
            <v>10485</v>
          </cell>
          <cell r="CZ267">
            <v>6228</v>
          </cell>
          <cell r="DD267">
            <v>3600</v>
          </cell>
          <cell r="DE267" t="str">
            <v>INSUMO</v>
          </cell>
          <cell r="DF267" t="str">
            <v>A</v>
          </cell>
          <cell r="DH267">
            <v>7071.8666666666668</v>
          </cell>
          <cell r="DI267">
            <v>1178.6444444444444</v>
          </cell>
        </row>
        <row r="268">
          <cell r="B268">
            <v>393222</v>
          </cell>
          <cell r="C268" t="str">
            <v>PLANCHA PANQUEQUE VAINILLA TERCEROS PAVESI</v>
          </cell>
          <cell r="D268">
            <v>930</v>
          </cell>
          <cell r="E268">
            <v>1000</v>
          </cell>
          <cell r="F268">
            <v>1040</v>
          </cell>
          <cell r="G268">
            <v>870</v>
          </cell>
          <cell r="H268">
            <v>850</v>
          </cell>
          <cell r="I268">
            <v>280</v>
          </cell>
          <cell r="J268">
            <v>810</v>
          </cell>
          <cell r="K268">
            <v>780</v>
          </cell>
          <cell r="L268">
            <v>1150</v>
          </cell>
          <cell r="M268">
            <v>830</v>
          </cell>
          <cell r="N268">
            <v>780</v>
          </cell>
          <cell r="P268">
            <v>810</v>
          </cell>
          <cell r="Q268">
            <v>1280</v>
          </cell>
          <cell r="R268">
            <v>710</v>
          </cell>
          <cell r="S268">
            <v>780</v>
          </cell>
          <cell r="T268">
            <v>630</v>
          </cell>
          <cell r="U268">
            <v>870</v>
          </cell>
          <cell r="V268">
            <v>990</v>
          </cell>
          <cell r="W268">
            <v>650</v>
          </cell>
          <cell r="X268">
            <v>450</v>
          </cell>
          <cell r="Z268">
            <v>740</v>
          </cell>
          <cell r="AA268">
            <v>720</v>
          </cell>
          <cell r="AB268">
            <v>770</v>
          </cell>
          <cell r="AC268">
            <v>650</v>
          </cell>
          <cell r="AD268">
            <v>300</v>
          </cell>
          <cell r="AE268">
            <v>350</v>
          </cell>
          <cell r="AF268">
            <v>750</v>
          </cell>
          <cell r="AG268">
            <v>630</v>
          </cell>
          <cell r="AH268">
            <v>700</v>
          </cell>
          <cell r="AI268">
            <v>1050</v>
          </cell>
          <cell r="AJ268">
            <v>670</v>
          </cell>
          <cell r="AK268">
            <v>850</v>
          </cell>
          <cell r="AL268">
            <v>960</v>
          </cell>
          <cell r="AM268">
            <v>800</v>
          </cell>
          <cell r="AN268">
            <v>915</v>
          </cell>
          <cell r="AO268">
            <v>950</v>
          </cell>
          <cell r="AP268">
            <v>750</v>
          </cell>
          <cell r="AQ268">
            <v>860</v>
          </cell>
          <cell r="AR268">
            <v>1030</v>
          </cell>
          <cell r="AS268">
            <v>1040</v>
          </cell>
          <cell r="AT268">
            <v>930</v>
          </cell>
          <cell r="AU268">
            <v>1200</v>
          </cell>
          <cell r="AV268">
            <v>940</v>
          </cell>
          <cell r="AW268">
            <v>940</v>
          </cell>
          <cell r="AX268">
            <v>880</v>
          </cell>
          <cell r="AY268">
            <v>870</v>
          </cell>
          <cell r="AZ268">
            <v>1070</v>
          </cell>
          <cell r="BA268">
            <v>970</v>
          </cell>
          <cell r="BB268">
            <v>880</v>
          </cell>
          <cell r="BC268">
            <v>990</v>
          </cell>
          <cell r="BD268">
            <v>930</v>
          </cell>
          <cell r="BE268">
            <v>830</v>
          </cell>
          <cell r="BF268">
            <v>700</v>
          </cell>
          <cell r="BG268">
            <v>1025</v>
          </cell>
          <cell r="BH268">
            <v>1060</v>
          </cell>
          <cell r="BI268">
            <v>790</v>
          </cell>
          <cell r="BJ268">
            <v>710</v>
          </cell>
          <cell r="BK268">
            <v>820</v>
          </cell>
          <cell r="BL268">
            <v>850</v>
          </cell>
          <cell r="BM268">
            <v>800</v>
          </cell>
          <cell r="BN268">
            <v>850</v>
          </cell>
          <cell r="BO268">
            <v>820</v>
          </cell>
          <cell r="BP268">
            <v>70</v>
          </cell>
          <cell r="BQ268">
            <v>970</v>
          </cell>
          <cell r="BR268">
            <v>750</v>
          </cell>
          <cell r="BS268">
            <v>970</v>
          </cell>
          <cell r="BT268">
            <v>730</v>
          </cell>
          <cell r="BU268">
            <v>900</v>
          </cell>
          <cell r="BV268">
            <v>790</v>
          </cell>
          <cell r="BW268">
            <v>860</v>
          </cell>
          <cell r="BX268">
            <v>600</v>
          </cell>
          <cell r="BY268">
            <v>880</v>
          </cell>
          <cell r="BZ268">
            <v>860</v>
          </cell>
          <cell r="CA268">
            <v>880</v>
          </cell>
          <cell r="CB268">
            <v>640</v>
          </cell>
          <cell r="CC268">
            <v>890</v>
          </cell>
          <cell r="CD268">
            <v>560</v>
          </cell>
          <cell r="CE268">
            <v>320</v>
          </cell>
          <cell r="CF268">
            <v>230</v>
          </cell>
          <cell r="CG268">
            <v>700</v>
          </cell>
          <cell r="CH268">
            <v>690</v>
          </cell>
          <cell r="CI268">
            <v>670</v>
          </cell>
          <cell r="CJ268">
            <v>600</v>
          </cell>
          <cell r="CK268">
            <v>670</v>
          </cell>
          <cell r="CL268">
            <v>530</v>
          </cell>
          <cell r="CM268">
            <v>540</v>
          </cell>
          <cell r="CN268">
            <v>600</v>
          </cell>
          <cell r="CO268">
            <v>660</v>
          </cell>
          <cell r="CP268">
            <v>710</v>
          </cell>
          <cell r="CQ268">
            <v>780</v>
          </cell>
          <cell r="CR268">
            <v>870</v>
          </cell>
          <cell r="CS268">
            <v>830</v>
          </cell>
          <cell r="CT268">
            <v>670</v>
          </cell>
          <cell r="CU268">
            <v>1150</v>
          </cell>
          <cell r="CV268">
            <v>930</v>
          </cell>
          <cell r="CW268">
            <v>1010</v>
          </cell>
          <cell r="CX268">
            <v>840</v>
          </cell>
          <cell r="CY268">
            <v>1030</v>
          </cell>
          <cell r="CZ268">
            <v>790</v>
          </cell>
          <cell r="DA268">
            <v>930</v>
          </cell>
          <cell r="DB268">
            <v>1000</v>
          </cell>
          <cell r="DC268">
            <v>860</v>
          </cell>
          <cell r="DD268">
            <v>940</v>
          </cell>
          <cell r="DE268" t="str">
            <v>ACTIVO</v>
          </cell>
          <cell r="DF268" t="str">
            <v>A</v>
          </cell>
          <cell r="DH268">
            <v>769.2</v>
          </cell>
          <cell r="DI268">
            <v>128.20000000000002</v>
          </cell>
        </row>
        <row r="269">
          <cell r="B269">
            <v>107112</v>
          </cell>
          <cell r="C269" t="str">
            <v>MERENGUE PURATOS</v>
          </cell>
          <cell r="D269">
            <v>100</v>
          </cell>
          <cell r="E269">
            <v>359</v>
          </cell>
          <cell r="F269">
            <v>85</v>
          </cell>
          <cell r="G269">
            <v>90</v>
          </cell>
          <cell r="H269">
            <v>80</v>
          </cell>
          <cell r="I269">
            <v>30</v>
          </cell>
          <cell r="J269">
            <v>65</v>
          </cell>
          <cell r="K269">
            <v>65</v>
          </cell>
          <cell r="L269">
            <v>75</v>
          </cell>
          <cell r="M269">
            <v>80</v>
          </cell>
          <cell r="N269">
            <v>55</v>
          </cell>
          <cell r="P269">
            <v>50</v>
          </cell>
          <cell r="Q269">
            <v>75</v>
          </cell>
          <cell r="R269">
            <v>65</v>
          </cell>
          <cell r="S269">
            <v>55</v>
          </cell>
          <cell r="T269">
            <v>45</v>
          </cell>
          <cell r="U269">
            <v>60</v>
          </cell>
          <cell r="V269">
            <v>60</v>
          </cell>
          <cell r="W269">
            <v>110</v>
          </cell>
          <cell r="X269">
            <v>30</v>
          </cell>
          <cell r="Z269">
            <v>45</v>
          </cell>
          <cell r="AA269">
            <v>65</v>
          </cell>
          <cell r="AB269">
            <v>60</v>
          </cell>
          <cell r="AC269">
            <v>45</v>
          </cell>
          <cell r="AD269">
            <v>15</v>
          </cell>
          <cell r="AE269">
            <v>15</v>
          </cell>
          <cell r="AF269">
            <v>60</v>
          </cell>
          <cell r="AG269">
            <v>55</v>
          </cell>
          <cell r="AH269">
            <v>45</v>
          </cell>
          <cell r="AI269">
            <v>65</v>
          </cell>
          <cell r="AJ269">
            <v>60</v>
          </cell>
          <cell r="AK269">
            <v>55</v>
          </cell>
          <cell r="AL269">
            <v>60</v>
          </cell>
          <cell r="AM269">
            <v>60</v>
          </cell>
          <cell r="AN269">
            <v>60</v>
          </cell>
          <cell r="AO269">
            <v>75</v>
          </cell>
          <cell r="AP269">
            <v>50</v>
          </cell>
          <cell r="AQ269">
            <v>55</v>
          </cell>
          <cell r="AR269">
            <v>50</v>
          </cell>
          <cell r="AS269">
            <v>60</v>
          </cell>
          <cell r="AT269">
            <v>55</v>
          </cell>
          <cell r="AU269">
            <v>50</v>
          </cell>
          <cell r="AV269">
            <v>55</v>
          </cell>
          <cell r="AW269">
            <v>55</v>
          </cell>
          <cell r="AX269">
            <v>45</v>
          </cell>
          <cell r="AY269">
            <v>150</v>
          </cell>
          <cell r="AZ269">
            <v>60</v>
          </cell>
          <cell r="BA269">
            <v>55</v>
          </cell>
          <cell r="BB269">
            <v>60</v>
          </cell>
          <cell r="BC269">
            <v>60</v>
          </cell>
          <cell r="BD269">
            <v>120</v>
          </cell>
          <cell r="BE269">
            <v>55</v>
          </cell>
          <cell r="BF269">
            <v>50</v>
          </cell>
          <cell r="BG269">
            <v>220</v>
          </cell>
          <cell r="BH269">
            <v>75</v>
          </cell>
          <cell r="BI269">
            <v>65</v>
          </cell>
          <cell r="BJ269">
            <v>70</v>
          </cell>
          <cell r="BK269">
            <v>65</v>
          </cell>
          <cell r="BL269">
            <v>60</v>
          </cell>
          <cell r="BM269">
            <v>45</v>
          </cell>
          <cell r="BN269">
            <v>50</v>
          </cell>
          <cell r="BO269">
            <v>50</v>
          </cell>
          <cell r="BP269">
            <v>5</v>
          </cell>
          <cell r="BQ269">
            <v>75</v>
          </cell>
          <cell r="BR269">
            <v>55</v>
          </cell>
          <cell r="BS269">
            <v>80</v>
          </cell>
          <cell r="BT269">
            <v>255</v>
          </cell>
          <cell r="BU269">
            <v>55</v>
          </cell>
          <cell r="BV269">
            <v>60</v>
          </cell>
          <cell r="BW269">
            <v>80</v>
          </cell>
          <cell r="BX269">
            <v>60</v>
          </cell>
          <cell r="BY269">
            <v>55</v>
          </cell>
          <cell r="BZ269">
            <v>80</v>
          </cell>
          <cell r="CA269">
            <v>60</v>
          </cell>
          <cell r="CB269">
            <v>50</v>
          </cell>
          <cell r="CC269">
            <v>65</v>
          </cell>
          <cell r="CD269">
            <v>35</v>
          </cell>
          <cell r="CE269">
            <v>25</v>
          </cell>
          <cell r="CF269">
            <v>15</v>
          </cell>
          <cell r="CG269">
            <v>55</v>
          </cell>
          <cell r="CH269">
            <v>75</v>
          </cell>
          <cell r="CI269">
            <v>55</v>
          </cell>
          <cell r="CJ269">
            <v>75</v>
          </cell>
          <cell r="CK269">
            <v>70</v>
          </cell>
          <cell r="CL269">
            <v>80</v>
          </cell>
          <cell r="CM269">
            <v>45</v>
          </cell>
          <cell r="CN269">
            <v>80</v>
          </cell>
          <cell r="CO269">
            <v>55</v>
          </cell>
          <cell r="CP269">
            <v>55</v>
          </cell>
          <cell r="CQ269">
            <v>70</v>
          </cell>
          <cell r="CR269">
            <v>105</v>
          </cell>
          <cell r="CS269">
            <v>45</v>
          </cell>
          <cell r="CT269">
            <v>60</v>
          </cell>
          <cell r="CU269">
            <v>60</v>
          </cell>
          <cell r="CV269">
            <v>55</v>
          </cell>
          <cell r="CW269">
            <v>55</v>
          </cell>
          <cell r="CX269">
            <v>70</v>
          </cell>
          <cell r="CY269">
            <v>110</v>
          </cell>
          <cell r="CZ269">
            <v>65</v>
          </cell>
          <cell r="DA269">
            <v>445</v>
          </cell>
          <cell r="DB269">
            <v>55</v>
          </cell>
          <cell r="DC269">
            <v>480</v>
          </cell>
          <cell r="DD269">
            <v>245</v>
          </cell>
          <cell r="DE269" t="str">
            <v>ACTIVO</v>
          </cell>
          <cell r="DF269" t="str">
            <v>C</v>
          </cell>
          <cell r="DH269">
            <v>103.2</v>
          </cell>
          <cell r="DI269">
            <v>17.2</v>
          </cell>
        </row>
        <row r="270">
          <cell r="B270">
            <v>107321</v>
          </cell>
          <cell r="C270" t="str">
            <v>MERENGUE CONGELABLE PURATOS</v>
          </cell>
          <cell r="D270">
            <v>1625</v>
          </cell>
          <cell r="E270">
            <v>360</v>
          </cell>
          <cell r="F270">
            <v>815</v>
          </cell>
          <cell r="G270">
            <v>20</v>
          </cell>
          <cell r="H270">
            <v>1020</v>
          </cell>
          <cell r="I270">
            <v>1165</v>
          </cell>
          <cell r="J270">
            <v>895</v>
          </cell>
          <cell r="K270">
            <v>440</v>
          </cell>
          <cell r="L270">
            <v>1210</v>
          </cell>
          <cell r="M270">
            <v>545</v>
          </cell>
          <cell r="N270">
            <v>830</v>
          </cell>
          <cell r="O270">
            <v>530</v>
          </cell>
          <cell r="P270">
            <v>730</v>
          </cell>
          <cell r="Q270">
            <v>1010</v>
          </cell>
          <cell r="R270">
            <v>990</v>
          </cell>
          <cell r="S270">
            <v>915</v>
          </cell>
          <cell r="T270">
            <v>1315</v>
          </cell>
          <cell r="U270">
            <v>655</v>
          </cell>
          <cell r="V270">
            <v>1740</v>
          </cell>
          <cell r="W270">
            <v>20</v>
          </cell>
          <cell r="X270">
            <v>1055</v>
          </cell>
          <cell r="Y270">
            <v>2385</v>
          </cell>
          <cell r="Z270">
            <v>460</v>
          </cell>
          <cell r="AA270">
            <v>35</v>
          </cell>
          <cell r="AB270">
            <v>1450</v>
          </cell>
          <cell r="AC270">
            <v>125</v>
          </cell>
          <cell r="AD270">
            <v>1105</v>
          </cell>
          <cell r="AE270">
            <v>20</v>
          </cell>
          <cell r="AF270">
            <v>1181</v>
          </cell>
          <cell r="AG270">
            <v>845</v>
          </cell>
          <cell r="AH270">
            <v>724</v>
          </cell>
          <cell r="AI270">
            <v>1170</v>
          </cell>
          <cell r="AJ270">
            <v>635</v>
          </cell>
          <cell r="AK270">
            <v>175</v>
          </cell>
          <cell r="AL270">
            <v>40</v>
          </cell>
          <cell r="AM270">
            <v>80</v>
          </cell>
          <cell r="AN270">
            <v>330</v>
          </cell>
          <cell r="AO270">
            <v>75</v>
          </cell>
          <cell r="AP270">
            <v>70</v>
          </cell>
          <cell r="AQ270">
            <v>690</v>
          </cell>
          <cell r="AR270">
            <v>715</v>
          </cell>
          <cell r="AS270">
            <v>1115</v>
          </cell>
          <cell r="AT270">
            <v>1120</v>
          </cell>
          <cell r="AU270">
            <v>1115</v>
          </cell>
          <cell r="AV270">
            <v>1400</v>
          </cell>
          <cell r="AW270">
            <v>815</v>
          </cell>
          <cell r="AX270">
            <v>1125</v>
          </cell>
          <cell r="AY270">
            <v>1295</v>
          </cell>
          <cell r="AZ270">
            <v>775</v>
          </cell>
          <cell r="BA270">
            <v>830</v>
          </cell>
          <cell r="BB270">
            <v>1010</v>
          </cell>
          <cell r="BC270">
            <v>1015</v>
          </cell>
          <cell r="BD270">
            <v>1310</v>
          </cell>
          <cell r="BE270">
            <v>1075</v>
          </cell>
          <cell r="BF270">
            <v>585</v>
          </cell>
          <cell r="BG270">
            <v>860</v>
          </cell>
          <cell r="BH270">
            <v>1340</v>
          </cell>
          <cell r="BI270">
            <v>595</v>
          </cell>
          <cell r="BJ270">
            <v>1650</v>
          </cell>
          <cell r="BK270">
            <v>550</v>
          </cell>
          <cell r="BL270">
            <v>875</v>
          </cell>
          <cell r="BM270">
            <v>1250</v>
          </cell>
          <cell r="BN270">
            <v>360</v>
          </cell>
          <cell r="BO270">
            <v>970</v>
          </cell>
          <cell r="BP270">
            <v>255</v>
          </cell>
          <cell r="BQ270">
            <v>960</v>
          </cell>
          <cell r="BR270">
            <v>775</v>
          </cell>
          <cell r="BS270">
            <v>1090</v>
          </cell>
          <cell r="BT270">
            <v>1015</v>
          </cell>
          <cell r="BU270">
            <v>735</v>
          </cell>
          <cell r="BV270">
            <v>580</v>
          </cell>
          <cell r="BW270">
            <v>90</v>
          </cell>
          <cell r="BX270">
            <v>700</v>
          </cell>
          <cell r="BY270">
            <v>765</v>
          </cell>
          <cell r="BZ270">
            <v>860</v>
          </cell>
          <cell r="CA270">
            <v>640</v>
          </cell>
          <cell r="CB270">
            <v>510</v>
          </cell>
          <cell r="CC270">
            <v>845</v>
          </cell>
          <cell r="CD270">
            <v>295</v>
          </cell>
          <cell r="CE270">
            <v>555</v>
          </cell>
          <cell r="CF270">
            <v>20</v>
          </cell>
          <cell r="CG270">
            <v>890</v>
          </cell>
          <cell r="CH270">
            <v>985</v>
          </cell>
          <cell r="CI270">
            <v>710</v>
          </cell>
          <cell r="CJ270">
            <v>740</v>
          </cell>
          <cell r="CK270">
            <v>20</v>
          </cell>
          <cell r="CL270">
            <v>1225</v>
          </cell>
          <cell r="CM270">
            <v>1165</v>
          </cell>
          <cell r="CN270">
            <v>580</v>
          </cell>
          <cell r="CO270">
            <v>615</v>
          </cell>
          <cell r="CP270">
            <v>575</v>
          </cell>
          <cell r="CQ270">
            <v>605</v>
          </cell>
          <cell r="CR270">
            <v>590</v>
          </cell>
          <cell r="CS270">
            <v>15</v>
          </cell>
          <cell r="CT270">
            <v>1215</v>
          </cell>
          <cell r="CU270">
            <v>400</v>
          </cell>
          <cell r="CV270">
            <v>1385</v>
          </cell>
          <cell r="CW270">
            <v>235</v>
          </cell>
          <cell r="CX270">
            <v>910</v>
          </cell>
          <cell r="CY270">
            <v>405</v>
          </cell>
          <cell r="CZ270">
            <v>575</v>
          </cell>
          <cell r="DA270">
            <v>620</v>
          </cell>
          <cell r="DB270">
            <v>640</v>
          </cell>
          <cell r="DC270">
            <v>490</v>
          </cell>
          <cell r="DD270">
            <v>480</v>
          </cell>
          <cell r="DE270" t="str">
            <v>ACTIVO</v>
          </cell>
          <cell r="DF270" t="str">
            <v>A</v>
          </cell>
          <cell r="DH270">
            <v>643.6</v>
          </cell>
          <cell r="DI270">
            <v>107.26666666666667</v>
          </cell>
        </row>
        <row r="271">
          <cell r="B271">
            <v>405344</v>
          </cell>
          <cell r="C271" t="str">
            <v>DISCO DE PANQUEQUE VAINILLA 18 CM ENCOMIENDA TOTTUS</v>
          </cell>
          <cell r="U271">
            <v>6532</v>
          </cell>
          <cell r="DE271" t="str">
            <v>INSUMO</v>
          </cell>
          <cell r="DF271" t="str">
            <v/>
          </cell>
          <cell r="DH271">
            <v>0</v>
          </cell>
          <cell r="DI271">
            <v>0</v>
          </cell>
        </row>
        <row r="272">
          <cell r="B272">
            <v>362099</v>
          </cell>
          <cell r="C272" t="str">
            <v>GRANA DE HOJA</v>
          </cell>
          <cell r="Z272">
            <v>30</v>
          </cell>
          <cell r="AA272">
            <v>40</v>
          </cell>
          <cell r="DE272" t="str">
            <v>INSUMO</v>
          </cell>
          <cell r="DF272" t="str">
            <v/>
          </cell>
          <cell r="DH272">
            <v>0</v>
          </cell>
          <cell r="DI272">
            <v>0</v>
          </cell>
        </row>
        <row r="273">
          <cell r="B273">
            <v>300003</v>
          </cell>
          <cell r="C273" t="str">
            <v>GRANA CHOCOLATE</v>
          </cell>
          <cell r="DD273">
            <v>80</v>
          </cell>
          <cell r="DE273" t="str">
            <v>ACTIVO</v>
          </cell>
          <cell r="DF273" t="str">
            <v/>
          </cell>
          <cell r="DH273">
            <v>80</v>
          </cell>
          <cell r="DI273">
            <v>13.333333333333334</v>
          </cell>
        </row>
        <row r="274">
          <cell r="D274">
            <v>54560</v>
          </cell>
          <cell r="E274">
            <v>27538</v>
          </cell>
          <cell r="F274">
            <v>49050</v>
          </cell>
          <cell r="G274">
            <v>61186</v>
          </cell>
          <cell r="H274">
            <v>58632</v>
          </cell>
          <cell r="I274">
            <v>53862</v>
          </cell>
          <cell r="J274">
            <v>60477</v>
          </cell>
          <cell r="K274">
            <v>44431</v>
          </cell>
          <cell r="L274">
            <v>56196</v>
          </cell>
          <cell r="M274">
            <v>45389</v>
          </cell>
          <cell r="N274">
            <v>62438</v>
          </cell>
          <cell r="O274">
            <v>27266.35</v>
          </cell>
          <cell r="P274">
            <v>44950</v>
          </cell>
          <cell r="Q274">
            <v>43254</v>
          </cell>
          <cell r="R274">
            <v>41946</v>
          </cell>
          <cell r="S274">
            <v>36809</v>
          </cell>
          <cell r="T274">
            <v>36164</v>
          </cell>
          <cell r="U274">
            <v>47350</v>
          </cell>
          <cell r="V274">
            <v>38183</v>
          </cell>
          <cell r="W274">
            <v>44843</v>
          </cell>
          <cell r="X274">
            <v>24189</v>
          </cell>
          <cell r="Y274">
            <v>45795</v>
          </cell>
          <cell r="Z274">
            <v>30843</v>
          </cell>
          <cell r="AA274">
            <v>19538</v>
          </cell>
          <cell r="AB274">
            <v>37574.872000000003</v>
          </cell>
          <cell r="AC274">
            <v>34519</v>
          </cell>
          <cell r="AD274">
            <v>4658</v>
          </cell>
          <cell r="AE274">
            <v>31201</v>
          </cell>
          <cell r="AF274">
            <v>29394</v>
          </cell>
          <cell r="AG274">
            <v>27252</v>
          </cell>
          <cell r="AH274">
            <v>50563</v>
          </cell>
          <cell r="AI274">
            <v>55130</v>
          </cell>
          <cell r="AJ274">
            <v>27652</v>
          </cell>
          <cell r="AK274">
            <v>30240</v>
          </cell>
          <cell r="AL274">
            <v>39386</v>
          </cell>
          <cell r="AM274">
            <v>33886</v>
          </cell>
          <cell r="AN274">
            <v>51908</v>
          </cell>
          <cell r="AO274">
            <v>57269</v>
          </cell>
          <cell r="AP274">
            <v>44277</v>
          </cell>
          <cell r="AQ274">
            <v>51897</v>
          </cell>
          <cell r="AR274">
            <v>48589</v>
          </cell>
          <cell r="AS274">
            <v>44929</v>
          </cell>
          <cell r="AT274">
            <v>42686</v>
          </cell>
          <cell r="AU274">
            <v>60315</v>
          </cell>
          <cell r="AV274">
            <v>68086</v>
          </cell>
          <cell r="AW274">
            <v>81151</v>
          </cell>
          <cell r="AX274">
            <v>43942</v>
          </cell>
          <cell r="AY274">
            <v>33116</v>
          </cell>
          <cell r="AZ274">
            <v>39181</v>
          </cell>
          <cell r="BA274">
            <v>55988</v>
          </cell>
          <cell r="BB274">
            <v>17818</v>
          </cell>
          <cell r="BC274">
            <v>58471</v>
          </cell>
          <cell r="BD274">
            <v>71911</v>
          </cell>
          <cell r="BE274">
            <v>71465</v>
          </cell>
          <cell r="BF274">
            <v>34718</v>
          </cell>
          <cell r="BG274">
            <v>32102</v>
          </cell>
          <cell r="BH274">
            <v>29427</v>
          </cell>
          <cell r="BI274">
            <v>45603</v>
          </cell>
          <cell r="BJ274">
            <v>17624</v>
          </cell>
          <cell r="BK274">
            <v>39147</v>
          </cell>
          <cell r="BL274">
            <v>34219</v>
          </cell>
          <cell r="BM274">
            <v>23323</v>
          </cell>
          <cell r="BN274">
            <v>64739</v>
          </cell>
          <cell r="BO274">
            <v>49778</v>
          </cell>
          <cell r="BP274">
            <v>12387</v>
          </cell>
          <cell r="BQ274">
            <v>61794</v>
          </cell>
          <cell r="BR274">
            <v>38693</v>
          </cell>
          <cell r="BS274">
            <v>54900</v>
          </cell>
          <cell r="BT274">
            <v>27293</v>
          </cell>
          <cell r="BU274">
            <v>53065</v>
          </cell>
          <cell r="BV274">
            <v>31577</v>
          </cell>
          <cell r="BW274">
            <v>31358</v>
          </cell>
          <cell r="BX274">
            <v>47574</v>
          </cell>
          <cell r="BY274">
            <v>40331</v>
          </cell>
          <cell r="BZ274">
            <v>49992</v>
          </cell>
          <cell r="CA274">
            <v>66817</v>
          </cell>
          <cell r="CB274">
            <v>49903</v>
          </cell>
          <cell r="CC274">
            <v>39723</v>
          </cell>
          <cell r="CD274">
            <v>23705</v>
          </cell>
          <cell r="CE274">
            <v>17968</v>
          </cell>
          <cell r="CF274">
            <v>329</v>
          </cell>
          <cell r="CG274">
            <v>49900</v>
          </cell>
          <cell r="CH274">
            <v>46859</v>
          </cell>
          <cell r="CI274">
            <v>82324</v>
          </cell>
          <cell r="CJ274">
            <v>76804</v>
          </cell>
          <cell r="CK274">
            <v>65896</v>
          </cell>
          <cell r="CL274">
            <v>46023</v>
          </cell>
          <cell r="CM274">
            <v>55567</v>
          </cell>
          <cell r="CN274">
            <v>53599</v>
          </cell>
          <cell r="CO274">
            <v>51036</v>
          </cell>
          <cell r="CP274">
            <v>64870</v>
          </cell>
          <cell r="CQ274">
            <v>47415</v>
          </cell>
          <cell r="CR274">
            <v>83736</v>
          </cell>
          <cell r="CS274">
            <v>62206</v>
          </cell>
          <cell r="CT274">
            <v>93717</v>
          </cell>
          <cell r="CU274">
            <v>171726</v>
          </cell>
          <cell r="CV274">
            <v>180061</v>
          </cell>
          <cell r="CW274">
            <v>123840</v>
          </cell>
          <cell r="CX274">
            <v>69281</v>
          </cell>
          <cell r="CY274">
            <v>101947</v>
          </cell>
          <cell r="CZ274">
            <v>92654</v>
          </cell>
          <cell r="DA274">
            <v>108579</v>
          </cell>
          <cell r="DB274">
            <v>47055</v>
          </cell>
          <cell r="DC274">
            <v>75376</v>
          </cell>
          <cell r="DD274">
            <v>77989</v>
          </cell>
          <cell r="DE274" t="str">
            <v>ACTIVO</v>
          </cell>
          <cell r="DF274" t="str">
            <v/>
          </cell>
          <cell r="DH274">
            <v>77151.56</v>
          </cell>
          <cell r="DI274">
            <v>12858.593333333332</v>
          </cell>
        </row>
        <row r="275">
          <cell r="B275">
            <v>107172</v>
          </cell>
          <cell r="C275" t="str">
            <v>MERM. MEL DURAZNO ENT. BALDE 5 Kg</v>
          </cell>
          <cell r="E275">
            <v>430</v>
          </cell>
          <cell r="F275">
            <v>470</v>
          </cell>
          <cell r="G275">
            <v>655</v>
          </cell>
          <cell r="H275">
            <v>1160</v>
          </cell>
          <cell r="I275">
            <v>730</v>
          </cell>
          <cell r="J275">
            <v>1215</v>
          </cell>
          <cell r="K275">
            <v>185</v>
          </cell>
          <cell r="L275">
            <v>1085</v>
          </cell>
          <cell r="M275">
            <v>645</v>
          </cell>
          <cell r="N275">
            <v>650</v>
          </cell>
          <cell r="O275">
            <v>490</v>
          </cell>
          <cell r="P275">
            <v>640</v>
          </cell>
          <cell r="Q275">
            <v>750</v>
          </cell>
          <cell r="R275">
            <v>690</v>
          </cell>
          <cell r="S275">
            <v>170</v>
          </cell>
          <cell r="T275">
            <v>675</v>
          </cell>
          <cell r="U275">
            <v>970</v>
          </cell>
          <cell r="V275">
            <v>575</v>
          </cell>
          <cell r="W275">
            <v>135</v>
          </cell>
          <cell r="X275">
            <v>950</v>
          </cell>
          <cell r="Y275">
            <v>960</v>
          </cell>
          <cell r="Z275">
            <v>890</v>
          </cell>
          <cell r="AA275">
            <v>115</v>
          </cell>
          <cell r="AB275">
            <v>145</v>
          </cell>
          <cell r="AC275">
            <v>815</v>
          </cell>
          <cell r="AD275">
            <v>55</v>
          </cell>
          <cell r="AE275">
            <v>35</v>
          </cell>
          <cell r="AF275">
            <v>880</v>
          </cell>
          <cell r="AG275">
            <v>105</v>
          </cell>
          <cell r="AH275">
            <v>120</v>
          </cell>
          <cell r="AI275">
            <v>135</v>
          </cell>
          <cell r="AJ275">
            <v>115</v>
          </cell>
          <cell r="AK275">
            <v>130</v>
          </cell>
          <cell r="AL275">
            <v>910</v>
          </cell>
          <cell r="AM275">
            <v>785</v>
          </cell>
          <cell r="AN275">
            <v>160</v>
          </cell>
          <cell r="AO275">
            <v>145</v>
          </cell>
          <cell r="AP275">
            <v>670</v>
          </cell>
          <cell r="AQ275">
            <v>140</v>
          </cell>
          <cell r="AR275">
            <v>275</v>
          </cell>
          <cell r="AS275">
            <v>905</v>
          </cell>
          <cell r="AT275">
            <v>135</v>
          </cell>
          <cell r="AU275">
            <v>175</v>
          </cell>
          <cell r="AV275">
            <v>110</v>
          </cell>
          <cell r="AW275">
            <v>135</v>
          </cell>
          <cell r="AX275">
            <v>115</v>
          </cell>
          <cell r="AY275">
            <v>110</v>
          </cell>
          <cell r="AZ275">
            <v>195</v>
          </cell>
          <cell r="BA275">
            <v>155</v>
          </cell>
          <cell r="BB275">
            <v>150</v>
          </cell>
          <cell r="BC275">
            <v>140</v>
          </cell>
          <cell r="BD275">
            <v>140</v>
          </cell>
          <cell r="BE275">
            <v>120</v>
          </cell>
          <cell r="BF275">
            <v>150</v>
          </cell>
          <cell r="BG275">
            <v>150</v>
          </cell>
          <cell r="BH275">
            <v>140</v>
          </cell>
          <cell r="BI275">
            <v>95</v>
          </cell>
          <cell r="BJ275">
            <v>85</v>
          </cell>
          <cell r="BK275">
            <v>115</v>
          </cell>
          <cell r="BL275">
            <v>135</v>
          </cell>
          <cell r="BM275">
            <v>225</v>
          </cell>
          <cell r="BN275">
            <v>105</v>
          </cell>
          <cell r="BO275">
            <v>110</v>
          </cell>
          <cell r="BP275">
            <v>15</v>
          </cell>
          <cell r="BQ275">
            <v>130</v>
          </cell>
          <cell r="BR275">
            <v>110</v>
          </cell>
          <cell r="BS275">
            <v>165</v>
          </cell>
          <cell r="BT275">
            <v>80</v>
          </cell>
          <cell r="BU275">
            <v>165</v>
          </cell>
          <cell r="BV275">
            <v>125</v>
          </cell>
          <cell r="BW275">
            <v>135</v>
          </cell>
          <cell r="BX275">
            <v>60</v>
          </cell>
          <cell r="BY275">
            <v>15</v>
          </cell>
          <cell r="BZ275">
            <v>30</v>
          </cell>
          <cell r="CA275">
            <v>25</v>
          </cell>
          <cell r="CB275">
            <v>25</v>
          </cell>
          <cell r="CC275">
            <v>35</v>
          </cell>
          <cell r="CD275">
            <v>85</v>
          </cell>
          <cell r="CE275">
            <v>50</v>
          </cell>
          <cell r="CF275">
            <v>40</v>
          </cell>
          <cell r="CG275">
            <v>85</v>
          </cell>
          <cell r="CH275">
            <v>90</v>
          </cell>
          <cell r="CI275">
            <v>85</v>
          </cell>
          <cell r="CJ275">
            <v>90</v>
          </cell>
          <cell r="CK275">
            <v>100</v>
          </cell>
          <cell r="CL275">
            <v>90</v>
          </cell>
          <cell r="CM275">
            <v>85</v>
          </cell>
          <cell r="CN275">
            <v>95</v>
          </cell>
          <cell r="CO275">
            <v>95</v>
          </cell>
          <cell r="CP275">
            <v>100</v>
          </cell>
          <cell r="CQ275">
            <v>100</v>
          </cell>
          <cell r="CR275">
            <v>125</v>
          </cell>
          <cell r="CS275">
            <v>100</v>
          </cell>
          <cell r="CT275">
            <v>135</v>
          </cell>
          <cell r="CU275">
            <v>110</v>
          </cell>
          <cell r="CV275">
            <v>100</v>
          </cell>
          <cell r="CW275">
            <v>105</v>
          </cell>
          <cell r="CX275">
            <v>100</v>
          </cell>
          <cell r="CY275">
            <v>110</v>
          </cell>
          <cell r="CZ275">
            <v>95</v>
          </cell>
          <cell r="DA275">
            <v>100</v>
          </cell>
          <cell r="DB275">
            <v>100</v>
          </cell>
          <cell r="DC275">
            <v>135</v>
          </cell>
          <cell r="DD275">
            <v>125</v>
          </cell>
          <cell r="DE275" t="str">
            <v>ACTIVO</v>
          </cell>
          <cell r="DF275" t="str">
            <v>B</v>
          </cell>
          <cell r="DH275">
            <v>99.8</v>
          </cell>
          <cell r="DI275">
            <v>16.633333333333333</v>
          </cell>
        </row>
        <row r="276">
          <cell r="B276">
            <v>170175</v>
          </cell>
          <cell r="C276" t="str">
            <v>MERMELADA DURAZNO PURATOS</v>
          </cell>
          <cell r="E276">
            <v>150</v>
          </cell>
          <cell r="F276">
            <v>15</v>
          </cell>
          <cell r="G276">
            <v>30</v>
          </cell>
          <cell r="K276">
            <v>30</v>
          </cell>
          <cell r="DE276" t="str">
            <v>SIN USO</v>
          </cell>
          <cell r="DF276" t="str">
            <v/>
          </cell>
          <cell r="DH276">
            <v>0</v>
          </cell>
          <cell r="DI276">
            <v>0</v>
          </cell>
        </row>
        <row r="277">
          <cell r="B277">
            <v>107129</v>
          </cell>
          <cell r="C277" t="str">
            <v>MERM. MEL FRAMBUESA QUINTA BALDE 5 Kg</v>
          </cell>
          <cell r="D277">
            <v>145</v>
          </cell>
          <cell r="E277">
            <v>80</v>
          </cell>
          <cell r="F277">
            <v>90</v>
          </cell>
          <cell r="G277">
            <v>95</v>
          </cell>
          <cell r="H277">
            <v>95</v>
          </cell>
          <cell r="I277">
            <v>35</v>
          </cell>
          <cell r="J277">
            <v>80</v>
          </cell>
          <cell r="K277">
            <v>115</v>
          </cell>
          <cell r="L277">
            <v>125</v>
          </cell>
          <cell r="M277">
            <v>130</v>
          </cell>
          <cell r="N277">
            <v>155</v>
          </cell>
          <cell r="O277">
            <v>5</v>
          </cell>
          <cell r="P277">
            <v>75</v>
          </cell>
          <cell r="Q277">
            <v>145</v>
          </cell>
          <cell r="R277">
            <v>95</v>
          </cell>
          <cell r="S277">
            <v>55</v>
          </cell>
          <cell r="T277">
            <v>100</v>
          </cell>
          <cell r="U277">
            <v>110</v>
          </cell>
          <cell r="V277">
            <v>135</v>
          </cell>
          <cell r="W277">
            <v>100</v>
          </cell>
          <cell r="X277">
            <v>40</v>
          </cell>
          <cell r="Y277">
            <v>25</v>
          </cell>
          <cell r="Z277">
            <v>95</v>
          </cell>
          <cell r="AA277">
            <v>70</v>
          </cell>
          <cell r="AB277">
            <v>85</v>
          </cell>
          <cell r="AC277">
            <v>95</v>
          </cell>
          <cell r="AD277">
            <v>20</v>
          </cell>
          <cell r="AE277">
            <v>30</v>
          </cell>
          <cell r="AF277">
            <v>96</v>
          </cell>
          <cell r="AG277">
            <v>94</v>
          </cell>
          <cell r="AH277">
            <v>80</v>
          </cell>
          <cell r="AI277">
            <v>75</v>
          </cell>
          <cell r="AJ277">
            <v>90</v>
          </cell>
          <cell r="AK277">
            <v>85</v>
          </cell>
          <cell r="AL277">
            <v>100</v>
          </cell>
          <cell r="AM277">
            <v>85</v>
          </cell>
          <cell r="AN277">
            <v>120</v>
          </cell>
          <cell r="AO277">
            <v>115</v>
          </cell>
          <cell r="AP277">
            <v>105</v>
          </cell>
          <cell r="AQ277">
            <v>90</v>
          </cell>
          <cell r="AR277">
            <v>85</v>
          </cell>
          <cell r="AS277">
            <v>90</v>
          </cell>
          <cell r="AT277">
            <v>90</v>
          </cell>
          <cell r="AU277">
            <v>150</v>
          </cell>
          <cell r="AV277">
            <v>80</v>
          </cell>
          <cell r="AW277">
            <v>70</v>
          </cell>
          <cell r="AX277">
            <v>70</v>
          </cell>
          <cell r="AY277">
            <v>100</v>
          </cell>
          <cell r="AZ277">
            <v>115</v>
          </cell>
          <cell r="BA277">
            <v>75</v>
          </cell>
          <cell r="BB277">
            <v>115</v>
          </cell>
          <cell r="BC277">
            <v>110</v>
          </cell>
          <cell r="BD277">
            <v>130</v>
          </cell>
          <cell r="BE277">
            <v>90</v>
          </cell>
          <cell r="BF277">
            <v>75</v>
          </cell>
          <cell r="BG277">
            <v>90</v>
          </cell>
          <cell r="BH277">
            <v>105</v>
          </cell>
          <cell r="BI277">
            <v>110</v>
          </cell>
          <cell r="BJ277">
            <v>80</v>
          </cell>
          <cell r="BK277">
            <v>75</v>
          </cell>
          <cell r="BL277">
            <v>80</v>
          </cell>
          <cell r="BM277">
            <v>145</v>
          </cell>
          <cell r="BN277">
            <v>75</v>
          </cell>
          <cell r="BO277">
            <v>80</v>
          </cell>
          <cell r="BP277">
            <v>25</v>
          </cell>
          <cell r="BQ277">
            <v>115</v>
          </cell>
          <cell r="BR277">
            <v>85</v>
          </cell>
          <cell r="BS277">
            <v>110</v>
          </cell>
          <cell r="BT277">
            <v>80</v>
          </cell>
          <cell r="BU277">
            <v>75</v>
          </cell>
          <cell r="BV277">
            <v>90</v>
          </cell>
          <cell r="BW277">
            <v>535</v>
          </cell>
          <cell r="BX277">
            <v>75</v>
          </cell>
          <cell r="BY277">
            <v>65</v>
          </cell>
          <cell r="BZ277">
            <v>295</v>
          </cell>
          <cell r="CA277">
            <v>380</v>
          </cell>
          <cell r="CB277">
            <v>65</v>
          </cell>
          <cell r="CC277">
            <v>1085</v>
          </cell>
          <cell r="CD277">
            <v>155</v>
          </cell>
          <cell r="CE277">
            <v>25</v>
          </cell>
          <cell r="CF277">
            <v>25</v>
          </cell>
          <cell r="CG277">
            <v>85</v>
          </cell>
          <cell r="CH277">
            <v>40</v>
          </cell>
          <cell r="CI277">
            <v>60</v>
          </cell>
          <cell r="CJ277">
            <v>80</v>
          </cell>
          <cell r="CK277">
            <v>75</v>
          </cell>
          <cell r="CL277">
            <v>65</v>
          </cell>
          <cell r="CM277">
            <v>65</v>
          </cell>
          <cell r="CN277">
            <v>70</v>
          </cell>
          <cell r="CO277">
            <v>80</v>
          </cell>
          <cell r="CP277">
            <v>730</v>
          </cell>
          <cell r="CQ277">
            <v>95</v>
          </cell>
          <cell r="CR277">
            <v>215</v>
          </cell>
          <cell r="CS277">
            <v>625</v>
          </cell>
          <cell r="CT277">
            <v>1300</v>
          </cell>
          <cell r="CU277">
            <v>700</v>
          </cell>
          <cell r="CV277">
            <v>850</v>
          </cell>
          <cell r="CW277">
            <v>1560</v>
          </cell>
          <cell r="CX277">
            <v>610</v>
          </cell>
          <cell r="CY277">
            <v>115</v>
          </cell>
          <cell r="CZ277">
            <v>345</v>
          </cell>
          <cell r="DA277">
            <v>460</v>
          </cell>
          <cell r="DB277">
            <v>495</v>
          </cell>
          <cell r="DC277">
            <v>240</v>
          </cell>
          <cell r="DD277">
            <v>360</v>
          </cell>
          <cell r="DE277" t="str">
            <v>ACTIVO</v>
          </cell>
          <cell r="DF277" t="str">
            <v>B</v>
          </cell>
          <cell r="DH277">
            <v>373.8</v>
          </cell>
          <cell r="DI277">
            <v>62.300000000000004</v>
          </cell>
        </row>
        <row r="278">
          <cell r="B278">
            <v>403407</v>
          </cell>
          <cell r="C278" t="str">
            <v>MERM. LAMARKA FRAMBUESA BALDE 5 Kg</v>
          </cell>
          <cell r="D278">
            <v>1085</v>
          </cell>
          <cell r="E278">
            <v>755</v>
          </cell>
          <cell r="F278">
            <v>1050</v>
          </cell>
          <cell r="G278">
            <v>1340</v>
          </cell>
          <cell r="H278">
            <v>1580</v>
          </cell>
          <cell r="I278">
            <v>885</v>
          </cell>
          <cell r="J278">
            <v>1125</v>
          </cell>
          <cell r="K278">
            <v>830</v>
          </cell>
          <cell r="L278">
            <v>920</v>
          </cell>
          <cell r="M278">
            <v>1050</v>
          </cell>
          <cell r="N278">
            <v>1395</v>
          </cell>
          <cell r="O278">
            <v>995</v>
          </cell>
          <cell r="P278">
            <v>1160</v>
          </cell>
          <cell r="Q278">
            <v>1045</v>
          </cell>
          <cell r="R278">
            <v>775</v>
          </cell>
          <cell r="S278">
            <v>1090</v>
          </cell>
          <cell r="T278">
            <v>1625</v>
          </cell>
          <cell r="U278">
            <v>1455</v>
          </cell>
          <cell r="V278">
            <v>1875</v>
          </cell>
          <cell r="W278">
            <v>2340</v>
          </cell>
          <cell r="X278">
            <v>410</v>
          </cell>
          <cell r="Y278">
            <v>2585</v>
          </cell>
          <cell r="Z278">
            <v>550</v>
          </cell>
          <cell r="AA278">
            <v>727</v>
          </cell>
          <cell r="AB278">
            <v>775</v>
          </cell>
          <cell r="AC278">
            <v>80</v>
          </cell>
          <cell r="AD278">
            <v>350</v>
          </cell>
          <cell r="AE278">
            <v>630</v>
          </cell>
          <cell r="AF278">
            <v>1335.4</v>
          </cell>
          <cell r="AG278">
            <v>779.6</v>
          </cell>
          <cell r="AH278">
            <v>1495</v>
          </cell>
          <cell r="AI278">
            <v>2430</v>
          </cell>
          <cell r="AJ278">
            <v>1070</v>
          </cell>
          <cell r="AK278">
            <v>1195</v>
          </cell>
          <cell r="AL278">
            <v>1125</v>
          </cell>
          <cell r="AM278">
            <v>755</v>
          </cell>
          <cell r="AN278">
            <v>665</v>
          </cell>
          <cell r="AO278">
            <v>860</v>
          </cell>
          <cell r="AP278">
            <v>815</v>
          </cell>
          <cell r="AQ278">
            <v>1375</v>
          </cell>
          <cell r="AR278">
            <v>1700</v>
          </cell>
          <cell r="AS278">
            <v>1010</v>
          </cell>
          <cell r="AT278">
            <v>1290</v>
          </cell>
          <cell r="AU278">
            <v>2100</v>
          </cell>
          <cell r="AV278">
            <v>2295</v>
          </cell>
          <cell r="AW278">
            <v>1895</v>
          </cell>
          <cell r="AX278">
            <v>1745</v>
          </cell>
          <cell r="AY278">
            <v>780</v>
          </cell>
          <cell r="AZ278">
            <v>1315</v>
          </cell>
          <cell r="BA278">
            <v>1590</v>
          </cell>
          <cell r="BB278">
            <v>430</v>
          </cell>
          <cell r="BC278">
            <v>2280</v>
          </cell>
          <cell r="BD278">
            <v>1220</v>
          </cell>
          <cell r="BE278">
            <v>925</v>
          </cell>
          <cell r="BF278">
            <v>920</v>
          </cell>
          <cell r="BG278">
            <v>690</v>
          </cell>
          <cell r="BH278">
            <v>1475</v>
          </cell>
          <cell r="BI278">
            <v>1775</v>
          </cell>
          <cell r="BJ278">
            <v>1015</v>
          </cell>
          <cell r="BK278">
            <v>760</v>
          </cell>
          <cell r="BL278">
            <v>1325</v>
          </cell>
          <cell r="BM278">
            <v>1240</v>
          </cell>
          <cell r="BN278">
            <v>1640</v>
          </cell>
          <cell r="BO278">
            <v>1265</v>
          </cell>
          <cell r="BP278">
            <v>955</v>
          </cell>
          <cell r="BQ278">
            <v>985</v>
          </cell>
          <cell r="BR278">
            <v>1220</v>
          </cell>
          <cell r="BS278">
            <v>1310</v>
          </cell>
          <cell r="BT278">
            <v>555</v>
          </cell>
          <cell r="BU278">
            <v>1310</v>
          </cell>
          <cell r="BV278">
            <v>660</v>
          </cell>
          <cell r="BW278">
            <v>1280</v>
          </cell>
          <cell r="BX278">
            <v>1370</v>
          </cell>
          <cell r="BY278">
            <v>1195</v>
          </cell>
          <cell r="BZ278">
            <v>1155</v>
          </cell>
          <cell r="CA278">
            <v>1065</v>
          </cell>
          <cell r="CB278">
            <v>835</v>
          </cell>
          <cell r="CC278">
            <v>1750</v>
          </cell>
          <cell r="CD278">
            <v>95</v>
          </cell>
          <cell r="CE278">
            <v>430</v>
          </cell>
          <cell r="CF278">
            <v>295</v>
          </cell>
          <cell r="CG278">
            <v>1270</v>
          </cell>
          <cell r="CH278">
            <v>1610</v>
          </cell>
          <cell r="CI278">
            <v>1610</v>
          </cell>
          <cell r="CJ278">
            <v>1165</v>
          </cell>
          <cell r="CK278">
            <v>1815</v>
          </cell>
          <cell r="CL278">
            <v>1420</v>
          </cell>
          <cell r="CM278">
            <v>1555</v>
          </cell>
          <cell r="CN278">
            <v>1605</v>
          </cell>
          <cell r="CO278">
            <v>1025</v>
          </cell>
          <cell r="CP278">
            <v>785</v>
          </cell>
          <cell r="CQ278">
            <v>585</v>
          </cell>
          <cell r="CR278">
            <v>1390</v>
          </cell>
          <cell r="CS278">
            <v>1055</v>
          </cell>
          <cell r="CT278">
            <v>1960</v>
          </cell>
          <cell r="CU278">
            <v>2820</v>
          </cell>
          <cell r="CV278">
            <v>1830</v>
          </cell>
          <cell r="CW278">
            <v>1745</v>
          </cell>
          <cell r="CX278">
            <v>1050</v>
          </cell>
          <cell r="CY278">
            <v>265</v>
          </cell>
          <cell r="CZ278">
            <v>445</v>
          </cell>
          <cell r="DA278">
            <v>1930</v>
          </cell>
          <cell r="DB278">
            <v>350</v>
          </cell>
          <cell r="DC278">
            <v>395</v>
          </cell>
          <cell r="DD278">
            <v>920</v>
          </cell>
          <cell r="DE278" t="str">
            <v>ACTIVO</v>
          </cell>
          <cell r="DF278" t="str">
            <v>A</v>
          </cell>
          <cell r="DH278">
            <v>1235.8</v>
          </cell>
          <cell r="DI278">
            <v>205.96666666666667</v>
          </cell>
        </row>
        <row r="279">
          <cell r="B279">
            <v>107193</v>
          </cell>
          <cell r="C279" t="str">
            <v>MERMELADA DE FRAMBUESA EBEL</v>
          </cell>
          <cell r="D279">
            <v>490</v>
          </cell>
          <cell r="E279">
            <v>605</v>
          </cell>
          <cell r="F279">
            <v>360</v>
          </cell>
          <cell r="G279">
            <v>290</v>
          </cell>
          <cell r="H279">
            <v>310</v>
          </cell>
          <cell r="I279">
            <v>245</v>
          </cell>
          <cell r="J279">
            <v>270</v>
          </cell>
          <cell r="K279">
            <v>245</v>
          </cell>
          <cell r="L279">
            <v>330</v>
          </cell>
          <cell r="M279">
            <v>235</v>
          </cell>
          <cell r="N279">
            <v>245</v>
          </cell>
          <cell r="O279">
            <v>75</v>
          </cell>
          <cell r="P279">
            <v>210</v>
          </cell>
          <cell r="Q279">
            <v>340</v>
          </cell>
          <cell r="R279">
            <v>245</v>
          </cell>
          <cell r="S279">
            <v>275</v>
          </cell>
          <cell r="T279">
            <v>255</v>
          </cell>
          <cell r="U279">
            <v>225</v>
          </cell>
          <cell r="V279">
            <v>305</v>
          </cell>
          <cell r="W279">
            <v>105</v>
          </cell>
          <cell r="X279">
            <v>400</v>
          </cell>
          <cell r="Y279">
            <v>195</v>
          </cell>
          <cell r="Z279">
            <v>395</v>
          </cell>
          <cell r="AA279">
            <v>450</v>
          </cell>
          <cell r="AB279">
            <v>355</v>
          </cell>
          <cell r="AC279">
            <v>480</v>
          </cell>
          <cell r="AD279">
            <v>190</v>
          </cell>
          <cell r="AE279">
            <v>212.5</v>
          </cell>
          <cell r="AF279">
            <v>190</v>
          </cell>
          <cell r="AG279">
            <v>225</v>
          </cell>
          <cell r="AH279">
            <v>175</v>
          </cell>
          <cell r="AI279">
            <v>335</v>
          </cell>
          <cell r="AJ279">
            <v>195</v>
          </cell>
          <cell r="AK279">
            <v>190</v>
          </cell>
          <cell r="AL279">
            <v>155</v>
          </cell>
          <cell r="AM279">
            <v>155</v>
          </cell>
          <cell r="AN279">
            <v>170</v>
          </cell>
          <cell r="AO279">
            <v>210</v>
          </cell>
          <cell r="AP279">
            <v>190</v>
          </cell>
          <cell r="AQ279">
            <v>175</v>
          </cell>
          <cell r="AR279">
            <v>215</v>
          </cell>
          <cell r="AS279">
            <v>165</v>
          </cell>
          <cell r="AT279">
            <v>165</v>
          </cell>
          <cell r="AU279">
            <v>160</v>
          </cell>
          <cell r="AV279">
            <v>175</v>
          </cell>
          <cell r="AW279">
            <v>460</v>
          </cell>
          <cell r="AX279">
            <v>160</v>
          </cell>
          <cell r="AY279">
            <v>225</v>
          </cell>
          <cell r="AZ279">
            <v>230</v>
          </cell>
          <cell r="BA279">
            <v>250</v>
          </cell>
          <cell r="BB279">
            <v>370</v>
          </cell>
          <cell r="BC279">
            <v>195</v>
          </cell>
          <cell r="BD279">
            <v>240</v>
          </cell>
          <cell r="BE279">
            <v>210</v>
          </cell>
          <cell r="BF279">
            <v>225</v>
          </cell>
          <cell r="BG279">
            <v>300</v>
          </cell>
          <cell r="BH279">
            <v>255</v>
          </cell>
          <cell r="BI279">
            <v>200</v>
          </cell>
          <cell r="BJ279">
            <v>165</v>
          </cell>
          <cell r="BK279">
            <v>235</v>
          </cell>
          <cell r="BL279">
            <v>205</v>
          </cell>
          <cell r="BM279">
            <v>255</v>
          </cell>
          <cell r="BN279">
            <v>150</v>
          </cell>
          <cell r="BO279">
            <v>185</v>
          </cell>
          <cell r="BP279">
            <v>20</v>
          </cell>
          <cell r="BQ279">
            <v>260</v>
          </cell>
          <cell r="BR279">
            <v>160</v>
          </cell>
          <cell r="BS279">
            <v>210</v>
          </cell>
          <cell r="BT279">
            <v>155</v>
          </cell>
          <cell r="BU279">
            <v>190</v>
          </cell>
          <cell r="BV279">
            <v>210</v>
          </cell>
          <cell r="BW279">
            <v>205</v>
          </cell>
          <cell r="BX279">
            <v>210</v>
          </cell>
          <cell r="BY279">
            <v>100</v>
          </cell>
          <cell r="BZ279">
            <v>105</v>
          </cell>
          <cell r="CA279">
            <v>100</v>
          </cell>
          <cell r="CB279">
            <v>115</v>
          </cell>
          <cell r="CC279">
            <v>105</v>
          </cell>
          <cell r="CD279">
            <v>130</v>
          </cell>
          <cell r="CE279">
            <v>85</v>
          </cell>
          <cell r="CF279">
            <v>60</v>
          </cell>
          <cell r="CG279">
            <v>125</v>
          </cell>
          <cell r="CH279">
            <v>195</v>
          </cell>
          <cell r="CI279">
            <v>190</v>
          </cell>
          <cell r="CJ279">
            <v>175</v>
          </cell>
          <cell r="CK279">
            <v>180</v>
          </cell>
          <cell r="CL279">
            <v>130</v>
          </cell>
          <cell r="CM279">
            <v>135</v>
          </cell>
          <cell r="CN279">
            <v>140</v>
          </cell>
          <cell r="CO279">
            <v>135</v>
          </cell>
          <cell r="CP279">
            <v>235</v>
          </cell>
          <cell r="CQ279">
            <v>245</v>
          </cell>
          <cell r="CR279">
            <v>200</v>
          </cell>
          <cell r="CS279">
            <v>175</v>
          </cell>
          <cell r="CT279">
            <v>310</v>
          </cell>
          <cell r="CU279">
            <v>195</v>
          </cell>
          <cell r="CV279">
            <v>175</v>
          </cell>
          <cell r="CW279">
            <v>175</v>
          </cell>
          <cell r="CX279">
            <v>180</v>
          </cell>
          <cell r="CY279">
            <v>220</v>
          </cell>
          <cell r="CZ279">
            <v>175</v>
          </cell>
          <cell r="DA279">
            <v>305</v>
          </cell>
          <cell r="DB279">
            <v>200</v>
          </cell>
          <cell r="DC279">
            <v>230</v>
          </cell>
          <cell r="DD279">
            <v>330</v>
          </cell>
          <cell r="DE279" t="str">
            <v>ACTIVO</v>
          </cell>
          <cell r="DF279" t="str">
            <v>B</v>
          </cell>
          <cell r="DH279">
            <v>192.6</v>
          </cell>
          <cell r="DI279">
            <v>32.1</v>
          </cell>
        </row>
        <row r="280">
          <cell r="B280">
            <v>403408</v>
          </cell>
          <cell r="C280" t="str">
            <v>MERM. LAMARKA DAMASCO BALDE 5 Kg</v>
          </cell>
          <cell r="D280">
            <v>1260</v>
          </cell>
          <cell r="E280">
            <v>490</v>
          </cell>
          <cell r="F280">
            <v>1040</v>
          </cell>
          <cell r="G280">
            <v>500</v>
          </cell>
          <cell r="H280">
            <v>1200</v>
          </cell>
          <cell r="I280">
            <v>695</v>
          </cell>
          <cell r="J280">
            <v>1220</v>
          </cell>
          <cell r="K280">
            <v>685</v>
          </cell>
          <cell r="L280">
            <v>1405</v>
          </cell>
          <cell r="M280">
            <v>480</v>
          </cell>
          <cell r="N280">
            <v>1445</v>
          </cell>
          <cell r="O280">
            <v>80</v>
          </cell>
          <cell r="P280">
            <v>1200</v>
          </cell>
          <cell r="Q280">
            <v>995</v>
          </cell>
          <cell r="R280">
            <v>840</v>
          </cell>
          <cell r="S280">
            <v>1030</v>
          </cell>
          <cell r="T280">
            <v>950</v>
          </cell>
          <cell r="U280">
            <v>1085</v>
          </cell>
          <cell r="V280">
            <v>1190</v>
          </cell>
          <cell r="W280">
            <v>910</v>
          </cell>
          <cell r="X280">
            <v>1130</v>
          </cell>
          <cell r="Y280">
            <v>160</v>
          </cell>
          <cell r="Z280">
            <v>930</v>
          </cell>
          <cell r="AA280">
            <v>1010</v>
          </cell>
          <cell r="AB280">
            <v>1815</v>
          </cell>
          <cell r="AC280">
            <v>80</v>
          </cell>
          <cell r="AE280">
            <v>720</v>
          </cell>
          <cell r="AF280">
            <v>80</v>
          </cell>
          <cell r="AG280">
            <v>81</v>
          </cell>
          <cell r="AH280">
            <v>134</v>
          </cell>
          <cell r="AI280">
            <v>1103</v>
          </cell>
          <cell r="AJ280">
            <v>80</v>
          </cell>
          <cell r="AK280">
            <v>800</v>
          </cell>
          <cell r="AL280">
            <v>930</v>
          </cell>
          <cell r="AM280">
            <v>710</v>
          </cell>
          <cell r="AN280">
            <v>380</v>
          </cell>
          <cell r="AO280">
            <v>820</v>
          </cell>
          <cell r="AP280">
            <v>290</v>
          </cell>
          <cell r="AQ280">
            <v>900</v>
          </cell>
          <cell r="AR280">
            <v>880</v>
          </cell>
          <cell r="AS280">
            <v>800</v>
          </cell>
          <cell r="AT280">
            <v>1395</v>
          </cell>
          <cell r="AU280">
            <v>455</v>
          </cell>
          <cell r="AV280">
            <v>345</v>
          </cell>
          <cell r="AW280">
            <v>590</v>
          </cell>
          <cell r="AX280">
            <v>1180</v>
          </cell>
          <cell r="AY280">
            <v>1245</v>
          </cell>
          <cell r="AZ280">
            <v>865</v>
          </cell>
          <cell r="BA280">
            <v>750</v>
          </cell>
          <cell r="BB280">
            <v>455</v>
          </cell>
          <cell r="BC280">
            <v>1025</v>
          </cell>
          <cell r="BD280">
            <v>475</v>
          </cell>
          <cell r="BE280">
            <v>145</v>
          </cell>
          <cell r="BF280">
            <v>310</v>
          </cell>
          <cell r="BG280">
            <v>360</v>
          </cell>
          <cell r="BH280">
            <v>1235</v>
          </cell>
          <cell r="BI280">
            <v>910</v>
          </cell>
          <cell r="BJ280">
            <v>1010</v>
          </cell>
          <cell r="BK280">
            <v>455</v>
          </cell>
          <cell r="BL280">
            <v>880</v>
          </cell>
          <cell r="BM280">
            <v>875</v>
          </cell>
          <cell r="BN280">
            <v>190</v>
          </cell>
          <cell r="BP280">
            <v>5</v>
          </cell>
          <cell r="BQ280">
            <v>575</v>
          </cell>
          <cell r="BS280">
            <v>80</v>
          </cell>
          <cell r="BT280">
            <v>240</v>
          </cell>
          <cell r="BU280">
            <v>120</v>
          </cell>
          <cell r="BV280">
            <v>80</v>
          </cell>
          <cell r="BW280">
            <v>125</v>
          </cell>
          <cell r="BX280">
            <v>120</v>
          </cell>
          <cell r="BY280">
            <v>80</v>
          </cell>
          <cell r="BZ280">
            <v>120</v>
          </cell>
          <cell r="CA280">
            <v>120</v>
          </cell>
          <cell r="CB280">
            <v>80</v>
          </cell>
          <cell r="CC280">
            <v>120</v>
          </cell>
          <cell r="CD280">
            <v>95</v>
          </cell>
          <cell r="CE280">
            <v>80</v>
          </cell>
          <cell r="CF280">
            <v>80</v>
          </cell>
          <cell r="CG280">
            <v>105</v>
          </cell>
          <cell r="CH280">
            <v>190</v>
          </cell>
          <cell r="CI280">
            <v>95</v>
          </cell>
          <cell r="CJ280">
            <v>95</v>
          </cell>
          <cell r="CK280">
            <v>200</v>
          </cell>
          <cell r="CL280">
            <v>100</v>
          </cell>
          <cell r="CM280">
            <v>205</v>
          </cell>
          <cell r="CN280">
            <v>100</v>
          </cell>
          <cell r="CO280">
            <v>200</v>
          </cell>
          <cell r="DE280" t="str">
            <v>ACTIVO</v>
          </cell>
          <cell r="DF280" t="str">
            <v>B</v>
          </cell>
          <cell r="DH280">
            <v>137</v>
          </cell>
          <cell r="DI280">
            <v>22.833333333333332</v>
          </cell>
        </row>
        <row r="281">
          <cell r="B281">
            <v>107131</v>
          </cell>
          <cell r="C281" t="str">
            <v>MERM. MEL DAMASCO MOL. BALDE 5 Kg</v>
          </cell>
          <cell r="D281">
            <v>200</v>
          </cell>
          <cell r="E281">
            <v>135</v>
          </cell>
          <cell r="F281">
            <v>140</v>
          </cell>
          <cell r="G281">
            <v>135</v>
          </cell>
          <cell r="H281">
            <v>180</v>
          </cell>
          <cell r="I281">
            <v>150</v>
          </cell>
          <cell r="J281">
            <v>145</v>
          </cell>
          <cell r="K281">
            <v>205</v>
          </cell>
          <cell r="L281">
            <v>345</v>
          </cell>
          <cell r="M281">
            <v>220</v>
          </cell>
          <cell r="N281">
            <v>150</v>
          </cell>
          <cell r="O281">
            <v>45</v>
          </cell>
          <cell r="P281">
            <v>310</v>
          </cell>
          <cell r="Q281">
            <v>340</v>
          </cell>
          <cell r="R281">
            <v>265</v>
          </cell>
          <cell r="S281">
            <v>195</v>
          </cell>
          <cell r="T281">
            <v>255</v>
          </cell>
          <cell r="U281">
            <v>225</v>
          </cell>
          <cell r="V281">
            <v>335</v>
          </cell>
          <cell r="W281">
            <v>200</v>
          </cell>
          <cell r="X281">
            <v>170</v>
          </cell>
          <cell r="Y281">
            <v>260</v>
          </cell>
          <cell r="Z281">
            <v>150</v>
          </cell>
          <cell r="AA281">
            <v>205</v>
          </cell>
          <cell r="AB281">
            <v>245</v>
          </cell>
          <cell r="AC281">
            <v>160</v>
          </cell>
          <cell r="AD281">
            <v>95</v>
          </cell>
          <cell r="AE281">
            <v>115</v>
          </cell>
          <cell r="AF281">
            <v>225</v>
          </cell>
          <cell r="AG281">
            <v>155</v>
          </cell>
          <cell r="AH281">
            <v>140</v>
          </cell>
          <cell r="AI281">
            <v>185</v>
          </cell>
          <cell r="AJ281">
            <v>210</v>
          </cell>
          <cell r="AK281">
            <v>180</v>
          </cell>
          <cell r="AL281">
            <v>215</v>
          </cell>
          <cell r="AM281">
            <v>210</v>
          </cell>
          <cell r="AN281">
            <v>290</v>
          </cell>
          <cell r="AO281">
            <v>220</v>
          </cell>
          <cell r="AP281">
            <v>250</v>
          </cell>
          <cell r="AQ281">
            <v>235</v>
          </cell>
          <cell r="AR281">
            <v>235</v>
          </cell>
          <cell r="AS281">
            <v>230</v>
          </cell>
          <cell r="AT281">
            <v>180</v>
          </cell>
          <cell r="AU281">
            <v>215</v>
          </cell>
          <cell r="AV281">
            <v>220</v>
          </cell>
          <cell r="AW281">
            <v>145</v>
          </cell>
          <cell r="AX281">
            <v>226</v>
          </cell>
          <cell r="AY281">
            <v>224</v>
          </cell>
          <cell r="AZ281">
            <v>245</v>
          </cell>
          <cell r="BA281">
            <v>220</v>
          </cell>
          <cell r="BB281">
            <v>400</v>
          </cell>
          <cell r="BC281">
            <v>285</v>
          </cell>
          <cell r="BD281">
            <v>295</v>
          </cell>
          <cell r="BE281">
            <v>200</v>
          </cell>
          <cell r="BF281">
            <v>195</v>
          </cell>
          <cell r="BG281">
            <v>330</v>
          </cell>
          <cell r="BH281">
            <v>255</v>
          </cell>
          <cell r="BI281">
            <v>230</v>
          </cell>
          <cell r="BJ281">
            <v>180</v>
          </cell>
          <cell r="BK281">
            <v>255</v>
          </cell>
          <cell r="BL281">
            <v>285</v>
          </cell>
          <cell r="BM281">
            <v>250</v>
          </cell>
          <cell r="BN281">
            <v>335</v>
          </cell>
          <cell r="BO281">
            <v>225</v>
          </cell>
          <cell r="BP281">
            <v>20</v>
          </cell>
          <cell r="BQ281">
            <v>330</v>
          </cell>
          <cell r="BR281">
            <v>410</v>
          </cell>
          <cell r="BS281">
            <v>245</v>
          </cell>
          <cell r="BT281">
            <v>225</v>
          </cell>
          <cell r="BU281">
            <v>175</v>
          </cell>
          <cell r="BV281">
            <v>155</v>
          </cell>
          <cell r="BW281">
            <v>215</v>
          </cell>
          <cell r="BX281">
            <v>175</v>
          </cell>
          <cell r="BY281">
            <v>270</v>
          </cell>
          <cell r="BZ281">
            <v>225</v>
          </cell>
          <cell r="CA281">
            <v>245</v>
          </cell>
          <cell r="CB281">
            <v>160</v>
          </cell>
          <cell r="CC281">
            <v>195</v>
          </cell>
          <cell r="CD281">
            <v>140</v>
          </cell>
          <cell r="CE281">
            <v>65</v>
          </cell>
          <cell r="CF281">
            <v>65</v>
          </cell>
          <cell r="CG281">
            <v>210</v>
          </cell>
          <cell r="CH281">
            <v>165</v>
          </cell>
          <cell r="CI281">
            <v>165</v>
          </cell>
          <cell r="CJ281">
            <v>125</v>
          </cell>
          <cell r="CK281">
            <v>185</v>
          </cell>
          <cell r="CL281">
            <v>135</v>
          </cell>
          <cell r="CM281">
            <v>135</v>
          </cell>
          <cell r="CN281">
            <v>160</v>
          </cell>
          <cell r="CO281">
            <v>170</v>
          </cell>
          <cell r="CP281">
            <v>170</v>
          </cell>
          <cell r="CQ281">
            <v>165</v>
          </cell>
          <cell r="CR281">
            <v>185</v>
          </cell>
          <cell r="CS281">
            <v>270</v>
          </cell>
          <cell r="CT281">
            <v>190</v>
          </cell>
          <cell r="CU281">
            <v>165</v>
          </cell>
          <cell r="CV281">
            <v>185</v>
          </cell>
          <cell r="CW281">
            <v>155</v>
          </cell>
          <cell r="CX281">
            <v>205</v>
          </cell>
          <cell r="CY281">
            <v>175</v>
          </cell>
          <cell r="CZ281">
            <v>145</v>
          </cell>
          <cell r="DA281">
            <v>185</v>
          </cell>
          <cell r="DB281">
            <v>195</v>
          </cell>
          <cell r="DC281">
            <v>200</v>
          </cell>
          <cell r="DD281">
            <v>215</v>
          </cell>
          <cell r="DE281" t="str">
            <v>ACTIVO</v>
          </cell>
          <cell r="DF281" t="str">
            <v>B</v>
          </cell>
          <cell r="DH281">
            <v>172.8</v>
          </cell>
          <cell r="DI281">
            <v>28.8</v>
          </cell>
        </row>
        <row r="282">
          <cell r="B282">
            <v>405558</v>
          </cell>
          <cell r="C282" t="str">
            <v>RELLENO CREMA VAINILLA BAKELS</v>
          </cell>
          <cell r="BQ282">
            <v>18</v>
          </cell>
          <cell r="BR282">
            <v>37</v>
          </cell>
          <cell r="BS282">
            <v>18</v>
          </cell>
          <cell r="BT282">
            <v>18</v>
          </cell>
          <cell r="BU282">
            <v>36</v>
          </cell>
          <cell r="BV282">
            <v>18</v>
          </cell>
          <cell r="BW282">
            <v>36</v>
          </cell>
          <cell r="BX282">
            <v>36</v>
          </cell>
          <cell r="CE282">
            <v>18</v>
          </cell>
          <cell r="CF282">
            <v>18</v>
          </cell>
          <cell r="CH282">
            <v>19</v>
          </cell>
          <cell r="CI282">
            <v>19</v>
          </cell>
          <cell r="CJ282">
            <v>36</v>
          </cell>
          <cell r="CK282">
            <v>36</v>
          </cell>
          <cell r="CL282">
            <v>18</v>
          </cell>
          <cell r="CN282">
            <v>36</v>
          </cell>
          <cell r="CO282">
            <v>18</v>
          </cell>
          <cell r="CP282">
            <v>18</v>
          </cell>
          <cell r="CR282">
            <v>146</v>
          </cell>
          <cell r="CS282">
            <v>253</v>
          </cell>
          <cell r="CT282">
            <v>593</v>
          </cell>
          <cell r="CU282">
            <v>1189</v>
          </cell>
          <cell r="CV282">
            <v>777</v>
          </cell>
          <cell r="CW282">
            <v>1423</v>
          </cell>
          <cell r="CX282">
            <v>728</v>
          </cell>
          <cell r="CY282">
            <v>18</v>
          </cell>
          <cell r="CZ282">
            <v>254</v>
          </cell>
          <cell r="DA282">
            <v>450</v>
          </cell>
          <cell r="DB282">
            <v>379</v>
          </cell>
          <cell r="DC282">
            <v>162</v>
          </cell>
          <cell r="DD282">
            <v>234</v>
          </cell>
          <cell r="DE282" t="str">
            <v>ACTIVO</v>
          </cell>
          <cell r="DF282" t="str">
            <v>C</v>
          </cell>
          <cell r="DH282">
            <v>310.18181818181819</v>
          </cell>
          <cell r="DI282">
            <v>51.696969696969695</v>
          </cell>
        </row>
        <row r="283">
          <cell r="B283">
            <v>405612</v>
          </cell>
          <cell r="C283" t="str">
            <v>SATIN PURATOS</v>
          </cell>
          <cell r="BS283">
            <v>218</v>
          </cell>
          <cell r="BT283">
            <v>282</v>
          </cell>
          <cell r="BU283">
            <v>240</v>
          </cell>
          <cell r="BV283">
            <v>260</v>
          </cell>
          <cell r="BW283">
            <v>260</v>
          </cell>
          <cell r="BX283">
            <v>180</v>
          </cell>
          <cell r="BY283">
            <v>160</v>
          </cell>
          <cell r="BZ283">
            <v>140</v>
          </cell>
          <cell r="CA283">
            <v>180</v>
          </cell>
          <cell r="CB283">
            <v>160</v>
          </cell>
          <cell r="CC283">
            <v>210</v>
          </cell>
          <cell r="CD283">
            <v>160</v>
          </cell>
          <cell r="CE283">
            <v>120</v>
          </cell>
          <cell r="CF283">
            <v>20</v>
          </cell>
          <cell r="CG283">
            <v>160</v>
          </cell>
          <cell r="CH283">
            <v>180</v>
          </cell>
          <cell r="CI283">
            <v>260</v>
          </cell>
          <cell r="CJ283">
            <v>260</v>
          </cell>
          <cell r="CK283">
            <v>260</v>
          </cell>
          <cell r="CL283">
            <v>220</v>
          </cell>
          <cell r="CM283">
            <v>180</v>
          </cell>
          <cell r="CN283">
            <v>200</v>
          </cell>
          <cell r="CO283">
            <v>220</v>
          </cell>
          <cell r="CP283">
            <v>240</v>
          </cell>
          <cell r="CQ283">
            <v>220</v>
          </cell>
          <cell r="CR283">
            <v>220</v>
          </cell>
          <cell r="CS283">
            <v>200</v>
          </cell>
          <cell r="CT283">
            <v>240</v>
          </cell>
          <cell r="CU283">
            <v>180</v>
          </cell>
          <cell r="CV283">
            <v>240</v>
          </cell>
          <cell r="CW283">
            <v>220</v>
          </cell>
          <cell r="CX283">
            <v>180</v>
          </cell>
          <cell r="CY283">
            <v>240</v>
          </cell>
          <cell r="CZ283">
            <v>240</v>
          </cell>
          <cell r="DA283">
            <v>240</v>
          </cell>
          <cell r="DB283">
            <v>240</v>
          </cell>
          <cell r="DC283">
            <v>220</v>
          </cell>
          <cell r="DD283">
            <v>200</v>
          </cell>
          <cell r="DE283" t="str">
            <v>ACTIVO</v>
          </cell>
          <cell r="DF283" t="str">
            <v>C</v>
          </cell>
          <cell r="DH283">
            <v>211.2</v>
          </cell>
          <cell r="DI283">
            <v>35.199999999999996</v>
          </cell>
        </row>
        <row r="284">
          <cell r="B284">
            <v>405491</v>
          </cell>
          <cell r="C284" t="str">
            <v>FILLING DE MANZANA MEL</v>
          </cell>
          <cell r="AH284">
            <v>319.09999999999997</v>
          </cell>
          <cell r="AI284">
            <v>376.45</v>
          </cell>
          <cell r="AJ284">
            <v>543</v>
          </cell>
          <cell r="AK284">
            <v>429.3</v>
          </cell>
          <cell r="AL284">
            <v>567</v>
          </cell>
          <cell r="AM284">
            <v>420</v>
          </cell>
          <cell r="AN284">
            <v>495</v>
          </cell>
          <cell r="AO284">
            <v>417</v>
          </cell>
          <cell r="AP284">
            <v>720</v>
          </cell>
          <cell r="AQ284">
            <v>548</v>
          </cell>
          <cell r="AR284">
            <v>675.4</v>
          </cell>
          <cell r="AS284">
            <v>729</v>
          </cell>
          <cell r="AT284">
            <v>660</v>
          </cell>
          <cell r="AU284">
            <v>838</v>
          </cell>
          <cell r="AV284">
            <v>646.5</v>
          </cell>
          <cell r="AW284">
            <v>763</v>
          </cell>
          <cell r="AX284">
            <v>805.5</v>
          </cell>
          <cell r="AY284">
            <v>498</v>
          </cell>
          <cell r="AZ284">
            <v>803.5</v>
          </cell>
          <cell r="BA284">
            <v>570</v>
          </cell>
          <cell r="BB284">
            <v>219.5</v>
          </cell>
          <cell r="BC284">
            <v>398.5</v>
          </cell>
          <cell r="BD284">
            <v>342</v>
          </cell>
          <cell r="BE284">
            <v>316</v>
          </cell>
          <cell r="BF284">
            <v>633.5</v>
          </cell>
          <cell r="BG284">
            <v>476</v>
          </cell>
          <cell r="BH284">
            <v>352</v>
          </cell>
          <cell r="BI284">
            <v>295</v>
          </cell>
          <cell r="BJ284">
            <v>696</v>
          </cell>
          <cell r="BK284">
            <v>949.15</v>
          </cell>
          <cell r="BL284">
            <v>465</v>
          </cell>
          <cell r="BM284">
            <v>390</v>
          </cell>
          <cell r="BN284">
            <v>339</v>
          </cell>
          <cell r="BO284">
            <v>366</v>
          </cell>
          <cell r="BP284">
            <v>39</v>
          </cell>
          <cell r="BQ284">
            <v>414</v>
          </cell>
          <cell r="BR284">
            <v>408</v>
          </cell>
          <cell r="BS284">
            <v>375</v>
          </cell>
          <cell r="BT284">
            <v>297</v>
          </cell>
          <cell r="BU284">
            <v>312</v>
          </cell>
          <cell r="BV284">
            <v>249</v>
          </cell>
          <cell r="BW284">
            <v>276</v>
          </cell>
          <cell r="BX284">
            <v>210</v>
          </cell>
          <cell r="BY284">
            <v>213</v>
          </cell>
          <cell r="BZ284">
            <v>264</v>
          </cell>
          <cell r="CA284">
            <v>296</v>
          </cell>
          <cell r="CB284">
            <v>180</v>
          </cell>
          <cell r="CC284">
            <v>261</v>
          </cell>
          <cell r="CD284">
            <v>201</v>
          </cell>
          <cell r="CE284">
            <v>123</v>
          </cell>
          <cell r="CF284">
            <v>84</v>
          </cell>
          <cell r="CG284">
            <v>228</v>
          </cell>
          <cell r="CH284">
            <v>225</v>
          </cell>
          <cell r="CI284">
            <v>253.2</v>
          </cell>
          <cell r="CJ284">
            <v>201</v>
          </cell>
          <cell r="CK284">
            <v>231</v>
          </cell>
          <cell r="CL284">
            <v>189</v>
          </cell>
          <cell r="CM284">
            <v>277</v>
          </cell>
          <cell r="CN284">
            <v>368.3</v>
          </cell>
          <cell r="CO284">
            <v>244</v>
          </cell>
          <cell r="CP284">
            <v>247</v>
          </cell>
          <cell r="CQ284">
            <v>238</v>
          </cell>
          <cell r="CR284">
            <v>267</v>
          </cell>
          <cell r="CS284">
            <v>244</v>
          </cell>
          <cell r="CT284">
            <v>399</v>
          </cell>
          <cell r="CU284">
            <v>257.7</v>
          </cell>
          <cell r="CV284">
            <v>321</v>
          </cell>
          <cell r="CW284">
            <v>293</v>
          </cell>
          <cell r="CX284">
            <v>319</v>
          </cell>
          <cell r="CY284">
            <v>378</v>
          </cell>
          <cell r="CZ284">
            <v>284</v>
          </cell>
          <cell r="DA284">
            <v>348</v>
          </cell>
          <cell r="DB284">
            <v>384</v>
          </cell>
          <cell r="DC284">
            <v>365</v>
          </cell>
          <cell r="DD284">
            <v>396.5</v>
          </cell>
          <cell r="DE284" t="str">
            <v>ACTIVO</v>
          </cell>
          <cell r="DF284" t="str">
            <v>A</v>
          </cell>
          <cell r="DH284">
            <v>281.66800000000001</v>
          </cell>
          <cell r="DI284">
            <v>46.94466666666667</v>
          </cell>
        </row>
        <row r="285">
          <cell r="B285">
            <v>405436</v>
          </cell>
          <cell r="C285" t="str">
            <v>PURE DE MANZANA BALDE 4,5 Kg MEL</v>
          </cell>
          <cell r="AH285">
            <v>220.5</v>
          </cell>
          <cell r="AI285">
            <v>409.5</v>
          </cell>
          <cell r="AJ285">
            <v>549</v>
          </cell>
          <cell r="AK285">
            <v>490.5</v>
          </cell>
          <cell r="AL285">
            <v>580.5</v>
          </cell>
          <cell r="AM285">
            <v>427.5</v>
          </cell>
          <cell r="AN285">
            <v>562.5</v>
          </cell>
          <cell r="AO285">
            <v>607.5</v>
          </cell>
          <cell r="AP285">
            <v>585</v>
          </cell>
          <cell r="AQ285">
            <v>685.5</v>
          </cell>
          <cell r="AR285">
            <v>650.5</v>
          </cell>
          <cell r="AS285">
            <v>925</v>
          </cell>
          <cell r="AT285">
            <v>654</v>
          </cell>
          <cell r="AU285">
            <v>676.5</v>
          </cell>
          <cell r="AV285">
            <v>1134.8499999999999</v>
          </cell>
          <cell r="AW285">
            <v>736</v>
          </cell>
          <cell r="AX285">
            <v>811</v>
          </cell>
          <cell r="AY285">
            <v>533.5</v>
          </cell>
          <cell r="AZ285">
            <v>673</v>
          </cell>
          <cell r="BA285">
            <v>711.5</v>
          </cell>
          <cell r="BB285">
            <v>414</v>
          </cell>
          <cell r="BC285">
            <v>593.79999999999995</v>
          </cell>
          <cell r="BD285">
            <v>378</v>
          </cell>
          <cell r="BE285">
            <v>309.5</v>
          </cell>
          <cell r="BF285">
            <v>365</v>
          </cell>
          <cell r="BG285">
            <v>526</v>
          </cell>
          <cell r="BH285">
            <v>382</v>
          </cell>
          <cell r="BI285">
            <v>313.5</v>
          </cell>
          <cell r="BJ285">
            <v>248.5</v>
          </cell>
          <cell r="BK285">
            <v>1121</v>
          </cell>
          <cell r="BL285">
            <v>416.5</v>
          </cell>
          <cell r="BM285">
            <v>423.5</v>
          </cell>
          <cell r="BN285">
            <v>340.5</v>
          </cell>
          <cell r="BO285">
            <v>370</v>
          </cell>
          <cell r="BP285">
            <v>38.5</v>
          </cell>
          <cell r="BQ285">
            <v>424</v>
          </cell>
          <cell r="BR285">
            <v>414.5</v>
          </cell>
          <cell r="BS285">
            <v>406</v>
          </cell>
          <cell r="BT285">
            <v>390</v>
          </cell>
          <cell r="BU285">
            <v>361.5</v>
          </cell>
          <cell r="BV285">
            <v>310</v>
          </cell>
          <cell r="BW285">
            <v>311.5</v>
          </cell>
          <cell r="BX285">
            <v>247.5</v>
          </cell>
          <cell r="BY285">
            <v>210</v>
          </cell>
          <cell r="BZ285">
            <v>313.5</v>
          </cell>
          <cell r="CA285">
            <v>300.5</v>
          </cell>
          <cell r="CB285">
            <v>182.5</v>
          </cell>
          <cell r="CC285">
            <v>281</v>
          </cell>
          <cell r="CD285">
            <v>236</v>
          </cell>
          <cell r="CE285">
            <v>151.5</v>
          </cell>
          <cell r="CF285">
            <v>129</v>
          </cell>
          <cell r="CG285">
            <v>235</v>
          </cell>
          <cell r="CH285">
            <v>223</v>
          </cell>
          <cell r="CI285">
            <v>210</v>
          </cell>
          <cell r="CJ285">
            <v>207</v>
          </cell>
          <cell r="CK285">
            <v>234.5</v>
          </cell>
          <cell r="CL285">
            <v>188.5</v>
          </cell>
          <cell r="CM285">
            <v>192.5</v>
          </cell>
          <cell r="CN285">
            <v>227.5</v>
          </cell>
          <cell r="CO285">
            <v>220.5</v>
          </cell>
          <cell r="CP285">
            <v>234.5</v>
          </cell>
          <cell r="CQ285">
            <v>236.5</v>
          </cell>
          <cell r="CR285">
            <v>268</v>
          </cell>
          <cell r="CS285">
            <v>232</v>
          </cell>
          <cell r="CT285">
            <v>210</v>
          </cell>
          <cell r="CV285">
            <v>52.5</v>
          </cell>
          <cell r="DE285" t="str">
            <v>ACTIVO</v>
          </cell>
          <cell r="DF285" t="str">
            <v>A</v>
          </cell>
          <cell r="DH285">
            <v>206.3125</v>
          </cell>
          <cell r="DI285">
            <v>34.385416666666664</v>
          </cell>
        </row>
        <row r="286">
          <cell r="B286">
            <v>405524</v>
          </cell>
          <cell r="C286" t="str">
            <v>CREMFIL DULCE DE LECHE PURATOS</v>
          </cell>
          <cell r="AR286">
            <v>57</v>
          </cell>
          <cell r="BQ286">
            <v>19</v>
          </cell>
          <cell r="BR286">
            <v>38</v>
          </cell>
          <cell r="BS286">
            <v>56</v>
          </cell>
          <cell r="BT286">
            <v>57</v>
          </cell>
          <cell r="BU286">
            <v>114</v>
          </cell>
          <cell r="BV286">
            <v>57</v>
          </cell>
          <cell r="BW286">
            <v>76</v>
          </cell>
          <cell r="BX286">
            <v>76</v>
          </cell>
          <cell r="BY286">
            <v>57</v>
          </cell>
          <cell r="BZ286">
            <v>57</v>
          </cell>
          <cell r="CA286">
            <v>38</v>
          </cell>
          <cell r="CB286">
            <v>38</v>
          </cell>
          <cell r="CC286">
            <v>57</v>
          </cell>
          <cell r="CD286">
            <v>57</v>
          </cell>
          <cell r="CE286">
            <v>38</v>
          </cell>
          <cell r="CF286">
            <v>19</v>
          </cell>
          <cell r="CG286">
            <v>38</v>
          </cell>
          <cell r="CH286">
            <v>38</v>
          </cell>
          <cell r="CI286">
            <v>76</v>
          </cell>
          <cell r="CJ286">
            <v>57</v>
          </cell>
          <cell r="CK286">
            <v>152</v>
          </cell>
          <cell r="CL286">
            <v>38</v>
          </cell>
          <cell r="CM286">
            <v>19</v>
          </cell>
          <cell r="CN286">
            <v>57</v>
          </cell>
          <cell r="CO286">
            <v>56</v>
          </cell>
          <cell r="CP286">
            <v>75</v>
          </cell>
          <cell r="CQ286">
            <v>57</v>
          </cell>
          <cell r="CR286">
            <v>37</v>
          </cell>
          <cell r="CS286">
            <v>56</v>
          </cell>
          <cell r="CT286">
            <v>38</v>
          </cell>
          <cell r="CU286">
            <v>37</v>
          </cell>
          <cell r="CV286">
            <v>57</v>
          </cell>
          <cell r="CW286">
            <v>56</v>
          </cell>
          <cell r="CY286">
            <v>57</v>
          </cell>
          <cell r="CZ286">
            <v>19</v>
          </cell>
          <cell r="DA286">
            <v>19</v>
          </cell>
          <cell r="DB286">
            <v>38</v>
          </cell>
          <cell r="DC286">
            <v>38</v>
          </cell>
          <cell r="DD286">
            <v>37</v>
          </cell>
          <cell r="DE286" t="str">
            <v>ACTIVO</v>
          </cell>
          <cell r="DF286" t="str">
            <v>C</v>
          </cell>
          <cell r="DH286">
            <v>48.791666666666664</v>
          </cell>
          <cell r="DI286">
            <v>8.1319444444444446</v>
          </cell>
        </row>
        <row r="287">
          <cell r="B287">
            <v>107358</v>
          </cell>
          <cell r="C287" t="str">
            <v>MERMELADA FRUTOS DEL BOSQUE MEL</v>
          </cell>
          <cell r="G287">
            <v>25</v>
          </cell>
          <cell r="H287">
            <v>5</v>
          </cell>
          <cell r="DE287" t="str">
            <v>SIN USO</v>
          </cell>
          <cell r="DF287" t="str">
            <v/>
          </cell>
          <cell r="DH287">
            <v>0</v>
          </cell>
          <cell r="DI287">
            <v>0</v>
          </cell>
        </row>
        <row r="288">
          <cell r="B288">
            <v>405318</v>
          </cell>
          <cell r="C288" t="str">
            <v>MERM. EBEL FRUTOS DEL BOSQUE BALDE 5 KG</v>
          </cell>
          <cell r="D288">
            <v>150</v>
          </cell>
          <cell r="E288">
            <v>255</v>
          </cell>
          <cell r="F288">
            <v>55</v>
          </cell>
          <cell r="G288">
            <v>335</v>
          </cell>
          <cell r="H288">
            <v>220</v>
          </cell>
          <cell r="I288">
            <v>430</v>
          </cell>
          <cell r="J288">
            <v>410</v>
          </cell>
          <cell r="K288">
            <v>470</v>
          </cell>
          <cell r="L288">
            <v>395</v>
          </cell>
          <cell r="M288">
            <v>160</v>
          </cell>
          <cell r="N288">
            <v>160</v>
          </cell>
          <cell r="O288">
            <v>320</v>
          </cell>
          <cell r="P288">
            <v>100</v>
          </cell>
          <cell r="Q288">
            <v>410</v>
          </cell>
          <cell r="R288">
            <v>350</v>
          </cell>
          <cell r="S288">
            <v>310</v>
          </cell>
          <cell r="T288">
            <v>125</v>
          </cell>
          <cell r="U288">
            <v>450</v>
          </cell>
          <cell r="V288">
            <v>75</v>
          </cell>
          <cell r="W288">
            <v>75</v>
          </cell>
          <cell r="X288">
            <v>495</v>
          </cell>
          <cell r="Y288">
            <v>75</v>
          </cell>
          <cell r="Z288">
            <v>540</v>
          </cell>
          <cell r="AA288">
            <v>55</v>
          </cell>
          <cell r="AB288">
            <v>510</v>
          </cell>
          <cell r="AC288">
            <v>55</v>
          </cell>
          <cell r="AD288">
            <v>30</v>
          </cell>
          <cell r="AE288">
            <v>25</v>
          </cell>
          <cell r="AF288">
            <v>55</v>
          </cell>
          <cell r="AG288">
            <v>60</v>
          </cell>
          <cell r="AH288">
            <v>55</v>
          </cell>
          <cell r="AI288">
            <v>450</v>
          </cell>
          <cell r="AJ288">
            <v>520</v>
          </cell>
          <cell r="AM288">
            <v>425</v>
          </cell>
          <cell r="AN288">
            <v>150</v>
          </cell>
          <cell r="AP288">
            <v>525</v>
          </cell>
          <cell r="AS288">
            <v>425</v>
          </cell>
          <cell r="AT288">
            <v>50</v>
          </cell>
          <cell r="AW288">
            <v>245</v>
          </cell>
          <cell r="AZ288">
            <v>305</v>
          </cell>
          <cell r="BA288">
            <v>285</v>
          </cell>
          <cell r="BB288">
            <v>285</v>
          </cell>
          <cell r="BC288">
            <v>520</v>
          </cell>
          <cell r="BD288">
            <v>100</v>
          </cell>
          <cell r="BE288">
            <v>330</v>
          </cell>
          <cell r="BI288">
            <v>285</v>
          </cell>
          <cell r="BJ288">
            <v>260</v>
          </cell>
          <cell r="BK288">
            <v>170</v>
          </cell>
          <cell r="BL288">
            <v>175</v>
          </cell>
          <cell r="BM288">
            <v>215</v>
          </cell>
          <cell r="BN288">
            <v>210</v>
          </cell>
          <cell r="BO288">
            <v>75</v>
          </cell>
          <cell r="BQ288">
            <v>180</v>
          </cell>
          <cell r="BR288">
            <v>50</v>
          </cell>
          <cell r="BS288">
            <v>235</v>
          </cell>
          <cell r="BT288">
            <v>370</v>
          </cell>
          <cell r="BU288">
            <v>110</v>
          </cell>
          <cell r="BY288">
            <v>195</v>
          </cell>
          <cell r="BZ288">
            <v>245</v>
          </cell>
          <cell r="CA288">
            <v>235</v>
          </cell>
          <cell r="CB288">
            <v>200</v>
          </cell>
          <cell r="CD288">
            <v>475</v>
          </cell>
          <cell r="CH288">
            <v>425</v>
          </cell>
          <cell r="CI288">
            <v>115</v>
          </cell>
          <cell r="CL288">
            <v>490</v>
          </cell>
          <cell r="CM288">
            <v>5</v>
          </cell>
          <cell r="CN288">
            <v>370</v>
          </cell>
          <cell r="CO288">
            <v>160</v>
          </cell>
          <cell r="CQ288">
            <v>25</v>
          </cell>
          <cell r="CR288">
            <v>450</v>
          </cell>
          <cell r="CS288">
            <v>30</v>
          </cell>
          <cell r="CT288">
            <v>360</v>
          </cell>
          <cell r="CW288">
            <v>125</v>
          </cell>
          <cell r="CX288">
            <v>30</v>
          </cell>
          <cell r="CY288">
            <v>285</v>
          </cell>
          <cell r="CZ288">
            <v>100</v>
          </cell>
          <cell r="DA288">
            <v>330</v>
          </cell>
          <cell r="DB288">
            <v>115</v>
          </cell>
          <cell r="DC288">
            <v>260</v>
          </cell>
          <cell r="DD288">
            <v>515</v>
          </cell>
          <cell r="DE288" t="str">
            <v>ACTIVO</v>
          </cell>
          <cell r="DF288" t="str">
            <v>B</v>
          </cell>
          <cell r="DH288">
            <v>232.77777777777777</v>
          </cell>
          <cell r="DI288">
            <v>38.796296296296298</v>
          </cell>
        </row>
        <row r="289">
          <cell r="B289">
            <v>107113</v>
          </cell>
          <cell r="C289" t="str">
            <v>MERM. MEL GUINDA ÁCIDA QUINTA BALDE 5 Kg</v>
          </cell>
          <cell r="D289">
            <v>155</v>
          </cell>
          <cell r="E289">
            <v>140</v>
          </cell>
          <cell r="F289">
            <v>120</v>
          </cell>
          <cell r="G289">
            <v>170</v>
          </cell>
          <cell r="H289">
            <v>135</v>
          </cell>
          <cell r="I289">
            <v>35</v>
          </cell>
          <cell r="J289">
            <v>125</v>
          </cell>
          <cell r="K289">
            <v>185</v>
          </cell>
          <cell r="L289">
            <v>150</v>
          </cell>
          <cell r="M289">
            <v>160</v>
          </cell>
          <cell r="N289">
            <v>115</v>
          </cell>
          <cell r="P289">
            <v>130</v>
          </cell>
          <cell r="Q289">
            <v>185</v>
          </cell>
          <cell r="R289">
            <v>150</v>
          </cell>
          <cell r="S289">
            <v>175</v>
          </cell>
          <cell r="T289">
            <v>110</v>
          </cell>
          <cell r="U289">
            <v>185</v>
          </cell>
          <cell r="V289">
            <v>185</v>
          </cell>
          <cell r="W289">
            <v>105</v>
          </cell>
          <cell r="X289">
            <v>110</v>
          </cell>
          <cell r="Z289">
            <v>160</v>
          </cell>
          <cell r="AA289">
            <v>110</v>
          </cell>
          <cell r="AB289">
            <v>145</v>
          </cell>
          <cell r="AC289">
            <v>185</v>
          </cell>
          <cell r="AD289">
            <v>55</v>
          </cell>
          <cell r="AE289">
            <v>155</v>
          </cell>
          <cell r="AF289">
            <v>675</v>
          </cell>
          <cell r="AG289">
            <v>960</v>
          </cell>
          <cell r="AH289">
            <v>1005</v>
          </cell>
          <cell r="AI289">
            <v>2060</v>
          </cell>
          <cell r="AJ289">
            <v>200</v>
          </cell>
          <cell r="AK289">
            <v>1310</v>
          </cell>
          <cell r="AL289">
            <v>725</v>
          </cell>
          <cell r="AM289">
            <v>725</v>
          </cell>
          <cell r="AN289">
            <v>1385</v>
          </cell>
          <cell r="AO289">
            <v>950</v>
          </cell>
          <cell r="AP289">
            <v>1325</v>
          </cell>
          <cell r="AQ289">
            <v>1210</v>
          </cell>
          <cell r="AR289">
            <v>2345</v>
          </cell>
          <cell r="AS289">
            <v>1395</v>
          </cell>
          <cell r="AT289">
            <v>2140</v>
          </cell>
          <cell r="AU289">
            <v>965</v>
          </cell>
          <cell r="AV289">
            <v>1215</v>
          </cell>
          <cell r="AW289">
            <v>1125</v>
          </cell>
          <cell r="AX289">
            <v>1230</v>
          </cell>
          <cell r="AY289">
            <v>1220</v>
          </cell>
          <cell r="AZ289">
            <v>1265</v>
          </cell>
          <cell r="BA289">
            <v>735</v>
          </cell>
          <cell r="BB289">
            <v>1210</v>
          </cell>
          <cell r="BC289">
            <v>170</v>
          </cell>
          <cell r="BD289">
            <v>295</v>
          </cell>
          <cell r="BE289">
            <v>1690</v>
          </cell>
          <cell r="BF289">
            <v>325</v>
          </cell>
          <cell r="BG289">
            <v>1345</v>
          </cell>
          <cell r="BH289">
            <v>1295</v>
          </cell>
          <cell r="BI289">
            <v>1050</v>
          </cell>
          <cell r="BJ289">
            <v>470</v>
          </cell>
          <cell r="BK289">
            <v>1635</v>
          </cell>
          <cell r="BL289">
            <v>1285</v>
          </cell>
          <cell r="BM289">
            <v>945</v>
          </cell>
          <cell r="BN289">
            <v>895</v>
          </cell>
          <cell r="BO289">
            <v>1095</v>
          </cell>
          <cell r="BP289">
            <v>15</v>
          </cell>
          <cell r="BQ289">
            <v>775</v>
          </cell>
          <cell r="BR289">
            <v>760</v>
          </cell>
          <cell r="BS289">
            <v>1405</v>
          </cell>
          <cell r="BT289">
            <v>480</v>
          </cell>
          <cell r="BU289">
            <v>2035</v>
          </cell>
          <cell r="BV289">
            <v>1175</v>
          </cell>
          <cell r="BW289">
            <v>710</v>
          </cell>
          <cell r="BX289">
            <v>450</v>
          </cell>
          <cell r="BY289">
            <v>120</v>
          </cell>
          <cell r="BZ289">
            <v>125</v>
          </cell>
          <cell r="CA289">
            <v>335</v>
          </cell>
          <cell r="CB289">
            <v>420</v>
          </cell>
          <cell r="CC289">
            <v>290</v>
          </cell>
          <cell r="CD289">
            <v>1035</v>
          </cell>
          <cell r="CE289">
            <v>695</v>
          </cell>
          <cell r="CF289">
            <v>935</v>
          </cell>
          <cell r="CG289">
            <v>575</v>
          </cell>
          <cell r="CH289">
            <v>315</v>
          </cell>
          <cell r="CI289">
            <v>460</v>
          </cell>
          <cell r="CJ289">
            <v>105</v>
          </cell>
          <cell r="CK289">
            <v>1200</v>
          </cell>
          <cell r="CL289">
            <v>440</v>
          </cell>
          <cell r="CM289">
            <v>125</v>
          </cell>
          <cell r="CN289">
            <v>1625</v>
          </cell>
          <cell r="CO289">
            <v>465</v>
          </cell>
          <cell r="CP289">
            <v>1330</v>
          </cell>
          <cell r="CQ289">
            <v>375</v>
          </cell>
          <cell r="CR289">
            <v>130</v>
          </cell>
          <cell r="CS289">
            <v>1220</v>
          </cell>
          <cell r="CT289">
            <v>1230</v>
          </cell>
          <cell r="CU289">
            <v>2310</v>
          </cell>
          <cell r="CV289">
            <v>2295</v>
          </cell>
          <cell r="CW289">
            <v>2275</v>
          </cell>
          <cell r="CX289">
            <v>1225</v>
          </cell>
          <cell r="CY289">
            <v>2845</v>
          </cell>
          <cell r="CZ289">
            <v>435</v>
          </cell>
          <cell r="DA289">
            <v>1780</v>
          </cell>
          <cell r="DB289">
            <v>960</v>
          </cell>
          <cell r="DC289">
            <v>1990</v>
          </cell>
          <cell r="DD289">
            <v>1015</v>
          </cell>
          <cell r="DE289" t="str">
            <v>ACTIVO</v>
          </cell>
          <cell r="DF289" t="str">
            <v>A</v>
          </cell>
          <cell r="DH289">
            <v>1106.4000000000001</v>
          </cell>
          <cell r="DI289">
            <v>184.4</v>
          </cell>
        </row>
        <row r="290">
          <cell r="B290">
            <v>107157</v>
          </cell>
          <cell r="C290" t="str">
            <v>MERM. EBEL GUINDA (ET. VERDE) BL 5 Kg</v>
          </cell>
          <cell r="D290">
            <v>1510</v>
          </cell>
          <cell r="E290">
            <v>1800</v>
          </cell>
          <cell r="F290">
            <v>1345</v>
          </cell>
          <cell r="G290">
            <v>1710</v>
          </cell>
          <cell r="H290">
            <v>2625</v>
          </cell>
          <cell r="I290">
            <v>1645</v>
          </cell>
          <cell r="J290">
            <v>1865</v>
          </cell>
          <cell r="K290">
            <v>1715</v>
          </cell>
          <cell r="L290">
            <v>1750</v>
          </cell>
          <cell r="M290">
            <v>1635</v>
          </cell>
          <cell r="N290">
            <v>1995</v>
          </cell>
          <cell r="O290">
            <v>720</v>
          </cell>
          <cell r="P290">
            <v>1405</v>
          </cell>
          <cell r="Q290">
            <v>1615</v>
          </cell>
          <cell r="R290">
            <v>1820</v>
          </cell>
          <cell r="S290">
            <v>1900</v>
          </cell>
          <cell r="T290">
            <v>1075</v>
          </cell>
          <cell r="U290">
            <v>2445</v>
          </cell>
          <cell r="V290">
            <v>1930</v>
          </cell>
          <cell r="W290">
            <v>505</v>
          </cell>
          <cell r="X290">
            <v>1470</v>
          </cell>
          <cell r="Y290">
            <v>2980</v>
          </cell>
          <cell r="Z290">
            <v>570</v>
          </cell>
          <cell r="AA290">
            <v>2170</v>
          </cell>
          <cell r="AB290">
            <v>1210</v>
          </cell>
          <cell r="AC290">
            <v>650</v>
          </cell>
          <cell r="AD290">
            <v>465</v>
          </cell>
          <cell r="AE290">
            <v>20</v>
          </cell>
          <cell r="AF290">
            <v>1217</v>
          </cell>
          <cell r="AG290">
            <v>915</v>
          </cell>
          <cell r="AH290">
            <v>473</v>
          </cell>
          <cell r="AI290">
            <v>685</v>
          </cell>
          <cell r="AJ290">
            <v>1890</v>
          </cell>
          <cell r="AK290">
            <v>1005</v>
          </cell>
          <cell r="AL290">
            <v>675</v>
          </cell>
          <cell r="AM290">
            <v>400</v>
          </cell>
          <cell r="AN290">
            <v>845</v>
          </cell>
          <cell r="AO290">
            <v>2105</v>
          </cell>
          <cell r="AP290">
            <v>465</v>
          </cell>
          <cell r="AQ290">
            <v>1415</v>
          </cell>
          <cell r="AR290">
            <v>805</v>
          </cell>
          <cell r="AS290">
            <v>1310</v>
          </cell>
          <cell r="AT290">
            <v>1450</v>
          </cell>
          <cell r="AU290">
            <v>2110</v>
          </cell>
          <cell r="AV290">
            <v>1960</v>
          </cell>
          <cell r="AW290">
            <v>1465</v>
          </cell>
          <cell r="AX290">
            <v>1365</v>
          </cell>
          <cell r="AY290">
            <v>965</v>
          </cell>
          <cell r="AZ290">
            <v>1945</v>
          </cell>
          <cell r="BA290">
            <v>2735</v>
          </cell>
          <cell r="BB290">
            <v>480</v>
          </cell>
          <cell r="BC290">
            <v>1085</v>
          </cell>
          <cell r="BD290">
            <v>1575</v>
          </cell>
          <cell r="BE290">
            <v>380</v>
          </cell>
          <cell r="BF290">
            <v>1545</v>
          </cell>
          <cell r="BG290">
            <v>235</v>
          </cell>
          <cell r="BH290">
            <v>2225</v>
          </cell>
          <cell r="BI290">
            <v>710</v>
          </cell>
          <cell r="BJ290">
            <v>820</v>
          </cell>
          <cell r="BK290">
            <v>410</v>
          </cell>
          <cell r="BL290">
            <v>495</v>
          </cell>
          <cell r="BM290">
            <v>1320</v>
          </cell>
          <cell r="BN290">
            <v>565</v>
          </cell>
          <cell r="BO290">
            <v>1130</v>
          </cell>
          <cell r="BP290">
            <v>255</v>
          </cell>
          <cell r="BQ290">
            <v>860</v>
          </cell>
          <cell r="BR290">
            <v>1175</v>
          </cell>
          <cell r="BS290">
            <v>2760</v>
          </cell>
          <cell r="BT290">
            <v>715</v>
          </cell>
          <cell r="BU290">
            <v>290</v>
          </cell>
          <cell r="BV290">
            <v>980</v>
          </cell>
          <cell r="BW290">
            <v>695</v>
          </cell>
          <cell r="BX290">
            <v>265</v>
          </cell>
          <cell r="BY290">
            <v>315</v>
          </cell>
          <cell r="BZ290">
            <v>760</v>
          </cell>
          <cell r="CA290">
            <v>1055</v>
          </cell>
          <cell r="CB290">
            <v>685</v>
          </cell>
          <cell r="CC290">
            <v>910</v>
          </cell>
          <cell r="CD290">
            <v>335</v>
          </cell>
          <cell r="CE290">
            <v>190</v>
          </cell>
          <cell r="CF290">
            <v>965</v>
          </cell>
          <cell r="CG290">
            <v>1360</v>
          </cell>
          <cell r="CH290">
            <v>920</v>
          </cell>
          <cell r="CI290">
            <v>1125</v>
          </cell>
          <cell r="CJ290">
            <v>1270</v>
          </cell>
          <cell r="CK290">
            <v>470</v>
          </cell>
          <cell r="CL290">
            <v>1355</v>
          </cell>
          <cell r="CM290">
            <v>1115</v>
          </cell>
          <cell r="CN290">
            <v>315</v>
          </cell>
          <cell r="CO290">
            <v>365</v>
          </cell>
          <cell r="CP290">
            <v>240</v>
          </cell>
          <cell r="CQ290">
            <v>3005</v>
          </cell>
          <cell r="CR290">
            <v>1205</v>
          </cell>
          <cell r="CS290">
            <v>270</v>
          </cell>
          <cell r="CT290">
            <v>250</v>
          </cell>
          <cell r="CU290">
            <v>455</v>
          </cell>
          <cell r="CV290">
            <v>485</v>
          </cell>
          <cell r="CW290">
            <v>95</v>
          </cell>
          <cell r="CX290">
            <v>170</v>
          </cell>
          <cell r="CY290">
            <v>970</v>
          </cell>
          <cell r="CZ290">
            <v>780</v>
          </cell>
          <cell r="DA290">
            <v>1505</v>
          </cell>
          <cell r="DB290">
            <v>660</v>
          </cell>
          <cell r="DC290">
            <v>1215</v>
          </cell>
          <cell r="DD290">
            <v>250</v>
          </cell>
          <cell r="DE290" t="str">
            <v>ACTIVO</v>
          </cell>
          <cell r="DF290" t="str">
            <v>A</v>
          </cell>
          <cell r="DH290">
            <v>832.6</v>
          </cell>
          <cell r="DI290">
            <v>138.76666666666668</v>
          </cell>
        </row>
        <row r="291">
          <cell r="B291">
            <v>107130</v>
          </cell>
          <cell r="C291" t="str">
            <v>MERMELADA FRUTILLA GRADO 1 MEL</v>
          </cell>
          <cell r="H291">
            <v>45</v>
          </cell>
          <cell r="I291">
            <v>30</v>
          </cell>
          <cell r="J291">
            <v>60</v>
          </cell>
          <cell r="K291">
            <v>100</v>
          </cell>
          <cell r="L291">
            <v>237.2</v>
          </cell>
          <cell r="M291">
            <v>290</v>
          </cell>
          <cell r="N291">
            <v>60</v>
          </cell>
          <cell r="O291">
            <v>25</v>
          </cell>
          <cell r="P291">
            <v>165</v>
          </cell>
          <cell r="Q291">
            <v>155</v>
          </cell>
          <cell r="R291">
            <v>140</v>
          </cell>
          <cell r="S291">
            <v>65</v>
          </cell>
          <cell r="T291">
            <v>135</v>
          </cell>
          <cell r="U291">
            <v>70</v>
          </cell>
          <cell r="V291">
            <v>140</v>
          </cell>
          <cell r="W291">
            <v>60</v>
          </cell>
          <cell r="X291">
            <v>85</v>
          </cell>
          <cell r="AA291">
            <v>5</v>
          </cell>
          <cell r="AI291">
            <v>10</v>
          </cell>
          <cell r="AN291">
            <v>15</v>
          </cell>
          <cell r="AR291">
            <v>5</v>
          </cell>
          <cell r="BF291">
            <v>5</v>
          </cell>
          <cell r="BG291">
            <v>5</v>
          </cell>
          <cell r="BS291">
            <v>15</v>
          </cell>
          <cell r="DE291" t="str">
            <v>SIN USO</v>
          </cell>
          <cell r="DF291" t="str">
            <v>C</v>
          </cell>
          <cell r="DH291">
            <v>0</v>
          </cell>
          <cell r="DI291">
            <v>0</v>
          </cell>
        </row>
        <row r="292">
          <cell r="B292">
            <v>403391</v>
          </cell>
          <cell r="C292" t="str">
            <v>MERM. EBEL PIÑA QUINTA BALDE 5 Kg</v>
          </cell>
          <cell r="D292">
            <v>540</v>
          </cell>
          <cell r="E292">
            <v>75</v>
          </cell>
          <cell r="F292">
            <v>540</v>
          </cell>
          <cell r="G292">
            <v>45</v>
          </cell>
          <cell r="H292">
            <v>730</v>
          </cell>
          <cell r="I292">
            <v>355</v>
          </cell>
          <cell r="J292">
            <v>490</v>
          </cell>
          <cell r="K292">
            <v>65</v>
          </cell>
          <cell r="L292">
            <v>55</v>
          </cell>
          <cell r="M292">
            <v>595</v>
          </cell>
          <cell r="N292">
            <v>510</v>
          </cell>
          <cell r="O292">
            <v>30</v>
          </cell>
          <cell r="P292">
            <v>25</v>
          </cell>
          <cell r="Q292">
            <v>455</v>
          </cell>
          <cell r="R292">
            <v>95</v>
          </cell>
          <cell r="S292">
            <v>600</v>
          </cell>
          <cell r="T292">
            <v>575</v>
          </cell>
          <cell r="U292">
            <v>100</v>
          </cell>
          <cell r="V292">
            <v>705</v>
          </cell>
          <cell r="W292">
            <v>1225</v>
          </cell>
          <cell r="X292">
            <v>60</v>
          </cell>
          <cell r="Y292">
            <v>400</v>
          </cell>
          <cell r="Z292">
            <v>960</v>
          </cell>
          <cell r="AA292">
            <v>915</v>
          </cell>
          <cell r="AB292">
            <v>90</v>
          </cell>
          <cell r="AC292">
            <v>1240</v>
          </cell>
          <cell r="AD292">
            <v>15</v>
          </cell>
          <cell r="AE292">
            <v>50</v>
          </cell>
          <cell r="AF292">
            <v>566</v>
          </cell>
          <cell r="AG292">
            <v>549</v>
          </cell>
          <cell r="AH292">
            <v>815</v>
          </cell>
          <cell r="AI292">
            <v>400</v>
          </cell>
          <cell r="AJ292">
            <v>2245</v>
          </cell>
          <cell r="AK292">
            <v>475</v>
          </cell>
          <cell r="AL292">
            <v>440</v>
          </cell>
          <cell r="AM292">
            <v>450</v>
          </cell>
          <cell r="AN292">
            <v>510</v>
          </cell>
          <cell r="AO292">
            <v>625</v>
          </cell>
          <cell r="AP292">
            <v>655</v>
          </cell>
          <cell r="AQ292">
            <v>640</v>
          </cell>
          <cell r="AR292">
            <v>800</v>
          </cell>
          <cell r="AS292">
            <v>470</v>
          </cell>
          <cell r="AT292">
            <v>540</v>
          </cell>
          <cell r="AU292">
            <v>1190</v>
          </cell>
          <cell r="AV292">
            <v>1615</v>
          </cell>
          <cell r="AW292">
            <v>1140</v>
          </cell>
          <cell r="AX292">
            <v>1055</v>
          </cell>
          <cell r="AY292">
            <v>1010</v>
          </cell>
          <cell r="AZ292">
            <v>1250</v>
          </cell>
          <cell r="BA292">
            <v>845</v>
          </cell>
          <cell r="BB292">
            <v>565</v>
          </cell>
          <cell r="BC292">
            <v>935</v>
          </cell>
          <cell r="BD292">
            <v>705</v>
          </cell>
          <cell r="BE292">
            <v>840</v>
          </cell>
          <cell r="BF292">
            <v>1310</v>
          </cell>
          <cell r="BG292">
            <v>590</v>
          </cell>
          <cell r="BH292">
            <v>1230</v>
          </cell>
          <cell r="BI292">
            <v>950</v>
          </cell>
          <cell r="BJ292">
            <v>870</v>
          </cell>
          <cell r="BK292">
            <v>635</v>
          </cell>
          <cell r="BL292">
            <v>855</v>
          </cell>
          <cell r="BM292">
            <v>975</v>
          </cell>
          <cell r="BN292">
            <v>360</v>
          </cell>
          <cell r="BO292">
            <v>945</v>
          </cell>
          <cell r="BP292">
            <v>370</v>
          </cell>
          <cell r="BQ292">
            <v>1085</v>
          </cell>
          <cell r="BR292">
            <v>650</v>
          </cell>
          <cell r="BS292">
            <v>295</v>
          </cell>
          <cell r="BT292">
            <v>755</v>
          </cell>
          <cell r="BU292">
            <v>825</v>
          </cell>
          <cell r="BV292">
            <v>950</v>
          </cell>
          <cell r="BW292">
            <v>645</v>
          </cell>
          <cell r="BX292">
            <v>455</v>
          </cell>
          <cell r="BY292">
            <v>540</v>
          </cell>
          <cell r="BZ292">
            <v>925</v>
          </cell>
          <cell r="CA292">
            <v>785</v>
          </cell>
          <cell r="CB292">
            <v>405</v>
          </cell>
          <cell r="CC292">
            <v>1125</v>
          </cell>
          <cell r="CD292">
            <v>530</v>
          </cell>
          <cell r="CE292">
            <v>730</v>
          </cell>
          <cell r="CG292">
            <v>1320</v>
          </cell>
          <cell r="CH292">
            <v>240</v>
          </cell>
          <cell r="CI292">
            <v>595</v>
          </cell>
          <cell r="CJ292">
            <v>1135</v>
          </cell>
          <cell r="CK292">
            <v>75</v>
          </cell>
          <cell r="CL292">
            <v>745</v>
          </cell>
          <cell r="CM292">
            <v>750</v>
          </cell>
          <cell r="CN292">
            <v>75</v>
          </cell>
          <cell r="CO292">
            <v>1060</v>
          </cell>
          <cell r="CP292">
            <v>1565</v>
          </cell>
          <cell r="CQ292">
            <v>125</v>
          </cell>
          <cell r="CR292">
            <v>1040</v>
          </cell>
          <cell r="CS292">
            <v>505</v>
          </cell>
          <cell r="CT292">
            <v>1020</v>
          </cell>
          <cell r="CU292">
            <v>705</v>
          </cell>
          <cell r="CV292">
            <v>925</v>
          </cell>
          <cell r="CW292">
            <v>595</v>
          </cell>
          <cell r="CX292">
            <v>170</v>
          </cell>
          <cell r="CY292">
            <v>1100</v>
          </cell>
          <cell r="CZ292">
            <v>1480</v>
          </cell>
          <cell r="DA292">
            <v>500</v>
          </cell>
          <cell r="DB292">
            <v>1355</v>
          </cell>
          <cell r="DC292">
            <v>850</v>
          </cell>
          <cell r="DD292">
            <v>1340</v>
          </cell>
          <cell r="DE292" t="str">
            <v>ACTIVO</v>
          </cell>
          <cell r="DF292" t="str">
            <v>A</v>
          </cell>
          <cell r="DH292">
            <v>802.91666666666663</v>
          </cell>
          <cell r="DI292">
            <v>133.81944444444443</v>
          </cell>
        </row>
        <row r="293">
          <cell r="B293">
            <v>107155</v>
          </cell>
          <cell r="C293" t="str">
            <v>MER. EBEL PIÑA BALDE 5 Kg</v>
          </cell>
          <cell r="D293">
            <v>120</v>
          </cell>
          <cell r="E293">
            <v>95</v>
          </cell>
          <cell r="F293">
            <v>150</v>
          </cell>
          <cell r="G293">
            <v>65</v>
          </cell>
          <cell r="H293">
            <v>160</v>
          </cell>
          <cell r="I293">
            <v>120</v>
          </cell>
          <cell r="J293">
            <v>160</v>
          </cell>
          <cell r="K293">
            <v>120</v>
          </cell>
          <cell r="L293">
            <v>120</v>
          </cell>
          <cell r="M293">
            <v>120</v>
          </cell>
          <cell r="N293">
            <v>230</v>
          </cell>
          <cell r="O293">
            <v>80</v>
          </cell>
          <cell r="P293">
            <v>45</v>
          </cell>
          <cell r="Q293">
            <v>335</v>
          </cell>
          <cell r="R293">
            <v>100</v>
          </cell>
          <cell r="S293">
            <v>205</v>
          </cell>
          <cell r="T293">
            <v>110</v>
          </cell>
          <cell r="U293">
            <v>115</v>
          </cell>
          <cell r="V293">
            <v>110</v>
          </cell>
          <cell r="X293">
            <v>345</v>
          </cell>
          <cell r="Y293">
            <v>175</v>
          </cell>
          <cell r="Z293">
            <v>175</v>
          </cell>
          <cell r="AA293">
            <v>140</v>
          </cell>
          <cell r="AB293">
            <v>180</v>
          </cell>
          <cell r="AC293">
            <v>145</v>
          </cell>
          <cell r="AE293">
            <v>10</v>
          </cell>
          <cell r="AF293">
            <v>180</v>
          </cell>
          <cell r="AG293">
            <v>392</v>
          </cell>
          <cell r="AH293">
            <v>123</v>
          </cell>
          <cell r="AI293">
            <v>640</v>
          </cell>
          <cell r="AJ293">
            <v>155</v>
          </cell>
          <cell r="AK293">
            <v>110</v>
          </cell>
          <cell r="AL293">
            <v>160</v>
          </cell>
          <cell r="AM293">
            <v>80</v>
          </cell>
          <cell r="AN293">
            <v>100</v>
          </cell>
          <cell r="AO293">
            <v>155</v>
          </cell>
          <cell r="AP293">
            <v>230</v>
          </cell>
          <cell r="AQ293">
            <v>205</v>
          </cell>
          <cell r="AR293">
            <v>160</v>
          </cell>
          <cell r="AS293">
            <v>280</v>
          </cell>
          <cell r="AT293">
            <v>270</v>
          </cell>
          <cell r="AU293">
            <v>145</v>
          </cell>
          <cell r="AV293">
            <v>165</v>
          </cell>
          <cell r="AW293">
            <v>230</v>
          </cell>
          <cell r="AX293">
            <v>320</v>
          </cell>
          <cell r="AY293">
            <v>330</v>
          </cell>
          <cell r="AZ293">
            <v>775</v>
          </cell>
          <cell r="BA293">
            <v>290</v>
          </cell>
          <cell r="BB293">
            <v>140</v>
          </cell>
          <cell r="BC293">
            <v>135</v>
          </cell>
          <cell r="BD293">
            <v>145</v>
          </cell>
          <cell r="BE293">
            <v>170</v>
          </cell>
          <cell r="BF293">
            <v>575</v>
          </cell>
          <cell r="BH293">
            <v>340</v>
          </cell>
          <cell r="BI293">
            <v>210</v>
          </cell>
          <cell r="BJ293">
            <v>190</v>
          </cell>
          <cell r="BK293">
            <v>145</v>
          </cell>
          <cell r="BL293">
            <v>150</v>
          </cell>
          <cell r="BM293">
            <v>155</v>
          </cell>
          <cell r="BN293">
            <v>190</v>
          </cell>
          <cell r="BP293">
            <v>130</v>
          </cell>
          <cell r="BQ293">
            <v>345</v>
          </cell>
          <cell r="BS293">
            <v>100</v>
          </cell>
          <cell r="BT293">
            <v>240</v>
          </cell>
          <cell r="BU293">
            <v>170</v>
          </cell>
          <cell r="BV293">
            <v>90</v>
          </cell>
          <cell r="BW293">
            <v>120</v>
          </cell>
          <cell r="BX293">
            <v>120</v>
          </cell>
          <cell r="BY293">
            <v>80</v>
          </cell>
          <cell r="BZ293">
            <v>135</v>
          </cell>
          <cell r="CA293">
            <v>143</v>
          </cell>
          <cell r="CB293">
            <v>80</v>
          </cell>
          <cell r="CC293">
            <v>345</v>
          </cell>
          <cell r="CD293">
            <v>95</v>
          </cell>
          <cell r="CE293">
            <v>90</v>
          </cell>
          <cell r="CF293">
            <v>80</v>
          </cell>
          <cell r="CG293">
            <v>105</v>
          </cell>
          <cell r="CH293">
            <v>190</v>
          </cell>
          <cell r="CI293">
            <v>95</v>
          </cell>
          <cell r="CJ293">
            <v>95</v>
          </cell>
          <cell r="CK293">
            <v>200</v>
          </cell>
          <cell r="CL293">
            <v>100</v>
          </cell>
          <cell r="CM293">
            <v>205</v>
          </cell>
          <cell r="CN293">
            <v>100</v>
          </cell>
          <cell r="CO293">
            <v>215</v>
          </cell>
          <cell r="CP293">
            <v>90</v>
          </cell>
          <cell r="CR293">
            <v>40</v>
          </cell>
          <cell r="CS293">
            <v>40</v>
          </cell>
          <cell r="CU293">
            <v>35</v>
          </cell>
          <cell r="CV293">
            <v>140</v>
          </cell>
          <cell r="CW293">
            <v>40</v>
          </cell>
          <cell r="DA293">
            <v>275</v>
          </cell>
          <cell r="DB293">
            <v>20</v>
          </cell>
          <cell r="DD293">
            <v>175</v>
          </cell>
          <cell r="DE293" t="str">
            <v>ACTIVO</v>
          </cell>
          <cell r="DF293" t="str">
            <v>B</v>
          </cell>
          <cell r="DH293">
            <v>117.89473684210526</v>
          </cell>
          <cell r="DI293">
            <v>19.649122807017545</v>
          </cell>
        </row>
        <row r="294">
          <cell r="B294">
            <v>107158</v>
          </cell>
          <cell r="C294" t="str">
            <v>MER. MEL PIÑA BALDE 5 Kg</v>
          </cell>
          <cell r="D294">
            <v>155</v>
          </cell>
          <cell r="E294">
            <v>150</v>
          </cell>
          <cell r="F294">
            <v>150</v>
          </cell>
          <cell r="G294">
            <v>165</v>
          </cell>
          <cell r="H294">
            <v>225</v>
          </cell>
          <cell r="I294">
            <v>95</v>
          </cell>
          <cell r="J294">
            <v>240</v>
          </cell>
          <cell r="K294">
            <v>210</v>
          </cell>
          <cell r="L294">
            <v>255</v>
          </cell>
          <cell r="M294">
            <v>265</v>
          </cell>
          <cell r="N294">
            <v>230</v>
          </cell>
          <cell r="P294">
            <v>200</v>
          </cell>
          <cell r="Q294">
            <v>250</v>
          </cell>
          <cell r="R294">
            <v>325</v>
          </cell>
          <cell r="S294">
            <v>215</v>
          </cell>
          <cell r="T294">
            <v>185</v>
          </cell>
          <cell r="U294">
            <v>301</v>
          </cell>
          <cell r="V294">
            <v>265</v>
          </cell>
          <cell r="W294">
            <v>230</v>
          </cell>
          <cell r="X294">
            <v>180</v>
          </cell>
          <cell r="Z294">
            <v>205</v>
          </cell>
          <cell r="AA294">
            <v>155</v>
          </cell>
          <cell r="AB294">
            <v>220</v>
          </cell>
          <cell r="AC294">
            <v>135</v>
          </cell>
          <cell r="AD294">
            <v>110</v>
          </cell>
          <cell r="AE294">
            <v>80</v>
          </cell>
          <cell r="AF294">
            <v>200</v>
          </cell>
          <cell r="AG294">
            <v>165</v>
          </cell>
          <cell r="AH294">
            <v>425</v>
          </cell>
          <cell r="AI294">
            <v>250</v>
          </cell>
          <cell r="AJ294">
            <v>220</v>
          </cell>
          <cell r="AK294">
            <v>215</v>
          </cell>
          <cell r="AL294">
            <v>170</v>
          </cell>
          <cell r="AM294">
            <v>190</v>
          </cell>
          <cell r="AN294">
            <v>295</v>
          </cell>
          <cell r="AO294">
            <v>220</v>
          </cell>
          <cell r="AP294">
            <v>195</v>
          </cell>
          <cell r="AQ294">
            <v>370</v>
          </cell>
          <cell r="AR294">
            <v>255</v>
          </cell>
          <cell r="AS294">
            <v>210</v>
          </cell>
          <cell r="AT294">
            <v>330</v>
          </cell>
          <cell r="AU294">
            <v>250</v>
          </cell>
          <cell r="AV294">
            <v>250</v>
          </cell>
          <cell r="AW294">
            <v>185</v>
          </cell>
          <cell r="AX294">
            <v>255</v>
          </cell>
          <cell r="AY294">
            <v>165</v>
          </cell>
          <cell r="AZ294">
            <v>250</v>
          </cell>
          <cell r="BA294">
            <v>225</v>
          </cell>
          <cell r="BB294">
            <v>175</v>
          </cell>
          <cell r="BC294">
            <v>230</v>
          </cell>
          <cell r="BD294">
            <v>275</v>
          </cell>
          <cell r="BE294">
            <v>195</v>
          </cell>
          <cell r="BF294">
            <v>240</v>
          </cell>
          <cell r="BG294">
            <v>180</v>
          </cell>
          <cell r="BH294">
            <v>245</v>
          </cell>
          <cell r="BI294">
            <v>200</v>
          </cell>
          <cell r="BJ294">
            <v>240</v>
          </cell>
          <cell r="BK294">
            <v>180</v>
          </cell>
          <cell r="BL294">
            <v>205</v>
          </cell>
          <cell r="BM294">
            <v>170</v>
          </cell>
          <cell r="BN294">
            <v>185</v>
          </cell>
          <cell r="BO294">
            <v>125</v>
          </cell>
          <cell r="BP294">
            <v>15</v>
          </cell>
          <cell r="BQ294">
            <v>210</v>
          </cell>
          <cell r="BR294">
            <v>180</v>
          </cell>
          <cell r="BS294">
            <v>265</v>
          </cell>
          <cell r="BT294">
            <v>170</v>
          </cell>
          <cell r="BU294">
            <v>215</v>
          </cell>
          <cell r="BV294">
            <v>195</v>
          </cell>
          <cell r="BW294">
            <v>250</v>
          </cell>
          <cell r="BX294">
            <v>190</v>
          </cell>
          <cell r="BY294">
            <v>170</v>
          </cell>
          <cell r="BZ294">
            <v>225</v>
          </cell>
          <cell r="CA294">
            <v>195</v>
          </cell>
          <cell r="CB294">
            <v>165</v>
          </cell>
          <cell r="CC294">
            <v>225</v>
          </cell>
          <cell r="CD294">
            <v>120</v>
          </cell>
          <cell r="CE294">
            <v>75</v>
          </cell>
          <cell r="CF294">
            <v>40</v>
          </cell>
          <cell r="CG294">
            <v>165</v>
          </cell>
          <cell r="CH294">
            <v>200</v>
          </cell>
          <cell r="CI294">
            <v>205</v>
          </cell>
          <cell r="CJ294">
            <v>140</v>
          </cell>
          <cell r="CK294">
            <v>158.5</v>
          </cell>
          <cell r="CL294">
            <v>135</v>
          </cell>
          <cell r="CM294">
            <v>155</v>
          </cell>
          <cell r="CN294">
            <v>170</v>
          </cell>
          <cell r="CO294">
            <v>195</v>
          </cell>
          <cell r="CP294">
            <v>165</v>
          </cell>
          <cell r="CQ294">
            <v>190</v>
          </cell>
          <cell r="CR294">
            <v>255</v>
          </cell>
          <cell r="CS294">
            <v>245</v>
          </cell>
          <cell r="CT294">
            <v>185</v>
          </cell>
          <cell r="CU294">
            <v>210</v>
          </cell>
          <cell r="CV294">
            <v>215</v>
          </cell>
          <cell r="CW294">
            <v>185</v>
          </cell>
          <cell r="CX294">
            <v>185</v>
          </cell>
          <cell r="CY294">
            <v>260</v>
          </cell>
          <cell r="CZ294">
            <v>175</v>
          </cell>
          <cell r="DA294">
            <v>265</v>
          </cell>
          <cell r="DB294">
            <v>245</v>
          </cell>
          <cell r="DC294">
            <v>210</v>
          </cell>
          <cell r="DD294">
            <v>215</v>
          </cell>
          <cell r="DE294" t="str">
            <v>ACTIVO</v>
          </cell>
          <cell r="DF294" t="str">
            <v>B</v>
          </cell>
          <cell r="DH294">
            <v>190.74</v>
          </cell>
          <cell r="DI294">
            <v>31.790000000000003</v>
          </cell>
        </row>
        <row r="295">
          <cell r="B295">
            <v>107156</v>
          </cell>
          <cell r="C295" t="str">
            <v>MERMELADA DE LUCUMA DIWATTS</v>
          </cell>
          <cell r="E295">
            <v>60</v>
          </cell>
          <cell r="F295">
            <v>115</v>
          </cell>
          <cell r="G295">
            <v>63</v>
          </cell>
          <cell r="I295">
            <v>45</v>
          </cell>
          <cell r="L295">
            <v>95</v>
          </cell>
          <cell r="P295">
            <v>74.5</v>
          </cell>
          <cell r="DE295" t="str">
            <v>SIN USO</v>
          </cell>
          <cell r="DF295" t="str">
            <v/>
          </cell>
          <cell r="DH295">
            <v>0</v>
          </cell>
          <cell r="DI295">
            <v>0</v>
          </cell>
        </row>
        <row r="296">
          <cell r="B296">
            <v>107095</v>
          </cell>
          <cell r="C296" t="str">
            <v>PURE DE LUCUMA (ET. VERDE) BALDE 4,5 Kg</v>
          </cell>
          <cell r="D296">
            <v>54</v>
          </cell>
          <cell r="E296">
            <v>76.5</v>
          </cell>
          <cell r="H296">
            <v>108</v>
          </cell>
          <cell r="I296">
            <v>108</v>
          </cell>
          <cell r="J296">
            <v>48</v>
          </cell>
          <cell r="K296">
            <v>54</v>
          </cell>
          <cell r="L296">
            <v>96</v>
          </cell>
          <cell r="M296">
            <v>42</v>
          </cell>
          <cell r="N296">
            <v>54</v>
          </cell>
          <cell r="O296">
            <v>354</v>
          </cell>
          <cell r="P296">
            <v>45</v>
          </cell>
          <cell r="Q296">
            <v>54</v>
          </cell>
          <cell r="R296">
            <v>66</v>
          </cell>
          <cell r="S296">
            <v>66</v>
          </cell>
          <cell r="T296">
            <v>4.5</v>
          </cell>
          <cell r="X296">
            <v>133.5</v>
          </cell>
          <cell r="AO296">
            <v>120</v>
          </cell>
          <cell r="AP296">
            <v>103.5</v>
          </cell>
          <cell r="AQ296">
            <v>78</v>
          </cell>
          <cell r="AR296">
            <v>4.5</v>
          </cell>
          <cell r="BA296">
            <v>9</v>
          </cell>
          <cell r="BD296">
            <v>760.5</v>
          </cell>
          <cell r="BI296">
            <v>733.5</v>
          </cell>
          <cell r="BN296">
            <v>12</v>
          </cell>
          <cell r="BO296">
            <v>27</v>
          </cell>
          <cell r="BR296">
            <v>10.5</v>
          </cell>
          <cell r="BS296">
            <v>22.5</v>
          </cell>
          <cell r="BT296">
            <v>9</v>
          </cell>
          <cell r="BU296">
            <v>24.5</v>
          </cell>
          <cell r="BV296">
            <v>36</v>
          </cell>
          <cell r="BW296">
            <v>22.5</v>
          </cell>
          <cell r="BX296">
            <v>27</v>
          </cell>
          <cell r="BY296">
            <v>31.5</v>
          </cell>
          <cell r="BZ296">
            <v>22.5</v>
          </cell>
          <cell r="CA296">
            <v>31.5</v>
          </cell>
          <cell r="CB296">
            <v>23</v>
          </cell>
          <cell r="CC296">
            <v>130.5</v>
          </cell>
          <cell r="CD296">
            <v>33</v>
          </cell>
          <cell r="CE296">
            <v>18</v>
          </cell>
          <cell r="CF296">
            <v>9</v>
          </cell>
          <cell r="CG296">
            <v>27</v>
          </cell>
          <cell r="CH296">
            <v>66</v>
          </cell>
          <cell r="CI296">
            <v>144.5</v>
          </cell>
          <cell r="CJ296">
            <v>238.5</v>
          </cell>
          <cell r="CK296">
            <v>271.5</v>
          </cell>
          <cell r="CL296">
            <v>384</v>
          </cell>
          <cell r="CM296">
            <v>318.5</v>
          </cell>
          <cell r="CN296">
            <v>46.5</v>
          </cell>
          <cell r="CO296">
            <v>175.5</v>
          </cell>
          <cell r="CP296">
            <v>281</v>
          </cell>
          <cell r="CQ296">
            <v>560</v>
          </cell>
          <cell r="CR296">
            <v>900</v>
          </cell>
          <cell r="CS296">
            <v>415</v>
          </cell>
          <cell r="CT296">
            <v>1697</v>
          </cell>
          <cell r="CU296">
            <v>1507.5</v>
          </cell>
          <cell r="CV296">
            <v>1804.5</v>
          </cell>
          <cell r="CW296">
            <v>2142</v>
          </cell>
          <cell r="CX296">
            <v>400.5</v>
          </cell>
          <cell r="CY296">
            <v>594</v>
          </cell>
          <cell r="CZ296">
            <v>1048.5</v>
          </cell>
          <cell r="DA296">
            <v>778.5</v>
          </cell>
          <cell r="DB296">
            <v>594</v>
          </cell>
          <cell r="DC296">
            <v>967.5</v>
          </cell>
          <cell r="DD296">
            <v>585</v>
          </cell>
          <cell r="DE296" t="str">
            <v>ACTIVO</v>
          </cell>
          <cell r="DF296" t="str">
            <v>B</v>
          </cell>
          <cell r="DH296">
            <v>638.24</v>
          </cell>
          <cell r="DI296">
            <v>106.37333333333333</v>
          </cell>
        </row>
        <row r="297">
          <cell r="B297">
            <v>107204</v>
          </cell>
          <cell r="C297" t="str">
            <v>RELLENO PIE MARACUYÁ BALDE 4,5 Kg</v>
          </cell>
          <cell r="F297">
            <v>135</v>
          </cell>
          <cell r="G297">
            <v>111</v>
          </cell>
          <cell r="H297">
            <v>90</v>
          </cell>
          <cell r="I297">
            <v>157.5</v>
          </cell>
          <cell r="K297">
            <v>99</v>
          </cell>
          <cell r="L297">
            <v>112.5</v>
          </cell>
          <cell r="M297">
            <v>94.5</v>
          </cell>
          <cell r="N297">
            <v>184.5</v>
          </cell>
          <cell r="P297">
            <v>112.5</v>
          </cell>
          <cell r="Q297">
            <v>94.5</v>
          </cell>
          <cell r="R297">
            <v>45</v>
          </cell>
          <cell r="S297">
            <v>94.5</v>
          </cell>
          <cell r="AF297">
            <v>220.5</v>
          </cell>
          <cell r="DE297" t="str">
            <v>SIN USO</v>
          </cell>
          <cell r="DF297" t="str">
            <v>C</v>
          </cell>
          <cell r="DH297">
            <v>0</v>
          </cell>
          <cell r="DI297">
            <v>0</v>
          </cell>
        </row>
        <row r="298">
          <cell r="B298">
            <v>107263</v>
          </cell>
          <cell r="C298" t="str">
            <v>RELLENO SABOR VAINILLA PURATOS</v>
          </cell>
          <cell r="D298">
            <v>3100.5</v>
          </cell>
          <cell r="E298">
            <v>1372.5</v>
          </cell>
          <cell r="F298">
            <v>1895.5</v>
          </cell>
          <cell r="G298">
            <v>837</v>
          </cell>
          <cell r="H298">
            <v>2200.5</v>
          </cell>
          <cell r="I298">
            <v>2556</v>
          </cell>
          <cell r="J298">
            <v>1836</v>
          </cell>
          <cell r="K298">
            <v>1471.5</v>
          </cell>
          <cell r="L298">
            <v>3109.5</v>
          </cell>
          <cell r="M298">
            <v>1305</v>
          </cell>
          <cell r="N298">
            <v>2209.5</v>
          </cell>
          <cell r="O298">
            <v>1111.5</v>
          </cell>
          <cell r="P298">
            <v>1890</v>
          </cell>
          <cell r="Q298">
            <v>2130.5</v>
          </cell>
          <cell r="R298">
            <v>2227.5</v>
          </cell>
          <cell r="S298">
            <v>2060.5</v>
          </cell>
          <cell r="T298">
            <v>2754</v>
          </cell>
          <cell r="U298">
            <v>2011.5</v>
          </cell>
          <cell r="V298">
            <v>3300.5</v>
          </cell>
          <cell r="W298">
            <v>1561.5</v>
          </cell>
          <cell r="X298">
            <v>2646</v>
          </cell>
          <cell r="Y298">
            <v>6300</v>
          </cell>
          <cell r="Z298">
            <v>837</v>
          </cell>
          <cell r="AA298">
            <v>288</v>
          </cell>
          <cell r="AB298">
            <v>2205</v>
          </cell>
          <cell r="AC298">
            <v>94.5</v>
          </cell>
          <cell r="AD298">
            <v>1399.5</v>
          </cell>
          <cell r="AE298">
            <v>63</v>
          </cell>
          <cell r="AF298">
            <v>2275.5</v>
          </cell>
          <cell r="AG298">
            <v>2386.5</v>
          </cell>
          <cell r="AH298">
            <v>2429</v>
          </cell>
          <cell r="AI298">
            <v>3416.5</v>
          </cell>
          <cell r="AJ298">
            <v>1710</v>
          </cell>
          <cell r="AK298">
            <v>949.5</v>
          </cell>
          <cell r="AL298">
            <v>901</v>
          </cell>
          <cell r="AM298">
            <v>639</v>
          </cell>
          <cell r="AN298">
            <v>765</v>
          </cell>
          <cell r="AO298">
            <v>391.5</v>
          </cell>
          <cell r="AP298">
            <v>171</v>
          </cell>
          <cell r="AQ298">
            <v>1989</v>
          </cell>
          <cell r="AR298">
            <v>994.5</v>
          </cell>
          <cell r="AS298">
            <v>1759.5</v>
          </cell>
          <cell r="AT298">
            <v>1818</v>
          </cell>
          <cell r="AU298">
            <v>3105</v>
          </cell>
          <cell r="AV298">
            <v>2583.9</v>
          </cell>
          <cell r="AW298">
            <v>1642.5</v>
          </cell>
          <cell r="AX298">
            <v>2169</v>
          </cell>
          <cell r="AY298">
            <v>1795.5</v>
          </cell>
          <cell r="AZ298">
            <v>2002</v>
          </cell>
          <cell r="BA298">
            <v>2362.5</v>
          </cell>
          <cell r="BB298">
            <v>1660.5</v>
          </cell>
          <cell r="BC298">
            <v>2178</v>
          </cell>
          <cell r="BD298">
            <v>2209.5</v>
          </cell>
          <cell r="BE298">
            <v>1980</v>
          </cell>
          <cell r="BF298">
            <v>1395</v>
          </cell>
          <cell r="BG298">
            <v>1818</v>
          </cell>
          <cell r="BH298">
            <v>3285</v>
          </cell>
          <cell r="BI298">
            <v>1813.5</v>
          </cell>
          <cell r="BJ298">
            <v>2711.5</v>
          </cell>
          <cell r="BK298">
            <v>1363.5</v>
          </cell>
          <cell r="BL298">
            <v>2358</v>
          </cell>
          <cell r="BM298">
            <v>2182.5</v>
          </cell>
          <cell r="BN298">
            <v>1237.5</v>
          </cell>
          <cell r="BO298">
            <v>2385</v>
          </cell>
          <cell r="BP298">
            <v>501.5</v>
          </cell>
          <cell r="BQ298">
            <v>1710</v>
          </cell>
          <cell r="BR298">
            <v>1701</v>
          </cell>
          <cell r="BS298">
            <v>2488.5</v>
          </cell>
          <cell r="BT298">
            <v>2209.5</v>
          </cell>
          <cell r="BU298">
            <v>1658</v>
          </cell>
          <cell r="BV298">
            <v>1147.5</v>
          </cell>
          <cell r="BW298">
            <v>922.5</v>
          </cell>
          <cell r="BX298">
            <v>1741.5</v>
          </cell>
          <cell r="BY298">
            <v>1999</v>
          </cell>
          <cell r="BZ298">
            <v>2043</v>
          </cell>
          <cell r="CA298">
            <v>1255.5</v>
          </cell>
          <cell r="CB298">
            <v>1410.5</v>
          </cell>
          <cell r="CC298">
            <v>1728</v>
          </cell>
          <cell r="CD298">
            <v>742.5</v>
          </cell>
          <cell r="CE298">
            <v>895.5</v>
          </cell>
          <cell r="CF298">
            <v>486</v>
          </cell>
          <cell r="CG298">
            <v>1615.5</v>
          </cell>
          <cell r="CH298">
            <v>2209.5</v>
          </cell>
          <cell r="CI298">
            <v>2038.5</v>
          </cell>
          <cell r="CJ298">
            <v>1552.5</v>
          </cell>
          <cell r="CK298">
            <v>742.5</v>
          </cell>
          <cell r="CL298">
            <v>2430</v>
          </cell>
          <cell r="CM298">
            <v>1980</v>
          </cell>
          <cell r="CN298">
            <v>1512</v>
          </cell>
          <cell r="CO298">
            <v>1476</v>
          </cell>
          <cell r="CP298">
            <v>1417.5</v>
          </cell>
          <cell r="CQ298">
            <v>1440</v>
          </cell>
          <cell r="CR298">
            <v>976.5</v>
          </cell>
          <cell r="CS298">
            <v>265.5</v>
          </cell>
          <cell r="CT298">
            <v>2073.5</v>
          </cell>
          <cell r="CU298">
            <v>945</v>
          </cell>
          <cell r="CV298">
            <v>2286</v>
          </cell>
          <cell r="CW298">
            <v>405</v>
          </cell>
          <cell r="CX298">
            <v>1422</v>
          </cell>
          <cell r="CY298">
            <v>976.5</v>
          </cell>
          <cell r="CZ298">
            <v>1048.5</v>
          </cell>
          <cell r="DA298">
            <v>1386</v>
          </cell>
          <cell r="DB298">
            <v>1197</v>
          </cell>
          <cell r="DC298">
            <v>891</v>
          </cell>
          <cell r="DD298">
            <v>981</v>
          </cell>
          <cell r="DE298" t="str">
            <v>ACTIVO</v>
          </cell>
          <cell r="DF298" t="str">
            <v>A</v>
          </cell>
          <cell r="DH298">
            <v>1350.14</v>
          </cell>
          <cell r="DI298">
            <v>225.02333333333334</v>
          </cell>
        </row>
        <row r="299">
          <cell r="B299">
            <v>107280</v>
          </cell>
          <cell r="C299" t="str">
            <v>NUEVO BRILLO PARA CONGELADO PURATOS</v>
          </cell>
          <cell r="D299">
            <v>112.5</v>
          </cell>
          <cell r="E299">
            <v>99</v>
          </cell>
          <cell r="F299">
            <v>81</v>
          </cell>
          <cell r="G299">
            <v>153</v>
          </cell>
          <cell r="H299">
            <v>117</v>
          </cell>
          <cell r="I299">
            <v>31.5</v>
          </cell>
          <cell r="J299">
            <v>72</v>
          </cell>
          <cell r="K299">
            <v>126</v>
          </cell>
          <cell r="L299">
            <v>126</v>
          </cell>
          <cell r="M299">
            <v>144</v>
          </cell>
          <cell r="N299">
            <v>144</v>
          </cell>
          <cell r="O299">
            <v>27</v>
          </cell>
          <cell r="P299">
            <v>76.5</v>
          </cell>
          <cell r="Q299">
            <v>67.5</v>
          </cell>
          <cell r="R299">
            <v>123</v>
          </cell>
          <cell r="S299">
            <v>72</v>
          </cell>
          <cell r="T299">
            <v>159</v>
          </cell>
          <cell r="U299">
            <v>310.5</v>
          </cell>
          <cell r="V299">
            <v>148.5</v>
          </cell>
          <cell r="W299">
            <v>135</v>
          </cell>
          <cell r="X299">
            <v>319.5</v>
          </cell>
          <cell r="Y299">
            <v>130.5</v>
          </cell>
          <cell r="AA299">
            <v>94.5</v>
          </cell>
          <cell r="AB299">
            <v>162.5</v>
          </cell>
          <cell r="AC299">
            <v>76</v>
          </cell>
          <cell r="AD299">
            <v>67.5</v>
          </cell>
          <cell r="AE299">
            <v>45</v>
          </cell>
          <cell r="AF299">
            <v>139.5</v>
          </cell>
          <cell r="AG299">
            <v>315</v>
          </cell>
          <cell r="AH299">
            <v>283.5</v>
          </cell>
          <cell r="AI299">
            <v>402.5</v>
          </cell>
          <cell r="AJ299">
            <v>220.5</v>
          </cell>
          <cell r="AK299">
            <v>216</v>
          </cell>
          <cell r="AL299">
            <v>180</v>
          </cell>
          <cell r="AM299">
            <v>112.5</v>
          </cell>
          <cell r="AN299">
            <v>225</v>
          </cell>
          <cell r="AO299">
            <v>342.5</v>
          </cell>
          <cell r="AP299">
            <v>535</v>
          </cell>
          <cell r="AQ299">
            <v>400.5</v>
          </cell>
          <cell r="AR299">
            <v>427.5</v>
          </cell>
          <cell r="AS299">
            <v>72</v>
          </cell>
          <cell r="AT299">
            <v>369</v>
          </cell>
          <cell r="AU299">
            <v>472.5</v>
          </cell>
          <cell r="AV299">
            <v>409.5</v>
          </cell>
          <cell r="AW299">
            <v>414</v>
          </cell>
          <cell r="AX299">
            <v>333</v>
          </cell>
          <cell r="AY299">
            <v>706.5</v>
          </cell>
          <cell r="AZ299">
            <v>576</v>
          </cell>
          <cell r="BA299">
            <v>189</v>
          </cell>
          <cell r="BB299">
            <v>216</v>
          </cell>
          <cell r="BC299">
            <v>288</v>
          </cell>
          <cell r="BD299">
            <v>648</v>
          </cell>
          <cell r="BE299">
            <v>310.5</v>
          </cell>
          <cell r="BF299">
            <v>634.5</v>
          </cell>
          <cell r="BG299">
            <v>508.5</v>
          </cell>
          <cell r="BH299">
            <v>459</v>
          </cell>
          <cell r="BI299">
            <v>306</v>
          </cell>
          <cell r="BJ299">
            <v>567</v>
          </cell>
          <cell r="BK299">
            <v>481.5</v>
          </cell>
          <cell r="BL299">
            <v>486</v>
          </cell>
          <cell r="BM299">
            <v>256.5</v>
          </cell>
          <cell r="BN299">
            <v>333</v>
          </cell>
          <cell r="BO299">
            <v>553.5</v>
          </cell>
          <cell r="BP299">
            <v>234</v>
          </cell>
          <cell r="BQ299">
            <v>387</v>
          </cell>
          <cell r="BR299">
            <v>297</v>
          </cell>
          <cell r="BS299">
            <v>301.5</v>
          </cell>
          <cell r="BT299">
            <v>522</v>
          </cell>
          <cell r="BU299">
            <v>481.5</v>
          </cell>
          <cell r="BV299">
            <v>468</v>
          </cell>
          <cell r="BW299">
            <v>319.5</v>
          </cell>
          <cell r="BX299">
            <v>405</v>
          </cell>
          <cell r="BY299">
            <v>63</v>
          </cell>
          <cell r="BZ299">
            <v>103.5</v>
          </cell>
          <cell r="CA299">
            <v>621</v>
          </cell>
          <cell r="CB299">
            <v>256.5</v>
          </cell>
          <cell r="CC299">
            <v>270</v>
          </cell>
          <cell r="CD299">
            <v>387</v>
          </cell>
          <cell r="CE299">
            <v>472.5</v>
          </cell>
          <cell r="CF299">
            <v>58.5</v>
          </cell>
          <cell r="CG299">
            <v>409.5</v>
          </cell>
          <cell r="CH299">
            <v>256.5</v>
          </cell>
          <cell r="CI299">
            <v>406</v>
          </cell>
          <cell r="CJ299">
            <v>234</v>
          </cell>
          <cell r="CK299">
            <v>396</v>
          </cell>
          <cell r="CL299">
            <v>468</v>
          </cell>
          <cell r="CM299">
            <v>396</v>
          </cell>
          <cell r="CN299">
            <v>198</v>
          </cell>
          <cell r="CO299">
            <v>670.5</v>
          </cell>
          <cell r="CP299">
            <v>526.5</v>
          </cell>
          <cell r="CQ299">
            <v>661.5</v>
          </cell>
          <cell r="CR299">
            <v>67.5</v>
          </cell>
          <cell r="CS299">
            <v>333</v>
          </cell>
          <cell r="CT299">
            <v>589.5</v>
          </cell>
          <cell r="CU299">
            <v>765</v>
          </cell>
          <cell r="CV299">
            <v>684</v>
          </cell>
          <cell r="CW299">
            <v>778.5</v>
          </cell>
          <cell r="CX299">
            <v>306</v>
          </cell>
          <cell r="CY299">
            <v>464</v>
          </cell>
          <cell r="CZ299">
            <v>220.5</v>
          </cell>
          <cell r="DA299">
            <v>396</v>
          </cell>
          <cell r="DB299">
            <v>643.5</v>
          </cell>
          <cell r="DC299">
            <v>382.5</v>
          </cell>
          <cell r="DD299">
            <v>364.5</v>
          </cell>
          <cell r="DE299" t="str">
            <v>ACTIVO</v>
          </cell>
          <cell r="DF299" t="str">
            <v>A</v>
          </cell>
          <cell r="DH299">
            <v>427.02</v>
          </cell>
          <cell r="DI299">
            <v>71.17</v>
          </cell>
        </row>
        <row r="300">
          <cell r="B300">
            <v>107294</v>
          </cell>
          <cell r="C300" t="str">
            <v>DULCE DE RELLENO DIWATTS</v>
          </cell>
          <cell r="D300">
            <v>2436</v>
          </cell>
          <cell r="E300">
            <v>2208</v>
          </cell>
          <cell r="F300">
            <v>3594</v>
          </cell>
          <cell r="G300">
            <v>1648</v>
          </cell>
          <cell r="I300">
            <v>4056</v>
          </cell>
          <cell r="J300">
            <v>1836</v>
          </cell>
          <cell r="K300">
            <v>3582</v>
          </cell>
          <cell r="L300">
            <v>3552</v>
          </cell>
          <cell r="M300">
            <v>4224</v>
          </cell>
          <cell r="N300">
            <v>2550</v>
          </cell>
          <cell r="O300">
            <v>1098</v>
          </cell>
          <cell r="P300">
            <v>3612</v>
          </cell>
          <cell r="Q300">
            <v>2436</v>
          </cell>
          <cell r="R300">
            <v>3096</v>
          </cell>
          <cell r="S300">
            <v>1362</v>
          </cell>
          <cell r="T300">
            <v>3852</v>
          </cell>
          <cell r="U300">
            <v>2100</v>
          </cell>
          <cell r="V300">
            <v>1644</v>
          </cell>
          <cell r="W300">
            <v>1638</v>
          </cell>
          <cell r="X300">
            <v>1494</v>
          </cell>
          <cell r="Y300">
            <v>1440</v>
          </cell>
          <cell r="Z300">
            <v>1830</v>
          </cell>
          <cell r="AA300">
            <v>1650</v>
          </cell>
          <cell r="AB300">
            <v>1578</v>
          </cell>
          <cell r="AC300">
            <v>2059</v>
          </cell>
          <cell r="AD300">
            <v>948</v>
          </cell>
          <cell r="AE300">
            <v>1830</v>
          </cell>
          <cell r="AF300">
            <v>3090</v>
          </cell>
          <cell r="AG300">
            <v>1974</v>
          </cell>
          <cell r="AH300">
            <v>1428</v>
          </cell>
          <cell r="AI300">
            <v>1446</v>
          </cell>
          <cell r="AJ300">
            <v>2316</v>
          </cell>
          <cell r="AK300">
            <v>1032</v>
          </cell>
          <cell r="AL300">
            <v>2022</v>
          </cell>
          <cell r="AM300">
            <v>1788</v>
          </cell>
          <cell r="AN300">
            <v>2214</v>
          </cell>
          <cell r="AO300">
            <v>2772</v>
          </cell>
          <cell r="AP300">
            <v>2484</v>
          </cell>
          <cell r="AQ300">
            <v>2562</v>
          </cell>
          <cell r="AR300">
            <v>2520</v>
          </cell>
          <cell r="AS300">
            <v>2190</v>
          </cell>
          <cell r="AT300">
            <v>1476</v>
          </cell>
          <cell r="AU300">
            <v>4884</v>
          </cell>
          <cell r="AV300">
            <v>4314</v>
          </cell>
          <cell r="AW300">
            <v>3720</v>
          </cell>
          <cell r="AX300">
            <v>2544</v>
          </cell>
          <cell r="AY300">
            <v>2010</v>
          </cell>
          <cell r="AZ300">
            <v>3582</v>
          </cell>
          <cell r="BA300">
            <v>5592</v>
          </cell>
          <cell r="BB300">
            <v>1350</v>
          </cell>
          <cell r="BC300">
            <v>4284</v>
          </cell>
          <cell r="BD300">
            <v>4273.5</v>
          </cell>
          <cell r="BE300">
            <v>1404</v>
          </cell>
          <cell r="BF300">
            <v>840</v>
          </cell>
          <cell r="BG300">
            <v>324</v>
          </cell>
          <cell r="BH300">
            <v>1908</v>
          </cell>
          <cell r="BI300">
            <v>288</v>
          </cell>
          <cell r="BJ300">
            <v>1014</v>
          </cell>
          <cell r="BK300">
            <v>36</v>
          </cell>
          <cell r="BM300">
            <v>1212</v>
          </cell>
          <cell r="BN300">
            <v>5610</v>
          </cell>
          <cell r="BO300">
            <v>942</v>
          </cell>
          <cell r="BP300">
            <v>810</v>
          </cell>
          <cell r="BQ300">
            <v>4310</v>
          </cell>
          <cell r="BR300">
            <v>1248</v>
          </cell>
          <cell r="BS300">
            <v>1068</v>
          </cell>
          <cell r="BT300">
            <v>852</v>
          </cell>
          <cell r="BU300">
            <v>1530</v>
          </cell>
          <cell r="BV300">
            <v>2082</v>
          </cell>
          <cell r="BW300">
            <v>1488</v>
          </cell>
          <cell r="BX300">
            <v>1686</v>
          </cell>
          <cell r="BY300">
            <v>1686</v>
          </cell>
          <cell r="BZ300">
            <v>1764</v>
          </cell>
          <cell r="CA300">
            <v>1422</v>
          </cell>
          <cell r="CB300">
            <v>1356</v>
          </cell>
          <cell r="CC300">
            <v>1896</v>
          </cell>
          <cell r="CD300">
            <v>2802</v>
          </cell>
          <cell r="CE300">
            <v>84</v>
          </cell>
          <cell r="CF300">
            <v>870</v>
          </cell>
          <cell r="CG300">
            <v>1956</v>
          </cell>
          <cell r="CH300">
            <v>1638</v>
          </cell>
          <cell r="CI300">
            <v>1914</v>
          </cell>
          <cell r="CJ300">
            <v>2550</v>
          </cell>
          <cell r="CK300">
            <v>2088</v>
          </cell>
          <cell r="CL300">
            <v>3312</v>
          </cell>
          <cell r="CM300">
            <v>1830</v>
          </cell>
          <cell r="CN300">
            <v>1530</v>
          </cell>
          <cell r="CO300">
            <v>1578</v>
          </cell>
          <cell r="CP300">
            <v>1896</v>
          </cell>
          <cell r="CQ300">
            <v>1770</v>
          </cell>
          <cell r="CR300">
            <v>2460</v>
          </cell>
          <cell r="CS300">
            <v>1212</v>
          </cell>
          <cell r="CT300">
            <v>1590</v>
          </cell>
          <cell r="CU300">
            <v>1422</v>
          </cell>
          <cell r="CV300">
            <v>396</v>
          </cell>
          <cell r="CW300">
            <v>96</v>
          </cell>
          <cell r="CX300">
            <v>126</v>
          </cell>
          <cell r="CY300">
            <v>2610</v>
          </cell>
          <cell r="CZ300">
            <v>1146</v>
          </cell>
          <cell r="DA300">
            <v>318</v>
          </cell>
          <cell r="DB300">
            <v>138</v>
          </cell>
          <cell r="DC300">
            <v>138</v>
          </cell>
          <cell r="DD300">
            <v>762</v>
          </cell>
          <cell r="DE300" t="str">
            <v>ACTIVO</v>
          </cell>
          <cell r="DF300" t="str">
            <v>A</v>
          </cell>
          <cell r="DH300">
            <v>1413.84</v>
          </cell>
          <cell r="DI300">
            <v>235.64</v>
          </cell>
        </row>
        <row r="301">
          <cell r="B301">
            <v>107320</v>
          </cell>
          <cell r="C301" t="str">
            <v>COLDFIL PIE DE LIMÓN</v>
          </cell>
          <cell r="D301">
            <v>27</v>
          </cell>
          <cell r="E301">
            <v>22.5</v>
          </cell>
          <cell r="F301">
            <v>22.5</v>
          </cell>
          <cell r="H301">
            <v>63</v>
          </cell>
          <cell r="I301">
            <v>38</v>
          </cell>
          <cell r="J301">
            <v>10</v>
          </cell>
          <cell r="DE301" t="str">
            <v>SIN USO</v>
          </cell>
          <cell r="DF301" t="str">
            <v/>
          </cell>
          <cell r="DH301">
            <v>0</v>
          </cell>
          <cell r="DI301">
            <v>0</v>
          </cell>
        </row>
        <row r="302">
          <cell r="B302">
            <v>107359</v>
          </cell>
          <cell r="C302" t="str">
            <v>MERMELADA CIRUELA MEL</v>
          </cell>
          <cell r="G302">
            <v>40</v>
          </cell>
          <cell r="H302">
            <v>15</v>
          </cell>
          <cell r="I302">
            <v>45</v>
          </cell>
          <cell r="J302">
            <v>60</v>
          </cell>
          <cell r="K302">
            <v>160</v>
          </cell>
          <cell r="L302">
            <v>190</v>
          </cell>
          <cell r="M302">
            <v>160</v>
          </cell>
          <cell r="N302">
            <v>80</v>
          </cell>
          <cell r="O302">
            <v>35</v>
          </cell>
          <cell r="P302">
            <v>235</v>
          </cell>
          <cell r="Q302">
            <v>235</v>
          </cell>
          <cell r="R302">
            <v>195</v>
          </cell>
          <cell r="S302">
            <v>120</v>
          </cell>
          <cell r="T302">
            <v>200</v>
          </cell>
          <cell r="U302">
            <v>165</v>
          </cell>
          <cell r="V302">
            <v>230</v>
          </cell>
          <cell r="W302">
            <v>140</v>
          </cell>
          <cell r="X302">
            <v>130</v>
          </cell>
          <cell r="Y302">
            <v>205</v>
          </cell>
          <cell r="Z302">
            <v>100</v>
          </cell>
          <cell r="AA302">
            <v>150</v>
          </cell>
          <cell r="AB302">
            <v>210</v>
          </cell>
          <cell r="AC302">
            <v>110</v>
          </cell>
          <cell r="AD302">
            <v>65</v>
          </cell>
          <cell r="AE302">
            <v>70</v>
          </cell>
          <cell r="AF302">
            <v>160</v>
          </cell>
          <cell r="AG302">
            <v>85</v>
          </cell>
          <cell r="AH302">
            <v>105</v>
          </cell>
          <cell r="AI302">
            <v>105</v>
          </cell>
          <cell r="AJ302">
            <v>155</v>
          </cell>
          <cell r="AK302">
            <v>85</v>
          </cell>
          <cell r="AL302">
            <v>130</v>
          </cell>
          <cell r="AM302">
            <v>85</v>
          </cell>
          <cell r="AN302">
            <v>160</v>
          </cell>
          <cell r="AO302">
            <v>120</v>
          </cell>
          <cell r="AP302">
            <v>160</v>
          </cell>
          <cell r="AQ302">
            <v>85</v>
          </cell>
          <cell r="AR302">
            <v>110</v>
          </cell>
          <cell r="AS302">
            <v>115</v>
          </cell>
          <cell r="AT302">
            <v>125</v>
          </cell>
          <cell r="AU302">
            <v>95</v>
          </cell>
          <cell r="AV302">
            <v>140</v>
          </cell>
          <cell r="AW302">
            <v>110</v>
          </cell>
          <cell r="AX302">
            <v>170</v>
          </cell>
          <cell r="AY302">
            <v>130</v>
          </cell>
          <cell r="AZ302">
            <v>145</v>
          </cell>
          <cell r="BA302">
            <v>140</v>
          </cell>
          <cell r="BB302">
            <v>235</v>
          </cell>
          <cell r="BC302">
            <v>160</v>
          </cell>
          <cell r="BD302">
            <v>135</v>
          </cell>
          <cell r="BE302">
            <v>165</v>
          </cell>
          <cell r="BF302">
            <v>135</v>
          </cell>
          <cell r="BG302">
            <v>160</v>
          </cell>
          <cell r="BH302">
            <v>190</v>
          </cell>
          <cell r="BI302">
            <v>165</v>
          </cell>
          <cell r="BJ302">
            <v>140</v>
          </cell>
          <cell r="BK302">
            <v>145</v>
          </cell>
          <cell r="BL302">
            <v>140</v>
          </cell>
          <cell r="BM302">
            <v>190</v>
          </cell>
          <cell r="BN302">
            <v>185</v>
          </cell>
          <cell r="BO302">
            <v>120</v>
          </cell>
          <cell r="BP302">
            <v>10</v>
          </cell>
          <cell r="BQ302">
            <v>165</v>
          </cell>
          <cell r="BR302">
            <v>145</v>
          </cell>
          <cell r="BS302">
            <v>230</v>
          </cell>
          <cell r="BT302">
            <v>85</v>
          </cell>
          <cell r="BU302">
            <v>95</v>
          </cell>
          <cell r="BV302">
            <v>125</v>
          </cell>
          <cell r="BW302">
            <v>100</v>
          </cell>
          <cell r="BX302">
            <v>135</v>
          </cell>
          <cell r="BY302">
            <v>85</v>
          </cell>
          <cell r="BZ302">
            <v>135</v>
          </cell>
          <cell r="CA302">
            <v>155</v>
          </cell>
          <cell r="CB302">
            <v>55</v>
          </cell>
          <cell r="CC302">
            <v>95</v>
          </cell>
          <cell r="CD302">
            <v>125</v>
          </cell>
          <cell r="CE302">
            <v>35</v>
          </cell>
          <cell r="CF302">
            <v>20</v>
          </cell>
          <cell r="CG302">
            <v>125</v>
          </cell>
          <cell r="CH302">
            <v>75</v>
          </cell>
          <cell r="CI302">
            <v>90</v>
          </cell>
          <cell r="CJ302">
            <v>70</v>
          </cell>
          <cell r="CK302">
            <v>105</v>
          </cell>
          <cell r="CL302">
            <v>75</v>
          </cell>
          <cell r="CM302">
            <v>75</v>
          </cell>
          <cell r="CN302">
            <v>90</v>
          </cell>
          <cell r="CO302">
            <v>85</v>
          </cell>
          <cell r="CP302">
            <v>105</v>
          </cell>
          <cell r="CQ302">
            <v>85</v>
          </cell>
          <cell r="CR302">
            <v>95</v>
          </cell>
          <cell r="CS302">
            <v>135</v>
          </cell>
          <cell r="CT302">
            <v>105</v>
          </cell>
          <cell r="CU302">
            <v>85</v>
          </cell>
          <cell r="CV302">
            <v>105</v>
          </cell>
          <cell r="CW302">
            <v>90</v>
          </cell>
          <cell r="CX302">
            <v>125</v>
          </cell>
          <cell r="CY302">
            <v>105</v>
          </cell>
          <cell r="CZ302">
            <v>75</v>
          </cell>
          <cell r="DA302">
            <v>115</v>
          </cell>
          <cell r="DB302">
            <v>120</v>
          </cell>
          <cell r="DC302">
            <v>115</v>
          </cell>
          <cell r="DD302">
            <v>120</v>
          </cell>
          <cell r="DE302" t="str">
            <v>ACTIVO</v>
          </cell>
          <cell r="DF302" t="str">
            <v>B</v>
          </cell>
          <cell r="DH302">
            <v>95.6</v>
          </cell>
          <cell r="DI302">
            <v>15.933333333333332</v>
          </cell>
        </row>
        <row r="303">
          <cell r="B303">
            <v>107120</v>
          </cell>
          <cell r="C303" t="str">
            <v>BRILLO FRIO RTU PURATOS</v>
          </cell>
          <cell r="D303">
            <v>661.5</v>
          </cell>
          <cell r="E303">
            <v>895.5</v>
          </cell>
          <cell r="F303">
            <v>639</v>
          </cell>
          <cell r="G303">
            <v>602.5</v>
          </cell>
          <cell r="H303">
            <v>760.5</v>
          </cell>
          <cell r="I303">
            <v>657</v>
          </cell>
          <cell r="J303">
            <v>621</v>
          </cell>
          <cell r="K303">
            <v>477</v>
          </cell>
          <cell r="L303">
            <v>759.5</v>
          </cell>
          <cell r="M303">
            <v>612</v>
          </cell>
          <cell r="N303">
            <v>508.5</v>
          </cell>
          <cell r="O303">
            <v>391.5</v>
          </cell>
          <cell r="P303">
            <v>477</v>
          </cell>
          <cell r="Q303">
            <v>744.5</v>
          </cell>
          <cell r="R303">
            <v>355.5</v>
          </cell>
          <cell r="S303">
            <v>594</v>
          </cell>
          <cell r="T303">
            <v>354.5</v>
          </cell>
          <cell r="U303">
            <v>472.5</v>
          </cell>
          <cell r="V303">
            <v>571.5</v>
          </cell>
          <cell r="W303">
            <v>342</v>
          </cell>
          <cell r="X303">
            <v>225</v>
          </cell>
          <cell r="Y303">
            <v>193.5</v>
          </cell>
          <cell r="Z303">
            <v>571.5</v>
          </cell>
          <cell r="AA303">
            <v>405</v>
          </cell>
          <cell r="AB303">
            <v>243</v>
          </cell>
          <cell r="AC303">
            <v>562.5</v>
          </cell>
          <cell r="AD303">
            <v>130.5</v>
          </cell>
          <cell r="AE303">
            <v>94.5</v>
          </cell>
          <cell r="AF303">
            <v>301.5</v>
          </cell>
          <cell r="AG303">
            <v>292.5</v>
          </cell>
          <cell r="AH303">
            <v>139.5</v>
          </cell>
          <cell r="AI303">
            <v>365.5</v>
          </cell>
          <cell r="AJ303">
            <v>454.5</v>
          </cell>
          <cell r="AK303">
            <v>135</v>
          </cell>
          <cell r="AL303">
            <v>308</v>
          </cell>
          <cell r="AM303">
            <v>297.5</v>
          </cell>
          <cell r="AN303">
            <v>216.5</v>
          </cell>
          <cell r="AO303">
            <v>643.5</v>
          </cell>
          <cell r="AP303">
            <v>715.5</v>
          </cell>
          <cell r="AQ303">
            <v>459</v>
          </cell>
          <cell r="AR303">
            <v>288</v>
          </cell>
          <cell r="AS303">
            <v>342</v>
          </cell>
          <cell r="AT303">
            <v>274.5</v>
          </cell>
          <cell r="AU303">
            <v>157.5</v>
          </cell>
          <cell r="AV303">
            <v>355.5</v>
          </cell>
          <cell r="AW303">
            <v>616.5</v>
          </cell>
          <cell r="AX303">
            <v>328.5</v>
          </cell>
          <cell r="AY303">
            <v>283.5</v>
          </cell>
          <cell r="AZ303">
            <v>436.5</v>
          </cell>
          <cell r="BA303">
            <v>409.5</v>
          </cell>
          <cell r="BB303">
            <v>630</v>
          </cell>
          <cell r="BC303">
            <v>540</v>
          </cell>
          <cell r="BD303">
            <v>411</v>
          </cell>
          <cell r="BE303">
            <v>418.5</v>
          </cell>
          <cell r="BF303">
            <v>396</v>
          </cell>
          <cell r="BG303">
            <v>306</v>
          </cell>
          <cell r="BH303">
            <v>328.5</v>
          </cell>
          <cell r="BI303">
            <v>432</v>
          </cell>
          <cell r="BJ303">
            <v>436.5</v>
          </cell>
          <cell r="BK303">
            <v>270</v>
          </cell>
          <cell r="BL303">
            <v>324</v>
          </cell>
          <cell r="BM303">
            <v>715.5</v>
          </cell>
          <cell r="BN303">
            <v>229.5</v>
          </cell>
          <cell r="BO303">
            <v>238.5</v>
          </cell>
          <cell r="BP303">
            <v>121.5</v>
          </cell>
          <cell r="BQ303">
            <v>405</v>
          </cell>
          <cell r="BR303">
            <v>211.5</v>
          </cell>
          <cell r="BS303">
            <v>274.5</v>
          </cell>
          <cell r="BT303">
            <v>225</v>
          </cell>
          <cell r="BU303">
            <v>310.5</v>
          </cell>
          <cell r="BV303">
            <v>171</v>
          </cell>
          <cell r="BW303">
            <v>319.5</v>
          </cell>
          <cell r="BX303">
            <v>153</v>
          </cell>
          <cell r="BY303">
            <v>360</v>
          </cell>
          <cell r="BZ303">
            <v>414</v>
          </cell>
          <cell r="CA303">
            <v>207</v>
          </cell>
          <cell r="CB303">
            <v>184.5</v>
          </cell>
          <cell r="CC303">
            <v>274.5</v>
          </cell>
          <cell r="CD303">
            <v>238.5</v>
          </cell>
          <cell r="CE303">
            <v>90</v>
          </cell>
          <cell r="CF303">
            <v>49.5</v>
          </cell>
          <cell r="CG303">
            <v>346.5</v>
          </cell>
          <cell r="CH303">
            <v>211.5</v>
          </cell>
          <cell r="CI303">
            <v>265.5</v>
          </cell>
          <cell r="CJ303">
            <v>324</v>
          </cell>
          <cell r="CK303">
            <v>184.5</v>
          </cell>
          <cell r="CL303">
            <v>279</v>
          </cell>
          <cell r="CM303">
            <v>153</v>
          </cell>
          <cell r="CN303">
            <v>441</v>
          </cell>
          <cell r="CO303">
            <v>234</v>
          </cell>
          <cell r="CP303">
            <v>364.5</v>
          </cell>
          <cell r="CQ303">
            <v>207</v>
          </cell>
          <cell r="CR303">
            <v>585</v>
          </cell>
          <cell r="CS303">
            <v>351</v>
          </cell>
          <cell r="CT303">
            <v>306</v>
          </cell>
          <cell r="CU303">
            <v>238.5</v>
          </cell>
          <cell r="CV303">
            <v>202.5</v>
          </cell>
          <cell r="CW303">
            <v>166.5</v>
          </cell>
          <cell r="CX303">
            <v>220.5</v>
          </cell>
          <cell r="CY303">
            <v>382.5</v>
          </cell>
          <cell r="CZ303">
            <v>400.5</v>
          </cell>
          <cell r="DA303">
            <v>288</v>
          </cell>
          <cell r="DB303">
            <v>247.5</v>
          </cell>
          <cell r="DC303">
            <v>328.5</v>
          </cell>
          <cell r="DD303">
            <v>544.5</v>
          </cell>
          <cell r="DE303" t="str">
            <v>ACTIVO</v>
          </cell>
          <cell r="DF303" t="str">
            <v>B</v>
          </cell>
          <cell r="DH303">
            <v>292.86</v>
          </cell>
          <cell r="DI303">
            <v>48.81</v>
          </cell>
        </row>
        <row r="304">
          <cell r="B304">
            <v>107295</v>
          </cell>
          <cell r="C304" t="str">
            <v>PASTA MEL DE MARACUYÁ BALDE 5 KG</v>
          </cell>
          <cell r="I304">
            <v>10</v>
          </cell>
          <cell r="Y304">
            <v>225</v>
          </cell>
          <cell r="DE304" t="str">
            <v>SIN USO</v>
          </cell>
          <cell r="DF304" t="str">
            <v/>
          </cell>
          <cell r="DH304">
            <v>0</v>
          </cell>
          <cell r="DI304">
            <v>0</v>
          </cell>
        </row>
        <row r="305">
          <cell r="B305">
            <v>170173</v>
          </cell>
          <cell r="C305" t="str">
            <v>MERM. EBEL GRANDES CONSUMIDORES FRUTILLA BALDE 5 Kg</v>
          </cell>
          <cell r="K305">
            <v>30</v>
          </cell>
          <cell r="L305">
            <v>100</v>
          </cell>
          <cell r="M305">
            <v>66</v>
          </cell>
          <cell r="N305">
            <v>5</v>
          </cell>
          <cell r="O305">
            <v>29</v>
          </cell>
          <cell r="P305">
            <v>45</v>
          </cell>
          <cell r="Q305">
            <v>60</v>
          </cell>
          <cell r="R305">
            <v>55</v>
          </cell>
          <cell r="S305">
            <v>115</v>
          </cell>
          <cell r="T305">
            <v>35</v>
          </cell>
          <cell r="U305">
            <v>110</v>
          </cell>
          <cell r="V305">
            <v>80</v>
          </cell>
          <cell r="W305">
            <v>35</v>
          </cell>
          <cell r="X305">
            <v>70</v>
          </cell>
          <cell r="Y305">
            <v>160</v>
          </cell>
          <cell r="Z305">
            <v>50</v>
          </cell>
          <cell r="AA305">
            <v>45</v>
          </cell>
          <cell r="AB305">
            <v>120</v>
          </cell>
          <cell r="AC305">
            <v>55</v>
          </cell>
          <cell r="AD305">
            <v>30</v>
          </cell>
          <cell r="AE305">
            <v>60</v>
          </cell>
          <cell r="AF305">
            <v>95</v>
          </cell>
          <cell r="AG305">
            <v>105</v>
          </cell>
          <cell r="AH305">
            <v>40</v>
          </cell>
          <cell r="AI305">
            <v>138</v>
          </cell>
          <cell r="AJ305">
            <v>65</v>
          </cell>
          <cell r="AK305">
            <v>5</v>
          </cell>
          <cell r="AL305">
            <v>100</v>
          </cell>
          <cell r="AM305">
            <v>70</v>
          </cell>
          <cell r="AN305">
            <v>75</v>
          </cell>
          <cell r="AO305">
            <v>75</v>
          </cell>
          <cell r="AP305">
            <v>105</v>
          </cell>
          <cell r="AQ305">
            <v>100</v>
          </cell>
          <cell r="AR305">
            <v>95</v>
          </cell>
          <cell r="AS305">
            <v>70</v>
          </cell>
          <cell r="AT305">
            <v>230</v>
          </cell>
          <cell r="AU305">
            <v>65</v>
          </cell>
          <cell r="AV305">
            <v>710</v>
          </cell>
          <cell r="AW305">
            <v>100</v>
          </cell>
          <cell r="AX305">
            <v>80</v>
          </cell>
          <cell r="AY305">
            <v>65</v>
          </cell>
          <cell r="AZ305">
            <v>61</v>
          </cell>
          <cell r="BA305">
            <v>99</v>
          </cell>
          <cell r="BB305">
            <v>55</v>
          </cell>
          <cell r="BC305">
            <v>125</v>
          </cell>
          <cell r="BD305">
            <v>80</v>
          </cell>
          <cell r="BE305">
            <v>80</v>
          </cell>
          <cell r="BF305">
            <v>20</v>
          </cell>
          <cell r="BG305">
            <v>115</v>
          </cell>
          <cell r="BH305">
            <v>80</v>
          </cell>
          <cell r="BI305">
            <v>95</v>
          </cell>
          <cell r="BJ305">
            <v>85</v>
          </cell>
          <cell r="BK305">
            <v>75</v>
          </cell>
          <cell r="BL305">
            <v>75</v>
          </cell>
          <cell r="BM305">
            <v>85</v>
          </cell>
          <cell r="BN305">
            <v>100</v>
          </cell>
          <cell r="BO305">
            <v>65</v>
          </cell>
          <cell r="BP305">
            <v>40</v>
          </cell>
          <cell r="BQ305">
            <v>80</v>
          </cell>
          <cell r="BR305">
            <v>40</v>
          </cell>
          <cell r="BS305">
            <v>100</v>
          </cell>
          <cell r="BT305">
            <v>65</v>
          </cell>
          <cell r="BU305">
            <v>65</v>
          </cell>
          <cell r="BV305">
            <v>60</v>
          </cell>
          <cell r="BW305">
            <v>65</v>
          </cell>
          <cell r="BX305">
            <v>30</v>
          </cell>
          <cell r="BY305">
            <v>55</v>
          </cell>
          <cell r="BZ305">
            <v>115</v>
          </cell>
          <cell r="CA305">
            <v>65</v>
          </cell>
          <cell r="CB305">
            <v>45</v>
          </cell>
          <cell r="CC305">
            <v>70</v>
          </cell>
          <cell r="CD305">
            <v>85</v>
          </cell>
          <cell r="CE305">
            <v>35</v>
          </cell>
          <cell r="CF305">
            <v>20</v>
          </cell>
          <cell r="CG305">
            <v>75</v>
          </cell>
          <cell r="CH305">
            <v>75</v>
          </cell>
          <cell r="CI305">
            <v>80</v>
          </cell>
          <cell r="CJ305">
            <v>40</v>
          </cell>
          <cell r="CK305">
            <v>120</v>
          </cell>
          <cell r="CL305">
            <v>75</v>
          </cell>
          <cell r="CM305">
            <v>80</v>
          </cell>
          <cell r="CN305">
            <v>85</v>
          </cell>
          <cell r="CO305">
            <v>75</v>
          </cell>
          <cell r="CP305">
            <v>95</v>
          </cell>
          <cell r="CQ305">
            <v>45</v>
          </cell>
          <cell r="CR305">
            <v>75</v>
          </cell>
          <cell r="CS305">
            <v>40</v>
          </cell>
          <cell r="CT305">
            <v>85</v>
          </cell>
          <cell r="CU305">
            <v>70</v>
          </cell>
          <cell r="CV305">
            <v>40</v>
          </cell>
          <cell r="CX305">
            <v>135</v>
          </cell>
          <cell r="CY305">
            <v>100</v>
          </cell>
          <cell r="CZ305">
            <v>60</v>
          </cell>
          <cell r="DA305">
            <v>70</v>
          </cell>
          <cell r="DB305">
            <v>75</v>
          </cell>
          <cell r="DC305">
            <v>90</v>
          </cell>
          <cell r="DD305">
            <v>90</v>
          </cell>
          <cell r="DE305" t="str">
            <v>ACTIVO</v>
          </cell>
          <cell r="DF305" t="str">
            <v>C</v>
          </cell>
          <cell r="DH305">
            <v>74.791666666666671</v>
          </cell>
          <cell r="DI305">
            <v>12.465277777777779</v>
          </cell>
        </row>
        <row r="306">
          <cell r="B306">
            <v>405399</v>
          </cell>
          <cell r="C306" t="str">
            <v>RELLENO AVELLANA CERRILLOS</v>
          </cell>
          <cell r="N306">
            <v>162</v>
          </cell>
          <cell r="Q306">
            <v>111</v>
          </cell>
          <cell r="R306">
            <v>129</v>
          </cell>
          <cell r="Y306">
            <v>360</v>
          </cell>
          <cell r="AH306">
            <v>288</v>
          </cell>
          <cell r="AO306">
            <v>6</v>
          </cell>
          <cell r="AP306">
            <v>93</v>
          </cell>
          <cell r="AR306">
            <v>132</v>
          </cell>
          <cell r="AS306">
            <v>60</v>
          </cell>
          <cell r="AW306">
            <v>80</v>
          </cell>
          <cell r="AX306">
            <v>56</v>
          </cell>
          <cell r="AY306">
            <v>50</v>
          </cell>
          <cell r="AZ306">
            <v>72</v>
          </cell>
          <cell r="BB306">
            <v>60</v>
          </cell>
          <cell r="BD306">
            <v>78</v>
          </cell>
          <cell r="BE306">
            <v>18</v>
          </cell>
          <cell r="BF306">
            <v>60</v>
          </cell>
          <cell r="BG306">
            <v>34</v>
          </cell>
          <cell r="BI306">
            <v>57</v>
          </cell>
          <cell r="BJ306">
            <v>51</v>
          </cell>
          <cell r="BK306">
            <v>42</v>
          </cell>
          <cell r="BL306">
            <v>54</v>
          </cell>
          <cell r="BO306">
            <v>3</v>
          </cell>
          <cell r="BS306">
            <v>4</v>
          </cell>
          <cell r="BW306">
            <v>3</v>
          </cell>
          <cell r="DE306" t="str">
            <v>SIN USO</v>
          </cell>
          <cell r="DF306" t="str">
            <v>B</v>
          </cell>
          <cell r="DH306">
            <v>0</v>
          </cell>
          <cell r="DI306">
            <v>0</v>
          </cell>
        </row>
        <row r="307">
          <cell r="D307">
            <v>12201.5</v>
          </cell>
          <cell r="E307">
            <v>9894</v>
          </cell>
          <cell r="F307">
            <v>12007</v>
          </cell>
          <cell r="G307">
            <v>9014.5</v>
          </cell>
          <cell r="H307">
            <v>12024</v>
          </cell>
          <cell r="I307">
            <v>13154</v>
          </cell>
          <cell r="J307">
            <v>11888</v>
          </cell>
          <cell r="K307">
            <v>11159.5</v>
          </cell>
          <cell r="L307">
            <v>15312.7</v>
          </cell>
          <cell r="M307">
            <v>12632.5</v>
          </cell>
          <cell r="N307">
            <v>13237.5</v>
          </cell>
          <cell r="O307">
            <v>5911</v>
          </cell>
          <cell r="P307">
            <v>12232.5</v>
          </cell>
          <cell r="Q307">
            <v>12953</v>
          </cell>
          <cell r="R307">
            <v>12182</v>
          </cell>
          <cell r="S307">
            <v>10769</v>
          </cell>
          <cell r="T307">
            <v>13534</v>
          </cell>
          <cell r="U307">
            <v>12905.5</v>
          </cell>
          <cell r="V307">
            <v>13799.5</v>
          </cell>
          <cell r="W307">
            <v>9841.5</v>
          </cell>
          <cell r="X307">
            <v>10863</v>
          </cell>
          <cell r="Y307">
            <v>16829</v>
          </cell>
          <cell r="Z307">
            <v>9008.5</v>
          </cell>
          <cell r="AA307">
            <v>8759.5</v>
          </cell>
          <cell r="AB307">
            <v>10293.5</v>
          </cell>
          <cell r="AC307">
            <v>7077</v>
          </cell>
          <cell r="AD307">
            <v>4025.5</v>
          </cell>
          <cell r="AE307">
            <v>4245</v>
          </cell>
          <cell r="AF307">
            <v>11981.4</v>
          </cell>
          <cell r="AG307">
            <v>9638.6</v>
          </cell>
          <cell r="AH307">
            <v>10292.6</v>
          </cell>
          <cell r="AI307">
            <v>15417.45</v>
          </cell>
          <cell r="AJ307">
            <v>13003</v>
          </cell>
          <cell r="AK307">
            <v>9037.2999999999993</v>
          </cell>
          <cell r="AL307">
            <v>10393.5</v>
          </cell>
          <cell r="AM307">
            <v>8809.5</v>
          </cell>
          <cell r="AN307">
            <v>9798</v>
          </cell>
          <cell r="AO307">
            <v>11920</v>
          </cell>
          <cell r="AP307">
            <v>11387</v>
          </cell>
          <cell r="AQ307">
            <v>13662</v>
          </cell>
          <cell r="AR307">
            <v>13714.4</v>
          </cell>
          <cell r="AS307">
            <v>13552.5</v>
          </cell>
          <cell r="AT307">
            <v>13641.5</v>
          </cell>
          <cell r="AU307">
            <v>18208.5</v>
          </cell>
          <cell r="AV307">
            <v>18724.25</v>
          </cell>
          <cell r="AW307">
            <v>15867</v>
          </cell>
          <cell r="AX307">
            <v>15018</v>
          </cell>
          <cell r="AY307">
            <v>12446</v>
          </cell>
          <cell r="AZ307">
            <v>17106</v>
          </cell>
          <cell r="BA307">
            <v>18237.5</v>
          </cell>
          <cell r="BB307">
            <v>9615</v>
          </cell>
          <cell r="BC307">
            <v>15677.3</v>
          </cell>
          <cell r="BD307">
            <v>14910.5</v>
          </cell>
          <cell r="BE307">
            <v>10296.5</v>
          </cell>
          <cell r="BF307">
            <v>10354</v>
          </cell>
          <cell r="BG307">
            <v>8542.5</v>
          </cell>
          <cell r="BH307">
            <v>15784.5</v>
          </cell>
          <cell r="BI307">
            <v>11223.5</v>
          </cell>
          <cell r="BJ307">
            <v>11334.5</v>
          </cell>
          <cell r="BK307">
            <v>9553.15</v>
          </cell>
          <cell r="BL307">
            <v>10393.5</v>
          </cell>
          <cell r="BM307">
            <v>12225</v>
          </cell>
          <cell r="BN307">
            <v>13286.5</v>
          </cell>
          <cell r="BO307">
            <v>10305</v>
          </cell>
          <cell r="BP307">
            <v>3619.5</v>
          </cell>
          <cell r="BQ307">
            <v>13782</v>
          </cell>
          <cell r="BR307">
            <v>9350.5</v>
          </cell>
          <cell r="BS307">
            <v>12757</v>
          </cell>
          <cell r="BT307">
            <v>9076.5</v>
          </cell>
          <cell r="BU307">
            <v>10908</v>
          </cell>
          <cell r="BV307">
            <v>9693.5</v>
          </cell>
          <cell r="BW307">
            <v>9114.5</v>
          </cell>
          <cell r="BX307">
            <v>8417</v>
          </cell>
          <cell r="BY307">
            <v>8064.5</v>
          </cell>
          <cell r="BZ307">
            <v>9716.5</v>
          </cell>
          <cell r="CA307">
            <v>9254.5</v>
          </cell>
          <cell r="CB307">
            <v>7126</v>
          </cell>
          <cell r="CC307">
            <v>11458</v>
          </cell>
          <cell r="CD307">
            <v>8357</v>
          </cell>
          <cell r="CE307">
            <v>4595.5</v>
          </cell>
          <cell r="CF307">
            <v>4368</v>
          </cell>
          <cell r="CG307">
            <v>10620.5</v>
          </cell>
          <cell r="CH307">
            <v>9796.5</v>
          </cell>
          <cell r="CI307">
            <v>10556.7</v>
          </cell>
          <cell r="CJ307">
            <v>10245</v>
          </cell>
          <cell r="CK307">
            <v>9479.5</v>
          </cell>
          <cell r="CL307">
            <v>12881.5</v>
          </cell>
          <cell r="CM307">
            <v>10036</v>
          </cell>
          <cell r="CN307">
            <v>9616.2999999999993</v>
          </cell>
          <cell r="CO307">
            <v>9217.5</v>
          </cell>
          <cell r="CP307">
            <v>10910</v>
          </cell>
          <cell r="CQ307">
            <v>10430</v>
          </cell>
          <cell r="CR307">
            <v>11332</v>
          </cell>
          <cell r="CS307">
            <v>8271.5</v>
          </cell>
          <cell r="CT307">
            <v>14866</v>
          </cell>
          <cell r="CU307">
            <v>14401.7</v>
          </cell>
          <cell r="CV307">
            <v>14165.5</v>
          </cell>
          <cell r="CW307">
            <v>12725</v>
          </cell>
          <cell r="CX307">
            <v>7887</v>
          </cell>
          <cell r="CY307">
            <v>12270</v>
          </cell>
          <cell r="CZ307">
            <v>8971</v>
          </cell>
          <cell r="DA307">
            <v>12043.5</v>
          </cell>
          <cell r="DB307">
            <v>8751</v>
          </cell>
          <cell r="DC307">
            <v>9422.5</v>
          </cell>
          <cell r="DD307">
            <v>9774.5</v>
          </cell>
          <cell r="DE307" t="str">
            <v>ACTIVO</v>
          </cell>
          <cell r="DF307" t="str">
            <v/>
          </cell>
          <cell r="DH307">
            <v>10521.548000000001</v>
          </cell>
          <cell r="DI307">
            <v>1753.5913333333335</v>
          </cell>
        </row>
        <row r="308">
          <cell r="B308">
            <v>100303</v>
          </cell>
          <cell r="C308" t="str">
            <v>JARABE DE REMOJO 35° TOTEM 1000 Lt</v>
          </cell>
          <cell r="D308">
            <v>5000</v>
          </cell>
          <cell r="E308">
            <v>5000</v>
          </cell>
          <cell r="F308">
            <v>7000</v>
          </cell>
          <cell r="G308">
            <v>7000</v>
          </cell>
          <cell r="H308">
            <v>6000</v>
          </cell>
          <cell r="I308">
            <v>7000</v>
          </cell>
          <cell r="J308">
            <v>8000</v>
          </cell>
          <cell r="K308">
            <v>10000</v>
          </cell>
          <cell r="L308">
            <v>7000</v>
          </cell>
          <cell r="M308">
            <v>8000</v>
          </cell>
          <cell r="N308">
            <v>6000</v>
          </cell>
          <cell r="O308">
            <v>4000</v>
          </cell>
          <cell r="P308">
            <v>9000</v>
          </cell>
          <cell r="Q308">
            <v>6000</v>
          </cell>
          <cell r="R308">
            <v>8000</v>
          </cell>
          <cell r="S308">
            <v>8000</v>
          </cell>
          <cell r="T308">
            <v>9000</v>
          </cell>
          <cell r="U308">
            <v>7000</v>
          </cell>
          <cell r="V308">
            <v>8000</v>
          </cell>
          <cell r="W308">
            <v>9000</v>
          </cell>
          <cell r="X308">
            <v>9000</v>
          </cell>
          <cell r="Y308">
            <v>6000</v>
          </cell>
          <cell r="Z308">
            <v>8000</v>
          </cell>
          <cell r="AA308">
            <v>8000</v>
          </cell>
          <cell r="AB308">
            <v>6000</v>
          </cell>
          <cell r="AC308">
            <v>6000</v>
          </cell>
          <cell r="AD308">
            <v>2000</v>
          </cell>
          <cell r="AE308">
            <v>2000</v>
          </cell>
          <cell r="AF308">
            <v>3000</v>
          </cell>
          <cell r="AG308">
            <v>6000</v>
          </cell>
          <cell r="AH308">
            <v>4000</v>
          </cell>
          <cell r="AI308">
            <v>6000</v>
          </cell>
          <cell r="AJ308">
            <v>10000</v>
          </cell>
          <cell r="AK308">
            <v>5000</v>
          </cell>
          <cell r="AL308">
            <v>5000</v>
          </cell>
          <cell r="AM308">
            <v>6000</v>
          </cell>
          <cell r="AN308">
            <v>6000</v>
          </cell>
          <cell r="AO308">
            <v>8000</v>
          </cell>
          <cell r="AP308">
            <v>6000</v>
          </cell>
          <cell r="AQ308">
            <v>11000</v>
          </cell>
          <cell r="AR308">
            <v>6000</v>
          </cell>
          <cell r="AS308">
            <v>8000</v>
          </cell>
          <cell r="AT308">
            <v>7000</v>
          </cell>
          <cell r="AU308">
            <v>8000</v>
          </cell>
          <cell r="AV308">
            <v>7000</v>
          </cell>
          <cell r="AW308">
            <v>7000</v>
          </cell>
          <cell r="AX308">
            <v>8055</v>
          </cell>
          <cell r="AY308">
            <v>7000</v>
          </cell>
          <cell r="AZ308">
            <v>11000</v>
          </cell>
          <cell r="BA308">
            <v>8000</v>
          </cell>
          <cell r="BB308">
            <v>11000</v>
          </cell>
          <cell r="BC308">
            <v>7000</v>
          </cell>
          <cell r="BD308">
            <v>6000</v>
          </cell>
          <cell r="BE308">
            <v>5000</v>
          </cell>
          <cell r="BF308">
            <v>8000</v>
          </cell>
          <cell r="BG308">
            <v>5000</v>
          </cell>
          <cell r="BH308">
            <v>9000</v>
          </cell>
          <cell r="BI308">
            <v>5000</v>
          </cell>
          <cell r="BJ308">
            <v>10000</v>
          </cell>
          <cell r="BK308">
            <v>5000</v>
          </cell>
          <cell r="BL308">
            <v>8000</v>
          </cell>
          <cell r="BM308">
            <v>8000</v>
          </cell>
          <cell r="BN308">
            <v>5000</v>
          </cell>
          <cell r="BO308">
            <v>4000</v>
          </cell>
          <cell r="BP308">
            <v>4000</v>
          </cell>
          <cell r="BQ308">
            <v>6050</v>
          </cell>
          <cell r="BR308">
            <v>4000</v>
          </cell>
          <cell r="BS308">
            <v>8000</v>
          </cell>
          <cell r="BT308">
            <v>3000</v>
          </cell>
          <cell r="BU308">
            <v>6000</v>
          </cell>
          <cell r="BV308">
            <v>5000</v>
          </cell>
          <cell r="BW308">
            <v>3000</v>
          </cell>
          <cell r="BX308">
            <v>5000</v>
          </cell>
          <cell r="BY308">
            <v>3000</v>
          </cell>
          <cell r="BZ308">
            <v>3000</v>
          </cell>
          <cell r="CA308">
            <v>4000</v>
          </cell>
          <cell r="CB308">
            <v>3000</v>
          </cell>
          <cell r="CC308">
            <v>4000</v>
          </cell>
          <cell r="CD308">
            <v>4000</v>
          </cell>
          <cell r="CE308">
            <v>2000</v>
          </cell>
          <cell r="CF308">
            <v>1000</v>
          </cell>
          <cell r="CG308">
            <v>5000</v>
          </cell>
          <cell r="CH308">
            <v>5000</v>
          </cell>
          <cell r="CI308">
            <v>4000</v>
          </cell>
          <cell r="CJ308">
            <v>5000</v>
          </cell>
          <cell r="CK308">
            <v>2000</v>
          </cell>
          <cell r="CL308">
            <v>4000</v>
          </cell>
          <cell r="CM308">
            <v>4000</v>
          </cell>
          <cell r="CN308">
            <v>3000</v>
          </cell>
          <cell r="CO308">
            <v>4000</v>
          </cell>
          <cell r="CP308">
            <v>5000</v>
          </cell>
          <cell r="CQ308">
            <v>4000</v>
          </cell>
          <cell r="CR308">
            <v>7000</v>
          </cell>
          <cell r="CS308">
            <v>3000</v>
          </cell>
          <cell r="CT308">
            <v>4000</v>
          </cell>
          <cell r="CU308">
            <v>4015</v>
          </cell>
          <cell r="CV308">
            <v>5000</v>
          </cell>
          <cell r="CW308">
            <v>3000</v>
          </cell>
          <cell r="CX308">
            <v>1000</v>
          </cell>
          <cell r="CY308">
            <v>1000</v>
          </cell>
          <cell r="CZ308">
            <v>1000</v>
          </cell>
          <cell r="DA308">
            <v>6000</v>
          </cell>
          <cell r="DB308">
            <v>1000</v>
          </cell>
          <cell r="DC308">
            <v>4000</v>
          </cell>
          <cell r="DD308">
            <v>5000</v>
          </cell>
          <cell r="DE308" t="str">
            <v>ACTIVO</v>
          </cell>
          <cell r="DF308" t="str">
            <v>A</v>
          </cell>
          <cell r="DH308">
            <v>3640.6</v>
          </cell>
          <cell r="DI308">
            <v>606.76666666666665</v>
          </cell>
        </row>
        <row r="309">
          <cell r="B309">
            <v>107259</v>
          </cell>
          <cell r="C309" t="str">
            <v>JARABE 3 LECHES SCHOLLE 10LT DIWATTS</v>
          </cell>
          <cell r="D309">
            <v>340</v>
          </cell>
          <cell r="E309">
            <v>500</v>
          </cell>
          <cell r="F309">
            <v>270</v>
          </cell>
          <cell r="G309">
            <v>750</v>
          </cell>
          <cell r="H309">
            <v>180</v>
          </cell>
          <cell r="I309">
            <v>170</v>
          </cell>
          <cell r="J309">
            <v>230</v>
          </cell>
          <cell r="K309">
            <v>200</v>
          </cell>
          <cell r="L309">
            <v>250</v>
          </cell>
          <cell r="M309">
            <v>230</v>
          </cell>
          <cell r="N309">
            <v>230</v>
          </cell>
          <cell r="O309">
            <v>10</v>
          </cell>
          <cell r="P309">
            <v>110</v>
          </cell>
          <cell r="Q309">
            <v>270</v>
          </cell>
          <cell r="R309">
            <v>180</v>
          </cell>
          <cell r="S309">
            <v>180</v>
          </cell>
          <cell r="T309">
            <v>150</v>
          </cell>
          <cell r="U309">
            <v>160</v>
          </cell>
          <cell r="V309">
            <v>210</v>
          </cell>
          <cell r="W309">
            <v>150</v>
          </cell>
          <cell r="X309">
            <v>110</v>
          </cell>
          <cell r="Y309">
            <v>10</v>
          </cell>
          <cell r="Z309">
            <v>140</v>
          </cell>
          <cell r="AA309">
            <v>210</v>
          </cell>
          <cell r="AB309">
            <v>190</v>
          </cell>
          <cell r="AC309">
            <v>150</v>
          </cell>
          <cell r="AD309">
            <v>60</v>
          </cell>
          <cell r="AE309">
            <v>50</v>
          </cell>
          <cell r="AF309">
            <v>191</v>
          </cell>
          <cell r="AG309">
            <v>230</v>
          </cell>
          <cell r="AH309">
            <v>198</v>
          </cell>
          <cell r="AI309">
            <v>230</v>
          </cell>
          <cell r="AJ309">
            <v>180</v>
          </cell>
          <cell r="AK309">
            <v>170</v>
          </cell>
          <cell r="AL309">
            <v>210</v>
          </cell>
          <cell r="AM309">
            <v>210</v>
          </cell>
          <cell r="AN309">
            <v>260</v>
          </cell>
          <cell r="AO309">
            <v>230</v>
          </cell>
          <cell r="AP309">
            <v>150</v>
          </cell>
          <cell r="AQ309">
            <v>210</v>
          </cell>
          <cell r="AR309">
            <v>260</v>
          </cell>
          <cell r="AS309">
            <v>200</v>
          </cell>
          <cell r="AT309">
            <v>200</v>
          </cell>
          <cell r="AU309">
            <v>160</v>
          </cell>
          <cell r="AV309">
            <v>180</v>
          </cell>
          <cell r="AW309">
            <v>200</v>
          </cell>
          <cell r="AX309">
            <v>210</v>
          </cell>
          <cell r="AY309">
            <v>170</v>
          </cell>
          <cell r="AZ309">
            <v>190</v>
          </cell>
          <cell r="BA309">
            <v>190</v>
          </cell>
          <cell r="BB309">
            <v>180</v>
          </cell>
          <cell r="BC309">
            <v>220</v>
          </cell>
          <cell r="BD309">
            <v>220</v>
          </cell>
          <cell r="BE309">
            <v>180</v>
          </cell>
          <cell r="BF309">
            <v>160</v>
          </cell>
          <cell r="BG309">
            <v>220</v>
          </cell>
          <cell r="BH309">
            <v>190</v>
          </cell>
          <cell r="BI309">
            <v>200</v>
          </cell>
          <cell r="BJ309">
            <v>180</v>
          </cell>
          <cell r="BK309">
            <v>180</v>
          </cell>
          <cell r="BL309">
            <v>170</v>
          </cell>
          <cell r="BM309">
            <v>180</v>
          </cell>
          <cell r="BN309">
            <v>160</v>
          </cell>
          <cell r="BO309">
            <v>150</v>
          </cell>
          <cell r="BP309">
            <v>20</v>
          </cell>
          <cell r="BQ309">
            <v>210</v>
          </cell>
          <cell r="BR309">
            <v>150</v>
          </cell>
          <cell r="BS309">
            <v>200</v>
          </cell>
          <cell r="BT309">
            <v>160</v>
          </cell>
          <cell r="BU309">
            <v>180</v>
          </cell>
          <cell r="BV309">
            <v>190</v>
          </cell>
          <cell r="BW309">
            <v>200</v>
          </cell>
          <cell r="BX309">
            <v>140</v>
          </cell>
          <cell r="BY309">
            <v>180</v>
          </cell>
          <cell r="BZ309">
            <v>210</v>
          </cell>
          <cell r="CA309">
            <v>180</v>
          </cell>
          <cell r="CB309">
            <v>140</v>
          </cell>
          <cell r="CC309">
            <v>310</v>
          </cell>
          <cell r="CD309">
            <v>420</v>
          </cell>
          <cell r="CE309">
            <v>70</v>
          </cell>
          <cell r="CF309">
            <v>50</v>
          </cell>
          <cell r="CG309">
            <v>150</v>
          </cell>
          <cell r="CH309">
            <v>160</v>
          </cell>
          <cell r="CI309">
            <v>160</v>
          </cell>
          <cell r="CJ309">
            <v>150</v>
          </cell>
          <cell r="CK309">
            <v>170</v>
          </cell>
          <cell r="CL309">
            <v>150</v>
          </cell>
          <cell r="CM309">
            <v>140</v>
          </cell>
          <cell r="CN309">
            <v>190</v>
          </cell>
          <cell r="CO309">
            <v>140</v>
          </cell>
          <cell r="CP309">
            <v>150</v>
          </cell>
          <cell r="CQ309">
            <v>150</v>
          </cell>
          <cell r="CR309">
            <v>190</v>
          </cell>
          <cell r="CS309">
            <v>160</v>
          </cell>
          <cell r="CT309">
            <v>390</v>
          </cell>
          <cell r="CU309">
            <v>200</v>
          </cell>
          <cell r="CV309">
            <v>180</v>
          </cell>
          <cell r="CW309">
            <v>180</v>
          </cell>
          <cell r="CX309">
            <v>150</v>
          </cell>
          <cell r="CY309">
            <v>200</v>
          </cell>
          <cell r="CZ309">
            <v>190</v>
          </cell>
          <cell r="DA309">
            <v>220</v>
          </cell>
          <cell r="DB309">
            <v>190</v>
          </cell>
          <cell r="DC309">
            <v>210</v>
          </cell>
          <cell r="DD309">
            <v>180</v>
          </cell>
          <cell r="DE309" t="str">
            <v>ACTIVO</v>
          </cell>
          <cell r="DF309" t="str">
            <v>B</v>
          </cell>
          <cell r="DH309">
            <v>176</v>
          </cell>
          <cell r="DI309">
            <v>29.333333333333332</v>
          </cell>
        </row>
        <row r="310">
          <cell r="B310">
            <v>107278</v>
          </cell>
          <cell r="C310" t="str">
            <v>JARABE DE REMOJO RON-NJA 40 BIDÓN 5 Lt</v>
          </cell>
          <cell r="D310">
            <v>2430</v>
          </cell>
          <cell r="E310">
            <v>2815</v>
          </cell>
          <cell r="F310">
            <v>2575</v>
          </cell>
          <cell r="G310">
            <v>2830</v>
          </cell>
          <cell r="H310">
            <v>3660</v>
          </cell>
          <cell r="I310">
            <v>2930</v>
          </cell>
          <cell r="J310">
            <v>3175</v>
          </cell>
          <cell r="K310">
            <v>3435</v>
          </cell>
          <cell r="L310">
            <v>3109</v>
          </cell>
          <cell r="M310">
            <v>2690</v>
          </cell>
          <cell r="N310">
            <v>2380</v>
          </cell>
          <cell r="O310">
            <v>2800</v>
          </cell>
          <cell r="P310">
            <v>2335</v>
          </cell>
          <cell r="Q310">
            <v>2755</v>
          </cell>
          <cell r="R310">
            <v>2790</v>
          </cell>
          <cell r="S310">
            <v>2620</v>
          </cell>
          <cell r="T310">
            <v>2355</v>
          </cell>
          <cell r="U310">
            <v>2750</v>
          </cell>
          <cell r="V310">
            <v>2765</v>
          </cell>
          <cell r="W310">
            <v>2950</v>
          </cell>
          <cell r="X310">
            <v>2310</v>
          </cell>
          <cell r="Y310">
            <v>3820</v>
          </cell>
          <cell r="Z310">
            <v>2045</v>
          </cell>
          <cell r="AA310">
            <v>2215</v>
          </cell>
          <cell r="AB310">
            <v>2050</v>
          </cell>
          <cell r="AC310">
            <v>1410</v>
          </cell>
          <cell r="AD310">
            <v>280</v>
          </cell>
          <cell r="AE310">
            <v>335</v>
          </cell>
          <cell r="AF310">
            <v>2040</v>
          </cell>
          <cell r="AG310">
            <v>1319</v>
          </cell>
          <cell r="AH310">
            <v>981</v>
          </cell>
          <cell r="AI310">
            <v>1860</v>
          </cell>
          <cell r="AJ310">
            <v>2280</v>
          </cell>
          <cell r="AK310">
            <v>955</v>
          </cell>
          <cell r="AL310">
            <v>1405</v>
          </cell>
          <cell r="AM310">
            <v>1500</v>
          </cell>
          <cell r="AN310">
            <v>1120</v>
          </cell>
          <cell r="AO310">
            <v>2810</v>
          </cell>
          <cell r="AP310">
            <v>1585</v>
          </cell>
          <cell r="AQ310">
            <v>2155</v>
          </cell>
          <cell r="AR310">
            <v>1820</v>
          </cell>
          <cell r="AS310">
            <v>2280</v>
          </cell>
          <cell r="AT310">
            <v>1410</v>
          </cell>
          <cell r="AU310">
            <v>1725</v>
          </cell>
          <cell r="AV310">
            <v>3000</v>
          </cell>
          <cell r="AW310">
            <v>2030</v>
          </cell>
          <cell r="AX310">
            <v>1835</v>
          </cell>
          <cell r="AY310">
            <v>1165</v>
          </cell>
          <cell r="AZ310">
            <v>2422</v>
          </cell>
          <cell r="BA310">
            <v>4863</v>
          </cell>
          <cell r="BB310">
            <v>1045</v>
          </cell>
          <cell r="BC310">
            <v>2375</v>
          </cell>
          <cell r="BD310">
            <v>1946</v>
          </cell>
          <cell r="BE310">
            <v>1575</v>
          </cell>
          <cell r="BF310">
            <v>1980</v>
          </cell>
          <cell r="BG310">
            <v>915</v>
          </cell>
          <cell r="BH310">
            <v>2320</v>
          </cell>
          <cell r="BI310">
            <v>1685</v>
          </cell>
          <cell r="BJ310">
            <v>1180</v>
          </cell>
          <cell r="BK310">
            <v>1070</v>
          </cell>
          <cell r="BL310">
            <v>1420</v>
          </cell>
          <cell r="BM310">
            <v>2140</v>
          </cell>
          <cell r="BN310">
            <v>1420</v>
          </cell>
          <cell r="BO310">
            <v>1415</v>
          </cell>
          <cell r="BP310">
            <v>330</v>
          </cell>
          <cell r="BQ310">
            <v>1650</v>
          </cell>
          <cell r="BR310">
            <v>1540</v>
          </cell>
          <cell r="BS310">
            <v>2575</v>
          </cell>
          <cell r="BT310">
            <v>955</v>
          </cell>
          <cell r="BU310">
            <v>830</v>
          </cell>
          <cell r="BV310">
            <v>1060</v>
          </cell>
          <cell r="BW310">
            <v>1400</v>
          </cell>
          <cell r="BX310">
            <v>750</v>
          </cell>
          <cell r="BY310">
            <v>1560</v>
          </cell>
          <cell r="BZ310">
            <v>1675</v>
          </cell>
          <cell r="CA310">
            <v>805</v>
          </cell>
          <cell r="CB310">
            <v>1025</v>
          </cell>
          <cell r="CC310">
            <v>1810</v>
          </cell>
          <cell r="CD310">
            <v>1040</v>
          </cell>
          <cell r="CE310">
            <v>260</v>
          </cell>
          <cell r="CF310">
            <v>665</v>
          </cell>
          <cell r="CG310">
            <v>1335</v>
          </cell>
          <cell r="CH310">
            <v>1595</v>
          </cell>
          <cell r="CI310">
            <v>1510</v>
          </cell>
          <cell r="CJ310">
            <v>1750</v>
          </cell>
          <cell r="CK310">
            <v>1065</v>
          </cell>
          <cell r="CL310">
            <v>1465</v>
          </cell>
          <cell r="CM310">
            <v>1430</v>
          </cell>
          <cell r="CN310">
            <v>1600</v>
          </cell>
          <cell r="CO310">
            <v>670</v>
          </cell>
          <cell r="CP310">
            <v>1120</v>
          </cell>
          <cell r="CQ310">
            <v>2315</v>
          </cell>
          <cell r="CR310">
            <v>2450</v>
          </cell>
          <cell r="CS310">
            <v>310</v>
          </cell>
          <cell r="CT310">
            <v>380</v>
          </cell>
          <cell r="CU310">
            <v>445</v>
          </cell>
          <cell r="CV310">
            <v>295</v>
          </cell>
          <cell r="CW310">
            <v>155</v>
          </cell>
          <cell r="CX310">
            <v>35</v>
          </cell>
          <cell r="CY310">
            <v>4375</v>
          </cell>
          <cell r="CZ310">
            <v>3020</v>
          </cell>
          <cell r="DA310">
            <v>1105</v>
          </cell>
          <cell r="DB310">
            <v>1565</v>
          </cell>
          <cell r="DC310">
            <v>890</v>
          </cell>
          <cell r="DD310">
            <v>1075</v>
          </cell>
          <cell r="DE310" t="str">
            <v>ACTIVO</v>
          </cell>
          <cell r="DF310" t="str">
            <v>A</v>
          </cell>
          <cell r="DH310">
            <v>1304.8</v>
          </cell>
          <cell r="DI310">
            <v>217.46666666666667</v>
          </cell>
        </row>
        <row r="311">
          <cell r="B311">
            <v>107262</v>
          </cell>
          <cell r="C311" t="str">
            <v>REMOJO 3 LECHES RICHI</v>
          </cell>
          <cell r="D311">
            <v>3697</v>
          </cell>
          <cell r="E311">
            <v>1178</v>
          </cell>
          <cell r="F311">
            <v>1988</v>
          </cell>
          <cell r="G311">
            <v>304</v>
          </cell>
          <cell r="H311">
            <v>1973</v>
          </cell>
          <cell r="I311">
            <v>2617</v>
          </cell>
          <cell r="J311">
            <v>1777</v>
          </cell>
          <cell r="K311">
            <v>1120</v>
          </cell>
          <cell r="L311">
            <v>2790</v>
          </cell>
          <cell r="M311">
            <v>939</v>
          </cell>
          <cell r="N311">
            <v>2308</v>
          </cell>
          <cell r="O311">
            <v>1178</v>
          </cell>
          <cell r="P311">
            <v>1676</v>
          </cell>
          <cell r="Q311">
            <v>2077</v>
          </cell>
          <cell r="R311">
            <v>1798</v>
          </cell>
          <cell r="S311">
            <v>2271</v>
          </cell>
          <cell r="T311">
            <v>2188</v>
          </cell>
          <cell r="U311">
            <v>1440</v>
          </cell>
          <cell r="V311">
            <v>3075</v>
          </cell>
          <cell r="W311">
            <v>60</v>
          </cell>
          <cell r="X311">
            <v>1854</v>
          </cell>
          <cell r="Y311">
            <v>6029</v>
          </cell>
          <cell r="Z311">
            <v>1158</v>
          </cell>
          <cell r="AA311">
            <v>81</v>
          </cell>
          <cell r="AB311">
            <v>3316</v>
          </cell>
          <cell r="AC311">
            <v>34</v>
          </cell>
          <cell r="AD311">
            <v>2289</v>
          </cell>
          <cell r="AF311">
            <v>2388</v>
          </cell>
          <cell r="AG311">
            <v>1644</v>
          </cell>
          <cell r="AH311">
            <v>3731</v>
          </cell>
          <cell r="AI311">
            <v>2305</v>
          </cell>
          <cell r="AJ311">
            <v>1858</v>
          </cell>
          <cell r="AK311">
            <v>771</v>
          </cell>
          <cell r="AL311">
            <v>73</v>
          </cell>
          <cell r="AM311">
            <v>88</v>
          </cell>
          <cell r="AN311">
            <v>736</v>
          </cell>
          <cell r="AO311">
            <v>83</v>
          </cell>
          <cell r="AP311">
            <v>197</v>
          </cell>
          <cell r="AQ311">
            <v>1426</v>
          </cell>
          <cell r="AR311">
            <v>1458</v>
          </cell>
          <cell r="AS311">
            <v>2340</v>
          </cell>
          <cell r="AT311">
            <v>1894</v>
          </cell>
          <cell r="AU311">
            <v>2914</v>
          </cell>
          <cell r="AV311">
            <v>2329</v>
          </cell>
          <cell r="AW311">
            <v>977</v>
          </cell>
          <cell r="AX311">
            <v>2090</v>
          </cell>
          <cell r="AY311">
            <v>2313</v>
          </cell>
          <cell r="AZ311">
            <v>1820</v>
          </cell>
          <cell r="BA311">
            <v>1583</v>
          </cell>
          <cell r="BB311">
            <v>2100</v>
          </cell>
          <cell r="BC311">
            <v>2398</v>
          </cell>
          <cell r="BD311">
            <v>2376</v>
          </cell>
          <cell r="BE311">
            <v>2047</v>
          </cell>
          <cell r="BF311">
            <v>1265</v>
          </cell>
          <cell r="BG311">
            <v>1815</v>
          </cell>
          <cell r="BH311">
            <v>3042</v>
          </cell>
          <cell r="BI311">
            <v>1611</v>
          </cell>
          <cell r="BJ311">
            <v>3151</v>
          </cell>
          <cell r="BK311">
            <v>1325</v>
          </cell>
          <cell r="BL311">
            <v>2283</v>
          </cell>
          <cell r="BM311">
            <v>3170</v>
          </cell>
          <cell r="BN311">
            <v>685</v>
          </cell>
          <cell r="BO311">
            <v>2288</v>
          </cell>
          <cell r="BP311">
            <v>644</v>
          </cell>
          <cell r="BQ311">
            <v>2014</v>
          </cell>
          <cell r="BR311">
            <v>1478</v>
          </cell>
          <cell r="BS311">
            <v>2548</v>
          </cell>
          <cell r="BT311">
            <v>2548</v>
          </cell>
          <cell r="BU311">
            <v>1482</v>
          </cell>
          <cell r="BV311">
            <v>1164</v>
          </cell>
          <cell r="BW311">
            <v>46</v>
          </cell>
          <cell r="BX311">
            <v>2351</v>
          </cell>
          <cell r="BY311">
            <v>1647</v>
          </cell>
          <cell r="BZ311">
            <v>2181</v>
          </cell>
          <cell r="CA311">
            <v>1068</v>
          </cell>
          <cell r="CB311">
            <v>1826</v>
          </cell>
          <cell r="CC311">
            <v>823</v>
          </cell>
          <cell r="CD311">
            <v>757</v>
          </cell>
          <cell r="CE311">
            <v>1424</v>
          </cell>
          <cell r="CF311">
            <v>54</v>
          </cell>
          <cell r="CG311">
            <v>2212</v>
          </cell>
          <cell r="CH311">
            <v>2369</v>
          </cell>
          <cell r="CI311">
            <v>1720</v>
          </cell>
          <cell r="CJ311">
            <v>1704</v>
          </cell>
          <cell r="CK311">
            <v>54</v>
          </cell>
          <cell r="CL311">
            <v>3126</v>
          </cell>
          <cell r="CM311">
            <v>2364</v>
          </cell>
          <cell r="CN311">
            <v>766</v>
          </cell>
          <cell r="CO311">
            <v>2072</v>
          </cell>
          <cell r="CP311">
            <v>1518</v>
          </cell>
          <cell r="CQ311">
            <v>1363</v>
          </cell>
          <cell r="CR311">
            <v>1599</v>
          </cell>
          <cell r="CS311">
            <v>41</v>
          </cell>
          <cell r="CT311">
            <v>2904</v>
          </cell>
          <cell r="CU311">
            <v>946</v>
          </cell>
          <cell r="CV311">
            <v>3640</v>
          </cell>
          <cell r="CW311">
            <v>424</v>
          </cell>
          <cell r="CX311">
            <v>2202</v>
          </cell>
          <cell r="CY311">
            <v>1407</v>
          </cell>
          <cell r="CZ311">
            <v>1584</v>
          </cell>
          <cell r="DA311">
            <v>1513</v>
          </cell>
          <cell r="DB311">
            <v>1660</v>
          </cell>
          <cell r="DC311">
            <v>1233</v>
          </cell>
          <cell r="DD311">
            <v>1396</v>
          </cell>
          <cell r="DE311" t="str">
            <v>ACTIVO</v>
          </cell>
          <cell r="DF311" t="str">
            <v>A</v>
          </cell>
          <cell r="DH311">
            <v>1594.84</v>
          </cell>
          <cell r="DI311">
            <v>265.80666666666667</v>
          </cell>
        </row>
        <row r="312">
          <cell r="B312">
            <v>201103</v>
          </cell>
          <cell r="C312" t="str">
            <v>PROTEKTOR PURATOS</v>
          </cell>
          <cell r="H312">
            <v>10</v>
          </cell>
          <cell r="T312">
            <v>10</v>
          </cell>
          <cell r="V312">
            <v>30</v>
          </cell>
          <cell r="X312">
            <v>10</v>
          </cell>
          <cell r="Z312">
            <v>15</v>
          </cell>
          <cell r="AA312">
            <v>5</v>
          </cell>
          <cell r="AC312">
            <v>35</v>
          </cell>
          <cell r="AF312">
            <v>10</v>
          </cell>
          <cell r="AG312">
            <v>10</v>
          </cell>
          <cell r="AH312">
            <v>5</v>
          </cell>
          <cell r="AI312">
            <v>10</v>
          </cell>
          <cell r="AK312">
            <v>5</v>
          </cell>
          <cell r="AL312">
            <v>5</v>
          </cell>
          <cell r="AN312">
            <v>5</v>
          </cell>
          <cell r="AO312">
            <v>20</v>
          </cell>
          <cell r="AP312">
            <v>20</v>
          </cell>
          <cell r="AS312">
            <v>5</v>
          </cell>
          <cell r="AV312">
            <v>10</v>
          </cell>
          <cell r="AW312">
            <v>5</v>
          </cell>
          <cell r="AX312">
            <v>5</v>
          </cell>
          <cell r="AY312">
            <v>5</v>
          </cell>
          <cell r="AZ312">
            <v>5</v>
          </cell>
          <cell r="BA312">
            <v>10</v>
          </cell>
          <cell r="BC312">
            <v>5</v>
          </cell>
          <cell r="BD312">
            <v>10</v>
          </cell>
          <cell r="BE312">
            <v>5</v>
          </cell>
          <cell r="BF312">
            <v>5</v>
          </cell>
          <cell r="BG312">
            <v>5</v>
          </cell>
          <cell r="BH312">
            <v>10</v>
          </cell>
          <cell r="BI312">
            <v>10</v>
          </cell>
          <cell r="BJ312">
            <v>10</v>
          </cell>
          <cell r="BL312">
            <v>5</v>
          </cell>
          <cell r="BM312">
            <v>5</v>
          </cell>
          <cell r="BN312">
            <v>5</v>
          </cell>
          <cell r="BO312">
            <v>5</v>
          </cell>
          <cell r="BQ312">
            <v>5</v>
          </cell>
          <cell r="BR312">
            <v>10</v>
          </cell>
          <cell r="BS312">
            <v>5</v>
          </cell>
          <cell r="BU312">
            <v>5</v>
          </cell>
          <cell r="BV312">
            <v>10</v>
          </cell>
          <cell r="BX312">
            <v>5</v>
          </cell>
          <cell r="BY312">
            <v>10</v>
          </cell>
          <cell r="BZ312">
            <v>15</v>
          </cell>
          <cell r="CA312">
            <v>15</v>
          </cell>
          <cell r="CB312">
            <v>10</v>
          </cell>
          <cell r="CC312">
            <v>10</v>
          </cell>
          <cell r="CD312">
            <v>15</v>
          </cell>
          <cell r="CG312">
            <v>4</v>
          </cell>
          <cell r="CH312">
            <v>10</v>
          </cell>
          <cell r="CI312">
            <v>10</v>
          </cell>
          <cell r="CJ312">
            <v>10</v>
          </cell>
          <cell r="CK312">
            <v>10</v>
          </cell>
          <cell r="CL312">
            <v>5</v>
          </cell>
          <cell r="CM312">
            <v>10</v>
          </cell>
          <cell r="CN312">
            <v>5</v>
          </cell>
          <cell r="CO312">
            <v>10</v>
          </cell>
          <cell r="CP312">
            <v>5</v>
          </cell>
          <cell r="CQ312">
            <v>5</v>
          </cell>
          <cell r="CR312">
            <v>10</v>
          </cell>
          <cell r="CS312">
            <v>5</v>
          </cell>
          <cell r="CT312">
            <v>5</v>
          </cell>
          <cell r="CU312">
            <v>5</v>
          </cell>
          <cell r="CV312">
            <v>10</v>
          </cell>
          <cell r="CW312">
            <v>5</v>
          </cell>
          <cell r="CX312">
            <v>5</v>
          </cell>
          <cell r="CY312">
            <v>10</v>
          </cell>
          <cell r="CZ312">
            <v>5</v>
          </cell>
          <cell r="DA312">
            <v>5</v>
          </cell>
          <cell r="DB312">
            <v>5</v>
          </cell>
          <cell r="DC312">
            <v>10</v>
          </cell>
          <cell r="DE312" t="str">
            <v>ACTIVO</v>
          </cell>
          <cell r="DF312" t="str">
            <v>C</v>
          </cell>
          <cell r="DH312">
            <v>7.1304347826086953</v>
          </cell>
          <cell r="DI312">
            <v>1.1884057971014492</v>
          </cell>
        </row>
        <row r="313">
          <cell r="B313">
            <v>107260</v>
          </cell>
          <cell r="C313" t="str">
            <v>JARABE DE REMOJO OCTOBINS</v>
          </cell>
          <cell r="AR313">
            <v>975</v>
          </cell>
          <cell r="AS313">
            <v>1950</v>
          </cell>
          <cell r="DE313" t="str">
            <v>SIN USO</v>
          </cell>
          <cell r="DF313" t="str">
            <v>C</v>
          </cell>
          <cell r="DH313">
            <v>0</v>
          </cell>
          <cell r="DI313">
            <v>0</v>
          </cell>
        </row>
        <row r="314">
          <cell r="B314">
            <v>501147</v>
          </cell>
          <cell r="C314" t="str">
            <v>JARABE DE REMOJO 35° BIDON</v>
          </cell>
          <cell r="DA314">
            <v>1020</v>
          </cell>
          <cell r="DB314">
            <v>2810</v>
          </cell>
          <cell r="DC314">
            <v>2860</v>
          </cell>
          <cell r="DD314">
            <v>835</v>
          </cell>
          <cell r="DE314" t="str">
            <v>ACTIVO</v>
          </cell>
          <cell r="DF314" t="str">
            <v/>
          </cell>
          <cell r="DH314">
            <v>1881.25</v>
          </cell>
          <cell r="DI314">
            <v>313.54166666666669</v>
          </cell>
        </row>
        <row r="315">
          <cell r="D315">
            <v>11467</v>
          </cell>
          <cell r="E315">
            <v>9493</v>
          </cell>
          <cell r="F315">
            <v>11833</v>
          </cell>
          <cell r="G315">
            <v>10884</v>
          </cell>
          <cell r="H315">
            <v>11823</v>
          </cell>
          <cell r="I315">
            <v>12717</v>
          </cell>
          <cell r="J315">
            <v>13182</v>
          </cell>
          <cell r="K315">
            <v>14755</v>
          </cell>
          <cell r="L315">
            <v>13149</v>
          </cell>
          <cell r="M315">
            <v>11859</v>
          </cell>
          <cell r="N315">
            <v>10918</v>
          </cell>
          <cell r="O315">
            <v>7988</v>
          </cell>
          <cell r="P315">
            <v>13121</v>
          </cell>
          <cell r="Q315">
            <v>11102</v>
          </cell>
          <cell r="R315">
            <v>12768</v>
          </cell>
          <cell r="S315">
            <v>13071</v>
          </cell>
          <cell r="T315">
            <v>13703</v>
          </cell>
          <cell r="U315">
            <v>11350</v>
          </cell>
          <cell r="V315">
            <v>14080</v>
          </cell>
          <cell r="W315">
            <v>12160</v>
          </cell>
          <cell r="X315">
            <v>13284</v>
          </cell>
          <cell r="Y315">
            <v>15859</v>
          </cell>
          <cell r="Z315">
            <v>11358</v>
          </cell>
          <cell r="AA315">
            <v>10511</v>
          </cell>
          <cell r="AB315">
            <v>11556</v>
          </cell>
          <cell r="AC315">
            <v>7629</v>
          </cell>
          <cell r="AD315">
            <v>4629</v>
          </cell>
          <cell r="AE315">
            <v>2385</v>
          </cell>
          <cell r="AF315">
            <v>7629</v>
          </cell>
          <cell r="AG315">
            <v>9203</v>
          </cell>
          <cell r="AH315">
            <v>8915</v>
          </cell>
          <cell r="AI315">
            <v>10405</v>
          </cell>
          <cell r="AJ315">
            <v>14318</v>
          </cell>
          <cell r="AK315">
            <v>6901</v>
          </cell>
          <cell r="AL315">
            <v>6693</v>
          </cell>
          <cell r="AM315">
            <v>7798</v>
          </cell>
          <cell r="AN315">
            <v>8121</v>
          </cell>
          <cell r="AO315">
            <v>11143</v>
          </cell>
          <cell r="AP315">
            <v>7952</v>
          </cell>
          <cell r="AQ315">
            <v>14791</v>
          </cell>
          <cell r="AR315">
            <v>10513</v>
          </cell>
          <cell r="AS315">
            <v>14775</v>
          </cell>
          <cell r="AT315">
            <v>10504</v>
          </cell>
          <cell r="AU315">
            <v>12799</v>
          </cell>
          <cell r="AV315">
            <v>12519</v>
          </cell>
          <cell r="AW315">
            <v>10212</v>
          </cell>
          <cell r="AX315">
            <v>12195</v>
          </cell>
          <cell r="AY315">
            <v>10653</v>
          </cell>
          <cell r="AZ315">
            <v>15437</v>
          </cell>
          <cell r="BA315">
            <v>14646</v>
          </cell>
          <cell r="BB315">
            <v>14325</v>
          </cell>
          <cell r="BC315">
            <v>11998</v>
          </cell>
          <cell r="BD315">
            <v>10552</v>
          </cell>
          <cell r="BE315">
            <v>8807</v>
          </cell>
          <cell r="BF315">
            <v>11410</v>
          </cell>
          <cell r="BG315">
            <v>7955</v>
          </cell>
          <cell r="BH315">
            <v>14562</v>
          </cell>
          <cell r="BI315">
            <v>8506</v>
          </cell>
          <cell r="BJ315">
            <v>14521</v>
          </cell>
          <cell r="BK315">
            <v>7575</v>
          </cell>
          <cell r="BL315">
            <v>11878</v>
          </cell>
          <cell r="BM315">
            <v>13495</v>
          </cell>
          <cell r="BN315">
            <v>7270</v>
          </cell>
          <cell r="BO315">
            <v>7858</v>
          </cell>
          <cell r="BP315">
            <v>4994</v>
          </cell>
          <cell r="BQ315">
            <v>9929</v>
          </cell>
          <cell r="BR315">
            <v>7178</v>
          </cell>
          <cell r="BS315">
            <v>13328</v>
          </cell>
          <cell r="BT315">
            <v>6663</v>
          </cell>
          <cell r="BU315">
            <v>8497</v>
          </cell>
          <cell r="BV315">
            <v>7424</v>
          </cell>
          <cell r="BW315">
            <v>4646</v>
          </cell>
          <cell r="BX315">
            <v>8246</v>
          </cell>
          <cell r="BY315">
            <v>6397</v>
          </cell>
          <cell r="BZ315">
            <v>7081</v>
          </cell>
          <cell r="CA315">
            <v>6068</v>
          </cell>
          <cell r="CB315">
            <v>6001</v>
          </cell>
          <cell r="CC315">
            <v>6953</v>
          </cell>
          <cell r="CD315">
            <v>6232</v>
          </cell>
          <cell r="CE315">
            <v>3754</v>
          </cell>
          <cell r="CF315">
            <v>1769</v>
          </cell>
          <cell r="CG315">
            <v>8701</v>
          </cell>
          <cell r="CH315">
            <v>9134</v>
          </cell>
          <cell r="CI315">
            <v>7400</v>
          </cell>
          <cell r="CJ315">
            <v>8614</v>
          </cell>
          <cell r="CK315">
            <v>3299</v>
          </cell>
          <cell r="CL315">
            <v>8746</v>
          </cell>
          <cell r="CM315">
            <v>7944</v>
          </cell>
          <cell r="CN315">
            <v>5561</v>
          </cell>
          <cell r="CO315">
            <v>6892</v>
          </cell>
          <cell r="CP315">
            <v>7793</v>
          </cell>
          <cell r="CQ315">
            <v>7833</v>
          </cell>
          <cell r="CR315">
            <v>11249</v>
          </cell>
          <cell r="CS315">
            <v>3516</v>
          </cell>
          <cell r="CT315">
            <v>7679</v>
          </cell>
          <cell r="CU315">
            <v>5611</v>
          </cell>
          <cell r="CV315">
            <v>9125</v>
          </cell>
          <cell r="CW315">
            <v>3764</v>
          </cell>
          <cell r="CX315">
            <v>3392</v>
          </cell>
          <cell r="CY315">
            <v>6992</v>
          </cell>
          <cell r="CZ315">
            <v>5799</v>
          </cell>
          <cell r="DA315">
            <v>9863</v>
          </cell>
          <cell r="DB315">
            <v>7230</v>
          </cell>
          <cell r="DC315">
            <v>9203</v>
          </cell>
          <cell r="DD315">
            <v>8486</v>
          </cell>
          <cell r="DE315" t="str">
            <v>ACTIVO</v>
          </cell>
          <cell r="DF315" t="str">
            <v/>
          </cell>
          <cell r="DH315">
            <v>7023.8</v>
          </cell>
          <cell r="DI315">
            <v>1170.6333333333334</v>
          </cell>
        </row>
        <row r="316">
          <cell r="B316">
            <v>404309</v>
          </cell>
          <cell r="C316" t="str">
            <v>CINTA NEGRA GC ZUKKER</v>
          </cell>
          <cell r="D316">
            <v>44</v>
          </cell>
          <cell r="E316">
            <v>28</v>
          </cell>
          <cell r="F316">
            <v>48</v>
          </cell>
          <cell r="G316">
            <v>40</v>
          </cell>
          <cell r="H316">
            <v>104</v>
          </cell>
          <cell r="I316">
            <v>100</v>
          </cell>
          <cell r="J316">
            <v>47</v>
          </cell>
          <cell r="K316">
            <v>79</v>
          </cell>
          <cell r="L316">
            <v>82</v>
          </cell>
          <cell r="M316">
            <v>109</v>
          </cell>
          <cell r="N316">
            <v>60</v>
          </cell>
          <cell r="P316">
            <v>95</v>
          </cell>
          <cell r="Q316">
            <v>56</v>
          </cell>
          <cell r="R316">
            <v>72</v>
          </cell>
          <cell r="S316">
            <v>39</v>
          </cell>
          <cell r="T316">
            <v>82</v>
          </cell>
          <cell r="U316">
            <v>48</v>
          </cell>
          <cell r="V316">
            <v>55</v>
          </cell>
          <cell r="W316">
            <v>40</v>
          </cell>
          <cell r="X316">
            <v>51</v>
          </cell>
          <cell r="Y316">
            <v>136</v>
          </cell>
          <cell r="Z316">
            <v>32</v>
          </cell>
          <cell r="AA316">
            <v>88</v>
          </cell>
          <cell r="AB316">
            <v>64</v>
          </cell>
          <cell r="AC316">
            <v>31</v>
          </cell>
          <cell r="AD316">
            <v>8</v>
          </cell>
          <cell r="AE316">
            <v>20</v>
          </cell>
          <cell r="AF316">
            <v>38</v>
          </cell>
          <cell r="AG316">
            <v>24</v>
          </cell>
          <cell r="AH316">
            <v>55</v>
          </cell>
          <cell r="AI316">
            <v>4</v>
          </cell>
          <cell r="BH316">
            <v>440</v>
          </cell>
          <cell r="DE316" t="str">
            <v>SIN USO</v>
          </cell>
          <cell r="DF316" t="str">
            <v>C</v>
          </cell>
          <cell r="DH316">
            <v>0</v>
          </cell>
          <cell r="DI316">
            <v>0</v>
          </cell>
        </row>
        <row r="317">
          <cell r="B317">
            <v>107249</v>
          </cell>
          <cell r="C317" t="str">
            <v>COBERTURA CHOCOLATES MONEDAS PURATOS</v>
          </cell>
          <cell r="BH317">
            <v>24</v>
          </cell>
          <cell r="DE317" t="str">
            <v>SIN USO</v>
          </cell>
          <cell r="DF317" t="str">
            <v>C</v>
          </cell>
          <cell r="DH317">
            <v>0</v>
          </cell>
          <cell r="DI317">
            <v>0</v>
          </cell>
        </row>
        <row r="318">
          <cell r="B318">
            <v>405541</v>
          </cell>
          <cell r="C318" t="str">
            <v>CÍRCULO BLANCO #80 DDM JUMBO 2025</v>
          </cell>
          <cell r="CE318">
            <v>2792</v>
          </cell>
          <cell r="DE318" t="str">
            <v>SIN USO</v>
          </cell>
          <cell r="DF318" t="str">
            <v>C</v>
          </cell>
          <cell r="DH318">
            <v>0</v>
          </cell>
          <cell r="DI318">
            <v>0</v>
          </cell>
        </row>
        <row r="319">
          <cell r="B319">
            <v>405730</v>
          </cell>
          <cell r="C319" t="str">
            <v>PLACA TORTA VIENA ZUKKER</v>
          </cell>
          <cell r="CR319">
            <v>3040</v>
          </cell>
          <cell r="CS319">
            <v>3040</v>
          </cell>
          <cell r="CT319">
            <v>3230</v>
          </cell>
          <cell r="CU319">
            <v>4750</v>
          </cell>
          <cell r="CV319">
            <v>2280</v>
          </cell>
          <cell r="CW319">
            <v>2660</v>
          </cell>
          <cell r="DA319">
            <v>3630</v>
          </cell>
          <cell r="DB319">
            <v>1900</v>
          </cell>
          <cell r="DC319">
            <v>2090</v>
          </cell>
          <cell r="DD319">
            <v>2090</v>
          </cell>
          <cell r="DE319" t="str">
            <v>ACTIVO</v>
          </cell>
          <cell r="DF319" t="str">
            <v/>
          </cell>
          <cell r="DH319">
            <v>2871</v>
          </cell>
          <cell r="DI319">
            <v>478.5</v>
          </cell>
        </row>
        <row r="320">
          <cell r="B320">
            <v>405728</v>
          </cell>
          <cell r="C320" t="str">
            <v>CINTA BICOLOR NARANJA ZUKKER</v>
          </cell>
          <cell r="CR320">
            <v>12</v>
          </cell>
          <cell r="CS320">
            <v>15</v>
          </cell>
          <cell r="CT320">
            <v>21</v>
          </cell>
          <cell r="CU320">
            <v>45</v>
          </cell>
          <cell r="CV320">
            <v>51</v>
          </cell>
          <cell r="CW320">
            <v>15</v>
          </cell>
          <cell r="CX320">
            <v>60</v>
          </cell>
          <cell r="CY320">
            <v>15</v>
          </cell>
          <cell r="CZ320">
            <v>40</v>
          </cell>
          <cell r="DA320">
            <v>30</v>
          </cell>
          <cell r="DB320">
            <v>25</v>
          </cell>
          <cell r="DC320">
            <v>20</v>
          </cell>
          <cell r="DD320">
            <v>55</v>
          </cell>
          <cell r="DE320" t="str">
            <v>ACTIVO</v>
          </cell>
          <cell r="DF320" t="str">
            <v/>
          </cell>
          <cell r="DH320">
            <v>31.076923076923077</v>
          </cell>
          <cell r="DI320">
            <v>5.1794871794871797</v>
          </cell>
        </row>
        <row r="321">
          <cell r="B321">
            <v>405731</v>
          </cell>
          <cell r="C321" t="str">
            <v>ROSA GANACHE ROSADO CLARO AMBROSIA</v>
          </cell>
          <cell r="CT321">
            <v>1200</v>
          </cell>
          <cell r="CU321">
            <v>4600</v>
          </cell>
          <cell r="CV321">
            <v>6400</v>
          </cell>
          <cell r="CW321">
            <v>3600</v>
          </cell>
          <cell r="DE321" t="str">
            <v>ACTIVO</v>
          </cell>
          <cell r="DF321" t="str">
            <v/>
          </cell>
          <cell r="DH321">
            <v>3950</v>
          </cell>
          <cell r="DI321">
            <v>658.33333333333337</v>
          </cell>
        </row>
        <row r="322">
          <cell r="B322">
            <v>405732</v>
          </cell>
          <cell r="C322" t="str">
            <v>MOSTACILLA CORAZÓN VALENTÍN AMBROSIA</v>
          </cell>
          <cell r="CT322">
            <v>10</v>
          </cell>
          <cell r="CU322">
            <v>45</v>
          </cell>
          <cell r="CV322">
            <v>70</v>
          </cell>
          <cell r="CW322">
            <v>105</v>
          </cell>
          <cell r="DE322" t="str">
            <v>SIN USO</v>
          </cell>
          <cell r="DF322" t="str">
            <v/>
          </cell>
          <cell r="DH322">
            <v>57.5</v>
          </cell>
          <cell r="DI322">
            <v>9.5833333333333339</v>
          </cell>
        </row>
        <row r="323">
          <cell r="B323">
            <v>405311</v>
          </cell>
          <cell r="C323" t="str">
            <v>TRIANGULO BLANCO RAYADO ROJO</v>
          </cell>
          <cell r="D323">
            <v>2280</v>
          </cell>
          <cell r="E323">
            <v>2888</v>
          </cell>
          <cell r="G323">
            <v>2394</v>
          </cell>
          <cell r="I323">
            <v>1824</v>
          </cell>
          <cell r="J323">
            <v>5738</v>
          </cell>
          <cell r="K323">
            <v>2888</v>
          </cell>
          <cell r="L323">
            <v>3040</v>
          </cell>
          <cell r="O323">
            <v>3192</v>
          </cell>
          <cell r="Q323">
            <v>2432</v>
          </cell>
          <cell r="R323">
            <v>2280</v>
          </cell>
          <cell r="S323">
            <v>3040</v>
          </cell>
          <cell r="U323">
            <v>4408</v>
          </cell>
          <cell r="X323">
            <v>4864</v>
          </cell>
          <cell r="Z323">
            <v>4864</v>
          </cell>
          <cell r="AB323">
            <v>4560</v>
          </cell>
          <cell r="AC323">
            <v>304</v>
          </cell>
          <cell r="AI323">
            <v>5552</v>
          </cell>
          <cell r="AJ323">
            <v>5216</v>
          </cell>
          <cell r="AM323">
            <v>5608</v>
          </cell>
          <cell r="AN323">
            <v>2672</v>
          </cell>
          <cell r="AP323">
            <v>10010</v>
          </cell>
          <cell r="AS323">
            <v>4864</v>
          </cell>
          <cell r="AW323">
            <v>5168</v>
          </cell>
          <cell r="AZ323">
            <v>2584</v>
          </cell>
          <cell r="BA323">
            <v>2432</v>
          </cell>
          <cell r="BB323">
            <v>2736</v>
          </cell>
          <cell r="BC323">
            <v>5472</v>
          </cell>
          <cell r="BE323">
            <v>5744</v>
          </cell>
          <cell r="BI323">
            <v>2432</v>
          </cell>
          <cell r="BJ323">
            <v>2432</v>
          </cell>
          <cell r="BK323">
            <v>1976</v>
          </cell>
          <cell r="BL323">
            <v>1672</v>
          </cell>
          <cell r="BM323">
            <v>2432</v>
          </cell>
          <cell r="BN323">
            <v>608</v>
          </cell>
          <cell r="BO323">
            <v>1976</v>
          </cell>
          <cell r="BQ323">
            <v>2128</v>
          </cell>
          <cell r="BR323">
            <v>760</v>
          </cell>
          <cell r="BS323">
            <v>3648</v>
          </cell>
          <cell r="BT323">
            <v>4256</v>
          </cell>
          <cell r="BY323">
            <v>2584</v>
          </cell>
          <cell r="BZ323">
            <v>2432</v>
          </cell>
          <cell r="CA323">
            <v>2128</v>
          </cell>
          <cell r="CB323">
            <v>2128</v>
          </cell>
          <cell r="CD323">
            <v>4864</v>
          </cell>
          <cell r="CH323">
            <v>4864</v>
          </cell>
          <cell r="CI323">
            <v>378</v>
          </cell>
          <cell r="CL323">
            <v>4864</v>
          </cell>
          <cell r="CN323">
            <v>4864</v>
          </cell>
          <cell r="CO323">
            <v>720</v>
          </cell>
          <cell r="CQ323">
            <v>152</v>
          </cell>
          <cell r="CR323">
            <v>4864</v>
          </cell>
          <cell r="CS323">
            <v>540</v>
          </cell>
          <cell r="CT323">
            <v>4032</v>
          </cell>
          <cell r="CW323">
            <v>1368</v>
          </cell>
          <cell r="CY323">
            <v>1672</v>
          </cell>
          <cell r="CZ323">
            <v>1064</v>
          </cell>
          <cell r="DA323">
            <v>3402</v>
          </cell>
          <cell r="DB323">
            <v>1216</v>
          </cell>
          <cell r="DC323">
            <v>1684</v>
          </cell>
          <cell r="DD323">
            <v>4568</v>
          </cell>
          <cell r="DE323" t="str">
            <v>ACTIVO</v>
          </cell>
          <cell r="DF323" t="str">
            <v>C</v>
          </cell>
          <cell r="DH323">
            <v>2515.75</v>
          </cell>
          <cell r="DI323">
            <v>419.29166666666669</v>
          </cell>
        </row>
        <row r="324">
          <cell r="B324">
            <v>405133</v>
          </cell>
          <cell r="C324" t="str">
            <v>RALLADO NEGRO 3mm ZUKKER</v>
          </cell>
          <cell r="D324">
            <v>330</v>
          </cell>
          <cell r="E324">
            <v>180</v>
          </cell>
          <cell r="F324">
            <v>120</v>
          </cell>
          <cell r="G324">
            <v>255</v>
          </cell>
          <cell r="H324">
            <v>150</v>
          </cell>
          <cell r="I324">
            <v>210</v>
          </cell>
          <cell r="J324">
            <v>195</v>
          </cell>
          <cell r="K324">
            <v>180</v>
          </cell>
          <cell r="L324">
            <v>210</v>
          </cell>
          <cell r="M324">
            <v>195</v>
          </cell>
          <cell r="N324">
            <v>180</v>
          </cell>
          <cell r="O324">
            <v>105</v>
          </cell>
          <cell r="P324">
            <v>135</v>
          </cell>
          <cell r="Q324">
            <v>240</v>
          </cell>
          <cell r="R324">
            <v>150</v>
          </cell>
          <cell r="S324">
            <v>270</v>
          </cell>
          <cell r="T324">
            <v>355</v>
          </cell>
          <cell r="U324">
            <v>345</v>
          </cell>
          <cell r="V324">
            <v>135</v>
          </cell>
          <cell r="W324">
            <v>180</v>
          </cell>
          <cell r="X324">
            <v>225</v>
          </cell>
          <cell r="Y324">
            <v>165</v>
          </cell>
          <cell r="Z324">
            <v>225</v>
          </cell>
          <cell r="AA324">
            <v>225</v>
          </cell>
          <cell r="AB324">
            <v>105</v>
          </cell>
          <cell r="AC324">
            <v>73.5</v>
          </cell>
          <cell r="AD324">
            <v>30</v>
          </cell>
          <cell r="AE324">
            <v>45</v>
          </cell>
          <cell r="AF324">
            <v>280</v>
          </cell>
          <cell r="AG324">
            <v>375</v>
          </cell>
          <cell r="AH324">
            <v>81.5</v>
          </cell>
          <cell r="AI324">
            <v>300</v>
          </cell>
          <cell r="AJ324">
            <v>620</v>
          </cell>
          <cell r="AK324">
            <v>195</v>
          </cell>
          <cell r="AL324">
            <v>315</v>
          </cell>
          <cell r="AM324">
            <v>270</v>
          </cell>
          <cell r="AN324">
            <v>375</v>
          </cell>
          <cell r="AO324">
            <v>300</v>
          </cell>
          <cell r="AP324">
            <v>169</v>
          </cell>
          <cell r="AQ324">
            <v>408</v>
          </cell>
          <cell r="AR324">
            <v>380</v>
          </cell>
          <cell r="AS324">
            <v>460</v>
          </cell>
          <cell r="AT324">
            <v>325</v>
          </cell>
          <cell r="AU324">
            <v>270</v>
          </cell>
          <cell r="AV324">
            <v>270</v>
          </cell>
          <cell r="AW324">
            <v>240</v>
          </cell>
          <cell r="AX324">
            <v>440</v>
          </cell>
          <cell r="AY324">
            <v>432</v>
          </cell>
          <cell r="AZ324">
            <v>270</v>
          </cell>
          <cell r="BA324">
            <v>265</v>
          </cell>
          <cell r="BB324">
            <v>300</v>
          </cell>
          <cell r="BC324">
            <v>327</v>
          </cell>
          <cell r="BD324">
            <v>165</v>
          </cell>
          <cell r="BE324">
            <v>225</v>
          </cell>
          <cell r="BF324">
            <v>210</v>
          </cell>
          <cell r="BG324">
            <v>300</v>
          </cell>
          <cell r="BH324">
            <v>285</v>
          </cell>
          <cell r="BI324">
            <v>270</v>
          </cell>
          <cell r="BJ324">
            <v>360</v>
          </cell>
          <cell r="BK324">
            <v>360</v>
          </cell>
          <cell r="BL324">
            <v>420</v>
          </cell>
          <cell r="BM324">
            <v>140</v>
          </cell>
          <cell r="BN324">
            <v>375</v>
          </cell>
          <cell r="BO324">
            <v>215</v>
          </cell>
          <cell r="BP324">
            <v>15</v>
          </cell>
          <cell r="BQ324">
            <v>300</v>
          </cell>
          <cell r="BR324">
            <v>170</v>
          </cell>
          <cell r="BS324">
            <v>255</v>
          </cell>
          <cell r="BT324">
            <v>210</v>
          </cell>
          <cell r="BU324">
            <v>312</v>
          </cell>
          <cell r="BV324">
            <v>195</v>
          </cell>
          <cell r="BW324">
            <v>305</v>
          </cell>
          <cell r="BX324">
            <v>135</v>
          </cell>
          <cell r="BY324">
            <v>150</v>
          </cell>
          <cell r="BZ324">
            <v>165</v>
          </cell>
          <cell r="CA324">
            <v>120</v>
          </cell>
          <cell r="CB324">
            <v>180</v>
          </cell>
          <cell r="CC324">
            <v>285</v>
          </cell>
          <cell r="CD324">
            <v>225</v>
          </cell>
          <cell r="CE324">
            <v>105</v>
          </cell>
          <cell r="CF324">
            <v>120</v>
          </cell>
          <cell r="CG324">
            <v>315</v>
          </cell>
          <cell r="CH324">
            <v>180</v>
          </cell>
          <cell r="CI324">
            <v>301</v>
          </cell>
          <cell r="CJ324">
            <v>75</v>
          </cell>
          <cell r="CK324">
            <v>165</v>
          </cell>
          <cell r="CL324">
            <v>150</v>
          </cell>
          <cell r="CM324">
            <v>90</v>
          </cell>
          <cell r="CN324">
            <v>385</v>
          </cell>
          <cell r="CO324">
            <v>210</v>
          </cell>
          <cell r="CP324">
            <v>210</v>
          </cell>
          <cell r="CQ324">
            <v>120</v>
          </cell>
          <cell r="CR324">
            <v>245</v>
          </cell>
          <cell r="CS324">
            <v>150</v>
          </cell>
          <cell r="CT324">
            <v>120</v>
          </cell>
          <cell r="CU324">
            <v>375</v>
          </cell>
          <cell r="CV324">
            <v>285</v>
          </cell>
          <cell r="CW324">
            <v>225</v>
          </cell>
          <cell r="CX324">
            <v>105</v>
          </cell>
          <cell r="CY324">
            <v>275</v>
          </cell>
          <cell r="CZ324">
            <v>130</v>
          </cell>
          <cell r="DA324">
            <v>230</v>
          </cell>
          <cell r="DB324">
            <v>145</v>
          </cell>
          <cell r="DC324">
            <v>270</v>
          </cell>
          <cell r="DD324">
            <v>240</v>
          </cell>
          <cell r="DE324" t="str">
            <v>ACTIVO</v>
          </cell>
          <cell r="DF324" t="str">
            <v>A</v>
          </cell>
          <cell r="DH324">
            <v>204.64</v>
          </cell>
          <cell r="DI324">
            <v>34.106666666666662</v>
          </cell>
        </row>
        <row r="325">
          <cell r="B325">
            <v>405134</v>
          </cell>
          <cell r="C325" t="str">
            <v>TRIANGULO NEGRO 45mm ZUKKER</v>
          </cell>
          <cell r="D325">
            <v>24000</v>
          </cell>
          <cell r="E325">
            <v>34000</v>
          </cell>
          <cell r="F325">
            <v>26400</v>
          </cell>
          <cell r="G325">
            <v>32000</v>
          </cell>
          <cell r="H325">
            <v>53200</v>
          </cell>
          <cell r="I325">
            <v>37200</v>
          </cell>
          <cell r="J325">
            <v>63600</v>
          </cell>
          <cell r="K325">
            <v>39600</v>
          </cell>
          <cell r="L325">
            <v>37600</v>
          </cell>
          <cell r="M325">
            <v>40400</v>
          </cell>
          <cell r="N325">
            <v>38400</v>
          </cell>
          <cell r="O325">
            <v>9600</v>
          </cell>
          <cell r="P325">
            <v>40000</v>
          </cell>
          <cell r="Q325">
            <v>26800</v>
          </cell>
          <cell r="R325">
            <v>44000</v>
          </cell>
          <cell r="S325">
            <v>22400</v>
          </cell>
          <cell r="T325">
            <v>37200</v>
          </cell>
          <cell r="U325">
            <v>24000</v>
          </cell>
          <cell r="V325">
            <v>24000</v>
          </cell>
          <cell r="W325">
            <v>31200</v>
          </cell>
          <cell r="X325">
            <v>30400</v>
          </cell>
          <cell r="Y325">
            <v>42400</v>
          </cell>
          <cell r="Z325">
            <v>19600</v>
          </cell>
          <cell r="AA325">
            <v>39600</v>
          </cell>
          <cell r="AB325">
            <v>24800</v>
          </cell>
          <cell r="AC325">
            <v>17600</v>
          </cell>
          <cell r="AD325">
            <v>9200</v>
          </cell>
          <cell r="AE325">
            <v>3600</v>
          </cell>
          <cell r="AF325">
            <v>30800</v>
          </cell>
          <cell r="AG325">
            <v>15600</v>
          </cell>
          <cell r="AH325">
            <v>10400</v>
          </cell>
          <cell r="AI325">
            <v>6400</v>
          </cell>
          <cell r="AJ325">
            <v>19200</v>
          </cell>
          <cell r="AK325">
            <v>3600</v>
          </cell>
          <cell r="AL325">
            <v>8800</v>
          </cell>
          <cell r="AM325">
            <v>8800</v>
          </cell>
          <cell r="AN325">
            <v>10800</v>
          </cell>
          <cell r="AO325">
            <v>24400</v>
          </cell>
          <cell r="AP325">
            <v>11600</v>
          </cell>
          <cell r="AQ325">
            <v>8000</v>
          </cell>
          <cell r="AR325">
            <v>10800</v>
          </cell>
          <cell r="AS325">
            <v>15600.2</v>
          </cell>
          <cell r="AT325">
            <v>30400</v>
          </cell>
          <cell r="AU325">
            <v>15199.8</v>
          </cell>
          <cell r="AV325">
            <v>27200</v>
          </cell>
          <cell r="AW325">
            <v>16400</v>
          </cell>
          <cell r="AX325">
            <v>19200</v>
          </cell>
          <cell r="AY325">
            <v>10000</v>
          </cell>
          <cell r="AZ325">
            <v>29600</v>
          </cell>
          <cell r="BA325">
            <v>41600</v>
          </cell>
          <cell r="BB325">
            <v>6800</v>
          </cell>
          <cell r="BC325">
            <v>14000</v>
          </cell>
          <cell r="BD325">
            <v>25200</v>
          </cell>
          <cell r="BE325">
            <v>4800</v>
          </cell>
          <cell r="BF325">
            <v>32800</v>
          </cell>
          <cell r="BG325">
            <v>4800</v>
          </cell>
          <cell r="BH325">
            <v>38000</v>
          </cell>
          <cell r="BI325">
            <v>4800</v>
          </cell>
          <cell r="BJ325">
            <v>6400</v>
          </cell>
          <cell r="BK325">
            <v>5200</v>
          </cell>
          <cell r="BL325">
            <v>5200</v>
          </cell>
          <cell r="BM325">
            <v>8800</v>
          </cell>
          <cell r="BN325">
            <v>5200</v>
          </cell>
          <cell r="BO325">
            <v>18000</v>
          </cell>
          <cell r="BP325">
            <v>3600</v>
          </cell>
          <cell r="BQ325">
            <v>15600</v>
          </cell>
          <cell r="BR325">
            <v>21600</v>
          </cell>
          <cell r="BS325">
            <v>41600</v>
          </cell>
          <cell r="BT325">
            <v>6000</v>
          </cell>
          <cell r="BU325">
            <v>3600</v>
          </cell>
          <cell r="BV325">
            <v>15200</v>
          </cell>
          <cell r="BW325">
            <v>7600</v>
          </cell>
          <cell r="BX325">
            <v>4400</v>
          </cell>
          <cell r="BY325">
            <v>5600</v>
          </cell>
          <cell r="BZ325">
            <v>15200</v>
          </cell>
          <cell r="CA325">
            <v>8400</v>
          </cell>
          <cell r="CB325">
            <v>9600</v>
          </cell>
          <cell r="CC325">
            <v>11600</v>
          </cell>
          <cell r="CD325">
            <v>4400</v>
          </cell>
          <cell r="CE325">
            <v>1200</v>
          </cell>
          <cell r="CF325">
            <v>15200</v>
          </cell>
          <cell r="CG325">
            <v>6800</v>
          </cell>
          <cell r="CH325">
            <v>14400</v>
          </cell>
          <cell r="CI325">
            <v>19400</v>
          </cell>
          <cell r="CJ325">
            <v>17600</v>
          </cell>
          <cell r="CK325">
            <v>4000</v>
          </cell>
          <cell r="CL325">
            <v>19600</v>
          </cell>
          <cell r="CM325">
            <v>18800</v>
          </cell>
          <cell r="CN325">
            <v>9600</v>
          </cell>
          <cell r="CO325">
            <v>2400</v>
          </cell>
          <cell r="CP325">
            <v>4000</v>
          </cell>
          <cell r="CQ325">
            <v>36800</v>
          </cell>
          <cell r="CR325">
            <v>15200</v>
          </cell>
          <cell r="CS325">
            <v>3200</v>
          </cell>
          <cell r="CT325">
            <v>5200</v>
          </cell>
          <cell r="CU325">
            <v>5600</v>
          </cell>
          <cell r="CV325">
            <v>9200</v>
          </cell>
          <cell r="CW325">
            <v>3200</v>
          </cell>
          <cell r="CX325">
            <v>3600</v>
          </cell>
          <cell r="CY325">
            <v>16800</v>
          </cell>
          <cell r="CZ325">
            <v>9600</v>
          </cell>
          <cell r="DA325">
            <v>18800</v>
          </cell>
          <cell r="DB325">
            <v>12000</v>
          </cell>
          <cell r="DC325">
            <v>16800</v>
          </cell>
          <cell r="DD325">
            <v>2800</v>
          </cell>
          <cell r="DE325" t="str">
            <v>ACTIVO</v>
          </cell>
          <cell r="DF325" t="str">
            <v>B</v>
          </cell>
          <cell r="DH325">
            <v>11624</v>
          </cell>
          <cell r="DI325">
            <v>1937.3333333333333</v>
          </cell>
        </row>
        <row r="326">
          <cell r="B326">
            <v>405508</v>
          </cell>
          <cell r="C326" t="str">
            <v>ZANAHORIA GANACHE CHOCOLATE AMBROSIA</v>
          </cell>
          <cell r="AR326">
            <v>9120</v>
          </cell>
          <cell r="AS326">
            <v>260</v>
          </cell>
          <cell r="BQ326">
            <v>2640</v>
          </cell>
          <cell r="DE326" t="str">
            <v>SIN USO</v>
          </cell>
          <cell r="DF326" t="str">
            <v>C</v>
          </cell>
          <cell r="DH326">
            <v>0</v>
          </cell>
          <cell r="DI326">
            <v>0</v>
          </cell>
        </row>
        <row r="327">
          <cell r="B327">
            <v>107349</v>
          </cell>
          <cell r="C327" t="str">
            <v>FLOR DE LOTO CHOCOLATE MORADA AMBROSIA</v>
          </cell>
          <cell r="AT327">
            <v>1500</v>
          </cell>
          <cell r="AV327">
            <v>6500</v>
          </cell>
          <cell r="BQ327">
            <v>432</v>
          </cell>
          <cell r="DE327" t="str">
            <v>SIN USO</v>
          </cell>
          <cell r="DF327" t="str">
            <v>C</v>
          </cell>
          <cell r="DH327">
            <v>0</v>
          </cell>
          <cell r="DI327">
            <v>0</v>
          </cell>
        </row>
        <row r="328">
          <cell r="B328">
            <v>405531</v>
          </cell>
          <cell r="C328" t="str">
            <v>RALLADO 3mm BICOLOR BLANCO-ROSADO ZUKKER</v>
          </cell>
          <cell r="AT328">
            <v>55</v>
          </cell>
          <cell r="AV328">
            <v>215</v>
          </cell>
          <cell r="BQ328">
            <v>40</v>
          </cell>
          <cell r="DE328" t="str">
            <v>SIN USO</v>
          </cell>
          <cell r="DF328" t="str">
            <v>C</v>
          </cell>
          <cell r="DH328">
            <v>0</v>
          </cell>
          <cell r="DI328">
            <v>0</v>
          </cell>
        </row>
        <row r="329">
          <cell r="B329">
            <v>107221</v>
          </cell>
          <cell r="C329" t="str">
            <v>CONJUNTO DISEÑO DÍA DEL PADRE AMBROSIA</v>
          </cell>
          <cell r="AZ329">
            <v>2800</v>
          </cell>
          <cell r="BA329">
            <v>600</v>
          </cell>
          <cell r="BB329">
            <v>928</v>
          </cell>
          <cell r="DE329" t="str">
            <v>SIN USO</v>
          </cell>
          <cell r="DF329" t="str">
            <v>C</v>
          </cell>
          <cell r="DH329">
            <v>0</v>
          </cell>
          <cell r="DI329">
            <v>0</v>
          </cell>
        </row>
        <row r="330">
          <cell r="B330">
            <v>405332</v>
          </cell>
          <cell r="C330" t="str">
            <v>GRANILLO DE COLORES MANAR</v>
          </cell>
          <cell r="G330">
            <v>80</v>
          </cell>
          <cell r="H330">
            <v>20</v>
          </cell>
          <cell r="I330">
            <v>20</v>
          </cell>
          <cell r="Z330">
            <v>20.399999999999999</v>
          </cell>
          <cell r="DE330" t="str">
            <v>SIN USO</v>
          </cell>
          <cell r="DF330" t="str">
            <v/>
          </cell>
          <cell r="DH330">
            <v>0</v>
          </cell>
          <cell r="DI330">
            <v>0</v>
          </cell>
        </row>
        <row r="331">
          <cell r="B331">
            <v>107108</v>
          </cell>
          <cell r="C331" t="str">
            <v>DECORCREM NEGRO PURATOS</v>
          </cell>
          <cell r="D331">
            <v>778.5</v>
          </cell>
          <cell r="E331">
            <v>1012.5</v>
          </cell>
          <cell r="F331">
            <v>1084.5</v>
          </cell>
          <cell r="G331">
            <v>735</v>
          </cell>
          <cell r="H331">
            <v>1593</v>
          </cell>
          <cell r="I331">
            <v>985.5</v>
          </cell>
          <cell r="J331">
            <v>1360</v>
          </cell>
          <cell r="K331">
            <v>571.5</v>
          </cell>
          <cell r="L331">
            <v>1471.5</v>
          </cell>
          <cell r="M331">
            <v>1048.5</v>
          </cell>
          <cell r="N331">
            <v>972</v>
          </cell>
          <cell r="O331">
            <v>328.5</v>
          </cell>
          <cell r="P331">
            <v>1188</v>
          </cell>
          <cell r="Q331">
            <v>1184.5</v>
          </cell>
          <cell r="R331">
            <v>1044</v>
          </cell>
          <cell r="S331">
            <v>1143</v>
          </cell>
          <cell r="T331">
            <v>715</v>
          </cell>
          <cell r="U331">
            <v>1879</v>
          </cell>
          <cell r="V331">
            <v>1642.5</v>
          </cell>
          <cell r="W331">
            <v>76.5</v>
          </cell>
          <cell r="X331">
            <v>1219.5</v>
          </cell>
          <cell r="Y331">
            <v>1316</v>
          </cell>
          <cell r="Z331">
            <v>1288</v>
          </cell>
          <cell r="AA331">
            <v>589.5</v>
          </cell>
          <cell r="AB331">
            <v>1462.5</v>
          </cell>
          <cell r="AC331">
            <v>648</v>
          </cell>
          <cell r="AD331">
            <v>31.5</v>
          </cell>
          <cell r="AE331">
            <v>567</v>
          </cell>
          <cell r="AF331">
            <v>769.5</v>
          </cell>
          <cell r="AG331">
            <v>157.5</v>
          </cell>
          <cell r="AH331">
            <v>108</v>
          </cell>
          <cell r="AI331">
            <v>720</v>
          </cell>
          <cell r="AJ331">
            <v>292.5</v>
          </cell>
          <cell r="AK331">
            <v>1039.5</v>
          </cell>
          <cell r="AL331">
            <v>1491.5</v>
          </cell>
          <cell r="AM331">
            <v>1003.5</v>
          </cell>
          <cell r="AN331">
            <v>310.5</v>
          </cell>
          <cell r="AO331">
            <v>873</v>
          </cell>
          <cell r="AP331">
            <v>693</v>
          </cell>
          <cell r="AQ331">
            <v>1318.5</v>
          </cell>
          <cell r="AR331">
            <v>900</v>
          </cell>
          <cell r="AS331">
            <v>1264.5</v>
          </cell>
          <cell r="AT331">
            <v>981</v>
          </cell>
          <cell r="AU331">
            <v>1426.5</v>
          </cell>
          <cell r="AV331">
            <v>436.5</v>
          </cell>
          <cell r="AW331">
            <v>909</v>
          </cell>
          <cell r="AX331">
            <v>580.5</v>
          </cell>
          <cell r="AY331">
            <v>1521</v>
          </cell>
          <cell r="AZ331">
            <v>715.5</v>
          </cell>
          <cell r="BA331">
            <v>1917</v>
          </cell>
          <cell r="BB331">
            <v>396</v>
          </cell>
          <cell r="BC331">
            <v>1063</v>
          </cell>
          <cell r="BD331">
            <v>958.5</v>
          </cell>
          <cell r="BE331">
            <v>1071</v>
          </cell>
          <cell r="BF331">
            <v>576</v>
          </cell>
          <cell r="BG331">
            <v>337.5</v>
          </cell>
          <cell r="BH331">
            <v>796.5</v>
          </cell>
          <cell r="BI331">
            <v>823.5</v>
          </cell>
          <cell r="BJ331">
            <v>751.5</v>
          </cell>
          <cell r="BK331">
            <v>445.5</v>
          </cell>
          <cell r="BL331">
            <v>661.5</v>
          </cell>
          <cell r="BM331">
            <v>652.5</v>
          </cell>
          <cell r="BN331">
            <v>662.5</v>
          </cell>
          <cell r="BO331">
            <v>496</v>
          </cell>
          <cell r="BP331">
            <v>162</v>
          </cell>
          <cell r="BQ331">
            <v>792</v>
          </cell>
          <cell r="BR331">
            <v>139.5</v>
          </cell>
          <cell r="BS331">
            <v>1287</v>
          </cell>
          <cell r="BT331">
            <v>135</v>
          </cell>
          <cell r="BU331">
            <v>288</v>
          </cell>
          <cell r="BV331">
            <v>733.5</v>
          </cell>
          <cell r="BW331">
            <v>216</v>
          </cell>
          <cell r="BX331">
            <v>202.5</v>
          </cell>
          <cell r="BY331">
            <v>202.5</v>
          </cell>
          <cell r="BZ331">
            <v>320.5</v>
          </cell>
          <cell r="CA331">
            <v>234</v>
          </cell>
          <cell r="CB331">
            <v>220.5</v>
          </cell>
          <cell r="CC331">
            <v>1346.5</v>
          </cell>
          <cell r="CD331">
            <v>415</v>
          </cell>
          <cell r="CE331">
            <v>55</v>
          </cell>
          <cell r="CF331">
            <v>72</v>
          </cell>
          <cell r="CG331">
            <v>639</v>
          </cell>
          <cell r="CH331">
            <v>292.5</v>
          </cell>
          <cell r="CI331">
            <v>274.5</v>
          </cell>
          <cell r="CJ331">
            <v>180</v>
          </cell>
          <cell r="CK331">
            <v>225</v>
          </cell>
          <cell r="CL331">
            <v>189</v>
          </cell>
          <cell r="CM331">
            <v>175.5</v>
          </cell>
          <cell r="CN331">
            <v>477</v>
          </cell>
          <cell r="CO331">
            <v>229.5</v>
          </cell>
          <cell r="CP331">
            <v>229.5</v>
          </cell>
          <cell r="CQ331">
            <v>188</v>
          </cell>
          <cell r="CR331">
            <v>634.5</v>
          </cell>
          <cell r="CS331">
            <v>684</v>
          </cell>
          <cell r="CT331">
            <v>783</v>
          </cell>
          <cell r="CU331">
            <v>715.5</v>
          </cell>
          <cell r="CV331">
            <v>463.5</v>
          </cell>
          <cell r="CW331">
            <v>535.5</v>
          </cell>
          <cell r="CX331">
            <v>463.5</v>
          </cell>
          <cell r="CY331">
            <v>369</v>
          </cell>
          <cell r="CZ331">
            <v>639</v>
          </cell>
          <cell r="DA331">
            <v>787.5</v>
          </cell>
          <cell r="DB331">
            <v>882</v>
          </cell>
          <cell r="DC331">
            <v>1153</v>
          </cell>
          <cell r="DD331">
            <v>409.5</v>
          </cell>
          <cell r="DE331" t="str">
            <v>ACTIVO</v>
          </cell>
          <cell r="DF331" t="str">
            <v>A</v>
          </cell>
          <cell r="DH331">
            <v>467.64</v>
          </cell>
          <cell r="DI331">
            <v>77.94</v>
          </cell>
        </row>
        <row r="332">
          <cell r="B332">
            <v>107127</v>
          </cell>
          <cell r="C332" t="str">
            <v>DECORCREM BLANCO 4k PURATOS</v>
          </cell>
          <cell r="D332">
            <v>204</v>
          </cell>
          <cell r="E332">
            <v>96</v>
          </cell>
          <cell r="F332">
            <v>284</v>
          </cell>
          <cell r="G332">
            <v>180</v>
          </cell>
          <cell r="H332">
            <v>68</v>
          </cell>
          <cell r="I332">
            <v>148</v>
          </cell>
          <cell r="J332">
            <v>32</v>
          </cell>
          <cell r="K332">
            <v>124</v>
          </cell>
          <cell r="L332">
            <v>104</v>
          </cell>
          <cell r="N332">
            <v>99</v>
          </cell>
          <cell r="P332">
            <v>104</v>
          </cell>
          <cell r="Q332">
            <v>96</v>
          </cell>
          <cell r="R332">
            <v>80</v>
          </cell>
          <cell r="V332">
            <v>73.5</v>
          </cell>
          <cell r="W332">
            <v>112</v>
          </cell>
          <cell r="X332">
            <v>18</v>
          </cell>
          <cell r="Y332">
            <v>24</v>
          </cell>
          <cell r="Z332">
            <v>28</v>
          </cell>
          <cell r="AA332">
            <v>18</v>
          </cell>
          <cell r="AC332">
            <v>29</v>
          </cell>
          <cell r="AE332">
            <v>12</v>
          </cell>
          <cell r="AF332">
            <v>21.5</v>
          </cell>
          <cell r="AG332">
            <v>4</v>
          </cell>
          <cell r="AH332">
            <v>8</v>
          </cell>
          <cell r="AI332">
            <v>9</v>
          </cell>
          <cell r="AJ332">
            <v>21</v>
          </cell>
          <cell r="AK332">
            <v>16</v>
          </cell>
          <cell r="AL332">
            <v>8</v>
          </cell>
          <cell r="AM332">
            <v>4.5</v>
          </cell>
          <cell r="AN332">
            <v>8</v>
          </cell>
          <cell r="AO332">
            <v>4</v>
          </cell>
          <cell r="AW332">
            <v>336</v>
          </cell>
          <cell r="BT332">
            <v>8</v>
          </cell>
          <cell r="BU332">
            <v>12</v>
          </cell>
          <cell r="BV332">
            <v>16</v>
          </cell>
          <cell r="BW332">
            <v>16</v>
          </cell>
          <cell r="BX332">
            <v>21</v>
          </cell>
          <cell r="BY332">
            <v>25</v>
          </cell>
          <cell r="BZ332">
            <v>12</v>
          </cell>
          <cell r="CA332">
            <v>16</v>
          </cell>
          <cell r="CB332">
            <v>24</v>
          </cell>
          <cell r="CC332">
            <v>16</v>
          </cell>
          <cell r="CD332">
            <v>16</v>
          </cell>
          <cell r="CF332">
            <v>12</v>
          </cell>
          <cell r="CG332">
            <v>33</v>
          </cell>
          <cell r="CH332">
            <v>20</v>
          </cell>
          <cell r="CI332">
            <v>20</v>
          </cell>
          <cell r="CJ332">
            <v>24</v>
          </cell>
          <cell r="CK332">
            <v>20</v>
          </cell>
          <cell r="CL332">
            <v>20</v>
          </cell>
          <cell r="CM332">
            <v>24.5</v>
          </cell>
          <cell r="CN332">
            <v>28</v>
          </cell>
          <cell r="CO332">
            <v>24</v>
          </cell>
          <cell r="CP332">
            <v>28</v>
          </cell>
          <cell r="CQ332">
            <v>16</v>
          </cell>
          <cell r="CR332">
            <v>261</v>
          </cell>
          <cell r="CS332">
            <v>16</v>
          </cell>
          <cell r="CT332">
            <v>16</v>
          </cell>
          <cell r="CU332">
            <v>24</v>
          </cell>
          <cell r="CX332">
            <v>120</v>
          </cell>
          <cell r="CY332">
            <v>44</v>
          </cell>
          <cell r="CZ332">
            <v>12</v>
          </cell>
          <cell r="DD332">
            <v>8</v>
          </cell>
          <cell r="DE332" t="str">
            <v>ACTIVO</v>
          </cell>
          <cell r="DF332" t="str">
            <v>C</v>
          </cell>
          <cell r="DH332">
            <v>38.524999999999999</v>
          </cell>
          <cell r="DI332">
            <v>6.4208333333333334</v>
          </cell>
        </row>
        <row r="333">
          <cell r="B333">
            <v>107197</v>
          </cell>
          <cell r="C333" t="str">
            <v>COBERTURA CHOCOLATE BLANCO</v>
          </cell>
          <cell r="BI333">
            <v>12</v>
          </cell>
          <cell r="BJ333">
            <v>36</v>
          </cell>
          <cell r="BK333">
            <v>24</v>
          </cell>
          <cell r="BL333">
            <v>24</v>
          </cell>
          <cell r="BM333">
            <v>24</v>
          </cell>
          <cell r="BN333">
            <v>16</v>
          </cell>
          <cell r="BO333">
            <v>12</v>
          </cell>
          <cell r="BP333">
            <v>24</v>
          </cell>
          <cell r="BQ333">
            <v>36</v>
          </cell>
          <cell r="BR333">
            <v>12</v>
          </cell>
          <cell r="BS333">
            <v>12</v>
          </cell>
          <cell r="BU333">
            <v>48</v>
          </cell>
          <cell r="BV333">
            <v>12</v>
          </cell>
          <cell r="BW333">
            <v>24</v>
          </cell>
          <cell r="BY333">
            <v>24</v>
          </cell>
          <cell r="BZ333">
            <v>12</v>
          </cell>
          <cell r="CD333">
            <v>24</v>
          </cell>
          <cell r="CJ333">
            <v>108</v>
          </cell>
          <cell r="DE333" t="str">
            <v>SIN USO</v>
          </cell>
          <cell r="DF333" t="str">
            <v>C</v>
          </cell>
          <cell r="DH333">
            <v>108</v>
          </cell>
          <cell r="DI333">
            <v>18</v>
          </cell>
        </row>
        <row r="334">
          <cell r="B334">
            <v>107325</v>
          </cell>
          <cell r="C334" t="str">
            <v>CHOCOLATE ARCOÍRIS  AMBROSIA</v>
          </cell>
          <cell r="D334">
            <v>800</v>
          </cell>
          <cell r="E334">
            <v>800</v>
          </cell>
          <cell r="F334">
            <v>800</v>
          </cell>
          <cell r="G334">
            <v>800</v>
          </cell>
          <cell r="I334">
            <v>1000</v>
          </cell>
          <cell r="K334">
            <v>1000</v>
          </cell>
          <cell r="L334">
            <v>1200</v>
          </cell>
          <cell r="N334">
            <v>1000</v>
          </cell>
          <cell r="P334">
            <v>1000</v>
          </cell>
          <cell r="Q334">
            <v>1250</v>
          </cell>
          <cell r="R334">
            <v>1000</v>
          </cell>
          <cell r="V334">
            <v>750</v>
          </cell>
          <cell r="X334">
            <v>1500</v>
          </cell>
          <cell r="Z334">
            <v>400</v>
          </cell>
          <cell r="DE334" t="str">
            <v>SIN USO</v>
          </cell>
          <cell r="DF334" t="str">
            <v/>
          </cell>
          <cell r="DH334">
            <v>0</v>
          </cell>
          <cell r="DI334">
            <v>0</v>
          </cell>
        </row>
        <row r="335">
          <cell r="B335">
            <v>107296</v>
          </cell>
          <cell r="C335" t="str">
            <v>CINTA COLOR NIÑO ZUKKER</v>
          </cell>
          <cell r="I335">
            <v>147</v>
          </cell>
          <cell r="DE335" t="str">
            <v>SIN USO</v>
          </cell>
          <cell r="DF335" t="str">
            <v/>
          </cell>
          <cell r="DH335">
            <v>0</v>
          </cell>
          <cell r="DI335">
            <v>0</v>
          </cell>
        </row>
        <row r="336">
          <cell r="B336">
            <v>101002</v>
          </cell>
          <cell r="C336" t="str">
            <v>CACAO AMARGO PURATOS</v>
          </cell>
          <cell r="K336">
            <v>25</v>
          </cell>
          <cell r="AA336">
            <v>25</v>
          </cell>
          <cell r="AN336">
            <v>50</v>
          </cell>
          <cell r="AU336">
            <v>25</v>
          </cell>
          <cell r="BD336">
            <v>5</v>
          </cell>
          <cell r="BH336">
            <v>25</v>
          </cell>
          <cell r="BR336">
            <v>125</v>
          </cell>
          <cell r="BZ336">
            <v>50</v>
          </cell>
          <cell r="CG336">
            <v>25</v>
          </cell>
          <cell r="DE336" t="str">
            <v>SIN USO</v>
          </cell>
          <cell r="DF336" t="str">
            <v>C</v>
          </cell>
          <cell r="DH336">
            <v>25</v>
          </cell>
          <cell r="DI336">
            <v>4.166666666666667</v>
          </cell>
        </row>
        <row r="337">
          <cell r="B337">
            <v>107406</v>
          </cell>
          <cell r="C337" t="str">
            <v>OJITOS HALLOWEEN AMBROSIA</v>
          </cell>
          <cell r="Q337">
            <v>500</v>
          </cell>
          <cell r="S337">
            <v>11500</v>
          </cell>
          <cell r="DE337" t="str">
            <v>SIN USO</v>
          </cell>
          <cell r="DF337" t="str">
            <v/>
          </cell>
          <cell r="DH337">
            <v>0</v>
          </cell>
          <cell r="DI337">
            <v>0</v>
          </cell>
        </row>
        <row r="338">
          <cell r="B338">
            <v>107356</v>
          </cell>
          <cell r="C338" t="str">
            <v>CHOCOLATE SEMI AMARGO 54% MEL</v>
          </cell>
          <cell r="DA338">
            <v>200</v>
          </cell>
          <cell r="DE338" t="str">
            <v>ACTIVO</v>
          </cell>
          <cell r="DF338" t="str">
            <v/>
          </cell>
          <cell r="DH338">
            <v>200</v>
          </cell>
          <cell r="DI338">
            <v>33.333333333333336</v>
          </cell>
        </row>
        <row r="339">
          <cell r="D339">
            <v>28436.5</v>
          </cell>
          <cell r="E339">
            <v>39004.5</v>
          </cell>
          <cell r="F339">
            <v>28736.5</v>
          </cell>
          <cell r="G339">
            <v>36484</v>
          </cell>
          <cell r="H339">
            <v>55135</v>
          </cell>
          <cell r="I339">
            <v>41634.5</v>
          </cell>
          <cell r="J339">
            <v>70972</v>
          </cell>
          <cell r="K339">
            <v>44467.5</v>
          </cell>
          <cell r="L339">
            <v>43707.5</v>
          </cell>
          <cell r="M339">
            <v>41752.5</v>
          </cell>
          <cell r="N339">
            <v>40711</v>
          </cell>
          <cell r="O339">
            <v>13225.5</v>
          </cell>
          <cell r="P339">
            <v>42522</v>
          </cell>
          <cell r="Q339">
            <v>32558.5</v>
          </cell>
          <cell r="R339">
            <v>48626</v>
          </cell>
          <cell r="S339">
            <v>38392</v>
          </cell>
          <cell r="T339">
            <v>38352</v>
          </cell>
          <cell r="U339">
            <v>30680</v>
          </cell>
          <cell r="V339">
            <v>26656</v>
          </cell>
          <cell r="W339">
            <v>31608.5</v>
          </cell>
          <cell r="X339">
            <v>38277.5</v>
          </cell>
          <cell r="Y339">
            <v>44041</v>
          </cell>
          <cell r="Z339">
            <v>26457.4</v>
          </cell>
          <cell r="AA339">
            <v>40545.5</v>
          </cell>
          <cell r="AB339">
            <v>30991.5</v>
          </cell>
          <cell r="AC339">
            <v>18685.5</v>
          </cell>
          <cell r="AD339">
            <v>9269.5</v>
          </cell>
          <cell r="AE339">
            <v>4244</v>
          </cell>
          <cell r="AF339">
            <v>31909</v>
          </cell>
          <cell r="AG339">
            <v>16160.5</v>
          </cell>
          <cell r="AH339">
            <v>10652.5</v>
          </cell>
          <cell r="AI339">
            <v>12985</v>
          </cell>
          <cell r="AJ339">
            <v>25349.5</v>
          </cell>
          <cell r="AK339">
            <v>4850.5</v>
          </cell>
          <cell r="AL339">
            <v>10614.5</v>
          </cell>
          <cell r="AM339">
            <v>15686</v>
          </cell>
          <cell r="AN339">
            <v>14215.5</v>
          </cell>
          <cell r="AO339">
            <v>25577</v>
          </cell>
          <cell r="AP339">
            <v>22472</v>
          </cell>
          <cell r="AQ339">
            <v>9726.5</v>
          </cell>
          <cell r="AR339">
            <v>21200</v>
          </cell>
          <cell r="AS339">
            <v>22448.7</v>
          </cell>
          <cell r="AT339">
            <v>33261</v>
          </cell>
          <cell r="AU339">
            <v>16921.3</v>
          </cell>
          <cell r="AV339">
            <v>34621.5</v>
          </cell>
          <cell r="AW339">
            <v>23053</v>
          </cell>
          <cell r="AX339">
            <v>20220.5</v>
          </cell>
          <cell r="AY339">
            <v>11953</v>
          </cell>
          <cell r="AZ339">
            <v>35969.5</v>
          </cell>
          <cell r="BA339">
            <v>46814</v>
          </cell>
          <cell r="BB339">
            <v>11160</v>
          </cell>
          <cell r="BC339">
            <v>20862</v>
          </cell>
          <cell r="BD339">
            <v>26328.5</v>
          </cell>
          <cell r="BE339">
            <v>11840</v>
          </cell>
          <cell r="BF339">
            <v>33586</v>
          </cell>
          <cell r="BG339">
            <v>5437.5</v>
          </cell>
          <cell r="BH339">
            <v>39570.5</v>
          </cell>
          <cell r="BI339">
            <v>8337.5</v>
          </cell>
          <cell r="BJ339">
            <v>9979.5</v>
          </cell>
          <cell r="BK339">
            <v>8005.5</v>
          </cell>
          <cell r="BL339">
            <v>7977.5</v>
          </cell>
          <cell r="BM339">
            <v>12048.5</v>
          </cell>
          <cell r="BN339">
            <v>6861.5</v>
          </cell>
          <cell r="BO339">
            <v>20699</v>
          </cell>
          <cell r="BP339">
            <v>3801</v>
          </cell>
          <cell r="BQ339">
            <v>21968</v>
          </cell>
          <cell r="BR339">
            <v>22806.5</v>
          </cell>
          <cell r="BS339">
            <v>46802</v>
          </cell>
          <cell r="BT339">
            <v>10609</v>
          </cell>
          <cell r="BU339">
            <v>4260</v>
          </cell>
          <cell r="BV339">
            <v>16156.5</v>
          </cell>
          <cell r="BW339">
            <v>8161</v>
          </cell>
          <cell r="BX339">
            <v>4758.5</v>
          </cell>
          <cell r="BY339">
            <v>8585.5</v>
          </cell>
          <cell r="BZ339">
            <v>18191.5</v>
          </cell>
          <cell r="CA339">
            <v>10898</v>
          </cell>
          <cell r="CB339">
            <v>12152.5</v>
          </cell>
          <cell r="CC339">
            <v>13247.5</v>
          </cell>
          <cell r="CD339">
            <v>9944</v>
          </cell>
          <cell r="CE339">
            <v>4152</v>
          </cell>
          <cell r="CF339">
            <v>15404</v>
          </cell>
          <cell r="CG339">
            <v>7812</v>
          </cell>
          <cell r="CH339">
            <v>19756.5</v>
          </cell>
          <cell r="CI339">
            <v>20373.5</v>
          </cell>
          <cell r="CJ339">
            <v>17987</v>
          </cell>
          <cell r="CK339">
            <v>4410</v>
          </cell>
          <cell r="CL339">
            <v>24823</v>
          </cell>
          <cell r="CM339">
            <v>19090</v>
          </cell>
          <cell r="CN339">
            <v>15354</v>
          </cell>
          <cell r="CO339">
            <v>3583.5</v>
          </cell>
          <cell r="CP339">
            <v>4467.5</v>
          </cell>
          <cell r="CQ339">
            <v>37276</v>
          </cell>
          <cell r="CR339">
            <v>24256.5</v>
          </cell>
          <cell r="CS339">
            <v>7645</v>
          </cell>
          <cell r="CT339">
            <v>14612</v>
          </cell>
          <cell r="CU339">
            <v>16154.5</v>
          </cell>
          <cell r="CV339">
            <v>18749.5</v>
          </cell>
          <cell r="CW339">
            <v>11708.5</v>
          </cell>
          <cell r="CX339">
            <v>4348.5</v>
          </cell>
          <cell r="CY339">
            <v>19175</v>
          </cell>
          <cell r="CZ339">
            <v>11485</v>
          </cell>
          <cell r="DA339">
            <v>27079.5</v>
          </cell>
          <cell r="DB339">
            <v>16168</v>
          </cell>
          <cell r="DC339">
            <v>22017</v>
          </cell>
          <cell r="DD339">
            <v>10170.5</v>
          </cell>
          <cell r="DE339" t="str">
            <v>ACTIVO</v>
          </cell>
          <cell r="DF339" t="str">
            <v/>
          </cell>
          <cell r="DH339">
            <v>15756.26</v>
          </cell>
          <cell r="DI339">
            <v>2626.0433333333335</v>
          </cell>
        </row>
        <row r="340">
          <cell r="B340">
            <v>104001</v>
          </cell>
          <cell r="C340" t="str">
            <v>AZUCAR FLOR ALTO LA CRUZ</v>
          </cell>
          <cell r="D340">
            <v>417</v>
          </cell>
          <cell r="E340">
            <v>359</v>
          </cell>
          <cell r="F340">
            <v>452</v>
          </cell>
          <cell r="G340">
            <v>348</v>
          </cell>
          <cell r="H340">
            <v>462</v>
          </cell>
          <cell r="I340">
            <v>375</v>
          </cell>
          <cell r="J340">
            <v>353</v>
          </cell>
          <cell r="K340">
            <v>426</v>
          </cell>
          <cell r="L340">
            <v>777</v>
          </cell>
          <cell r="M340">
            <v>457</v>
          </cell>
          <cell r="N340">
            <v>546</v>
          </cell>
          <cell r="O340">
            <v>221</v>
          </cell>
          <cell r="P340">
            <v>507</v>
          </cell>
          <cell r="Q340">
            <v>510</v>
          </cell>
          <cell r="R340">
            <v>270</v>
          </cell>
          <cell r="S340">
            <v>19</v>
          </cell>
          <cell r="T340">
            <v>388</v>
          </cell>
          <cell r="U340">
            <v>704</v>
          </cell>
          <cell r="V340">
            <v>745</v>
          </cell>
          <cell r="W340">
            <v>333</v>
          </cell>
          <cell r="Y340">
            <v>245</v>
          </cell>
          <cell r="AC340">
            <v>241</v>
          </cell>
          <cell r="AD340">
            <v>192</v>
          </cell>
          <cell r="AE340">
            <v>192</v>
          </cell>
          <cell r="AF340">
            <v>596</v>
          </cell>
          <cell r="AH340">
            <v>5</v>
          </cell>
          <cell r="AI340">
            <v>20</v>
          </cell>
          <cell r="AM340">
            <v>28</v>
          </cell>
          <cell r="AN340">
            <v>23</v>
          </cell>
          <cell r="DE340" t="str">
            <v>SIN USO</v>
          </cell>
          <cell r="DF340" t="str">
            <v>C</v>
          </cell>
          <cell r="DH340">
            <v>0</v>
          </cell>
          <cell r="DI340">
            <v>0</v>
          </cell>
        </row>
        <row r="341">
          <cell r="B341">
            <v>405418</v>
          </cell>
          <cell r="C341" t="str">
            <v>AZUCAR FLOR 5KG MEL ALIMENTOS</v>
          </cell>
          <cell r="Q341">
            <v>232</v>
          </cell>
          <cell r="R341">
            <v>661</v>
          </cell>
          <cell r="S341">
            <v>769</v>
          </cell>
          <cell r="T341">
            <v>63</v>
          </cell>
          <cell r="W341">
            <v>45</v>
          </cell>
          <cell r="X341">
            <v>860</v>
          </cell>
          <cell r="Y341">
            <v>400</v>
          </cell>
          <cell r="Z341">
            <v>645</v>
          </cell>
          <cell r="AA341">
            <v>60</v>
          </cell>
          <cell r="AB341">
            <v>680</v>
          </cell>
          <cell r="AC341">
            <v>20</v>
          </cell>
          <cell r="AF341">
            <v>55</v>
          </cell>
          <cell r="AG341">
            <v>735</v>
          </cell>
          <cell r="AH341">
            <v>456</v>
          </cell>
          <cell r="AI341">
            <v>595</v>
          </cell>
          <cell r="AJ341">
            <v>365</v>
          </cell>
          <cell r="AK341">
            <v>480</v>
          </cell>
          <cell r="AL341">
            <v>505</v>
          </cell>
          <cell r="AM341">
            <v>445</v>
          </cell>
          <cell r="AN341">
            <v>370</v>
          </cell>
          <cell r="AO341">
            <v>645</v>
          </cell>
          <cell r="AP341">
            <v>515</v>
          </cell>
          <cell r="AQ341">
            <v>555</v>
          </cell>
          <cell r="AR341">
            <v>845</v>
          </cell>
          <cell r="AS341">
            <v>582</v>
          </cell>
          <cell r="AT341">
            <v>613</v>
          </cell>
          <cell r="AU341">
            <v>420</v>
          </cell>
          <cell r="AV341">
            <v>555</v>
          </cell>
          <cell r="AW341">
            <v>630</v>
          </cell>
          <cell r="AX341">
            <v>687</v>
          </cell>
          <cell r="AY341">
            <v>385</v>
          </cell>
          <cell r="AZ341">
            <v>519</v>
          </cell>
          <cell r="BA341">
            <v>855</v>
          </cell>
          <cell r="BB341">
            <v>506</v>
          </cell>
          <cell r="BC341">
            <v>525</v>
          </cell>
          <cell r="BD341">
            <v>65</v>
          </cell>
          <cell r="BE341">
            <v>650</v>
          </cell>
          <cell r="BF341">
            <v>635</v>
          </cell>
          <cell r="BG341">
            <v>615</v>
          </cell>
          <cell r="BH341">
            <v>740</v>
          </cell>
          <cell r="BI341">
            <v>710</v>
          </cell>
          <cell r="BJ341">
            <v>715</v>
          </cell>
          <cell r="BK341">
            <v>505</v>
          </cell>
          <cell r="BL341">
            <v>720</v>
          </cell>
          <cell r="BM341">
            <v>880</v>
          </cell>
          <cell r="BN341">
            <v>620</v>
          </cell>
          <cell r="BO341">
            <v>580</v>
          </cell>
          <cell r="BP341">
            <v>340</v>
          </cell>
          <cell r="BQ341">
            <v>745</v>
          </cell>
          <cell r="BR341">
            <v>431</v>
          </cell>
          <cell r="BS341">
            <v>850</v>
          </cell>
          <cell r="BT341">
            <v>850</v>
          </cell>
          <cell r="BU341">
            <v>624</v>
          </cell>
          <cell r="BV341">
            <v>625</v>
          </cell>
          <cell r="BW341">
            <v>390</v>
          </cell>
          <cell r="BX341">
            <v>335</v>
          </cell>
          <cell r="BY341">
            <v>410</v>
          </cell>
          <cell r="BZ341">
            <v>590</v>
          </cell>
          <cell r="CA341">
            <v>570</v>
          </cell>
          <cell r="CB341">
            <v>130</v>
          </cell>
          <cell r="CC341">
            <v>450</v>
          </cell>
          <cell r="CD341">
            <v>295</v>
          </cell>
          <cell r="CE341">
            <v>195</v>
          </cell>
          <cell r="CF341">
            <v>115</v>
          </cell>
          <cell r="CG341">
            <v>580</v>
          </cell>
          <cell r="CH341">
            <v>445</v>
          </cell>
          <cell r="CI341">
            <v>660</v>
          </cell>
          <cell r="CJ341">
            <v>460</v>
          </cell>
          <cell r="CK341">
            <v>480</v>
          </cell>
          <cell r="CL341">
            <v>295</v>
          </cell>
          <cell r="CM341">
            <v>365</v>
          </cell>
          <cell r="CN341">
            <v>590</v>
          </cell>
          <cell r="CO341">
            <v>375</v>
          </cell>
          <cell r="CP341">
            <v>380</v>
          </cell>
          <cell r="CQ341">
            <v>385</v>
          </cell>
          <cell r="CR341">
            <v>495</v>
          </cell>
          <cell r="CS341">
            <v>270</v>
          </cell>
          <cell r="CT341">
            <v>515</v>
          </cell>
          <cell r="CU341">
            <v>420</v>
          </cell>
          <cell r="CV341">
            <v>615</v>
          </cell>
          <cell r="CW341">
            <v>625</v>
          </cell>
          <cell r="CX341">
            <v>505</v>
          </cell>
          <cell r="CY341">
            <v>750</v>
          </cell>
          <cell r="CZ341">
            <v>370</v>
          </cell>
          <cell r="DA341">
            <v>345</v>
          </cell>
          <cell r="DB341">
            <v>545</v>
          </cell>
          <cell r="DC341">
            <v>380</v>
          </cell>
          <cell r="DD341">
            <v>470</v>
          </cell>
          <cell r="DE341" t="str">
            <v>ACTIVO</v>
          </cell>
          <cell r="DF341" t="str">
            <v>B</v>
          </cell>
          <cell r="DH341">
            <v>457.4</v>
          </cell>
          <cell r="DI341">
            <v>76.233333333333334</v>
          </cell>
        </row>
        <row r="342">
          <cell r="B342">
            <v>104003</v>
          </cell>
          <cell r="C342" t="str">
            <v>AZUCAR FLOR ANTI-HUMEDAD MANAR</v>
          </cell>
          <cell r="E342">
            <v>30</v>
          </cell>
          <cell r="F342">
            <v>48</v>
          </cell>
          <cell r="H342">
            <v>21.5</v>
          </cell>
          <cell r="I342">
            <v>10</v>
          </cell>
          <cell r="J342">
            <v>28</v>
          </cell>
          <cell r="K342">
            <v>84</v>
          </cell>
          <cell r="M342">
            <v>44</v>
          </cell>
          <cell r="P342">
            <v>40</v>
          </cell>
          <cell r="Q342">
            <v>50</v>
          </cell>
          <cell r="R342">
            <v>50</v>
          </cell>
          <cell r="S342">
            <v>50</v>
          </cell>
          <cell r="T342">
            <v>40</v>
          </cell>
          <cell r="W342">
            <v>108</v>
          </cell>
          <cell r="AA342">
            <v>50</v>
          </cell>
          <cell r="AB342">
            <v>92</v>
          </cell>
          <cell r="AC342">
            <v>25</v>
          </cell>
          <cell r="AN342">
            <v>40</v>
          </cell>
          <cell r="AO342">
            <v>87</v>
          </cell>
          <cell r="AP342">
            <v>90.72</v>
          </cell>
          <cell r="AT342">
            <v>40</v>
          </cell>
          <cell r="AX342">
            <v>166</v>
          </cell>
          <cell r="BA342">
            <v>46</v>
          </cell>
          <cell r="BN342">
            <v>204.12</v>
          </cell>
          <cell r="DE342" t="str">
            <v>SIN USO</v>
          </cell>
          <cell r="DF342" t="str">
            <v>C</v>
          </cell>
          <cell r="DH342">
            <v>0</v>
          </cell>
          <cell r="DI342">
            <v>0</v>
          </cell>
        </row>
        <row r="343">
          <cell r="B343">
            <v>104004</v>
          </cell>
          <cell r="C343" t="str">
            <v>AZUCAR RUBIA EGC</v>
          </cell>
          <cell r="D343">
            <v>8</v>
          </cell>
          <cell r="E343">
            <v>10</v>
          </cell>
          <cell r="F343">
            <v>9</v>
          </cell>
          <cell r="G343">
            <v>7</v>
          </cell>
          <cell r="H343">
            <v>5.5</v>
          </cell>
          <cell r="I343">
            <v>4</v>
          </cell>
          <cell r="J343">
            <v>11</v>
          </cell>
          <cell r="K343">
            <v>4</v>
          </cell>
          <cell r="L343">
            <v>6</v>
          </cell>
          <cell r="M343">
            <v>5</v>
          </cell>
          <cell r="N343">
            <v>4.5</v>
          </cell>
          <cell r="O343">
            <v>1.5</v>
          </cell>
          <cell r="P343">
            <v>8</v>
          </cell>
          <cell r="Q343">
            <v>5</v>
          </cell>
          <cell r="R343">
            <v>4.5</v>
          </cell>
          <cell r="S343">
            <v>2</v>
          </cell>
          <cell r="X343">
            <v>2</v>
          </cell>
          <cell r="AP343">
            <v>10</v>
          </cell>
          <cell r="AU343">
            <v>38</v>
          </cell>
          <cell r="BF343">
            <v>17</v>
          </cell>
          <cell r="BI343">
            <v>10</v>
          </cell>
          <cell r="BK343">
            <v>3</v>
          </cell>
          <cell r="BQ343">
            <v>21</v>
          </cell>
          <cell r="CD343">
            <v>10</v>
          </cell>
          <cell r="DE343" t="str">
            <v>ACTIVO</v>
          </cell>
          <cell r="DF343" t="str">
            <v>C</v>
          </cell>
          <cell r="DH343">
            <v>0</v>
          </cell>
          <cell r="DI343">
            <v>0</v>
          </cell>
        </row>
        <row r="344">
          <cell r="B344">
            <v>104006</v>
          </cell>
          <cell r="C344" t="str">
            <v>AZUCAR GRANULADA EGC</v>
          </cell>
          <cell r="D344">
            <v>32</v>
          </cell>
          <cell r="E344">
            <v>30</v>
          </cell>
          <cell r="F344">
            <v>37</v>
          </cell>
          <cell r="G344">
            <v>88</v>
          </cell>
          <cell r="H344">
            <v>79</v>
          </cell>
          <cell r="I344">
            <v>67</v>
          </cell>
          <cell r="J344">
            <v>106</v>
          </cell>
          <cell r="K344">
            <v>133</v>
          </cell>
          <cell r="L344">
            <v>170</v>
          </cell>
          <cell r="M344">
            <v>177</v>
          </cell>
          <cell r="N344">
            <v>157</v>
          </cell>
          <cell r="O344">
            <v>38</v>
          </cell>
          <cell r="P344">
            <v>92</v>
          </cell>
          <cell r="Q344">
            <v>126</v>
          </cell>
          <cell r="R344">
            <v>147</v>
          </cell>
          <cell r="S344">
            <v>130</v>
          </cell>
          <cell r="T344">
            <v>128</v>
          </cell>
          <cell r="U344">
            <v>155</v>
          </cell>
          <cell r="V344">
            <v>168</v>
          </cell>
          <cell r="W344">
            <v>158</v>
          </cell>
          <cell r="X344">
            <v>136</v>
          </cell>
          <cell r="Y344">
            <v>160</v>
          </cell>
          <cell r="Z344">
            <v>127</v>
          </cell>
          <cell r="AA344">
            <v>120</v>
          </cell>
          <cell r="AB344">
            <v>135</v>
          </cell>
          <cell r="AC344">
            <v>100</v>
          </cell>
          <cell r="AD344">
            <v>57</v>
          </cell>
          <cell r="AE344">
            <v>65</v>
          </cell>
          <cell r="AF344">
            <v>149</v>
          </cell>
          <cell r="AG344">
            <v>141</v>
          </cell>
          <cell r="AH344">
            <v>114</v>
          </cell>
          <cell r="AI344">
            <v>147</v>
          </cell>
          <cell r="AJ344">
            <v>1174</v>
          </cell>
          <cell r="AK344">
            <v>74</v>
          </cell>
          <cell r="AL344">
            <v>122</v>
          </cell>
          <cell r="AM344">
            <v>117</v>
          </cell>
          <cell r="AN344">
            <v>130</v>
          </cell>
          <cell r="AO344">
            <v>146</v>
          </cell>
          <cell r="AP344">
            <v>268</v>
          </cell>
          <cell r="AQ344">
            <v>214</v>
          </cell>
          <cell r="AR344">
            <v>398</v>
          </cell>
          <cell r="AS344">
            <v>224</v>
          </cell>
          <cell r="AT344">
            <v>420</v>
          </cell>
          <cell r="AU344">
            <v>290</v>
          </cell>
          <cell r="AV344">
            <v>317</v>
          </cell>
          <cell r="AW344">
            <v>328</v>
          </cell>
          <cell r="AX344">
            <v>292</v>
          </cell>
          <cell r="AY344">
            <v>322</v>
          </cell>
          <cell r="AZ344">
            <v>329</v>
          </cell>
          <cell r="BA344">
            <v>217</v>
          </cell>
          <cell r="BB344">
            <v>290</v>
          </cell>
          <cell r="BC344">
            <v>246</v>
          </cell>
          <cell r="BD344">
            <v>169</v>
          </cell>
          <cell r="BE344">
            <v>327</v>
          </cell>
          <cell r="BF344">
            <v>274</v>
          </cell>
          <cell r="BG344">
            <v>544</v>
          </cell>
          <cell r="BH344">
            <v>363</v>
          </cell>
          <cell r="BI344">
            <v>329</v>
          </cell>
          <cell r="BJ344">
            <v>367</v>
          </cell>
          <cell r="BK344">
            <v>408</v>
          </cell>
          <cell r="BL344">
            <v>425</v>
          </cell>
          <cell r="BM344">
            <v>188</v>
          </cell>
          <cell r="BN344">
            <v>337</v>
          </cell>
          <cell r="BO344">
            <v>468</v>
          </cell>
          <cell r="BP344">
            <v>97</v>
          </cell>
          <cell r="BQ344">
            <v>315</v>
          </cell>
          <cell r="BR344">
            <v>263</v>
          </cell>
          <cell r="BS344">
            <v>279</v>
          </cell>
          <cell r="BT344">
            <v>317</v>
          </cell>
          <cell r="BU344">
            <v>412</v>
          </cell>
          <cell r="BV344">
            <v>379</v>
          </cell>
          <cell r="BW344">
            <v>288</v>
          </cell>
          <cell r="BX344">
            <v>258</v>
          </cell>
          <cell r="BY344">
            <v>108</v>
          </cell>
          <cell r="BZ344">
            <v>143</v>
          </cell>
          <cell r="CA344">
            <v>319</v>
          </cell>
          <cell r="CB344">
            <v>201</v>
          </cell>
          <cell r="CC344">
            <v>205</v>
          </cell>
          <cell r="CD344">
            <v>327</v>
          </cell>
          <cell r="CE344">
            <v>247</v>
          </cell>
          <cell r="CF344">
            <v>105</v>
          </cell>
          <cell r="CG344">
            <v>383</v>
          </cell>
          <cell r="CH344">
            <v>166</v>
          </cell>
          <cell r="CI344">
            <v>257</v>
          </cell>
          <cell r="CJ344">
            <v>154</v>
          </cell>
          <cell r="CK344">
            <v>205</v>
          </cell>
          <cell r="CL344">
            <v>297</v>
          </cell>
          <cell r="CM344">
            <v>239</v>
          </cell>
          <cell r="CN344">
            <v>269</v>
          </cell>
          <cell r="CO344">
            <v>365</v>
          </cell>
          <cell r="CP344">
            <v>324</v>
          </cell>
          <cell r="CQ344">
            <v>115</v>
          </cell>
          <cell r="CR344">
            <v>149</v>
          </cell>
          <cell r="CS344">
            <v>248</v>
          </cell>
          <cell r="CT344">
            <v>357</v>
          </cell>
          <cell r="CU344">
            <v>359</v>
          </cell>
          <cell r="CV344">
            <v>419</v>
          </cell>
          <cell r="CW344">
            <v>321</v>
          </cell>
          <cell r="CX344">
            <v>240</v>
          </cell>
          <cell r="CY344">
            <v>930</v>
          </cell>
          <cell r="CZ344">
            <v>225</v>
          </cell>
          <cell r="DA344">
            <v>339</v>
          </cell>
          <cell r="DB344">
            <v>414</v>
          </cell>
          <cell r="DC344">
            <v>353</v>
          </cell>
          <cell r="DD344">
            <v>307</v>
          </cell>
          <cell r="DE344" t="str">
            <v>ACTIVO</v>
          </cell>
          <cell r="DF344" t="str">
            <v>B</v>
          </cell>
          <cell r="DH344">
            <v>301.60000000000002</v>
          </cell>
          <cell r="DI344">
            <v>50.266666666666673</v>
          </cell>
        </row>
        <row r="345">
          <cell r="D345">
            <v>457</v>
          </cell>
          <cell r="E345">
            <v>429</v>
          </cell>
          <cell r="F345">
            <v>546</v>
          </cell>
          <cell r="G345">
            <v>443</v>
          </cell>
          <cell r="H345">
            <v>568</v>
          </cell>
          <cell r="I345">
            <v>456</v>
          </cell>
          <cell r="J345">
            <v>498</v>
          </cell>
          <cell r="K345">
            <v>647</v>
          </cell>
          <cell r="L345">
            <v>953</v>
          </cell>
          <cell r="M345">
            <v>683</v>
          </cell>
          <cell r="N345">
            <v>707.5</v>
          </cell>
          <cell r="O345">
            <v>260.5</v>
          </cell>
          <cell r="P345">
            <v>647</v>
          </cell>
          <cell r="Q345">
            <v>923</v>
          </cell>
          <cell r="R345">
            <v>1132.5</v>
          </cell>
          <cell r="S345">
            <v>970</v>
          </cell>
          <cell r="T345">
            <v>619</v>
          </cell>
          <cell r="U345">
            <v>859</v>
          </cell>
          <cell r="V345">
            <v>913</v>
          </cell>
          <cell r="W345">
            <v>644</v>
          </cell>
          <cell r="X345">
            <v>998</v>
          </cell>
          <cell r="Y345">
            <v>805</v>
          </cell>
          <cell r="Z345">
            <v>772</v>
          </cell>
          <cell r="AA345">
            <v>230</v>
          </cell>
          <cell r="AB345">
            <v>907</v>
          </cell>
          <cell r="AC345">
            <v>386</v>
          </cell>
          <cell r="AD345">
            <v>249</v>
          </cell>
          <cell r="AE345">
            <v>257</v>
          </cell>
          <cell r="AF345">
            <v>800</v>
          </cell>
          <cell r="AG345">
            <v>876</v>
          </cell>
          <cell r="AH345">
            <v>575</v>
          </cell>
          <cell r="AI345">
            <v>762</v>
          </cell>
          <cell r="AJ345">
            <v>1539</v>
          </cell>
          <cell r="AK345">
            <v>554</v>
          </cell>
          <cell r="AL345">
            <v>627</v>
          </cell>
          <cell r="AM345">
            <v>590</v>
          </cell>
          <cell r="AN345">
            <v>563</v>
          </cell>
          <cell r="AO345">
            <v>878</v>
          </cell>
          <cell r="AP345">
            <v>883.72</v>
          </cell>
          <cell r="AQ345">
            <v>769</v>
          </cell>
          <cell r="AR345">
            <v>1243</v>
          </cell>
          <cell r="AS345">
            <v>806</v>
          </cell>
          <cell r="AT345">
            <v>1073</v>
          </cell>
          <cell r="AU345">
            <v>748</v>
          </cell>
          <cell r="AV345">
            <v>872</v>
          </cell>
          <cell r="AW345">
            <v>958</v>
          </cell>
          <cell r="AX345">
            <v>1145</v>
          </cell>
          <cell r="AY345">
            <v>707</v>
          </cell>
          <cell r="AZ345">
            <v>848</v>
          </cell>
          <cell r="BA345">
            <v>1118</v>
          </cell>
          <cell r="BB345">
            <v>796</v>
          </cell>
          <cell r="BC345">
            <v>771</v>
          </cell>
          <cell r="BD345">
            <v>234</v>
          </cell>
          <cell r="BE345">
            <v>977</v>
          </cell>
          <cell r="BF345">
            <v>926</v>
          </cell>
          <cell r="BG345">
            <v>1159</v>
          </cell>
          <cell r="BH345">
            <v>1103</v>
          </cell>
          <cell r="BI345">
            <v>1049</v>
          </cell>
          <cell r="BJ345">
            <v>1082</v>
          </cell>
          <cell r="BK345">
            <v>916</v>
          </cell>
          <cell r="BL345">
            <v>1145</v>
          </cell>
          <cell r="BM345">
            <v>1068</v>
          </cell>
          <cell r="BN345">
            <v>1161.1199999999999</v>
          </cell>
          <cell r="BO345">
            <v>1048</v>
          </cell>
          <cell r="BP345">
            <v>437</v>
          </cell>
          <cell r="BQ345">
            <v>1081</v>
          </cell>
          <cell r="BR345">
            <v>694</v>
          </cell>
          <cell r="BS345">
            <v>1129</v>
          </cell>
          <cell r="BT345">
            <v>1167</v>
          </cell>
          <cell r="BU345">
            <v>1036</v>
          </cell>
          <cell r="BV345">
            <v>1004</v>
          </cell>
          <cell r="BW345">
            <v>678</v>
          </cell>
          <cell r="BX345">
            <v>593</v>
          </cell>
          <cell r="BY345">
            <v>518</v>
          </cell>
          <cell r="BZ345">
            <v>733</v>
          </cell>
          <cell r="CA345">
            <v>889</v>
          </cell>
          <cell r="CB345">
            <v>331</v>
          </cell>
          <cell r="CC345">
            <v>655</v>
          </cell>
          <cell r="CD345">
            <v>632</v>
          </cell>
          <cell r="CE345">
            <v>442</v>
          </cell>
          <cell r="CF345">
            <v>220</v>
          </cell>
          <cell r="CG345">
            <v>963</v>
          </cell>
          <cell r="CH345">
            <v>611</v>
          </cell>
          <cell r="CI345">
            <v>917</v>
          </cell>
          <cell r="CJ345">
            <v>614</v>
          </cell>
          <cell r="CK345">
            <v>685</v>
          </cell>
          <cell r="CL345">
            <v>592</v>
          </cell>
          <cell r="CM345">
            <v>604</v>
          </cell>
          <cell r="CN345">
            <v>859</v>
          </cell>
          <cell r="CO345">
            <v>740</v>
          </cell>
          <cell r="CP345">
            <v>704</v>
          </cell>
          <cell r="CQ345">
            <v>500</v>
          </cell>
          <cell r="CR345">
            <v>644</v>
          </cell>
          <cell r="CS345">
            <v>518</v>
          </cell>
          <cell r="CT345">
            <v>872</v>
          </cell>
          <cell r="CU345">
            <v>779</v>
          </cell>
          <cell r="CV345">
            <v>1034</v>
          </cell>
          <cell r="CW345">
            <v>946</v>
          </cell>
          <cell r="CX345">
            <v>745</v>
          </cell>
          <cell r="CY345">
            <v>1680</v>
          </cell>
          <cell r="CZ345">
            <v>595</v>
          </cell>
          <cell r="DA345">
            <v>684</v>
          </cell>
          <cell r="DB345">
            <v>959</v>
          </cell>
          <cell r="DC345">
            <v>733</v>
          </cell>
          <cell r="DD345">
            <v>777</v>
          </cell>
          <cell r="DE345" t="str">
            <v>ACTIVO</v>
          </cell>
          <cell r="DF345" t="str">
            <v/>
          </cell>
          <cell r="DH345">
            <v>759</v>
          </cell>
          <cell r="DI345">
            <v>126.5</v>
          </cell>
        </row>
        <row r="346">
          <cell r="B346">
            <v>100105</v>
          </cell>
          <cell r="C346" t="str">
            <v>MIX BIZC. RED VELVET PURATOS</v>
          </cell>
          <cell r="D346">
            <v>180</v>
          </cell>
          <cell r="E346">
            <v>220</v>
          </cell>
          <cell r="F346">
            <v>220</v>
          </cell>
          <cell r="G346">
            <v>240</v>
          </cell>
          <cell r="H346">
            <v>180</v>
          </cell>
          <cell r="I346">
            <v>160</v>
          </cell>
          <cell r="J346">
            <v>220</v>
          </cell>
          <cell r="K346">
            <v>220</v>
          </cell>
          <cell r="L346">
            <v>220</v>
          </cell>
          <cell r="M346">
            <v>200</v>
          </cell>
          <cell r="N346">
            <v>140</v>
          </cell>
          <cell r="O346">
            <v>100</v>
          </cell>
          <cell r="P346">
            <v>280</v>
          </cell>
          <cell r="Q346">
            <v>160</v>
          </cell>
          <cell r="R346">
            <v>200</v>
          </cell>
          <cell r="S346">
            <v>120</v>
          </cell>
          <cell r="T346">
            <v>140</v>
          </cell>
          <cell r="U346">
            <v>140</v>
          </cell>
          <cell r="V346">
            <v>200</v>
          </cell>
          <cell r="W346">
            <v>120</v>
          </cell>
          <cell r="X346">
            <v>220</v>
          </cell>
          <cell r="Y346">
            <v>140</v>
          </cell>
          <cell r="Z346">
            <v>80</v>
          </cell>
          <cell r="AA346">
            <v>160</v>
          </cell>
          <cell r="AB346">
            <v>300</v>
          </cell>
          <cell r="AC346">
            <v>200</v>
          </cell>
          <cell r="AD346">
            <v>40</v>
          </cell>
          <cell r="AE346">
            <v>120</v>
          </cell>
          <cell r="AF346">
            <v>141</v>
          </cell>
          <cell r="AG346">
            <v>179</v>
          </cell>
          <cell r="AH346">
            <v>120</v>
          </cell>
          <cell r="AI346">
            <v>240</v>
          </cell>
          <cell r="AJ346">
            <v>280</v>
          </cell>
          <cell r="AK346">
            <v>200</v>
          </cell>
          <cell r="AL346">
            <v>300</v>
          </cell>
          <cell r="AM346">
            <v>140</v>
          </cell>
          <cell r="AN346">
            <v>210</v>
          </cell>
          <cell r="AO346">
            <v>260</v>
          </cell>
          <cell r="AP346">
            <v>200</v>
          </cell>
          <cell r="AQ346">
            <v>220</v>
          </cell>
          <cell r="AR346">
            <v>120</v>
          </cell>
          <cell r="AS346">
            <v>340</v>
          </cell>
          <cell r="AT346">
            <v>320</v>
          </cell>
          <cell r="AU346">
            <v>180</v>
          </cell>
          <cell r="AV346">
            <v>280</v>
          </cell>
          <cell r="AW346">
            <v>140</v>
          </cell>
          <cell r="AX346">
            <v>300</v>
          </cell>
          <cell r="AY346">
            <v>260</v>
          </cell>
          <cell r="AZ346">
            <v>160</v>
          </cell>
          <cell r="BA346">
            <v>280</v>
          </cell>
          <cell r="BB346">
            <v>180</v>
          </cell>
          <cell r="BC346">
            <v>260</v>
          </cell>
          <cell r="BD346">
            <v>200</v>
          </cell>
          <cell r="BE346">
            <v>240</v>
          </cell>
          <cell r="BF346">
            <v>140</v>
          </cell>
          <cell r="BG346">
            <v>260</v>
          </cell>
          <cell r="BH346">
            <v>180</v>
          </cell>
          <cell r="BI346">
            <v>160</v>
          </cell>
          <cell r="BJ346">
            <v>200</v>
          </cell>
          <cell r="BK346">
            <v>200</v>
          </cell>
          <cell r="BL346">
            <v>280</v>
          </cell>
          <cell r="BM346">
            <v>340</v>
          </cell>
          <cell r="BN346">
            <v>180</v>
          </cell>
          <cell r="BO346">
            <v>240</v>
          </cell>
          <cell r="BP346">
            <v>80</v>
          </cell>
          <cell r="BQ346">
            <v>240</v>
          </cell>
          <cell r="BR346">
            <v>300</v>
          </cell>
          <cell r="BS346">
            <v>340</v>
          </cell>
          <cell r="BT346">
            <v>180</v>
          </cell>
          <cell r="BU346">
            <v>160</v>
          </cell>
          <cell r="BV346">
            <v>160</v>
          </cell>
          <cell r="BW346">
            <v>180</v>
          </cell>
          <cell r="BX346">
            <v>200</v>
          </cell>
          <cell r="BY346">
            <v>220</v>
          </cell>
          <cell r="BZ346">
            <v>280</v>
          </cell>
          <cell r="CA346">
            <v>360</v>
          </cell>
          <cell r="CB346">
            <v>200</v>
          </cell>
          <cell r="CC346">
            <v>200</v>
          </cell>
          <cell r="CD346">
            <v>540</v>
          </cell>
          <cell r="CE346">
            <v>60</v>
          </cell>
          <cell r="CF346">
            <v>80</v>
          </cell>
          <cell r="CG346">
            <v>120</v>
          </cell>
          <cell r="CH346">
            <v>280</v>
          </cell>
          <cell r="CI346">
            <v>240</v>
          </cell>
          <cell r="CJ346">
            <v>180</v>
          </cell>
          <cell r="CK346">
            <v>360</v>
          </cell>
          <cell r="CL346">
            <v>180</v>
          </cell>
          <cell r="CM346">
            <v>140</v>
          </cell>
          <cell r="CN346">
            <v>400</v>
          </cell>
          <cell r="CO346">
            <v>300</v>
          </cell>
          <cell r="CP346">
            <v>340</v>
          </cell>
          <cell r="CQ346">
            <v>420</v>
          </cell>
          <cell r="CR346">
            <v>300</v>
          </cell>
          <cell r="CS346">
            <v>200</v>
          </cell>
          <cell r="CT346">
            <v>400</v>
          </cell>
          <cell r="CU346">
            <v>340</v>
          </cell>
          <cell r="CV346">
            <v>380</v>
          </cell>
          <cell r="CW346">
            <v>640</v>
          </cell>
          <cell r="CX346">
            <v>100</v>
          </cell>
          <cell r="CY346">
            <v>360</v>
          </cell>
          <cell r="CZ346">
            <v>300</v>
          </cell>
          <cell r="DA346">
            <v>340</v>
          </cell>
          <cell r="DB346">
            <v>300</v>
          </cell>
          <cell r="DC346">
            <v>360</v>
          </cell>
          <cell r="DD346">
            <v>180</v>
          </cell>
          <cell r="DE346" t="str">
            <v>ACTIVO</v>
          </cell>
          <cell r="DF346" t="str">
            <v>B</v>
          </cell>
          <cell r="DH346">
            <v>289.60000000000002</v>
          </cell>
          <cell r="DI346">
            <v>48.266666666666673</v>
          </cell>
        </row>
        <row r="347">
          <cell r="B347">
            <v>100207</v>
          </cell>
          <cell r="C347" t="str">
            <v>MIX BIZCOCHO BLANCO SAN CRISTOBAL</v>
          </cell>
          <cell r="D347">
            <v>11898</v>
          </cell>
          <cell r="E347">
            <v>11682</v>
          </cell>
          <cell r="F347">
            <v>11232</v>
          </cell>
          <cell r="G347">
            <v>13626</v>
          </cell>
          <cell r="H347">
            <v>13662</v>
          </cell>
          <cell r="I347">
            <v>16236</v>
          </cell>
          <cell r="J347">
            <v>10602</v>
          </cell>
          <cell r="K347">
            <v>13392</v>
          </cell>
          <cell r="L347">
            <v>13032</v>
          </cell>
          <cell r="M347">
            <v>13770</v>
          </cell>
          <cell r="N347">
            <v>12366</v>
          </cell>
          <cell r="O347">
            <v>9450</v>
          </cell>
          <cell r="P347">
            <v>11502</v>
          </cell>
          <cell r="Q347">
            <v>12006</v>
          </cell>
          <cell r="R347">
            <v>11520</v>
          </cell>
          <cell r="S347">
            <v>10656</v>
          </cell>
          <cell r="T347">
            <v>14400</v>
          </cell>
          <cell r="U347">
            <v>13644</v>
          </cell>
          <cell r="V347">
            <v>18126</v>
          </cell>
          <cell r="W347">
            <v>9756</v>
          </cell>
          <cell r="X347">
            <v>10782</v>
          </cell>
          <cell r="Y347">
            <v>14634</v>
          </cell>
          <cell r="Z347">
            <v>9288</v>
          </cell>
          <cell r="AA347">
            <v>11736</v>
          </cell>
          <cell r="AB347">
            <v>16434</v>
          </cell>
          <cell r="AC347">
            <v>8190</v>
          </cell>
          <cell r="AD347">
            <v>3186</v>
          </cell>
          <cell r="AE347">
            <v>2898</v>
          </cell>
          <cell r="AF347">
            <v>12510</v>
          </cell>
          <cell r="AG347">
            <v>6444</v>
          </cell>
          <cell r="AH347">
            <v>8406</v>
          </cell>
          <cell r="AI347">
            <v>9072</v>
          </cell>
          <cell r="AJ347">
            <v>13554</v>
          </cell>
          <cell r="AK347">
            <v>11232</v>
          </cell>
          <cell r="AL347">
            <v>9594</v>
          </cell>
          <cell r="AM347">
            <v>7470</v>
          </cell>
          <cell r="AN347">
            <v>9468</v>
          </cell>
          <cell r="AO347">
            <v>11772</v>
          </cell>
          <cell r="AP347">
            <v>8000</v>
          </cell>
          <cell r="AQ347">
            <v>12812</v>
          </cell>
          <cell r="AR347">
            <v>11106</v>
          </cell>
          <cell r="AS347">
            <v>12799</v>
          </cell>
          <cell r="AT347">
            <v>12816</v>
          </cell>
          <cell r="AU347">
            <v>11124</v>
          </cell>
          <cell r="AV347">
            <v>15480</v>
          </cell>
          <cell r="AW347">
            <v>14130</v>
          </cell>
          <cell r="AX347">
            <v>13554</v>
          </cell>
          <cell r="AY347">
            <v>13590</v>
          </cell>
          <cell r="AZ347">
            <v>14454</v>
          </cell>
          <cell r="BA347">
            <v>12096</v>
          </cell>
          <cell r="BB347">
            <v>18072</v>
          </cell>
          <cell r="BC347">
            <v>12906</v>
          </cell>
          <cell r="BD347">
            <v>10080</v>
          </cell>
          <cell r="BE347">
            <v>11790</v>
          </cell>
          <cell r="BF347">
            <v>14256</v>
          </cell>
          <cell r="BG347">
            <v>11916</v>
          </cell>
          <cell r="BH347">
            <v>14274</v>
          </cell>
          <cell r="BI347">
            <v>11376</v>
          </cell>
          <cell r="BJ347">
            <v>13572</v>
          </cell>
          <cell r="BK347">
            <v>12420</v>
          </cell>
          <cell r="BL347">
            <v>10782</v>
          </cell>
          <cell r="BM347">
            <v>13086</v>
          </cell>
          <cell r="BN347">
            <v>12780</v>
          </cell>
          <cell r="BO347">
            <v>13320</v>
          </cell>
          <cell r="BP347">
            <v>3834</v>
          </cell>
          <cell r="BQ347">
            <v>11323</v>
          </cell>
          <cell r="BR347">
            <v>10332</v>
          </cell>
          <cell r="BS347">
            <v>10314</v>
          </cell>
          <cell r="BT347">
            <v>10266</v>
          </cell>
          <cell r="BU347">
            <v>7038</v>
          </cell>
          <cell r="BV347">
            <v>7488</v>
          </cell>
          <cell r="BW347">
            <v>9432</v>
          </cell>
          <cell r="BX347">
            <v>7866</v>
          </cell>
          <cell r="BY347">
            <v>8118</v>
          </cell>
          <cell r="BZ347">
            <v>8442</v>
          </cell>
          <cell r="CA347">
            <v>9072</v>
          </cell>
          <cell r="CB347">
            <v>8658</v>
          </cell>
          <cell r="CC347">
            <v>11790</v>
          </cell>
          <cell r="CD347">
            <v>6696</v>
          </cell>
          <cell r="CE347">
            <v>10656</v>
          </cell>
          <cell r="CF347">
            <v>1764</v>
          </cell>
          <cell r="CG347">
            <v>14760</v>
          </cell>
          <cell r="CH347">
            <v>6966</v>
          </cell>
          <cell r="CI347">
            <v>10080</v>
          </cell>
          <cell r="CJ347">
            <v>9270</v>
          </cell>
          <cell r="CK347">
            <v>10458</v>
          </cell>
          <cell r="CL347">
            <v>10422</v>
          </cell>
          <cell r="CM347">
            <v>7056</v>
          </cell>
          <cell r="CN347">
            <v>9958</v>
          </cell>
          <cell r="CO347">
            <v>11042</v>
          </cell>
          <cell r="CP347">
            <v>15444</v>
          </cell>
          <cell r="CQ347">
            <v>9144</v>
          </cell>
          <cell r="CR347">
            <v>7848</v>
          </cell>
          <cell r="CS347">
            <v>10044</v>
          </cell>
          <cell r="CT347">
            <v>9780</v>
          </cell>
          <cell r="CU347">
            <v>11496</v>
          </cell>
          <cell r="CV347">
            <v>14256</v>
          </cell>
          <cell r="CW347">
            <v>7506</v>
          </cell>
          <cell r="CX347">
            <v>10134</v>
          </cell>
          <cell r="CY347">
            <v>7344</v>
          </cell>
          <cell r="CZ347">
            <v>12348</v>
          </cell>
          <cell r="DA347">
            <v>10278</v>
          </cell>
          <cell r="DB347">
            <v>14130</v>
          </cell>
          <cell r="DC347">
            <v>12114</v>
          </cell>
          <cell r="DD347">
            <v>8712</v>
          </cell>
          <cell r="DE347" t="str">
            <v>ACTIVO</v>
          </cell>
          <cell r="DF347" t="str">
            <v>A</v>
          </cell>
          <cell r="DH347">
            <v>10094.16</v>
          </cell>
          <cell r="DI347">
            <v>1682.36</v>
          </cell>
        </row>
        <row r="348">
          <cell r="B348">
            <v>100221</v>
          </cell>
          <cell r="C348" t="str">
            <v>MIX BIZCOCHO CHOCOLATE SAN CRISTOBAL</v>
          </cell>
          <cell r="D348">
            <v>14772</v>
          </cell>
          <cell r="E348">
            <v>12078</v>
          </cell>
          <cell r="F348">
            <v>9126</v>
          </cell>
          <cell r="G348">
            <v>12096</v>
          </cell>
          <cell r="H348">
            <v>16882</v>
          </cell>
          <cell r="I348">
            <v>9900</v>
          </cell>
          <cell r="J348">
            <v>14994</v>
          </cell>
          <cell r="K348">
            <v>7920</v>
          </cell>
          <cell r="L348">
            <v>15102</v>
          </cell>
          <cell r="M348">
            <v>11466</v>
          </cell>
          <cell r="N348">
            <v>12690</v>
          </cell>
          <cell r="O348">
            <v>5562</v>
          </cell>
          <cell r="P348">
            <v>7074</v>
          </cell>
          <cell r="Q348">
            <v>16758</v>
          </cell>
          <cell r="R348">
            <v>12474</v>
          </cell>
          <cell r="S348">
            <v>12708</v>
          </cell>
          <cell r="T348">
            <v>6786</v>
          </cell>
          <cell r="U348">
            <v>16218</v>
          </cell>
          <cell r="V348">
            <v>11358</v>
          </cell>
          <cell r="W348">
            <v>8208</v>
          </cell>
          <cell r="X348">
            <v>14562</v>
          </cell>
          <cell r="Y348">
            <v>16488</v>
          </cell>
          <cell r="Z348">
            <v>11214</v>
          </cell>
          <cell r="AA348">
            <v>7938</v>
          </cell>
          <cell r="AB348">
            <v>12186</v>
          </cell>
          <cell r="AC348">
            <v>4338</v>
          </cell>
          <cell r="AD348">
            <v>4896</v>
          </cell>
          <cell r="AE348">
            <v>1350</v>
          </cell>
          <cell r="AF348">
            <v>7994</v>
          </cell>
          <cell r="AG348">
            <v>9250</v>
          </cell>
          <cell r="AH348">
            <v>6084</v>
          </cell>
          <cell r="AI348">
            <v>10332</v>
          </cell>
          <cell r="AJ348">
            <v>11448</v>
          </cell>
          <cell r="AK348">
            <v>8550</v>
          </cell>
          <cell r="AL348">
            <v>11196</v>
          </cell>
          <cell r="AM348">
            <v>11916</v>
          </cell>
          <cell r="AN348">
            <v>9234</v>
          </cell>
          <cell r="AO348">
            <v>10044</v>
          </cell>
          <cell r="AP348">
            <v>8856</v>
          </cell>
          <cell r="AQ348">
            <v>12204</v>
          </cell>
          <cell r="AR348">
            <v>16452</v>
          </cell>
          <cell r="AS348">
            <v>15606</v>
          </cell>
          <cell r="AT348">
            <v>12816</v>
          </cell>
          <cell r="AU348">
            <v>9180</v>
          </cell>
          <cell r="AV348">
            <v>10692</v>
          </cell>
          <cell r="AW348">
            <v>7092</v>
          </cell>
          <cell r="AX348">
            <v>14202</v>
          </cell>
          <cell r="AY348">
            <v>10692</v>
          </cell>
          <cell r="AZ348">
            <v>13680</v>
          </cell>
          <cell r="BA348">
            <v>12690</v>
          </cell>
          <cell r="BB348">
            <v>16236</v>
          </cell>
          <cell r="BC348">
            <v>16164</v>
          </cell>
          <cell r="BD348">
            <v>14238</v>
          </cell>
          <cell r="BE348">
            <v>18708</v>
          </cell>
          <cell r="BF348">
            <v>5974</v>
          </cell>
          <cell r="BG348">
            <v>8748</v>
          </cell>
          <cell r="BH348">
            <v>13284</v>
          </cell>
          <cell r="BI348">
            <v>12510</v>
          </cell>
          <cell r="BJ348">
            <v>11124</v>
          </cell>
          <cell r="BK348">
            <v>11376</v>
          </cell>
          <cell r="BL348">
            <v>13518</v>
          </cell>
          <cell r="BM348">
            <v>13878</v>
          </cell>
          <cell r="BN348">
            <v>12150</v>
          </cell>
          <cell r="BO348">
            <v>14670</v>
          </cell>
          <cell r="BP348">
            <v>2214</v>
          </cell>
          <cell r="BQ348">
            <v>18882</v>
          </cell>
          <cell r="BR348">
            <v>7434</v>
          </cell>
          <cell r="BS348">
            <v>13806</v>
          </cell>
          <cell r="BT348">
            <v>6606</v>
          </cell>
          <cell r="BU348">
            <v>9000</v>
          </cell>
          <cell r="BV348">
            <v>4140</v>
          </cell>
          <cell r="BW348">
            <v>11214</v>
          </cell>
          <cell r="BX348">
            <v>2664</v>
          </cell>
          <cell r="BY348">
            <v>5454</v>
          </cell>
          <cell r="BZ348">
            <v>7084</v>
          </cell>
          <cell r="CA348">
            <v>4626</v>
          </cell>
          <cell r="CB348">
            <v>6948</v>
          </cell>
          <cell r="CC348">
            <v>11718</v>
          </cell>
          <cell r="CD348">
            <v>7848</v>
          </cell>
          <cell r="CE348">
            <v>3834</v>
          </cell>
          <cell r="CF348">
            <v>5490</v>
          </cell>
          <cell r="CG348">
            <v>5274</v>
          </cell>
          <cell r="CH348">
            <v>9522</v>
          </cell>
          <cell r="CI348">
            <v>10314</v>
          </cell>
          <cell r="CJ348">
            <v>6642</v>
          </cell>
          <cell r="CK348">
            <v>11610</v>
          </cell>
          <cell r="CL348">
            <v>9972</v>
          </cell>
          <cell r="CM348">
            <v>12204</v>
          </cell>
          <cell r="CN348">
            <v>6462</v>
          </cell>
          <cell r="CO348">
            <v>5850</v>
          </cell>
          <cell r="CP348">
            <v>5130</v>
          </cell>
          <cell r="CQ348">
            <v>8136</v>
          </cell>
          <cell r="CR348">
            <v>15534</v>
          </cell>
          <cell r="CS348">
            <v>5184</v>
          </cell>
          <cell r="CT348">
            <v>13212</v>
          </cell>
          <cell r="CU348">
            <v>1422</v>
          </cell>
          <cell r="CV348">
            <v>612</v>
          </cell>
          <cell r="CW348">
            <v>810</v>
          </cell>
          <cell r="CX348">
            <v>612</v>
          </cell>
          <cell r="CY348">
            <v>1188</v>
          </cell>
          <cell r="CZ348">
            <v>936</v>
          </cell>
          <cell r="DA348">
            <v>1170</v>
          </cell>
          <cell r="DB348">
            <v>882</v>
          </cell>
          <cell r="DC348">
            <v>1476</v>
          </cell>
          <cell r="DD348">
            <v>1206</v>
          </cell>
          <cell r="DE348" t="str">
            <v>ACTIVO</v>
          </cell>
          <cell r="DF348" t="str">
            <v>A</v>
          </cell>
          <cell r="DH348">
            <v>5634</v>
          </cell>
          <cell r="DI348">
            <v>939</v>
          </cell>
        </row>
        <row r="349">
          <cell r="B349">
            <v>402124</v>
          </cell>
          <cell r="C349" t="str">
            <v>MIX TARTALETA PURATOS</v>
          </cell>
          <cell r="D349">
            <v>3330</v>
          </cell>
          <cell r="E349">
            <v>3744</v>
          </cell>
          <cell r="F349">
            <v>5166</v>
          </cell>
          <cell r="G349">
            <v>3204</v>
          </cell>
          <cell r="H349">
            <v>4716</v>
          </cell>
          <cell r="I349">
            <v>5238</v>
          </cell>
          <cell r="J349">
            <v>5238</v>
          </cell>
          <cell r="K349">
            <v>3294</v>
          </cell>
          <cell r="L349">
            <v>2646</v>
          </cell>
          <cell r="M349">
            <v>4230</v>
          </cell>
          <cell r="N349">
            <v>4428</v>
          </cell>
          <cell r="O349">
            <v>2628</v>
          </cell>
          <cell r="P349">
            <v>3582</v>
          </cell>
          <cell r="Q349">
            <v>3852</v>
          </cell>
          <cell r="R349">
            <v>3132</v>
          </cell>
          <cell r="S349">
            <v>4536</v>
          </cell>
          <cell r="T349">
            <v>4338</v>
          </cell>
          <cell r="U349">
            <v>3960</v>
          </cell>
          <cell r="V349">
            <v>4086</v>
          </cell>
          <cell r="W349">
            <v>4122</v>
          </cell>
          <cell r="X349">
            <v>3690</v>
          </cell>
          <cell r="Y349">
            <v>5508</v>
          </cell>
          <cell r="Z349">
            <v>1818</v>
          </cell>
          <cell r="AA349">
            <v>3456</v>
          </cell>
          <cell r="AB349">
            <v>3150</v>
          </cell>
          <cell r="AC349">
            <v>1872</v>
          </cell>
          <cell r="AD349">
            <v>1152</v>
          </cell>
          <cell r="AE349">
            <v>324</v>
          </cell>
          <cell r="AF349">
            <v>4644</v>
          </cell>
          <cell r="AG349">
            <v>3870</v>
          </cell>
          <cell r="AH349">
            <v>4230</v>
          </cell>
          <cell r="AI349">
            <v>4806</v>
          </cell>
          <cell r="AJ349">
            <v>3726</v>
          </cell>
          <cell r="AK349">
            <v>2880</v>
          </cell>
          <cell r="AL349">
            <v>1998</v>
          </cell>
          <cell r="AM349">
            <v>2232</v>
          </cell>
          <cell r="AN349">
            <v>362</v>
          </cell>
          <cell r="AO349">
            <v>952</v>
          </cell>
          <cell r="AP349">
            <v>2574</v>
          </cell>
          <cell r="AQ349">
            <v>2522</v>
          </cell>
          <cell r="AR349">
            <v>1458</v>
          </cell>
          <cell r="DE349" t="str">
            <v>SIN USO</v>
          </cell>
          <cell r="DF349" t="str">
            <v>B</v>
          </cell>
          <cell r="DH349">
            <v>0</v>
          </cell>
          <cell r="DI349">
            <v>0</v>
          </cell>
        </row>
        <row r="350">
          <cell r="B350">
            <v>402128</v>
          </cell>
          <cell r="C350" t="str">
            <v>MIX BIZCOCHO SIN AZUCAR PURATOS</v>
          </cell>
          <cell r="D350">
            <v>70</v>
          </cell>
          <cell r="E350">
            <v>50</v>
          </cell>
          <cell r="F350">
            <v>60</v>
          </cell>
          <cell r="G350">
            <v>40</v>
          </cell>
          <cell r="H350">
            <v>70</v>
          </cell>
          <cell r="I350">
            <v>60</v>
          </cell>
          <cell r="J350">
            <v>50</v>
          </cell>
          <cell r="K350">
            <v>85</v>
          </cell>
          <cell r="L350">
            <v>80</v>
          </cell>
          <cell r="M350">
            <v>50</v>
          </cell>
          <cell r="N350">
            <v>60</v>
          </cell>
          <cell r="O350">
            <v>20</v>
          </cell>
          <cell r="P350">
            <v>50</v>
          </cell>
          <cell r="Q350">
            <v>70</v>
          </cell>
          <cell r="R350">
            <v>70</v>
          </cell>
          <cell r="S350">
            <v>60</v>
          </cell>
          <cell r="T350">
            <v>60</v>
          </cell>
          <cell r="U350">
            <v>50</v>
          </cell>
          <cell r="V350">
            <v>60</v>
          </cell>
          <cell r="W350">
            <v>70</v>
          </cell>
          <cell r="X350">
            <v>50</v>
          </cell>
          <cell r="Y350">
            <v>70</v>
          </cell>
          <cell r="Z350">
            <v>40</v>
          </cell>
          <cell r="AA350">
            <v>50</v>
          </cell>
          <cell r="AB350">
            <v>50</v>
          </cell>
          <cell r="AC350">
            <v>70</v>
          </cell>
          <cell r="AD350">
            <v>20</v>
          </cell>
          <cell r="AE350">
            <v>20</v>
          </cell>
          <cell r="AF350">
            <v>60</v>
          </cell>
          <cell r="AG350">
            <v>50</v>
          </cell>
          <cell r="AH350">
            <v>50</v>
          </cell>
          <cell r="AI350">
            <v>50</v>
          </cell>
          <cell r="AJ350">
            <v>80</v>
          </cell>
          <cell r="AK350">
            <v>50</v>
          </cell>
          <cell r="AL350">
            <v>90</v>
          </cell>
          <cell r="AM350">
            <v>50</v>
          </cell>
          <cell r="AN350">
            <v>50</v>
          </cell>
          <cell r="AO350">
            <v>40</v>
          </cell>
          <cell r="AP350">
            <v>40</v>
          </cell>
          <cell r="AQ350">
            <v>100</v>
          </cell>
          <cell r="AR350">
            <v>30</v>
          </cell>
          <cell r="AS350">
            <v>60</v>
          </cell>
          <cell r="AT350">
            <v>70</v>
          </cell>
          <cell r="AU350">
            <v>40</v>
          </cell>
          <cell r="AV350">
            <v>70</v>
          </cell>
          <cell r="AW350">
            <v>50</v>
          </cell>
          <cell r="AX350">
            <v>80</v>
          </cell>
          <cell r="AY350">
            <v>80</v>
          </cell>
          <cell r="AZ350">
            <v>60</v>
          </cell>
          <cell r="BA350">
            <v>50</v>
          </cell>
          <cell r="BB350">
            <v>80</v>
          </cell>
          <cell r="BC350">
            <v>50</v>
          </cell>
          <cell r="BD350">
            <v>40</v>
          </cell>
          <cell r="BE350">
            <v>60</v>
          </cell>
          <cell r="BF350">
            <v>40</v>
          </cell>
          <cell r="BG350">
            <v>40</v>
          </cell>
          <cell r="BH350">
            <v>100</v>
          </cell>
          <cell r="BI350">
            <v>40</v>
          </cell>
          <cell r="BJ350">
            <v>60</v>
          </cell>
          <cell r="BK350">
            <v>50</v>
          </cell>
          <cell r="BL350">
            <v>90</v>
          </cell>
          <cell r="BM350">
            <v>50</v>
          </cell>
          <cell r="BN350">
            <v>50</v>
          </cell>
          <cell r="BO350">
            <v>40</v>
          </cell>
          <cell r="BP350">
            <v>40</v>
          </cell>
          <cell r="BQ350">
            <v>70</v>
          </cell>
          <cell r="BR350">
            <v>40</v>
          </cell>
          <cell r="BS350">
            <v>90</v>
          </cell>
          <cell r="BT350">
            <v>40</v>
          </cell>
          <cell r="BU350">
            <v>40</v>
          </cell>
          <cell r="BV350">
            <v>40</v>
          </cell>
          <cell r="BW350">
            <v>70</v>
          </cell>
          <cell r="BX350">
            <v>50</v>
          </cell>
          <cell r="BY350">
            <v>40</v>
          </cell>
          <cell r="BZ350">
            <v>80</v>
          </cell>
          <cell r="CA350">
            <v>60</v>
          </cell>
          <cell r="CB350">
            <v>70</v>
          </cell>
          <cell r="CC350">
            <v>50</v>
          </cell>
          <cell r="CD350">
            <v>40</v>
          </cell>
          <cell r="CE350">
            <v>20</v>
          </cell>
          <cell r="CF350">
            <v>20</v>
          </cell>
          <cell r="CG350">
            <v>60</v>
          </cell>
          <cell r="CH350">
            <v>70</v>
          </cell>
          <cell r="CI350">
            <v>80</v>
          </cell>
          <cell r="CJ350">
            <v>70</v>
          </cell>
          <cell r="CK350">
            <v>101</v>
          </cell>
          <cell r="CL350">
            <v>60</v>
          </cell>
          <cell r="CM350">
            <v>30</v>
          </cell>
          <cell r="CN350">
            <v>80</v>
          </cell>
          <cell r="CO350">
            <v>90</v>
          </cell>
          <cell r="CP350">
            <v>110</v>
          </cell>
          <cell r="CQ350">
            <v>60</v>
          </cell>
          <cell r="CR350">
            <v>100</v>
          </cell>
          <cell r="CS350">
            <v>60</v>
          </cell>
          <cell r="CT350">
            <v>100</v>
          </cell>
          <cell r="CU350">
            <v>80</v>
          </cell>
          <cell r="CV350">
            <v>120</v>
          </cell>
          <cell r="CW350">
            <v>80</v>
          </cell>
          <cell r="CX350">
            <v>60</v>
          </cell>
          <cell r="CY350">
            <v>50</v>
          </cell>
          <cell r="CZ350">
            <v>70</v>
          </cell>
          <cell r="DA350">
            <v>90</v>
          </cell>
          <cell r="DB350">
            <v>80</v>
          </cell>
          <cell r="DC350">
            <v>60</v>
          </cell>
          <cell r="DD350">
            <v>50</v>
          </cell>
          <cell r="DE350" t="str">
            <v>ACTIVO</v>
          </cell>
          <cell r="DF350" t="str">
            <v>C</v>
          </cell>
          <cell r="DH350">
            <v>73.239999999999995</v>
          </cell>
          <cell r="DI350">
            <v>12.206666666666665</v>
          </cell>
        </row>
        <row r="351">
          <cell r="B351">
            <v>107416</v>
          </cell>
          <cell r="C351" t="str">
            <v>MIX QUEQUE SATÍN SAN CRISTÓBAL</v>
          </cell>
          <cell r="AL351">
            <v>220</v>
          </cell>
          <cell r="AM351">
            <v>80</v>
          </cell>
          <cell r="DE351" t="str">
            <v>SIN USO</v>
          </cell>
          <cell r="DF351" t="str">
            <v>C</v>
          </cell>
          <cell r="DH351">
            <v>0</v>
          </cell>
          <cell r="DI351">
            <v>0</v>
          </cell>
        </row>
        <row r="352">
          <cell r="B352">
            <v>100206</v>
          </cell>
          <cell r="C352" t="str">
            <v>HARINA 061 FINA HOJA SAN CRISTOBAL</v>
          </cell>
          <cell r="AL352">
            <v>475</v>
          </cell>
          <cell r="DE352" t="str">
            <v>SIN USO</v>
          </cell>
          <cell r="DF352" t="str">
            <v>C</v>
          </cell>
          <cell r="DH352">
            <v>0</v>
          </cell>
          <cell r="DI352">
            <v>0</v>
          </cell>
        </row>
        <row r="353">
          <cell r="B353">
            <v>405528</v>
          </cell>
          <cell r="C353" t="str">
            <v>MIX QUEQUE AMERICANO SAN CRISTOBAL</v>
          </cell>
          <cell r="BD353">
            <v>420</v>
          </cell>
          <cell r="BM353">
            <v>1800</v>
          </cell>
          <cell r="BQ353">
            <v>40</v>
          </cell>
          <cell r="BR353">
            <v>160</v>
          </cell>
          <cell r="BS353">
            <v>60</v>
          </cell>
          <cell r="DE353" t="str">
            <v>SIN USO</v>
          </cell>
          <cell r="DF353" t="str">
            <v>C</v>
          </cell>
          <cell r="DH353">
            <v>0</v>
          </cell>
          <cell r="DI353">
            <v>0</v>
          </cell>
        </row>
        <row r="354">
          <cell r="B354">
            <v>405563</v>
          </cell>
          <cell r="C354" t="str">
            <v>BIZCOCHO CHOCOLATE HI MARMIX</v>
          </cell>
          <cell r="BD354">
            <v>400</v>
          </cell>
          <cell r="DE354" t="str">
            <v>SIN USO</v>
          </cell>
          <cell r="DF354" t="str">
            <v>C</v>
          </cell>
          <cell r="DH354">
            <v>0</v>
          </cell>
          <cell r="DI354">
            <v>0</v>
          </cell>
        </row>
        <row r="355">
          <cell r="B355">
            <v>405562</v>
          </cell>
          <cell r="C355" t="str">
            <v>MIX  BIZCOCHO 3 LECHES PURATOS</v>
          </cell>
          <cell r="BD355">
            <v>100</v>
          </cell>
          <cell r="DE355" t="str">
            <v>SIN USO</v>
          </cell>
          <cell r="DF355" t="str">
            <v>C</v>
          </cell>
          <cell r="DH355">
            <v>0</v>
          </cell>
          <cell r="DI355">
            <v>0</v>
          </cell>
        </row>
        <row r="356">
          <cell r="B356">
            <v>405573</v>
          </cell>
          <cell r="C356" t="str">
            <v>T. BIZCOCHO CHOCOLATE PLUS PURATOS</v>
          </cell>
          <cell r="BI356">
            <v>900</v>
          </cell>
          <cell r="BJ356">
            <v>600</v>
          </cell>
          <cell r="DE356" t="str">
            <v>SIN USO</v>
          </cell>
          <cell r="DF356" t="str">
            <v>C</v>
          </cell>
          <cell r="DH356">
            <v>0</v>
          </cell>
          <cell r="DI356">
            <v>0</v>
          </cell>
        </row>
        <row r="357">
          <cell r="B357">
            <v>405564</v>
          </cell>
          <cell r="C357" t="str">
            <v>PM BASE TARTALETAS MARMIX</v>
          </cell>
          <cell r="BU357">
            <v>500</v>
          </cell>
          <cell r="DE357" t="str">
            <v>SIN USO</v>
          </cell>
          <cell r="DF357" t="str">
            <v>C</v>
          </cell>
          <cell r="DH357">
            <v>0</v>
          </cell>
          <cell r="DI357">
            <v>0</v>
          </cell>
        </row>
        <row r="358">
          <cell r="B358">
            <v>170177</v>
          </cell>
          <cell r="C358" t="str">
            <v>TEGRAL MUFFINS VEGANO PURATOS</v>
          </cell>
          <cell r="D358">
            <v>330</v>
          </cell>
          <cell r="E358">
            <v>225</v>
          </cell>
          <cell r="F358">
            <v>690</v>
          </cell>
          <cell r="G358">
            <v>210</v>
          </cell>
          <cell r="H358">
            <v>210</v>
          </cell>
          <cell r="L358">
            <v>730</v>
          </cell>
          <cell r="R358">
            <v>105</v>
          </cell>
          <cell r="S358">
            <v>360</v>
          </cell>
          <cell r="T358">
            <v>240</v>
          </cell>
          <cell r="U358">
            <v>105</v>
          </cell>
          <cell r="W358">
            <v>120</v>
          </cell>
          <cell r="AA358">
            <v>190</v>
          </cell>
          <cell r="AB358">
            <v>105</v>
          </cell>
          <cell r="AE358">
            <v>210</v>
          </cell>
          <cell r="AF358">
            <v>180</v>
          </cell>
          <cell r="AG358">
            <v>280</v>
          </cell>
          <cell r="AH358">
            <v>210</v>
          </cell>
          <cell r="AI358">
            <v>415</v>
          </cell>
          <cell r="AJ358">
            <v>105</v>
          </cell>
          <cell r="AK358">
            <v>315</v>
          </cell>
          <cell r="AO358">
            <v>210</v>
          </cell>
          <cell r="BH358">
            <v>20</v>
          </cell>
          <cell r="BQ358">
            <v>120</v>
          </cell>
          <cell r="BR358">
            <v>10</v>
          </cell>
          <cell r="CC358">
            <v>20</v>
          </cell>
          <cell r="DE358" t="str">
            <v>SIN USO</v>
          </cell>
          <cell r="DF358" t="str">
            <v>C</v>
          </cell>
          <cell r="DH358">
            <v>0</v>
          </cell>
          <cell r="DI358">
            <v>0</v>
          </cell>
        </row>
        <row r="359">
          <cell r="B359">
            <v>403330</v>
          </cell>
          <cell r="C359" t="str">
            <v>MIX BIZCOCHO BLANCO PURATOS</v>
          </cell>
          <cell r="D359">
            <v>20</v>
          </cell>
          <cell r="H359">
            <v>1584</v>
          </cell>
          <cell r="CX359">
            <v>972</v>
          </cell>
          <cell r="DE359" t="str">
            <v>SIN USO</v>
          </cell>
          <cell r="DF359" t="str">
            <v/>
          </cell>
          <cell r="DH359">
            <v>972</v>
          </cell>
          <cell r="DI359">
            <v>162</v>
          </cell>
        </row>
        <row r="360">
          <cell r="B360">
            <v>403331</v>
          </cell>
          <cell r="C360" t="str">
            <v>MIX BIZCOCHO CHOCOLATE PURATOS</v>
          </cell>
          <cell r="D360">
            <v>100</v>
          </cell>
          <cell r="H360">
            <v>736</v>
          </cell>
          <cell r="P360">
            <v>144</v>
          </cell>
          <cell r="BJ360">
            <v>612</v>
          </cell>
          <cell r="BK360">
            <v>990</v>
          </cell>
          <cell r="BQ360">
            <v>3996</v>
          </cell>
          <cell r="BY360">
            <v>1012</v>
          </cell>
          <cell r="CD360">
            <v>972</v>
          </cell>
          <cell r="CP360">
            <v>1260</v>
          </cell>
          <cell r="CQ360">
            <v>4014</v>
          </cell>
          <cell r="CU360">
            <v>7866</v>
          </cell>
          <cell r="CV360">
            <v>8480</v>
          </cell>
          <cell r="CW360">
            <v>6612</v>
          </cell>
          <cell r="CX360">
            <v>2736</v>
          </cell>
          <cell r="CY360">
            <v>5778</v>
          </cell>
          <cell r="CZ360">
            <v>6498</v>
          </cell>
          <cell r="DA360">
            <v>13392</v>
          </cell>
          <cell r="DB360">
            <v>6624</v>
          </cell>
          <cell r="DC360">
            <v>8766</v>
          </cell>
          <cell r="DD360">
            <v>9792</v>
          </cell>
          <cell r="DE360" t="str">
            <v>ACTIVO</v>
          </cell>
          <cell r="DF360" t="str">
            <v>B</v>
          </cell>
          <cell r="DH360">
            <v>6818.166666666667</v>
          </cell>
          <cell r="DI360">
            <v>1136.3611111111111</v>
          </cell>
        </row>
        <row r="361">
          <cell r="B361">
            <v>100236</v>
          </cell>
          <cell r="C361" t="str">
            <v>PREMEZCLA BIZCOCHO ROJO HI SAN CRISTOBAL</v>
          </cell>
          <cell r="D361">
            <v>160</v>
          </cell>
          <cell r="E361">
            <v>80</v>
          </cell>
          <cell r="G361">
            <v>80</v>
          </cell>
          <cell r="H361">
            <v>80</v>
          </cell>
          <cell r="I361">
            <v>160</v>
          </cell>
          <cell r="J361">
            <v>80</v>
          </cell>
          <cell r="L361">
            <v>80</v>
          </cell>
          <cell r="M361">
            <v>80</v>
          </cell>
          <cell r="O361">
            <v>80</v>
          </cell>
          <cell r="Q361">
            <v>160</v>
          </cell>
          <cell r="V361">
            <v>160</v>
          </cell>
          <cell r="Y361">
            <v>40</v>
          </cell>
          <cell r="DE361" t="str">
            <v>SIN USO</v>
          </cell>
          <cell r="DF361" t="str">
            <v/>
          </cell>
          <cell r="DH361">
            <v>0</v>
          </cell>
          <cell r="DI361">
            <v>0</v>
          </cell>
        </row>
        <row r="362">
          <cell r="B362">
            <v>102237</v>
          </cell>
          <cell r="C362" t="str">
            <v>PREMEZCLA BIZCOCHO ANARANJADO HI SAN CRISTOBAL</v>
          </cell>
          <cell r="D362">
            <v>160</v>
          </cell>
          <cell r="E362">
            <v>80</v>
          </cell>
          <cell r="F362">
            <v>80</v>
          </cell>
          <cell r="G362">
            <v>100</v>
          </cell>
          <cell r="H362">
            <v>80</v>
          </cell>
          <cell r="I362">
            <v>160</v>
          </cell>
          <cell r="J362">
            <v>80</v>
          </cell>
          <cell r="L362">
            <v>80</v>
          </cell>
          <cell r="M362">
            <v>80</v>
          </cell>
          <cell r="O362">
            <v>80</v>
          </cell>
          <cell r="Q362">
            <v>160</v>
          </cell>
          <cell r="V362">
            <v>160</v>
          </cell>
          <cell r="Y362">
            <v>40</v>
          </cell>
          <cell r="DE362" t="str">
            <v>SIN USO</v>
          </cell>
          <cell r="DF362" t="str">
            <v/>
          </cell>
          <cell r="DH362">
            <v>0</v>
          </cell>
          <cell r="DI362">
            <v>0</v>
          </cell>
        </row>
        <row r="363">
          <cell r="B363">
            <v>102238</v>
          </cell>
          <cell r="C363" t="str">
            <v>PREMEZCLA BIZCOCHO VERDE HI SAN CRISTOBAL</v>
          </cell>
          <cell r="D363">
            <v>160</v>
          </cell>
          <cell r="E363">
            <v>80</v>
          </cell>
          <cell r="G363">
            <v>80</v>
          </cell>
          <cell r="H363">
            <v>80</v>
          </cell>
          <cell r="I363">
            <v>80</v>
          </cell>
          <cell r="J363">
            <v>80</v>
          </cell>
          <cell r="L363">
            <v>80</v>
          </cell>
          <cell r="M363">
            <v>80</v>
          </cell>
          <cell r="P363">
            <v>160</v>
          </cell>
          <cell r="Q363">
            <v>80</v>
          </cell>
          <cell r="V363">
            <v>160</v>
          </cell>
          <cell r="Y363">
            <v>40</v>
          </cell>
          <cell r="DE363" t="str">
            <v>SIN USO</v>
          </cell>
          <cell r="DF363" t="str">
            <v/>
          </cell>
          <cell r="DH363">
            <v>0</v>
          </cell>
          <cell r="DI363">
            <v>0</v>
          </cell>
        </row>
        <row r="364">
          <cell r="B364">
            <v>102239</v>
          </cell>
          <cell r="C364" t="str">
            <v>PREMEZCLA BIZCOCHO MORADO HI SAN CRISTOBAL</v>
          </cell>
          <cell r="D364">
            <v>80</v>
          </cell>
          <cell r="E364">
            <v>80</v>
          </cell>
          <cell r="F364">
            <v>60</v>
          </cell>
          <cell r="G364">
            <v>80</v>
          </cell>
          <cell r="H364">
            <v>80</v>
          </cell>
          <cell r="J364">
            <v>160</v>
          </cell>
          <cell r="L364">
            <v>80</v>
          </cell>
          <cell r="N364">
            <v>80</v>
          </cell>
          <cell r="P364">
            <v>160</v>
          </cell>
          <cell r="Q364">
            <v>80</v>
          </cell>
          <cell r="R364">
            <v>80</v>
          </cell>
          <cell r="V364">
            <v>160</v>
          </cell>
          <cell r="Y364">
            <v>40</v>
          </cell>
          <cell r="DE364" t="str">
            <v>SIN USO</v>
          </cell>
          <cell r="DF364" t="str">
            <v/>
          </cell>
          <cell r="DH364">
            <v>0</v>
          </cell>
          <cell r="DI364">
            <v>0</v>
          </cell>
        </row>
        <row r="365">
          <cell r="B365">
            <v>107301</v>
          </cell>
          <cell r="C365" t="str">
            <v>TEGRAL BROWNIE VEGGI PURATOS</v>
          </cell>
          <cell r="D365">
            <v>575</v>
          </cell>
          <cell r="E365">
            <v>540</v>
          </cell>
          <cell r="F365">
            <v>945</v>
          </cell>
          <cell r="G365">
            <v>345</v>
          </cell>
          <cell r="H365">
            <v>230</v>
          </cell>
          <cell r="I365">
            <v>1175</v>
          </cell>
          <cell r="J365">
            <v>115</v>
          </cell>
          <cell r="K365">
            <v>345</v>
          </cell>
          <cell r="L365">
            <v>690</v>
          </cell>
          <cell r="M365">
            <v>235</v>
          </cell>
          <cell r="N365">
            <v>345</v>
          </cell>
          <cell r="P365">
            <v>345</v>
          </cell>
          <cell r="Q365">
            <v>245</v>
          </cell>
          <cell r="R365">
            <v>345</v>
          </cell>
          <cell r="S365">
            <v>460</v>
          </cell>
          <cell r="T365">
            <v>475</v>
          </cell>
          <cell r="U365">
            <v>530</v>
          </cell>
          <cell r="V365">
            <v>345</v>
          </cell>
          <cell r="W365">
            <v>230</v>
          </cell>
          <cell r="X365">
            <v>460</v>
          </cell>
          <cell r="Y365">
            <v>230</v>
          </cell>
          <cell r="AA365">
            <v>460</v>
          </cell>
          <cell r="AB365">
            <v>135</v>
          </cell>
          <cell r="AE365">
            <v>115</v>
          </cell>
          <cell r="AF365">
            <v>250</v>
          </cell>
          <cell r="AG365">
            <v>115</v>
          </cell>
          <cell r="AH365">
            <v>540</v>
          </cell>
          <cell r="AI365">
            <v>690</v>
          </cell>
          <cell r="AJ365">
            <v>350</v>
          </cell>
          <cell r="AK365">
            <v>595</v>
          </cell>
          <cell r="AL365">
            <v>350</v>
          </cell>
          <cell r="AM365">
            <v>240</v>
          </cell>
          <cell r="AN365">
            <v>700</v>
          </cell>
          <cell r="AO365">
            <v>155</v>
          </cell>
          <cell r="AQ365">
            <v>790</v>
          </cell>
          <cell r="AR365">
            <v>575</v>
          </cell>
          <cell r="AS365">
            <v>460</v>
          </cell>
          <cell r="AT365">
            <v>470</v>
          </cell>
          <cell r="AU365">
            <v>490</v>
          </cell>
          <cell r="AV365">
            <v>690</v>
          </cell>
          <cell r="AW365">
            <v>240</v>
          </cell>
          <cell r="AX365">
            <v>470</v>
          </cell>
          <cell r="AZ365">
            <v>230</v>
          </cell>
          <cell r="BA365">
            <v>115</v>
          </cell>
          <cell r="BB365">
            <v>345</v>
          </cell>
          <cell r="BC365">
            <v>300</v>
          </cell>
          <cell r="BD365">
            <v>345</v>
          </cell>
          <cell r="BE365">
            <v>585</v>
          </cell>
          <cell r="BF365">
            <v>160</v>
          </cell>
          <cell r="BG365">
            <v>350</v>
          </cell>
          <cell r="BH365">
            <v>610</v>
          </cell>
          <cell r="BI365">
            <v>115</v>
          </cell>
          <cell r="BJ365">
            <v>230</v>
          </cell>
          <cell r="BK365">
            <v>230</v>
          </cell>
          <cell r="BL365">
            <v>460</v>
          </cell>
          <cell r="BM365">
            <v>115</v>
          </cell>
          <cell r="BN365">
            <v>345</v>
          </cell>
          <cell r="BO365">
            <v>540</v>
          </cell>
          <cell r="BP365">
            <v>290</v>
          </cell>
          <cell r="BQ365">
            <v>155</v>
          </cell>
          <cell r="BR365">
            <v>400</v>
          </cell>
          <cell r="BS365">
            <v>590</v>
          </cell>
          <cell r="BT365">
            <v>230</v>
          </cell>
          <cell r="BU365">
            <v>115</v>
          </cell>
          <cell r="BW365">
            <v>115</v>
          </cell>
          <cell r="BY365">
            <v>305</v>
          </cell>
          <cell r="BZ365">
            <v>365</v>
          </cell>
          <cell r="CA365">
            <v>420</v>
          </cell>
          <cell r="CB365">
            <v>125</v>
          </cell>
          <cell r="CC365">
            <v>345</v>
          </cell>
          <cell r="CD365">
            <v>1065</v>
          </cell>
          <cell r="CE365">
            <v>350</v>
          </cell>
          <cell r="CG365">
            <v>515</v>
          </cell>
          <cell r="CH365">
            <v>355</v>
          </cell>
          <cell r="CI365">
            <v>355</v>
          </cell>
          <cell r="CJ365">
            <v>435</v>
          </cell>
          <cell r="CK365">
            <v>675</v>
          </cell>
          <cell r="CL365">
            <v>600</v>
          </cell>
          <cell r="CN365">
            <v>450</v>
          </cell>
          <cell r="CO365">
            <v>210</v>
          </cell>
          <cell r="CP365">
            <v>270</v>
          </cell>
          <cell r="CQ365">
            <v>140</v>
          </cell>
          <cell r="CR365">
            <v>355</v>
          </cell>
          <cell r="CS365">
            <v>140</v>
          </cell>
          <cell r="CT365">
            <v>485</v>
          </cell>
          <cell r="CU365">
            <v>405</v>
          </cell>
          <cell r="CV365">
            <v>795</v>
          </cell>
          <cell r="CX365">
            <v>120</v>
          </cell>
          <cell r="CY365">
            <v>850</v>
          </cell>
          <cell r="CZ365">
            <v>355</v>
          </cell>
          <cell r="DA365">
            <v>300</v>
          </cell>
          <cell r="DB365">
            <v>510</v>
          </cell>
          <cell r="DC365">
            <v>240</v>
          </cell>
          <cell r="DE365" t="str">
            <v>ACTIVO</v>
          </cell>
          <cell r="DF365" t="str">
            <v>A</v>
          </cell>
          <cell r="DH365">
            <v>407.61904761904759</v>
          </cell>
          <cell r="DI365">
            <v>67.936507936507937</v>
          </cell>
        </row>
        <row r="366">
          <cell r="B366">
            <v>107311</v>
          </cell>
          <cell r="C366" t="str">
            <v>HARINA ORO 2</v>
          </cell>
          <cell r="D366">
            <v>1250</v>
          </cell>
          <cell r="E366">
            <v>2050</v>
          </cell>
          <cell r="F366">
            <v>950</v>
          </cell>
          <cell r="G366">
            <v>1150</v>
          </cell>
          <cell r="H366">
            <v>1535</v>
          </cell>
          <cell r="I366">
            <v>1425</v>
          </cell>
          <cell r="J366">
            <v>1300</v>
          </cell>
          <cell r="K366">
            <v>1615</v>
          </cell>
          <cell r="L366">
            <v>2900</v>
          </cell>
          <cell r="M366">
            <v>1750</v>
          </cell>
          <cell r="N366">
            <v>2200</v>
          </cell>
          <cell r="O366">
            <v>750</v>
          </cell>
          <cell r="P366">
            <v>1925</v>
          </cell>
          <cell r="Q366">
            <v>2300</v>
          </cell>
          <cell r="R366">
            <v>3175</v>
          </cell>
          <cell r="S366">
            <v>2700</v>
          </cell>
          <cell r="T366">
            <v>1550</v>
          </cell>
          <cell r="U366">
            <v>2325</v>
          </cell>
          <cell r="V366">
            <v>2500</v>
          </cell>
          <cell r="W366">
            <v>1225</v>
          </cell>
          <cell r="X366">
            <v>3075</v>
          </cell>
          <cell r="Y366">
            <v>3200</v>
          </cell>
          <cell r="Z366">
            <v>2010</v>
          </cell>
          <cell r="AA366">
            <v>275</v>
          </cell>
          <cell r="AB366">
            <v>1895</v>
          </cell>
          <cell r="AC366">
            <v>1000</v>
          </cell>
          <cell r="AD366">
            <v>700</v>
          </cell>
          <cell r="AE366">
            <v>775</v>
          </cell>
          <cell r="AF366">
            <v>2675</v>
          </cell>
          <cell r="AG366">
            <v>1775</v>
          </cell>
          <cell r="AH366">
            <v>1800</v>
          </cell>
          <cell r="AI366">
            <v>2025</v>
          </cell>
          <cell r="AJ366">
            <v>2275</v>
          </cell>
          <cell r="AK366">
            <v>1700</v>
          </cell>
          <cell r="AL366">
            <v>1625</v>
          </cell>
          <cell r="AM366">
            <v>1550</v>
          </cell>
          <cell r="AN366">
            <v>1440</v>
          </cell>
          <cell r="AO366">
            <v>1835</v>
          </cell>
          <cell r="AP366">
            <v>1800</v>
          </cell>
          <cell r="AQ366">
            <v>1750</v>
          </cell>
          <cell r="AR366">
            <v>2125</v>
          </cell>
          <cell r="AS366">
            <v>1525</v>
          </cell>
          <cell r="AT366">
            <v>2325</v>
          </cell>
          <cell r="AU366">
            <v>1550</v>
          </cell>
          <cell r="AV366">
            <v>1975</v>
          </cell>
          <cell r="AW366">
            <v>2000</v>
          </cell>
          <cell r="AX366">
            <v>2195</v>
          </cell>
          <cell r="AY366">
            <v>1530</v>
          </cell>
          <cell r="AZ366">
            <v>1725</v>
          </cell>
          <cell r="BA366">
            <v>2700</v>
          </cell>
          <cell r="BB366">
            <v>2050</v>
          </cell>
          <cell r="BC366">
            <v>2500</v>
          </cell>
          <cell r="BD366">
            <v>1675</v>
          </cell>
          <cell r="BE366">
            <v>1925</v>
          </cell>
          <cell r="BF366">
            <v>2300</v>
          </cell>
          <cell r="BG366">
            <v>2000</v>
          </cell>
          <cell r="BH366">
            <v>2725</v>
          </cell>
          <cell r="BI366">
            <v>2550</v>
          </cell>
          <cell r="BJ366">
            <v>2495</v>
          </cell>
          <cell r="BK366">
            <v>1775</v>
          </cell>
          <cell r="BL366">
            <v>2500</v>
          </cell>
          <cell r="BM366">
            <v>3050</v>
          </cell>
          <cell r="BN366">
            <v>2075</v>
          </cell>
          <cell r="BO366">
            <v>2050</v>
          </cell>
          <cell r="BP366">
            <v>1200</v>
          </cell>
          <cell r="BQ366">
            <v>2475</v>
          </cell>
          <cell r="BR366">
            <v>1725</v>
          </cell>
          <cell r="BS366">
            <v>2225</v>
          </cell>
          <cell r="BT366">
            <v>3775</v>
          </cell>
          <cell r="BU366">
            <v>2250</v>
          </cell>
          <cell r="BV366">
            <v>2250</v>
          </cell>
          <cell r="BW366">
            <v>1400</v>
          </cell>
          <cell r="BX366">
            <v>1225</v>
          </cell>
          <cell r="BY366">
            <v>1700</v>
          </cell>
          <cell r="BZ366">
            <v>1950</v>
          </cell>
          <cell r="CA366">
            <v>2075</v>
          </cell>
          <cell r="CB366">
            <v>625</v>
          </cell>
          <cell r="CC366">
            <v>1475</v>
          </cell>
          <cell r="CD366">
            <v>1100</v>
          </cell>
          <cell r="CE366">
            <v>725</v>
          </cell>
          <cell r="CF366">
            <v>425</v>
          </cell>
          <cell r="CG366">
            <v>1975</v>
          </cell>
          <cell r="CH366">
            <v>1550</v>
          </cell>
          <cell r="CI366">
            <v>2075</v>
          </cell>
          <cell r="CJ366">
            <v>1750</v>
          </cell>
          <cell r="CK366">
            <v>1700</v>
          </cell>
          <cell r="CL366">
            <v>1025</v>
          </cell>
          <cell r="CM366">
            <v>1300</v>
          </cell>
          <cell r="CN366">
            <v>2025</v>
          </cell>
          <cell r="CO366">
            <v>1325</v>
          </cell>
          <cell r="CP366">
            <v>1375</v>
          </cell>
          <cell r="CQ366">
            <v>1400</v>
          </cell>
          <cell r="CR366">
            <v>1850</v>
          </cell>
          <cell r="CS366">
            <v>1125</v>
          </cell>
          <cell r="CT366">
            <v>950</v>
          </cell>
          <cell r="CU366">
            <v>1875</v>
          </cell>
          <cell r="CV366">
            <v>2200</v>
          </cell>
          <cell r="CW366">
            <v>2145</v>
          </cell>
          <cell r="CX366">
            <v>1825</v>
          </cell>
          <cell r="CY366">
            <v>2550</v>
          </cell>
          <cell r="CZ366">
            <v>1400</v>
          </cell>
          <cell r="DA366">
            <v>1250</v>
          </cell>
          <cell r="DB366">
            <v>1975</v>
          </cell>
          <cell r="DC366">
            <v>1300</v>
          </cell>
          <cell r="DD366">
            <v>1850</v>
          </cell>
          <cell r="DE366" t="str">
            <v>ACTIVO</v>
          </cell>
          <cell r="DF366" t="str">
            <v>A</v>
          </cell>
          <cell r="DH366">
            <v>1608.8</v>
          </cell>
          <cell r="DI366">
            <v>268.13333333333333</v>
          </cell>
        </row>
        <row r="367">
          <cell r="B367">
            <v>100200</v>
          </cell>
          <cell r="C367" t="str">
            <v>MIX TARTALETA SAN CRISTOBAL</v>
          </cell>
          <cell r="I367">
            <v>100</v>
          </cell>
          <cell r="X367">
            <v>36</v>
          </cell>
          <cell r="AL367">
            <v>72</v>
          </cell>
          <cell r="AM367">
            <v>1560</v>
          </cell>
          <cell r="AN367">
            <v>2460</v>
          </cell>
          <cell r="AO367">
            <v>2072</v>
          </cell>
          <cell r="AP367">
            <v>988</v>
          </cell>
          <cell r="AQ367">
            <v>3530</v>
          </cell>
          <cell r="AR367">
            <v>3180</v>
          </cell>
          <cell r="AS367">
            <v>4220</v>
          </cell>
          <cell r="AT367">
            <v>5360</v>
          </cell>
          <cell r="AU367">
            <v>3820</v>
          </cell>
          <cell r="AV367">
            <v>5780</v>
          </cell>
          <cell r="AW367">
            <v>6680</v>
          </cell>
          <cell r="AX367">
            <v>6860</v>
          </cell>
          <cell r="AY367">
            <v>3580</v>
          </cell>
          <cell r="AZ367">
            <v>3580</v>
          </cell>
          <cell r="BA367">
            <v>3100</v>
          </cell>
          <cell r="BB367">
            <v>3480</v>
          </cell>
          <cell r="BC367">
            <v>4260</v>
          </cell>
          <cell r="BD367">
            <v>4370</v>
          </cell>
          <cell r="BE367">
            <v>5520</v>
          </cell>
          <cell r="BF367">
            <v>4200</v>
          </cell>
          <cell r="BG367">
            <v>3600</v>
          </cell>
          <cell r="BH367">
            <v>4980</v>
          </cell>
          <cell r="BI367">
            <v>4620</v>
          </cell>
          <cell r="BJ367">
            <v>4600</v>
          </cell>
          <cell r="BK367">
            <v>3340</v>
          </cell>
          <cell r="BL367">
            <v>3540</v>
          </cell>
          <cell r="BM367">
            <v>2600</v>
          </cell>
          <cell r="BN367">
            <v>3340</v>
          </cell>
          <cell r="BO367">
            <v>3840</v>
          </cell>
          <cell r="BP367">
            <v>1700</v>
          </cell>
          <cell r="BQ367">
            <v>4560</v>
          </cell>
          <cell r="BR367">
            <v>2560</v>
          </cell>
          <cell r="BS367">
            <v>3960</v>
          </cell>
          <cell r="BT367">
            <v>2560</v>
          </cell>
          <cell r="BU367">
            <v>3080</v>
          </cell>
          <cell r="BV367">
            <v>2940</v>
          </cell>
          <cell r="BW367">
            <v>3120</v>
          </cell>
          <cell r="BX367">
            <v>3420</v>
          </cell>
          <cell r="BY367">
            <v>2360</v>
          </cell>
          <cell r="BZ367">
            <v>3900</v>
          </cell>
          <cell r="CA367">
            <v>3200</v>
          </cell>
          <cell r="CB367">
            <v>700</v>
          </cell>
          <cell r="CC367">
            <v>2440</v>
          </cell>
          <cell r="CD367">
            <v>1980</v>
          </cell>
          <cell r="CE367">
            <v>1440</v>
          </cell>
          <cell r="CF367">
            <v>1040</v>
          </cell>
          <cell r="CG367">
            <v>1960</v>
          </cell>
          <cell r="CH367">
            <v>4500</v>
          </cell>
          <cell r="CI367">
            <v>3060</v>
          </cell>
          <cell r="CJ367">
            <v>3280</v>
          </cell>
          <cell r="CK367">
            <v>5180</v>
          </cell>
          <cell r="CL367">
            <v>2780</v>
          </cell>
          <cell r="CM367">
            <v>4380</v>
          </cell>
          <cell r="CN367">
            <v>3720</v>
          </cell>
          <cell r="CO367">
            <v>3336</v>
          </cell>
          <cell r="CP367">
            <v>1780</v>
          </cell>
          <cell r="CQ367">
            <v>1560</v>
          </cell>
          <cell r="CR367">
            <v>1020</v>
          </cell>
          <cell r="CS367">
            <v>920</v>
          </cell>
          <cell r="CT367">
            <v>2600</v>
          </cell>
          <cell r="CU367">
            <v>3500</v>
          </cell>
          <cell r="CV367">
            <v>3940</v>
          </cell>
          <cell r="CW367">
            <v>2680</v>
          </cell>
          <cell r="CX367">
            <v>3180</v>
          </cell>
          <cell r="CY367">
            <v>1220</v>
          </cell>
          <cell r="CZ367">
            <v>840</v>
          </cell>
          <cell r="DA367">
            <v>2120</v>
          </cell>
          <cell r="DB367">
            <v>740</v>
          </cell>
          <cell r="DC367">
            <v>1100</v>
          </cell>
          <cell r="DD367">
            <v>2400</v>
          </cell>
          <cell r="DE367" t="str">
            <v>ACTIVO</v>
          </cell>
          <cell r="DF367" t="str">
            <v>A</v>
          </cell>
          <cell r="DH367">
            <v>2513.44</v>
          </cell>
          <cell r="DI367">
            <v>418.90666666666669</v>
          </cell>
        </row>
        <row r="368">
          <cell r="B368">
            <v>170178</v>
          </cell>
          <cell r="C368" t="str">
            <v>TEGRAL BIZCOCHUELO PURATOS</v>
          </cell>
          <cell r="V368">
            <v>160</v>
          </cell>
          <cell r="DE368" t="str">
            <v>SIN USO</v>
          </cell>
          <cell r="DF368" t="str">
            <v/>
          </cell>
          <cell r="DH368">
            <v>0</v>
          </cell>
          <cell r="DI368">
            <v>0</v>
          </cell>
        </row>
        <row r="369">
          <cell r="D369">
            <v>33085</v>
          </cell>
          <cell r="E369">
            <v>30909</v>
          </cell>
          <cell r="F369">
            <v>28529</v>
          </cell>
          <cell r="G369">
            <v>31251</v>
          </cell>
          <cell r="H369">
            <v>40125</v>
          </cell>
          <cell r="I369">
            <v>34694</v>
          </cell>
          <cell r="J369">
            <v>32919</v>
          </cell>
          <cell r="K369">
            <v>26871</v>
          </cell>
          <cell r="L369">
            <v>35720</v>
          </cell>
          <cell r="M369">
            <v>31941</v>
          </cell>
          <cell r="N369">
            <v>32309</v>
          </cell>
          <cell r="O369">
            <v>18670</v>
          </cell>
          <cell r="P369">
            <v>25222</v>
          </cell>
          <cell r="Q369">
            <v>35871</v>
          </cell>
          <cell r="R369">
            <v>31101</v>
          </cell>
          <cell r="S369">
            <v>31600</v>
          </cell>
          <cell r="T369">
            <v>27989</v>
          </cell>
          <cell r="U369">
            <v>36972</v>
          </cell>
          <cell r="V369">
            <v>37475</v>
          </cell>
          <cell r="W369">
            <v>23851</v>
          </cell>
          <cell r="X369">
            <v>32875</v>
          </cell>
          <cell r="Y369">
            <v>40430</v>
          </cell>
          <cell r="Z369">
            <v>24450</v>
          </cell>
          <cell r="AA369">
            <v>24265</v>
          </cell>
          <cell r="AB369">
            <v>34255</v>
          </cell>
          <cell r="AC369">
            <v>15670</v>
          </cell>
          <cell r="AD369">
            <v>9994</v>
          </cell>
          <cell r="AE369">
            <v>5812</v>
          </cell>
          <cell r="AF369">
            <v>28454</v>
          </cell>
          <cell r="AG369">
            <v>21963</v>
          </cell>
          <cell r="AH369">
            <v>21440</v>
          </cell>
          <cell r="AI369">
            <v>27630</v>
          </cell>
          <cell r="AJ369">
            <v>31818</v>
          </cell>
          <cell r="AK369">
            <v>25522</v>
          </cell>
          <cell r="AL369">
            <v>25920</v>
          </cell>
          <cell r="AM369">
            <v>25238</v>
          </cell>
          <cell r="AN369">
            <v>23924</v>
          </cell>
          <cell r="AO369">
            <v>27340</v>
          </cell>
          <cell r="AP369">
            <v>22458</v>
          </cell>
          <cell r="AQ369">
            <v>33928</v>
          </cell>
          <cell r="AR369">
            <v>35046</v>
          </cell>
          <cell r="AS369">
            <v>35010</v>
          </cell>
          <cell r="AT369">
            <v>34177</v>
          </cell>
          <cell r="AU369">
            <v>26384</v>
          </cell>
          <cell r="AV369">
            <v>34967</v>
          </cell>
          <cell r="AW369">
            <v>30332</v>
          </cell>
          <cell r="AX369">
            <v>37661</v>
          </cell>
          <cell r="AY369">
            <v>29732</v>
          </cell>
          <cell r="AZ369">
            <v>33889</v>
          </cell>
          <cell r="BA369">
            <v>31031</v>
          </cell>
          <cell r="BB369">
            <v>40443</v>
          </cell>
          <cell r="BC369">
            <v>36440</v>
          </cell>
          <cell r="BD369">
            <v>31868</v>
          </cell>
          <cell r="BE369">
            <v>38828</v>
          </cell>
          <cell r="BF369">
            <v>27070</v>
          </cell>
          <cell r="BG369">
            <v>26914</v>
          </cell>
          <cell r="BH369">
            <v>36173</v>
          </cell>
          <cell r="BI369">
            <v>32271</v>
          </cell>
          <cell r="BJ369">
            <v>33493</v>
          </cell>
          <cell r="BK369">
            <v>30381</v>
          </cell>
          <cell r="BL369">
            <v>31170</v>
          </cell>
          <cell r="BM369">
            <v>34919</v>
          </cell>
          <cell r="BN369">
            <v>30920</v>
          </cell>
          <cell r="BO369">
            <v>34700</v>
          </cell>
          <cell r="BP369">
            <v>9358</v>
          </cell>
          <cell r="BQ369">
            <v>41861</v>
          </cell>
          <cell r="BR369">
            <v>22961</v>
          </cell>
          <cell r="BS369">
            <v>31385</v>
          </cell>
          <cell r="BT369">
            <v>23657</v>
          </cell>
          <cell r="BU369">
            <v>22183</v>
          </cell>
          <cell r="BV369">
            <v>17018</v>
          </cell>
          <cell r="BW369">
            <v>25531</v>
          </cell>
          <cell r="BX369">
            <v>15425</v>
          </cell>
          <cell r="BY369">
            <v>19209</v>
          </cell>
          <cell r="BZ369">
            <v>22101</v>
          </cell>
          <cell r="CA369">
            <v>19813</v>
          </cell>
          <cell r="CB369">
            <v>17326</v>
          </cell>
          <cell r="CC369">
            <v>28038</v>
          </cell>
          <cell r="CD369">
            <v>20241</v>
          </cell>
          <cell r="CE369">
            <v>17085</v>
          </cell>
          <cell r="CF369">
            <v>8819</v>
          </cell>
          <cell r="CG369">
            <v>24664</v>
          </cell>
          <cell r="CH369">
            <v>23243</v>
          </cell>
          <cell r="CI369">
            <v>26204</v>
          </cell>
          <cell r="CJ369">
            <v>21627</v>
          </cell>
          <cell r="CK369">
            <v>30084</v>
          </cell>
          <cell r="CL369">
            <v>25039</v>
          </cell>
          <cell r="CM369">
            <v>25110</v>
          </cell>
          <cell r="CN369">
            <v>23095</v>
          </cell>
          <cell r="CO369">
            <v>22153</v>
          </cell>
          <cell r="CP369">
            <v>25709</v>
          </cell>
          <cell r="CQ369">
            <v>24874</v>
          </cell>
          <cell r="CR369">
            <v>27007</v>
          </cell>
          <cell r="CS369">
            <v>17673</v>
          </cell>
          <cell r="CT369">
            <v>27527</v>
          </cell>
          <cell r="CU369">
            <v>26984</v>
          </cell>
          <cell r="CV369">
            <v>30783</v>
          </cell>
          <cell r="CW369">
            <v>20473</v>
          </cell>
          <cell r="CX369">
            <v>19739</v>
          </cell>
          <cell r="CY369">
            <v>19340</v>
          </cell>
          <cell r="CZ369">
            <v>22747</v>
          </cell>
          <cell r="DA369">
            <v>28940</v>
          </cell>
          <cell r="DB369">
            <v>25241</v>
          </cell>
          <cell r="DC369">
            <v>25416</v>
          </cell>
          <cell r="DD369">
            <v>24190</v>
          </cell>
          <cell r="DE369" t="str">
            <v>ACTIVO</v>
          </cell>
          <cell r="DF369" t="str">
            <v/>
          </cell>
          <cell r="DH369">
            <v>23867.24</v>
          </cell>
          <cell r="DI369">
            <v>3977.8733333333334</v>
          </cell>
        </row>
        <row r="370">
          <cell r="B370">
            <v>107109</v>
          </cell>
          <cell r="C370" t="str">
            <v>MANJAR ARTESANAL DIWATTS</v>
          </cell>
          <cell r="D370">
            <v>565</v>
          </cell>
          <cell r="E370">
            <v>570</v>
          </cell>
          <cell r="F370">
            <v>510</v>
          </cell>
          <cell r="G370">
            <v>530</v>
          </cell>
          <cell r="H370">
            <v>5310</v>
          </cell>
          <cell r="I370">
            <v>760</v>
          </cell>
          <cell r="J370">
            <v>445</v>
          </cell>
          <cell r="K370">
            <v>600</v>
          </cell>
          <cell r="L370">
            <v>725</v>
          </cell>
          <cell r="M370">
            <v>765</v>
          </cell>
          <cell r="N370">
            <v>505</v>
          </cell>
          <cell r="O370">
            <v>50</v>
          </cell>
          <cell r="P370">
            <v>695</v>
          </cell>
          <cell r="Q370">
            <v>569</v>
          </cell>
          <cell r="R370">
            <v>640</v>
          </cell>
          <cell r="S370">
            <v>325</v>
          </cell>
          <cell r="T370">
            <v>923</v>
          </cell>
          <cell r="U370">
            <v>470</v>
          </cell>
          <cell r="V370">
            <v>495</v>
          </cell>
          <cell r="W370">
            <v>370</v>
          </cell>
          <cell r="X370">
            <v>315</v>
          </cell>
          <cell r="Y370">
            <v>215</v>
          </cell>
          <cell r="Z370">
            <v>390</v>
          </cell>
          <cell r="AA370">
            <v>330</v>
          </cell>
          <cell r="AB370">
            <v>400</v>
          </cell>
          <cell r="AC370">
            <v>320</v>
          </cell>
          <cell r="AD370">
            <v>105</v>
          </cell>
          <cell r="AE370">
            <v>185</v>
          </cell>
          <cell r="AF370">
            <v>430</v>
          </cell>
          <cell r="AG370">
            <v>362</v>
          </cell>
          <cell r="AH370">
            <v>300</v>
          </cell>
          <cell r="AI370">
            <v>580</v>
          </cell>
          <cell r="AJ370">
            <v>620</v>
          </cell>
          <cell r="AK370">
            <v>300</v>
          </cell>
          <cell r="AL370">
            <v>530</v>
          </cell>
          <cell r="AM370">
            <v>560</v>
          </cell>
          <cell r="AN370">
            <v>1027</v>
          </cell>
          <cell r="AO370">
            <v>775</v>
          </cell>
          <cell r="AP370">
            <v>820</v>
          </cell>
          <cell r="AQ370">
            <v>525</v>
          </cell>
          <cell r="AR370">
            <v>1135</v>
          </cell>
          <cell r="AS370">
            <v>915</v>
          </cell>
          <cell r="AT370">
            <v>4630</v>
          </cell>
          <cell r="AU370">
            <v>2575</v>
          </cell>
          <cell r="AV370">
            <v>1160</v>
          </cell>
          <cell r="AW370">
            <v>1085</v>
          </cell>
          <cell r="AX370">
            <v>950</v>
          </cell>
          <cell r="AY370">
            <v>745</v>
          </cell>
          <cell r="AZ370">
            <v>965</v>
          </cell>
          <cell r="BA370">
            <v>1640</v>
          </cell>
          <cell r="BB370">
            <v>495</v>
          </cell>
          <cell r="BC370">
            <v>1350</v>
          </cell>
          <cell r="BD370">
            <v>1340</v>
          </cell>
          <cell r="BE370">
            <v>4395</v>
          </cell>
          <cell r="BF370">
            <v>2390</v>
          </cell>
          <cell r="BG370">
            <v>1075</v>
          </cell>
          <cell r="BH370">
            <v>190</v>
          </cell>
          <cell r="BI370">
            <v>170</v>
          </cell>
          <cell r="BJ370">
            <v>1005</v>
          </cell>
          <cell r="BK370">
            <v>1670</v>
          </cell>
          <cell r="BL370">
            <v>2365</v>
          </cell>
          <cell r="BM370">
            <v>210</v>
          </cell>
          <cell r="BN370">
            <v>1320</v>
          </cell>
          <cell r="BO370">
            <v>170</v>
          </cell>
          <cell r="BP370">
            <v>20</v>
          </cell>
          <cell r="BQ370">
            <v>1496</v>
          </cell>
          <cell r="BR370">
            <v>155</v>
          </cell>
          <cell r="BS370">
            <v>485</v>
          </cell>
          <cell r="BT370">
            <v>155</v>
          </cell>
          <cell r="BU370">
            <v>240</v>
          </cell>
          <cell r="BV370">
            <v>315</v>
          </cell>
          <cell r="BW370">
            <v>210</v>
          </cell>
          <cell r="BX370">
            <v>125</v>
          </cell>
          <cell r="BY370">
            <v>160</v>
          </cell>
          <cell r="BZ370">
            <v>170</v>
          </cell>
          <cell r="CA370">
            <v>1170</v>
          </cell>
          <cell r="CB370">
            <v>130</v>
          </cell>
          <cell r="CC370">
            <v>230</v>
          </cell>
          <cell r="CD370">
            <v>815</v>
          </cell>
          <cell r="CE370">
            <v>60</v>
          </cell>
          <cell r="CF370">
            <v>50</v>
          </cell>
          <cell r="CG370">
            <v>155</v>
          </cell>
          <cell r="CH370">
            <v>290</v>
          </cell>
          <cell r="CI370">
            <v>220</v>
          </cell>
          <cell r="CJ370">
            <v>300</v>
          </cell>
          <cell r="CK370">
            <v>290</v>
          </cell>
          <cell r="CL370">
            <v>245</v>
          </cell>
          <cell r="CM370">
            <v>230</v>
          </cell>
          <cell r="CN370">
            <v>280</v>
          </cell>
          <cell r="CO370">
            <v>235</v>
          </cell>
          <cell r="CP370">
            <v>240</v>
          </cell>
          <cell r="CQ370">
            <v>750</v>
          </cell>
          <cell r="CR370">
            <v>1025</v>
          </cell>
          <cell r="CS370">
            <v>1045</v>
          </cell>
          <cell r="CT370">
            <v>4075</v>
          </cell>
          <cell r="CU370">
            <v>4175</v>
          </cell>
          <cell r="CV370">
            <v>3530</v>
          </cell>
          <cell r="CW370">
            <v>4893</v>
          </cell>
          <cell r="CX370">
            <v>1715</v>
          </cell>
          <cell r="CY370">
            <v>1965</v>
          </cell>
          <cell r="CZ370">
            <v>2217</v>
          </cell>
          <cell r="DA370">
            <v>2810</v>
          </cell>
          <cell r="DB370">
            <v>1460</v>
          </cell>
          <cell r="DC370">
            <v>2840</v>
          </cell>
          <cell r="DD370">
            <v>1860</v>
          </cell>
          <cell r="DE370" t="str">
            <v>ACTIVO</v>
          </cell>
          <cell r="DF370" t="str">
            <v>A</v>
          </cell>
          <cell r="DH370">
            <v>1475.8</v>
          </cell>
          <cell r="DI370">
            <v>245.96666666666667</v>
          </cell>
        </row>
        <row r="371">
          <cell r="B371">
            <v>107147</v>
          </cell>
          <cell r="C371" t="str">
            <v>MANJAR GRADO 3 LANGER</v>
          </cell>
          <cell r="D371">
            <v>7584</v>
          </cell>
          <cell r="E371">
            <v>4596</v>
          </cell>
          <cell r="F371">
            <v>5856</v>
          </cell>
          <cell r="G371">
            <v>5484</v>
          </cell>
          <cell r="H371">
            <v>7224</v>
          </cell>
          <cell r="I371">
            <v>5532</v>
          </cell>
          <cell r="J371">
            <v>5808</v>
          </cell>
          <cell r="K371">
            <v>3624</v>
          </cell>
          <cell r="L371">
            <v>7926</v>
          </cell>
          <cell r="M371">
            <v>4764</v>
          </cell>
          <cell r="N371">
            <v>4536</v>
          </cell>
          <cell r="O371">
            <v>2556</v>
          </cell>
          <cell r="P371">
            <v>5304</v>
          </cell>
          <cell r="Q371">
            <v>6528</v>
          </cell>
          <cell r="R371">
            <v>4408</v>
          </cell>
          <cell r="S371">
            <v>5952</v>
          </cell>
          <cell r="T371">
            <v>4752</v>
          </cell>
          <cell r="U371">
            <v>5208</v>
          </cell>
          <cell r="V371">
            <v>7008</v>
          </cell>
          <cell r="W371">
            <v>3036</v>
          </cell>
          <cell r="X371">
            <v>4536</v>
          </cell>
          <cell r="Y371">
            <v>5544</v>
          </cell>
          <cell r="Z371">
            <v>3624</v>
          </cell>
          <cell r="AA371">
            <v>3240</v>
          </cell>
          <cell r="AB371">
            <v>5472</v>
          </cell>
          <cell r="AC371">
            <v>864</v>
          </cell>
          <cell r="AD371">
            <v>984</v>
          </cell>
          <cell r="AE371">
            <v>3144</v>
          </cell>
          <cell r="AF371">
            <v>2232</v>
          </cell>
          <cell r="AG371">
            <v>2736</v>
          </cell>
          <cell r="AH371">
            <v>2748</v>
          </cell>
          <cell r="AI371">
            <v>6456</v>
          </cell>
          <cell r="AJ371">
            <v>2700</v>
          </cell>
          <cell r="AK371">
            <v>3780</v>
          </cell>
          <cell r="AL371">
            <v>3852</v>
          </cell>
          <cell r="AM371">
            <v>3492</v>
          </cell>
          <cell r="AN371">
            <v>1776</v>
          </cell>
          <cell r="AO371">
            <v>3540</v>
          </cell>
          <cell r="AP371">
            <v>3000</v>
          </cell>
          <cell r="AQ371">
            <v>4176</v>
          </cell>
          <cell r="AR371">
            <v>5244</v>
          </cell>
          <cell r="AS371">
            <v>5484</v>
          </cell>
          <cell r="AT371">
            <v>4746</v>
          </cell>
          <cell r="AU371">
            <v>4512</v>
          </cell>
          <cell r="AV371">
            <v>3192</v>
          </cell>
          <cell r="AW371">
            <v>4056</v>
          </cell>
          <cell r="AX371">
            <v>3828</v>
          </cell>
          <cell r="AY371">
            <v>4638</v>
          </cell>
          <cell r="AZ371">
            <v>4596</v>
          </cell>
          <cell r="BA371">
            <v>5100</v>
          </cell>
          <cell r="BB371">
            <v>3120</v>
          </cell>
          <cell r="BC371">
            <v>5412</v>
          </cell>
          <cell r="BD371">
            <v>3609</v>
          </cell>
          <cell r="BE371">
            <v>3468</v>
          </cell>
          <cell r="BF371">
            <v>2220</v>
          </cell>
          <cell r="BG371">
            <v>3852</v>
          </cell>
          <cell r="BH371">
            <v>6852</v>
          </cell>
          <cell r="BI371">
            <v>5220</v>
          </cell>
          <cell r="BJ371">
            <v>5376</v>
          </cell>
          <cell r="BK371">
            <v>3612</v>
          </cell>
          <cell r="BL371">
            <v>5352</v>
          </cell>
          <cell r="BM371">
            <v>5868</v>
          </cell>
          <cell r="BN371">
            <v>2376</v>
          </cell>
          <cell r="BO371">
            <v>2880</v>
          </cell>
          <cell r="BP371">
            <v>1188</v>
          </cell>
          <cell r="BQ371">
            <v>4092</v>
          </cell>
          <cell r="BR371">
            <v>2376</v>
          </cell>
          <cell r="BS371">
            <v>3480</v>
          </cell>
          <cell r="BT371">
            <v>2808</v>
          </cell>
          <cell r="BU371">
            <v>2724</v>
          </cell>
          <cell r="BV371">
            <v>2328</v>
          </cell>
          <cell r="BW371">
            <v>1992</v>
          </cell>
          <cell r="BX371">
            <v>2472</v>
          </cell>
          <cell r="BY371">
            <v>3324</v>
          </cell>
          <cell r="BZ371">
            <v>3456</v>
          </cell>
          <cell r="CA371">
            <v>1704</v>
          </cell>
          <cell r="CB371">
            <v>2484</v>
          </cell>
          <cell r="CC371">
            <v>2760</v>
          </cell>
          <cell r="CD371">
            <v>1692</v>
          </cell>
          <cell r="CE371">
            <v>1357</v>
          </cell>
          <cell r="CF371">
            <v>516</v>
          </cell>
          <cell r="CG371">
            <v>2868</v>
          </cell>
          <cell r="CH371">
            <v>3324</v>
          </cell>
          <cell r="CI371">
            <v>2664</v>
          </cell>
          <cell r="CJ371">
            <v>2844</v>
          </cell>
          <cell r="CK371">
            <v>2184</v>
          </cell>
          <cell r="CL371">
            <v>3180</v>
          </cell>
          <cell r="CM371">
            <v>4200</v>
          </cell>
          <cell r="CN371">
            <v>3120</v>
          </cell>
          <cell r="CO371">
            <v>3012</v>
          </cell>
          <cell r="CP371">
            <v>2772</v>
          </cell>
          <cell r="CQ371">
            <v>2520</v>
          </cell>
          <cell r="CR371">
            <v>3672</v>
          </cell>
          <cell r="CS371">
            <v>2400</v>
          </cell>
          <cell r="CT371">
            <v>4320</v>
          </cell>
          <cell r="CU371">
            <v>2676</v>
          </cell>
          <cell r="CV371">
            <v>3084</v>
          </cell>
          <cell r="CW371">
            <v>1824</v>
          </cell>
          <cell r="CX371">
            <v>1584</v>
          </cell>
          <cell r="CY371">
            <v>1476</v>
          </cell>
          <cell r="CZ371">
            <v>1128</v>
          </cell>
          <cell r="DA371">
            <v>3084</v>
          </cell>
          <cell r="DB371">
            <v>2088</v>
          </cell>
          <cell r="DC371">
            <v>2280</v>
          </cell>
          <cell r="DD371">
            <v>2484</v>
          </cell>
          <cell r="DE371" t="str">
            <v>ACTIVO</v>
          </cell>
          <cell r="DF371" t="str">
            <v>A</v>
          </cell>
          <cell r="DH371">
            <v>2612.16</v>
          </cell>
          <cell r="DI371">
            <v>435.35999999999996</v>
          </cell>
        </row>
        <row r="372">
          <cell r="B372">
            <v>107400</v>
          </cell>
          <cell r="C372" t="str">
            <v>MANJAR ARTESANAL DAILY</v>
          </cell>
          <cell r="I372">
            <v>100</v>
          </cell>
          <cell r="DE372" t="str">
            <v>SIN USO</v>
          </cell>
          <cell r="DF372" t="str">
            <v/>
          </cell>
          <cell r="DH372">
            <v>0</v>
          </cell>
          <cell r="DI372">
            <v>0</v>
          </cell>
        </row>
        <row r="373">
          <cell r="D373">
            <v>8149</v>
          </cell>
          <cell r="E373">
            <v>5166</v>
          </cell>
          <cell r="F373">
            <v>6366</v>
          </cell>
          <cell r="G373">
            <v>6014</v>
          </cell>
          <cell r="H373">
            <v>12534</v>
          </cell>
          <cell r="I373">
            <v>6392</v>
          </cell>
          <cell r="J373">
            <v>6253</v>
          </cell>
          <cell r="K373">
            <v>4224</v>
          </cell>
          <cell r="L373">
            <v>8651</v>
          </cell>
          <cell r="M373">
            <v>5529</v>
          </cell>
          <cell r="N373">
            <v>5041</v>
          </cell>
          <cell r="O373">
            <v>2606</v>
          </cell>
          <cell r="P373">
            <v>5999</v>
          </cell>
          <cell r="Q373">
            <v>7097</v>
          </cell>
          <cell r="R373">
            <v>5048</v>
          </cell>
          <cell r="S373">
            <v>6277</v>
          </cell>
          <cell r="T373">
            <v>5675</v>
          </cell>
          <cell r="U373">
            <v>5678</v>
          </cell>
          <cell r="V373">
            <v>7503</v>
          </cell>
          <cell r="W373">
            <v>3406</v>
          </cell>
          <cell r="X373">
            <v>4851</v>
          </cell>
          <cell r="Y373">
            <v>5759</v>
          </cell>
          <cell r="Z373">
            <v>4014</v>
          </cell>
          <cell r="AA373">
            <v>3570</v>
          </cell>
          <cell r="AB373">
            <v>5872</v>
          </cell>
          <cell r="AC373">
            <v>1184</v>
          </cell>
          <cell r="AD373">
            <v>1089</v>
          </cell>
          <cell r="AE373">
            <v>3329</v>
          </cell>
          <cell r="AF373">
            <v>2662</v>
          </cell>
          <cell r="AG373">
            <v>3098</v>
          </cell>
          <cell r="AH373">
            <v>3048</v>
          </cell>
          <cell r="AI373">
            <v>7036</v>
          </cell>
          <cell r="AJ373">
            <v>3320</v>
          </cell>
          <cell r="AK373">
            <v>4080</v>
          </cell>
          <cell r="AL373">
            <v>4382</v>
          </cell>
          <cell r="AM373">
            <v>4052</v>
          </cell>
          <cell r="AN373">
            <v>2803</v>
          </cell>
          <cell r="AO373">
            <v>4315</v>
          </cell>
          <cell r="AP373">
            <v>3820</v>
          </cell>
          <cell r="AQ373">
            <v>4701</v>
          </cell>
          <cell r="AR373">
            <v>6379</v>
          </cell>
          <cell r="AS373">
            <v>6399</v>
          </cell>
          <cell r="AT373">
            <v>9376</v>
          </cell>
          <cell r="AU373">
            <v>7087</v>
          </cell>
          <cell r="AV373">
            <v>4352</v>
          </cell>
          <cell r="AW373">
            <v>5141</v>
          </cell>
          <cell r="AX373">
            <v>4778</v>
          </cell>
          <cell r="AY373">
            <v>5383</v>
          </cell>
          <cell r="AZ373">
            <v>5561</v>
          </cell>
          <cell r="BA373">
            <v>6740</v>
          </cell>
          <cell r="BB373">
            <v>3615</v>
          </cell>
          <cell r="BC373">
            <v>6762</v>
          </cell>
          <cell r="BD373">
            <v>4949</v>
          </cell>
          <cell r="BE373">
            <v>7863</v>
          </cell>
          <cell r="BF373">
            <v>4610</v>
          </cell>
          <cell r="BG373">
            <v>4927</v>
          </cell>
          <cell r="BH373">
            <v>7042</v>
          </cell>
          <cell r="BI373">
            <v>5390</v>
          </cell>
          <cell r="BJ373">
            <v>6381</v>
          </cell>
          <cell r="BK373">
            <v>5282</v>
          </cell>
          <cell r="BL373">
            <v>7717</v>
          </cell>
          <cell r="BM373">
            <v>6078</v>
          </cell>
          <cell r="BN373">
            <v>3696</v>
          </cell>
          <cell r="BO373">
            <v>3050</v>
          </cell>
          <cell r="BP373">
            <v>1208</v>
          </cell>
          <cell r="BQ373">
            <v>5588</v>
          </cell>
          <cell r="BR373">
            <v>2531</v>
          </cell>
          <cell r="BS373">
            <v>3965</v>
          </cell>
          <cell r="BT373">
            <v>2963</v>
          </cell>
          <cell r="BU373">
            <v>2964</v>
          </cell>
          <cell r="BV373">
            <v>2643</v>
          </cell>
          <cell r="BW373">
            <v>2202</v>
          </cell>
          <cell r="BX373">
            <v>2597</v>
          </cell>
          <cell r="BY373">
            <v>3484</v>
          </cell>
          <cell r="BZ373">
            <v>3626</v>
          </cell>
          <cell r="CA373">
            <v>2874</v>
          </cell>
          <cell r="CB373">
            <v>2614</v>
          </cell>
          <cell r="CC373">
            <v>2990</v>
          </cell>
          <cell r="CD373">
            <v>2507</v>
          </cell>
          <cell r="CE373">
            <v>1417</v>
          </cell>
          <cell r="CF373">
            <v>566</v>
          </cell>
          <cell r="CG373">
            <v>3023</v>
          </cell>
          <cell r="CH373">
            <v>3614</v>
          </cell>
          <cell r="CI373">
            <v>2884</v>
          </cell>
          <cell r="CJ373">
            <v>3144</v>
          </cell>
          <cell r="CK373">
            <v>2474</v>
          </cell>
          <cell r="CL373">
            <v>3425</v>
          </cell>
          <cell r="CM373">
            <v>4430</v>
          </cell>
          <cell r="CN373">
            <v>3400</v>
          </cell>
          <cell r="CO373">
            <v>3247</v>
          </cell>
          <cell r="CP373">
            <v>3012</v>
          </cell>
          <cell r="CQ373">
            <v>3270</v>
          </cell>
          <cell r="CR373">
            <v>4697</v>
          </cell>
          <cell r="CS373">
            <v>3445</v>
          </cell>
          <cell r="CT373">
            <v>8395</v>
          </cell>
          <cell r="CU373">
            <v>6851</v>
          </cell>
          <cell r="CV373">
            <v>6614</v>
          </cell>
          <cell r="CW373">
            <v>6717</v>
          </cell>
          <cell r="CX373">
            <v>3299</v>
          </cell>
          <cell r="CY373">
            <v>3441</v>
          </cell>
          <cell r="CZ373">
            <v>3345</v>
          </cell>
          <cell r="DA373">
            <v>5894</v>
          </cell>
          <cell r="DB373">
            <v>3548</v>
          </cell>
          <cell r="DC373">
            <v>5120</v>
          </cell>
          <cell r="DD373">
            <v>4344</v>
          </cell>
          <cell r="DE373" t="str">
            <v>ACTIVO</v>
          </cell>
          <cell r="DF373" t="str">
            <v/>
          </cell>
          <cell r="DH373">
            <v>4087.96</v>
          </cell>
          <cell r="DI373">
            <v>681.32666666666671</v>
          </cell>
        </row>
        <row r="374">
          <cell r="B374">
            <v>405499</v>
          </cell>
          <cell r="C374" t="str">
            <v>MANTEQUILLA CON SAL SOPROLE</v>
          </cell>
          <cell r="AK374">
            <v>95</v>
          </cell>
          <cell r="AL374">
            <v>85</v>
          </cell>
          <cell r="AO374">
            <v>25</v>
          </cell>
          <cell r="AQ374">
            <v>21</v>
          </cell>
          <cell r="AR374">
            <v>20</v>
          </cell>
          <cell r="AV374">
            <v>20</v>
          </cell>
          <cell r="BC374">
            <v>40</v>
          </cell>
          <cell r="BU374">
            <v>40</v>
          </cell>
          <cell r="DE374" t="str">
            <v>ACTIVO</v>
          </cell>
          <cell r="DF374" t="str">
            <v>C</v>
          </cell>
          <cell r="DH374">
            <v>0</v>
          </cell>
          <cell r="DI374">
            <v>0</v>
          </cell>
        </row>
        <row r="375">
          <cell r="B375">
            <v>405638</v>
          </cell>
          <cell r="C375" t="str">
            <v>MANTEQUILLA SIN SAL WATT</v>
          </cell>
          <cell r="CB375">
            <v>20</v>
          </cell>
          <cell r="CC375">
            <v>20</v>
          </cell>
          <cell r="CV375">
            <v>15</v>
          </cell>
          <cell r="DE375" t="str">
            <v>ACTIVO</v>
          </cell>
          <cell r="DF375" t="str">
            <v>C</v>
          </cell>
          <cell r="DH375">
            <v>15</v>
          </cell>
          <cell r="DI375">
            <v>2.5</v>
          </cell>
        </row>
        <row r="376">
          <cell r="B376">
            <v>405745</v>
          </cell>
          <cell r="C376" t="str">
            <v>MANTEQUILLA SIN SAL ALCA</v>
          </cell>
          <cell r="CW376">
            <v>120</v>
          </cell>
          <cell r="CX376">
            <v>120</v>
          </cell>
          <cell r="CY376">
            <v>120</v>
          </cell>
          <cell r="CZ376">
            <v>90</v>
          </cell>
          <cell r="DA376">
            <v>135</v>
          </cell>
          <cell r="DB376">
            <v>200</v>
          </cell>
          <cell r="DC376">
            <v>115</v>
          </cell>
          <cell r="DD376">
            <v>165</v>
          </cell>
          <cell r="DE376" t="str">
            <v>ACTIVO</v>
          </cell>
          <cell r="DF376" t="str">
            <v/>
          </cell>
          <cell r="DH376">
            <v>133.125</v>
          </cell>
          <cell r="DI376">
            <v>22.1875</v>
          </cell>
        </row>
        <row r="377">
          <cell r="B377">
            <v>103006</v>
          </cell>
          <cell r="C377" t="str">
            <v>MARGARINA HORNITO DIWATTS</v>
          </cell>
          <cell r="D377">
            <v>760</v>
          </cell>
          <cell r="E377">
            <v>960</v>
          </cell>
          <cell r="F377">
            <v>840</v>
          </cell>
          <cell r="G377">
            <v>580</v>
          </cell>
          <cell r="H377">
            <v>1060</v>
          </cell>
          <cell r="I377">
            <v>720</v>
          </cell>
          <cell r="J377">
            <v>660</v>
          </cell>
          <cell r="K377">
            <v>860</v>
          </cell>
          <cell r="L377">
            <v>1720</v>
          </cell>
          <cell r="M377">
            <v>820</v>
          </cell>
          <cell r="N377">
            <v>1120</v>
          </cell>
          <cell r="O377">
            <v>400</v>
          </cell>
          <cell r="P377">
            <v>900.32</v>
          </cell>
          <cell r="Q377">
            <v>1140</v>
          </cell>
          <cell r="R377">
            <v>1880</v>
          </cell>
          <cell r="S377">
            <v>1180</v>
          </cell>
          <cell r="T377">
            <v>820</v>
          </cell>
          <cell r="U377">
            <v>1200</v>
          </cell>
          <cell r="V377">
            <v>1260</v>
          </cell>
          <cell r="W377">
            <v>640</v>
          </cell>
          <cell r="X377">
            <v>2100</v>
          </cell>
          <cell r="Y377">
            <v>1600</v>
          </cell>
          <cell r="Z377">
            <v>1120</v>
          </cell>
          <cell r="AA377">
            <v>40</v>
          </cell>
          <cell r="AB377">
            <v>980</v>
          </cell>
          <cell r="AC377">
            <v>460</v>
          </cell>
          <cell r="AD377">
            <v>320</v>
          </cell>
          <cell r="AE377">
            <v>420</v>
          </cell>
          <cell r="AF377">
            <v>1580</v>
          </cell>
          <cell r="AG377">
            <v>1000</v>
          </cell>
          <cell r="AH377">
            <v>840</v>
          </cell>
          <cell r="AI377">
            <v>1420</v>
          </cell>
          <cell r="AJ377">
            <v>680</v>
          </cell>
          <cell r="AK377">
            <v>920</v>
          </cell>
          <cell r="AL377">
            <v>860</v>
          </cell>
          <cell r="AM377">
            <v>760</v>
          </cell>
          <cell r="AN377">
            <v>720</v>
          </cell>
          <cell r="AO377">
            <v>1100</v>
          </cell>
          <cell r="AP377">
            <v>850</v>
          </cell>
          <cell r="AQ377">
            <v>750</v>
          </cell>
          <cell r="AR377">
            <v>1620</v>
          </cell>
          <cell r="AS377">
            <v>920</v>
          </cell>
          <cell r="AT377">
            <v>820</v>
          </cell>
          <cell r="AU377">
            <v>940</v>
          </cell>
          <cell r="AV377">
            <v>1100</v>
          </cell>
          <cell r="AW377">
            <v>1100</v>
          </cell>
          <cell r="AX377">
            <v>1120</v>
          </cell>
          <cell r="AY377">
            <v>740</v>
          </cell>
          <cell r="AZ377">
            <v>920</v>
          </cell>
          <cell r="BA377">
            <v>1680</v>
          </cell>
          <cell r="BB377">
            <v>980</v>
          </cell>
          <cell r="BC377">
            <v>1260</v>
          </cell>
          <cell r="BD377">
            <v>835</v>
          </cell>
          <cell r="BE377">
            <v>1020</v>
          </cell>
          <cell r="BF377">
            <v>1135</v>
          </cell>
          <cell r="BG377">
            <v>1025</v>
          </cell>
          <cell r="BH377">
            <v>1360</v>
          </cell>
          <cell r="BI377">
            <v>1310</v>
          </cell>
          <cell r="BJ377">
            <v>1320</v>
          </cell>
          <cell r="BK377">
            <v>920</v>
          </cell>
          <cell r="BL377">
            <v>1320</v>
          </cell>
          <cell r="BM377">
            <v>1625</v>
          </cell>
          <cell r="BN377">
            <v>1100</v>
          </cell>
          <cell r="BO377">
            <v>960</v>
          </cell>
          <cell r="BP377">
            <v>640</v>
          </cell>
          <cell r="BQ377">
            <v>1320</v>
          </cell>
          <cell r="BR377">
            <v>760</v>
          </cell>
          <cell r="BS377">
            <v>1485</v>
          </cell>
          <cell r="BT377">
            <v>1355</v>
          </cell>
          <cell r="BU377">
            <v>1040</v>
          </cell>
          <cell r="BV377">
            <v>980</v>
          </cell>
          <cell r="BW377">
            <v>600</v>
          </cell>
          <cell r="BX377">
            <v>580</v>
          </cell>
          <cell r="BY377">
            <v>740</v>
          </cell>
          <cell r="BZ377">
            <v>915</v>
          </cell>
          <cell r="CA377">
            <v>1060</v>
          </cell>
          <cell r="CB377">
            <v>200</v>
          </cell>
          <cell r="CC377">
            <v>620</v>
          </cell>
          <cell r="CD377">
            <v>460</v>
          </cell>
          <cell r="CE377">
            <v>320</v>
          </cell>
          <cell r="CF377">
            <v>180</v>
          </cell>
          <cell r="CG377">
            <v>860</v>
          </cell>
          <cell r="CH377">
            <v>760</v>
          </cell>
          <cell r="CI377">
            <v>900</v>
          </cell>
          <cell r="CJ377">
            <v>640</v>
          </cell>
          <cell r="DE377" t="str">
            <v>ACTIVO</v>
          </cell>
          <cell r="DF377" t="str">
            <v>A</v>
          </cell>
          <cell r="DH377">
            <v>668</v>
          </cell>
          <cell r="DI377">
            <v>111.33333333333333</v>
          </cell>
        </row>
        <row r="378">
          <cell r="B378">
            <v>103007</v>
          </cell>
          <cell r="C378" t="str">
            <v>MARGARINA HORNITO CERRILLOS</v>
          </cell>
          <cell r="D378">
            <v>835</v>
          </cell>
          <cell r="E378">
            <v>980</v>
          </cell>
          <cell r="F378">
            <v>1245</v>
          </cell>
          <cell r="G378">
            <v>1010</v>
          </cell>
          <cell r="H378">
            <v>1210</v>
          </cell>
          <cell r="I378">
            <v>1105</v>
          </cell>
          <cell r="J378">
            <v>1225</v>
          </cell>
          <cell r="K378">
            <v>835</v>
          </cell>
          <cell r="L378">
            <v>660</v>
          </cell>
          <cell r="M378">
            <v>1225</v>
          </cell>
          <cell r="N378">
            <v>1085</v>
          </cell>
          <cell r="O378">
            <v>605</v>
          </cell>
          <cell r="P378">
            <v>995</v>
          </cell>
          <cell r="Q378">
            <v>980</v>
          </cell>
          <cell r="R378">
            <v>785</v>
          </cell>
          <cell r="S378">
            <v>1640</v>
          </cell>
          <cell r="T378">
            <v>1005</v>
          </cell>
          <cell r="U378">
            <v>985</v>
          </cell>
          <cell r="V378">
            <v>1095</v>
          </cell>
          <cell r="W378">
            <v>885</v>
          </cell>
          <cell r="X378">
            <v>805</v>
          </cell>
          <cell r="Y378">
            <v>1365</v>
          </cell>
          <cell r="Z378">
            <v>415</v>
          </cell>
          <cell r="AA378">
            <v>880</v>
          </cell>
          <cell r="AB378">
            <v>770</v>
          </cell>
          <cell r="AC378">
            <v>475</v>
          </cell>
          <cell r="AD378">
            <v>295</v>
          </cell>
          <cell r="AE378">
            <v>75</v>
          </cell>
          <cell r="AF378">
            <v>1125</v>
          </cell>
          <cell r="AG378">
            <v>945</v>
          </cell>
          <cell r="AH378">
            <v>1095</v>
          </cell>
          <cell r="AI378">
            <v>1265</v>
          </cell>
          <cell r="AJ378">
            <v>865</v>
          </cell>
          <cell r="AK378">
            <v>620</v>
          </cell>
          <cell r="AL378">
            <v>505</v>
          </cell>
          <cell r="AM378">
            <v>705</v>
          </cell>
          <cell r="AN378">
            <v>815</v>
          </cell>
          <cell r="AO378">
            <v>775</v>
          </cell>
          <cell r="AP378">
            <v>715</v>
          </cell>
          <cell r="AQ378">
            <v>1120</v>
          </cell>
          <cell r="AR378">
            <v>1045</v>
          </cell>
          <cell r="AS378">
            <v>1025</v>
          </cell>
          <cell r="AT378">
            <v>1190</v>
          </cell>
          <cell r="AU378">
            <v>1070</v>
          </cell>
          <cell r="AV378">
            <v>1490</v>
          </cell>
          <cell r="AW378">
            <v>1185</v>
          </cell>
          <cell r="AX378">
            <v>1585</v>
          </cell>
          <cell r="AY378">
            <v>855</v>
          </cell>
          <cell r="AZ378">
            <v>965</v>
          </cell>
          <cell r="BA378">
            <v>925</v>
          </cell>
          <cell r="BB378">
            <v>825</v>
          </cell>
          <cell r="BC378">
            <v>1170</v>
          </cell>
          <cell r="BD378">
            <v>1085</v>
          </cell>
          <cell r="BE378">
            <v>1180</v>
          </cell>
          <cell r="BF378">
            <v>905</v>
          </cell>
          <cell r="BG378">
            <v>885</v>
          </cell>
          <cell r="BH378">
            <v>1215</v>
          </cell>
          <cell r="BI378">
            <v>1030</v>
          </cell>
          <cell r="BJ378">
            <v>1065</v>
          </cell>
          <cell r="BK378">
            <v>770</v>
          </cell>
          <cell r="BL378">
            <v>835</v>
          </cell>
          <cell r="BM378">
            <v>605</v>
          </cell>
          <cell r="BN378">
            <v>910</v>
          </cell>
          <cell r="BO378">
            <v>960</v>
          </cell>
          <cell r="BP378">
            <v>415</v>
          </cell>
          <cell r="BQ378">
            <v>1115</v>
          </cell>
          <cell r="BR378">
            <v>680</v>
          </cell>
          <cell r="BS378">
            <v>810</v>
          </cell>
          <cell r="BT378">
            <v>525</v>
          </cell>
          <cell r="BU378">
            <v>875</v>
          </cell>
          <cell r="BV378">
            <v>715</v>
          </cell>
          <cell r="BW378">
            <v>830</v>
          </cell>
          <cell r="BX378">
            <v>955</v>
          </cell>
          <cell r="BY378">
            <v>585</v>
          </cell>
          <cell r="BZ378">
            <v>945</v>
          </cell>
          <cell r="CA378">
            <v>790</v>
          </cell>
          <cell r="CB378">
            <v>195</v>
          </cell>
          <cell r="CC378">
            <v>635</v>
          </cell>
          <cell r="CD378">
            <v>495</v>
          </cell>
          <cell r="CE378">
            <v>385</v>
          </cell>
          <cell r="CF378">
            <v>270</v>
          </cell>
          <cell r="CG378">
            <v>600</v>
          </cell>
          <cell r="CH378">
            <v>1157</v>
          </cell>
          <cell r="CI378">
            <v>905</v>
          </cell>
          <cell r="CJ378">
            <v>940</v>
          </cell>
          <cell r="CK378">
            <v>2140</v>
          </cell>
          <cell r="CL378">
            <v>1190</v>
          </cell>
          <cell r="CM378">
            <v>1690</v>
          </cell>
          <cell r="CN378">
            <v>1865</v>
          </cell>
          <cell r="CO378">
            <v>1415</v>
          </cell>
          <cell r="CP378">
            <v>1065</v>
          </cell>
          <cell r="CQ378">
            <v>1010</v>
          </cell>
          <cell r="CR378">
            <v>1035</v>
          </cell>
          <cell r="CS378">
            <v>670</v>
          </cell>
          <cell r="CT378">
            <v>1495</v>
          </cell>
          <cell r="CU378">
            <v>1450</v>
          </cell>
          <cell r="CV378">
            <v>1870</v>
          </cell>
          <cell r="CW378">
            <v>1650</v>
          </cell>
          <cell r="CX378">
            <v>1555</v>
          </cell>
          <cell r="CY378">
            <v>1465</v>
          </cell>
          <cell r="CZ378">
            <v>805</v>
          </cell>
          <cell r="DA378">
            <v>1115</v>
          </cell>
          <cell r="DB378">
            <v>1045</v>
          </cell>
          <cell r="DC378">
            <v>875</v>
          </cell>
          <cell r="DD378">
            <v>1235</v>
          </cell>
          <cell r="DE378" t="str">
            <v>ACTIVO</v>
          </cell>
          <cell r="DF378" t="str">
            <v>A</v>
          </cell>
          <cell r="DH378">
            <v>1220.48</v>
          </cell>
          <cell r="DI378">
            <v>203.41333333333333</v>
          </cell>
        </row>
        <row r="379">
          <cell r="B379">
            <v>107331</v>
          </cell>
          <cell r="C379" t="str">
            <v>MANTEQUILLA WATTS</v>
          </cell>
          <cell r="F379">
            <v>60</v>
          </cell>
          <cell r="G379">
            <v>60</v>
          </cell>
          <cell r="H379">
            <v>80</v>
          </cell>
          <cell r="I379">
            <v>80</v>
          </cell>
          <cell r="J379">
            <v>125</v>
          </cell>
          <cell r="K379">
            <v>205</v>
          </cell>
          <cell r="L379">
            <v>460</v>
          </cell>
          <cell r="M379">
            <v>300</v>
          </cell>
          <cell r="N379">
            <v>180</v>
          </cell>
          <cell r="O379">
            <v>40</v>
          </cell>
          <cell r="P379">
            <v>180</v>
          </cell>
          <cell r="Q379">
            <v>180</v>
          </cell>
          <cell r="R379">
            <v>200</v>
          </cell>
          <cell r="S379">
            <v>200</v>
          </cell>
          <cell r="T379">
            <v>100</v>
          </cell>
          <cell r="U379">
            <v>140</v>
          </cell>
          <cell r="V379">
            <v>100</v>
          </cell>
          <cell r="W379">
            <v>100</v>
          </cell>
          <cell r="X379">
            <v>160</v>
          </cell>
          <cell r="Y379">
            <v>160</v>
          </cell>
          <cell r="Z379">
            <v>120</v>
          </cell>
          <cell r="AA379">
            <v>120</v>
          </cell>
          <cell r="AB379">
            <v>180</v>
          </cell>
          <cell r="AC379">
            <v>80</v>
          </cell>
          <cell r="AD379">
            <v>40</v>
          </cell>
          <cell r="AE379">
            <v>40</v>
          </cell>
          <cell r="AF379">
            <v>100</v>
          </cell>
          <cell r="AG379">
            <v>60</v>
          </cell>
          <cell r="AH379">
            <v>100</v>
          </cell>
          <cell r="AI379">
            <v>240</v>
          </cell>
          <cell r="AJ379">
            <v>140</v>
          </cell>
          <cell r="AK379">
            <v>45</v>
          </cell>
          <cell r="AL379">
            <v>20</v>
          </cell>
          <cell r="AM379">
            <v>50</v>
          </cell>
          <cell r="AN379">
            <v>60</v>
          </cell>
          <cell r="AO379">
            <v>60</v>
          </cell>
          <cell r="AP379">
            <v>60</v>
          </cell>
          <cell r="AQ379">
            <v>60</v>
          </cell>
          <cell r="AR379">
            <v>100</v>
          </cell>
          <cell r="AS379">
            <v>40</v>
          </cell>
          <cell r="AT379">
            <v>120</v>
          </cell>
          <cell r="AU379">
            <v>100</v>
          </cell>
          <cell r="AV379">
            <v>20</v>
          </cell>
          <cell r="AW379">
            <v>80</v>
          </cell>
          <cell r="AX379">
            <v>160</v>
          </cell>
          <cell r="AY379">
            <v>80</v>
          </cell>
          <cell r="AZ379">
            <v>140</v>
          </cell>
          <cell r="BA379">
            <v>160</v>
          </cell>
          <cell r="BB379">
            <v>240</v>
          </cell>
          <cell r="BC379">
            <v>120</v>
          </cell>
          <cell r="BD379">
            <v>200</v>
          </cell>
          <cell r="BE379">
            <v>100</v>
          </cell>
          <cell r="BF379">
            <v>180</v>
          </cell>
          <cell r="BG379">
            <v>200</v>
          </cell>
          <cell r="BH379">
            <v>180</v>
          </cell>
          <cell r="BI379">
            <v>100</v>
          </cell>
          <cell r="BJ379">
            <v>120</v>
          </cell>
          <cell r="BK379">
            <v>160</v>
          </cell>
          <cell r="BL379">
            <v>220</v>
          </cell>
          <cell r="BM379">
            <v>200</v>
          </cell>
          <cell r="BN379">
            <v>280</v>
          </cell>
          <cell r="BO379">
            <v>180</v>
          </cell>
          <cell r="BP379">
            <v>40</v>
          </cell>
          <cell r="BQ379">
            <v>220</v>
          </cell>
          <cell r="BR379">
            <v>220</v>
          </cell>
          <cell r="BS379">
            <v>180</v>
          </cell>
          <cell r="BT379">
            <v>60</v>
          </cell>
          <cell r="BU379">
            <v>120</v>
          </cell>
          <cell r="BV379">
            <v>100</v>
          </cell>
          <cell r="BW379">
            <v>120</v>
          </cell>
          <cell r="BX379">
            <v>80</v>
          </cell>
          <cell r="BY379">
            <v>60</v>
          </cell>
          <cell r="BZ379">
            <v>120</v>
          </cell>
          <cell r="CA379">
            <v>180</v>
          </cell>
          <cell r="CB379">
            <v>60</v>
          </cell>
          <cell r="CC379">
            <v>100</v>
          </cell>
          <cell r="CD379">
            <v>100</v>
          </cell>
          <cell r="CE379">
            <v>60</v>
          </cell>
          <cell r="CG379">
            <v>100</v>
          </cell>
          <cell r="CH379">
            <v>61</v>
          </cell>
          <cell r="CI379">
            <v>100</v>
          </cell>
          <cell r="CJ379">
            <v>80</v>
          </cell>
          <cell r="CK379">
            <v>60</v>
          </cell>
          <cell r="CL379">
            <v>60</v>
          </cell>
          <cell r="CM379">
            <v>80</v>
          </cell>
          <cell r="CN379">
            <v>80</v>
          </cell>
          <cell r="CO379">
            <v>80</v>
          </cell>
          <cell r="CP379">
            <v>100</v>
          </cell>
          <cell r="CQ379">
            <v>60</v>
          </cell>
          <cell r="CR379">
            <v>120</v>
          </cell>
          <cell r="CS379">
            <v>120</v>
          </cell>
          <cell r="CT379">
            <v>140</v>
          </cell>
          <cell r="CU379">
            <v>220</v>
          </cell>
          <cell r="CV379">
            <v>100</v>
          </cell>
          <cell r="CW379">
            <v>20</v>
          </cell>
          <cell r="CX379">
            <v>20</v>
          </cell>
          <cell r="DE379" t="str">
            <v>ACTIVO</v>
          </cell>
          <cell r="DF379" t="str">
            <v>B</v>
          </cell>
          <cell r="DH379">
            <v>88.944444444444443</v>
          </cell>
          <cell r="DI379">
            <v>14.824074074074074</v>
          </cell>
        </row>
        <row r="380">
          <cell r="B380">
            <v>405700</v>
          </cell>
          <cell r="C380" t="str">
            <v>MARGARINA MULTIPROPÓSITO HORNEO</v>
          </cell>
          <cell r="DD380">
            <v>890</v>
          </cell>
          <cell r="DE380" t="str">
            <v>ACTIVO</v>
          </cell>
          <cell r="DF380" t="str">
            <v/>
          </cell>
          <cell r="DH380">
            <v>890</v>
          </cell>
          <cell r="DI380">
            <v>148.33333333333334</v>
          </cell>
        </row>
        <row r="381">
          <cell r="D381">
            <v>1595</v>
          </cell>
          <cell r="E381">
            <v>1940</v>
          </cell>
          <cell r="F381">
            <v>2145</v>
          </cell>
          <cell r="G381">
            <v>1650</v>
          </cell>
          <cell r="H381">
            <v>2350</v>
          </cell>
          <cell r="I381">
            <v>1905</v>
          </cell>
          <cell r="J381">
            <v>2010</v>
          </cell>
          <cell r="K381">
            <v>1900</v>
          </cell>
          <cell r="L381">
            <v>2840</v>
          </cell>
          <cell r="M381">
            <v>2345</v>
          </cell>
          <cell r="N381">
            <v>2385</v>
          </cell>
          <cell r="O381">
            <v>1045</v>
          </cell>
          <cell r="P381">
            <v>2075.3200000000002</v>
          </cell>
          <cell r="Q381">
            <v>2300</v>
          </cell>
          <cell r="R381">
            <v>2865</v>
          </cell>
          <cell r="S381">
            <v>3020</v>
          </cell>
          <cell r="T381">
            <v>1925</v>
          </cell>
          <cell r="U381">
            <v>2325</v>
          </cell>
          <cell r="V381">
            <v>2455</v>
          </cell>
          <cell r="W381">
            <v>1625</v>
          </cell>
          <cell r="X381">
            <v>3065</v>
          </cell>
          <cell r="Y381">
            <v>3125</v>
          </cell>
          <cell r="Z381">
            <v>1655</v>
          </cell>
          <cell r="AA381">
            <v>1040</v>
          </cell>
          <cell r="AB381">
            <v>1930</v>
          </cell>
          <cell r="AC381">
            <v>1015</v>
          </cell>
          <cell r="AD381">
            <v>655</v>
          </cell>
          <cell r="AE381">
            <v>535</v>
          </cell>
          <cell r="AF381">
            <v>2805</v>
          </cell>
          <cell r="AG381">
            <v>2005</v>
          </cell>
          <cell r="AH381">
            <v>2035</v>
          </cell>
          <cell r="AI381">
            <v>2925</v>
          </cell>
          <cell r="AJ381">
            <v>1685</v>
          </cell>
          <cell r="AK381">
            <v>1680</v>
          </cell>
          <cell r="AL381">
            <v>1470</v>
          </cell>
          <cell r="AM381">
            <v>1515</v>
          </cell>
          <cell r="AN381">
            <v>1595</v>
          </cell>
          <cell r="AO381">
            <v>1960</v>
          </cell>
          <cell r="AP381">
            <v>1625</v>
          </cell>
          <cell r="AQ381">
            <v>1951</v>
          </cell>
          <cell r="AR381">
            <v>2785</v>
          </cell>
          <cell r="AS381">
            <v>1985</v>
          </cell>
          <cell r="AT381">
            <v>2130</v>
          </cell>
          <cell r="AU381">
            <v>2110</v>
          </cell>
          <cell r="AV381">
            <v>2630</v>
          </cell>
          <cell r="AW381">
            <v>2365</v>
          </cell>
          <cell r="AX381">
            <v>2865</v>
          </cell>
          <cell r="AY381">
            <v>1675</v>
          </cell>
          <cell r="AZ381">
            <v>2025</v>
          </cell>
          <cell r="BA381">
            <v>2765</v>
          </cell>
          <cell r="BB381">
            <v>2045</v>
          </cell>
          <cell r="BC381">
            <v>2590</v>
          </cell>
          <cell r="BD381">
            <v>2120</v>
          </cell>
          <cell r="BE381">
            <v>2300</v>
          </cell>
          <cell r="BF381">
            <v>2220</v>
          </cell>
          <cell r="BG381">
            <v>2110</v>
          </cell>
          <cell r="BH381">
            <v>2755</v>
          </cell>
          <cell r="BI381">
            <v>2440</v>
          </cell>
          <cell r="BJ381">
            <v>2505</v>
          </cell>
          <cell r="BK381">
            <v>1850</v>
          </cell>
          <cell r="BL381">
            <v>2375</v>
          </cell>
          <cell r="BM381">
            <v>2430</v>
          </cell>
          <cell r="BN381">
            <v>2290</v>
          </cell>
          <cell r="BO381">
            <v>2100</v>
          </cell>
          <cell r="BP381">
            <v>1095</v>
          </cell>
          <cell r="BQ381">
            <v>2655</v>
          </cell>
          <cell r="BR381">
            <v>1660</v>
          </cell>
          <cell r="BS381">
            <v>2475</v>
          </cell>
          <cell r="BT381">
            <v>1940</v>
          </cell>
          <cell r="BU381">
            <v>2075</v>
          </cell>
          <cell r="BV381">
            <v>1795</v>
          </cell>
          <cell r="BW381">
            <v>1550</v>
          </cell>
          <cell r="BX381">
            <v>1615</v>
          </cell>
          <cell r="BY381">
            <v>1385</v>
          </cell>
          <cell r="BZ381">
            <v>1980</v>
          </cell>
          <cell r="CA381">
            <v>2030</v>
          </cell>
          <cell r="CB381">
            <v>475</v>
          </cell>
          <cell r="CC381">
            <v>1375</v>
          </cell>
          <cell r="CD381">
            <v>1055</v>
          </cell>
          <cell r="CE381">
            <v>765</v>
          </cell>
          <cell r="CF381">
            <v>450</v>
          </cell>
          <cell r="CG381">
            <v>1560</v>
          </cell>
          <cell r="CH381">
            <v>1978</v>
          </cell>
          <cell r="CI381">
            <v>1905</v>
          </cell>
          <cell r="CJ381">
            <v>1660</v>
          </cell>
          <cell r="CK381">
            <v>2200</v>
          </cell>
          <cell r="CL381">
            <v>1250</v>
          </cell>
          <cell r="CM381">
            <v>1770</v>
          </cell>
          <cell r="CN381">
            <v>1945</v>
          </cell>
          <cell r="CO381">
            <v>1495</v>
          </cell>
          <cell r="CP381">
            <v>1165</v>
          </cell>
          <cell r="CQ381">
            <v>1070</v>
          </cell>
          <cell r="CR381">
            <v>1155</v>
          </cell>
          <cell r="CS381">
            <v>790</v>
          </cell>
          <cell r="CT381">
            <v>1635</v>
          </cell>
          <cell r="CU381">
            <v>1670</v>
          </cell>
          <cell r="CV381">
            <v>1985</v>
          </cell>
          <cell r="CW381">
            <v>1790</v>
          </cell>
          <cell r="CX381">
            <v>1695</v>
          </cell>
          <cell r="CY381">
            <v>1585</v>
          </cell>
          <cell r="CZ381">
            <v>895</v>
          </cell>
          <cell r="DA381">
            <v>1250</v>
          </cell>
          <cell r="DB381">
            <v>1245</v>
          </cell>
          <cell r="DC381">
            <v>990</v>
          </cell>
          <cell r="DD381">
            <v>2290</v>
          </cell>
          <cell r="DE381" t="str">
            <v>ACTIVO</v>
          </cell>
          <cell r="DF381" t="str">
            <v/>
          </cell>
          <cell r="DH381">
            <v>1496.92</v>
          </cell>
          <cell r="DI381">
            <v>249.48666666666668</v>
          </cell>
        </row>
        <row r="382">
          <cell r="B382">
            <v>405685</v>
          </cell>
          <cell r="C382" t="str">
            <v>HUEVO LIQUIDO BOLSA 20 KG AGRICOVIAL</v>
          </cell>
          <cell r="CB382">
            <v>1800</v>
          </cell>
          <cell r="CC382">
            <v>2300</v>
          </cell>
          <cell r="CD382">
            <v>1700</v>
          </cell>
          <cell r="CE382">
            <v>1000</v>
          </cell>
          <cell r="CF382">
            <v>760</v>
          </cell>
          <cell r="CG382">
            <v>1660</v>
          </cell>
          <cell r="CH382">
            <v>1860</v>
          </cell>
          <cell r="CI382">
            <v>2320</v>
          </cell>
          <cell r="CJ382">
            <v>1550</v>
          </cell>
          <cell r="CK382">
            <v>2190</v>
          </cell>
          <cell r="CL382">
            <v>2000</v>
          </cell>
          <cell r="CM382">
            <v>2380</v>
          </cell>
          <cell r="CN382">
            <v>2000</v>
          </cell>
          <cell r="CO382">
            <v>2160</v>
          </cell>
          <cell r="CP382">
            <v>2700</v>
          </cell>
          <cell r="CQ382">
            <v>2100</v>
          </cell>
          <cell r="CR382">
            <v>2090</v>
          </cell>
          <cell r="CS382">
            <v>1660</v>
          </cell>
          <cell r="CT382">
            <v>2940</v>
          </cell>
          <cell r="CU382">
            <v>2200</v>
          </cell>
          <cell r="CV382">
            <v>2200</v>
          </cell>
          <cell r="DE382" t="str">
            <v>ACTIVO</v>
          </cell>
          <cell r="DF382" t="str">
            <v>B</v>
          </cell>
          <cell r="DH382">
            <v>2045.2941176470588</v>
          </cell>
          <cell r="DI382">
            <v>340.88235294117646</v>
          </cell>
        </row>
        <row r="383">
          <cell r="B383">
            <v>107226</v>
          </cell>
          <cell r="C383" t="str">
            <v>HUEVO LIQUIDO BALDE ARIZONA</v>
          </cell>
          <cell r="CV383">
            <v>620</v>
          </cell>
          <cell r="CW383">
            <v>2020</v>
          </cell>
          <cell r="CX383">
            <v>2400</v>
          </cell>
          <cell r="CY383">
            <v>2260</v>
          </cell>
          <cell r="CZ383">
            <v>2000</v>
          </cell>
          <cell r="DA383">
            <v>2160</v>
          </cell>
          <cell r="DB383">
            <v>2260</v>
          </cell>
          <cell r="DC383">
            <v>2570</v>
          </cell>
          <cell r="DD383">
            <v>2210</v>
          </cell>
          <cell r="DE383" t="str">
            <v>ACTIVO</v>
          </cell>
          <cell r="DF383" t="str">
            <v/>
          </cell>
          <cell r="DH383">
            <v>2055.5555555555557</v>
          </cell>
          <cell r="DI383">
            <v>342.59259259259261</v>
          </cell>
        </row>
        <row r="384">
          <cell r="B384">
            <v>201005</v>
          </cell>
          <cell r="C384" t="str">
            <v>HUEVO LIQUIDO TOTEM 1000 LT AGRICOVIAL</v>
          </cell>
          <cell r="F384">
            <v>4000</v>
          </cell>
          <cell r="I384">
            <v>4000</v>
          </cell>
          <cell r="K384">
            <v>4000</v>
          </cell>
          <cell r="M384">
            <v>2000</v>
          </cell>
          <cell r="N384">
            <v>2010</v>
          </cell>
          <cell r="O384">
            <v>390</v>
          </cell>
          <cell r="P384">
            <v>5130</v>
          </cell>
          <cell r="S384">
            <v>4000</v>
          </cell>
          <cell r="V384">
            <v>3000</v>
          </cell>
          <cell r="W384">
            <v>2000</v>
          </cell>
          <cell r="Y384">
            <v>2000</v>
          </cell>
          <cell r="AA384">
            <v>2000</v>
          </cell>
          <cell r="AG384">
            <v>2000</v>
          </cell>
          <cell r="AL384">
            <v>2000</v>
          </cell>
          <cell r="AO384">
            <v>2000</v>
          </cell>
          <cell r="AR384">
            <v>4000</v>
          </cell>
          <cell r="AU384">
            <v>3000</v>
          </cell>
          <cell r="AV384">
            <v>2000</v>
          </cell>
          <cell r="AW384">
            <v>2000</v>
          </cell>
          <cell r="AZ384">
            <v>3000</v>
          </cell>
          <cell r="BB384">
            <v>2000</v>
          </cell>
          <cell r="BC384">
            <v>3000</v>
          </cell>
          <cell r="BD384">
            <v>5000</v>
          </cell>
          <cell r="BE384">
            <v>4000</v>
          </cell>
          <cell r="BG384">
            <v>4000</v>
          </cell>
          <cell r="BH384">
            <v>1000</v>
          </cell>
          <cell r="BJ384">
            <v>6000</v>
          </cell>
          <cell r="BK384">
            <v>4000</v>
          </cell>
          <cell r="BL384">
            <v>9000</v>
          </cell>
          <cell r="BM384">
            <v>4000</v>
          </cell>
          <cell r="BN384">
            <v>4000</v>
          </cell>
          <cell r="BO384">
            <v>4000</v>
          </cell>
          <cell r="BP384">
            <v>2000</v>
          </cell>
          <cell r="BQ384">
            <v>6000</v>
          </cell>
          <cell r="BR384">
            <v>4000</v>
          </cell>
          <cell r="BS384">
            <v>4000</v>
          </cell>
          <cell r="BT384">
            <v>2000</v>
          </cell>
          <cell r="BU384">
            <v>4000</v>
          </cell>
          <cell r="BW384">
            <v>4000</v>
          </cell>
          <cell r="BX384">
            <v>4000</v>
          </cell>
          <cell r="BZ384">
            <v>2000</v>
          </cell>
          <cell r="CB384">
            <v>4000</v>
          </cell>
          <cell r="CC384">
            <v>4000</v>
          </cell>
          <cell r="CD384">
            <v>7000</v>
          </cell>
          <cell r="CE384">
            <v>3000</v>
          </cell>
          <cell r="CF384">
            <v>1000</v>
          </cell>
          <cell r="CG384">
            <v>4000</v>
          </cell>
          <cell r="CH384">
            <v>2000</v>
          </cell>
          <cell r="CI384">
            <v>2000</v>
          </cell>
          <cell r="CJ384">
            <v>2000</v>
          </cell>
          <cell r="CK384">
            <v>5000</v>
          </cell>
          <cell r="CL384">
            <v>2000</v>
          </cell>
          <cell r="CM384">
            <v>6420</v>
          </cell>
          <cell r="CN384">
            <v>6060</v>
          </cell>
          <cell r="CO384">
            <v>4000</v>
          </cell>
          <cell r="CP384">
            <v>5000</v>
          </cell>
          <cell r="CQ384">
            <v>8000</v>
          </cell>
          <cell r="CR384">
            <v>6000</v>
          </cell>
          <cell r="CS384">
            <v>4000</v>
          </cell>
          <cell r="CT384">
            <v>7000</v>
          </cell>
          <cell r="CU384">
            <v>4000</v>
          </cell>
          <cell r="CV384">
            <v>4000</v>
          </cell>
          <cell r="DE384" t="str">
            <v>ACTIVO</v>
          </cell>
          <cell r="DF384" t="str">
            <v>A</v>
          </cell>
          <cell r="DH384">
            <v>4263.5294117647063</v>
          </cell>
          <cell r="DI384">
            <v>710.58823529411768</v>
          </cell>
        </row>
        <row r="385">
          <cell r="B385">
            <v>105001</v>
          </cell>
          <cell r="C385" t="str">
            <v>HUEVO LIQUIDO LAS RASTRAS</v>
          </cell>
          <cell r="D385">
            <v>2290</v>
          </cell>
          <cell r="E385">
            <v>3010</v>
          </cell>
          <cell r="F385">
            <v>2180</v>
          </cell>
          <cell r="G385">
            <v>1890</v>
          </cell>
          <cell r="H385">
            <v>3130</v>
          </cell>
          <cell r="I385">
            <v>6470</v>
          </cell>
          <cell r="J385">
            <v>2260</v>
          </cell>
          <cell r="K385">
            <v>1920</v>
          </cell>
          <cell r="L385">
            <v>2410</v>
          </cell>
          <cell r="M385">
            <v>2140</v>
          </cell>
          <cell r="N385">
            <v>2120</v>
          </cell>
          <cell r="O385">
            <v>1150</v>
          </cell>
          <cell r="P385">
            <v>1630</v>
          </cell>
          <cell r="Q385">
            <v>2220</v>
          </cell>
          <cell r="R385">
            <v>1720</v>
          </cell>
          <cell r="S385">
            <v>1900</v>
          </cell>
          <cell r="T385">
            <v>1480</v>
          </cell>
          <cell r="U385">
            <v>2480</v>
          </cell>
          <cell r="V385">
            <v>2260</v>
          </cell>
          <cell r="W385">
            <v>1250</v>
          </cell>
          <cell r="X385">
            <v>1890</v>
          </cell>
          <cell r="Y385">
            <v>1320</v>
          </cell>
          <cell r="Z385">
            <v>1650</v>
          </cell>
          <cell r="AA385">
            <v>1650</v>
          </cell>
          <cell r="AB385">
            <v>2880</v>
          </cell>
          <cell r="AC385">
            <v>1550</v>
          </cell>
          <cell r="AD385">
            <v>840</v>
          </cell>
          <cell r="AE385">
            <v>520</v>
          </cell>
          <cell r="AF385">
            <v>1970</v>
          </cell>
          <cell r="AG385">
            <v>1600</v>
          </cell>
          <cell r="AH385">
            <v>1490</v>
          </cell>
          <cell r="AI385">
            <v>2380</v>
          </cell>
          <cell r="AJ385">
            <v>1750</v>
          </cell>
          <cell r="AK385">
            <v>1580</v>
          </cell>
          <cell r="AL385">
            <v>1820</v>
          </cell>
          <cell r="AM385">
            <v>1340</v>
          </cell>
          <cell r="AN385">
            <v>1850</v>
          </cell>
          <cell r="AO385">
            <v>1820</v>
          </cell>
          <cell r="AP385">
            <v>1790</v>
          </cell>
          <cell r="AQ385">
            <v>1880</v>
          </cell>
          <cell r="AR385">
            <v>4170</v>
          </cell>
          <cell r="AS385">
            <v>3296</v>
          </cell>
          <cell r="AT385">
            <v>1980</v>
          </cell>
          <cell r="AU385">
            <v>1670</v>
          </cell>
          <cell r="AV385">
            <v>2000</v>
          </cell>
          <cell r="AW385">
            <v>2300</v>
          </cell>
          <cell r="AX385">
            <v>2000</v>
          </cell>
          <cell r="AY385">
            <v>2000</v>
          </cell>
          <cell r="AZ385">
            <v>2180</v>
          </cell>
          <cell r="BA385">
            <v>2120</v>
          </cell>
          <cell r="BB385">
            <v>1690</v>
          </cell>
          <cell r="BC385">
            <v>2330</v>
          </cell>
          <cell r="BD385">
            <v>1960</v>
          </cell>
          <cell r="BE385">
            <v>2510</v>
          </cell>
          <cell r="BF385">
            <v>1490</v>
          </cell>
          <cell r="BG385">
            <v>2170</v>
          </cell>
          <cell r="BH385">
            <v>2350</v>
          </cell>
          <cell r="BI385">
            <v>2010</v>
          </cell>
          <cell r="BJ385">
            <v>1960</v>
          </cell>
          <cell r="BK385">
            <v>2040</v>
          </cell>
          <cell r="BL385">
            <v>1870</v>
          </cell>
          <cell r="BM385">
            <v>2020</v>
          </cell>
          <cell r="BN385">
            <v>2100</v>
          </cell>
          <cell r="BO385">
            <v>2100</v>
          </cell>
          <cell r="BP385">
            <v>770</v>
          </cell>
          <cell r="BQ385">
            <v>2860</v>
          </cell>
          <cell r="BR385">
            <v>1470</v>
          </cell>
          <cell r="BS385">
            <v>2120</v>
          </cell>
          <cell r="BT385">
            <v>2680</v>
          </cell>
          <cell r="BU385">
            <v>1990</v>
          </cell>
          <cell r="BV385">
            <v>1350</v>
          </cell>
          <cell r="BW385">
            <v>1860</v>
          </cell>
          <cell r="BX385">
            <v>1450</v>
          </cell>
          <cell r="BY385">
            <v>1720</v>
          </cell>
          <cell r="BZ385">
            <v>2410</v>
          </cell>
          <cell r="CA385">
            <v>1990</v>
          </cell>
          <cell r="DE385" t="str">
            <v>ACTIVO</v>
          </cell>
          <cell r="DF385" t="str">
            <v>A</v>
          </cell>
          <cell r="DH385">
            <v>0</v>
          </cell>
          <cell r="DI385">
            <v>0</v>
          </cell>
        </row>
        <row r="386">
          <cell r="B386">
            <v>105002</v>
          </cell>
          <cell r="C386" t="str">
            <v>HUEVO LIQUIDO TOTEM ARIZONA</v>
          </cell>
          <cell r="D386">
            <v>2000</v>
          </cell>
          <cell r="E386">
            <v>3000</v>
          </cell>
          <cell r="G386">
            <v>2000</v>
          </cell>
          <cell r="H386">
            <v>4000</v>
          </cell>
          <cell r="J386">
            <v>2000</v>
          </cell>
          <cell r="K386">
            <v>2000</v>
          </cell>
          <cell r="L386">
            <v>2000</v>
          </cell>
          <cell r="M386">
            <v>2000</v>
          </cell>
          <cell r="N386">
            <v>3000</v>
          </cell>
          <cell r="R386">
            <v>4000</v>
          </cell>
          <cell r="T386">
            <v>2000</v>
          </cell>
          <cell r="V386">
            <v>4000</v>
          </cell>
          <cell r="X386">
            <v>4000</v>
          </cell>
          <cell r="Z386">
            <v>2000</v>
          </cell>
          <cell r="AA386">
            <v>2000</v>
          </cell>
          <cell r="AB386">
            <v>2000</v>
          </cell>
          <cell r="AF386">
            <v>4000</v>
          </cell>
          <cell r="AI386">
            <v>2000</v>
          </cell>
          <cell r="AL386">
            <v>2000</v>
          </cell>
          <cell r="AN386">
            <v>2000</v>
          </cell>
          <cell r="AR386">
            <v>2000</v>
          </cell>
          <cell r="AS386">
            <v>2000</v>
          </cell>
          <cell r="AU386">
            <v>2000</v>
          </cell>
          <cell r="AX386">
            <v>2000</v>
          </cell>
          <cell r="BA386">
            <v>2000</v>
          </cell>
          <cell r="BC386">
            <v>3000</v>
          </cell>
          <cell r="BF386">
            <v>4000</v>
          </cell>
          <cell r="BH386">
            <v>4000</v>
          </cell>
          <cell r="BI386">
            <v>4000</v>
          </cell>
          <cell r="BJ386">
            <v>5000</v>
          </cell>
          <cell r="BK386">
            <v>2000</v>
          </cell>
          <cell r="BL386">
            <v>5000</v>
          </cell>
          <cell r="BM386">
            <v>7000</v>
          </cell>
          <cell r="BN386">
            <v>7000</v>
          </cell>
          <cell r="BO386">
            <v>4000</v>
          </cell>
          <cell r="BP386">
            <v>8000</v>
          </cell>
          <cell r="BQ386">
            <v>4000</v>
          </cell>
          <cell r="BR386">
            <v>3000</v>
          </cell>
          <cell r="BS386">
            <v>8000</v>
          </cell>
          <cell r="BT386">
            <v>4000</v>
          </cell>
          <cell r="BU386">
            <v>5000</v>
          </cell>
          <cell r="BV386">
            <v>2000</v>
          </cell>
          <cell r="BW386">
            <v>6000</v>
          </cell>
          <cell r="BX386">
            <v>4000</v>
          </cell>
          <cell r="BY386">
            <v>4000</v>
          </cell>
          <cell r="BZ386">
            <v>2000</v>
          </cell>
          <cell r="CA386">
            <v>5000</v>
          </cell>
          <cell r="CB386">
            <v>3000</v>
          </cell>
          <cell r="CC386">
            <v>4000</v>
          </cell>
          <cell r="CD386">
            <v>4000</v>
          </cell>
          <cell r="CE386">
            <v>3000</v>
          </cell>
          <cell r="CG386">
            <v>6000</v>
          </cell>
          <cell r="CH386">
            <v>5000</v>
          </cell>
          <cell r="CI386">
            <v>5000</v>
          </cell>
          <cell r="CJ386">
            <v>4000</v>
          </cell>
          <cell r="CK386">
            <v>4000</v>
          </cell>
          <cell r="CV386">
            <v>3000</v>
          </cell>
          <cell r="CW386">
            <v>4000</v>
          </cell>
          <cell r="CX386">
            <v>4000</v>
          </cell>
          <cell r="CY386">
            <v>4000</v>
          </cell>
          <cell r="CZ386">
            <v>2000</v>
          </cell>
          <cell r="DA386">
            <v>5000</v>
          </cell>
          <cell r="DB386">
            <v>5000</v>
          </cell>
          <cell r="DC386">
            <v>4000</v>
          </cell>
          <cell r="DD386">
            <v>6000</v>
          </cell>
          <cell r="DE386" t="str">
            <v>ACTIVO</v>
          </cell>
          <cell r="DF386" t="str">
            <v>A</v>
          </cell>
          <cell r="DH386">
            <v>4357.1428571428569</v>
          </cell>
          <cell r="DI386">
            <v>726.19047619047615</v>
          </cell>
        </row>
        <row r="387">
          <cell r="B387">
            <v>107287</v>
          </cell>
          <cell r="C387" t="str">
            <v>HUEVO LIQUIDO TOTE LAS RASTRAS</v>
          </cell>
          <cell r="D387">
            <v>8000</v>
          </cell>
          <cell r="E387">
            <v>6000</v>
          </cell>
          <cell r="F387">
            <v>6700</v>
          </cell>
          <cell r="G387">
            <v>8000</v>
          </cell>
          <cell r="H387">
            <v>7000</v>
          </cell>
          <cell r="I387">
            <v>3000</v>
          </cell>
          <cell r="J387">
            <v>6000</v>
          </cell>
          <cell r="K387">
            <v>8000</v>
          </cell>
          <cell r="L387">
            <v>5000</v>
          </cell>
          <cell r="M387">
            <v>10000</v>
          </cell>
          <cell r="N387">
            <v>7000</v>
          </cell>
          <cell r="O387">
            <v>3000</v>
          </cell>
          <cell r="P387">
            <v>9000</v>
          </cell>
          <cell r="Q387">
            <v>5000</v>
          </cell>
          <cell r="R387">
            <v>10000</v>
          </cell>
          <cell r="S387">
            <v>9000</v>
          </cell>
          <cell r="T387">
            <v>8000</v>
          </cell>
          <cell r="V387">
            <v>12000</v>
          </cell>
          <cell r="W387">
            <v>3000</v>
          </cell>
          <cell r="X387">
            <v>14000</v>
          </cell>
          <cell r="Y387">
            <v>7000</v>
          </cell>
          <cell r="Z387">
            <v>7000</v>
          </cell>
          <cell r="AA387">
            <v>7000</v>
          </cell>
          <cell r="AB387">
            <v>5000</v>
          </cell>
          <cell r="AC387">
            <v>9000</v>
          </cell>
          <cell r="AE387">
            <v>5000</v>
          </cell>
          <cell r="AF387">
            <v>2000</v>
          </cell>
          <cell r="AG387">
            <v>6000</v>
          </cell>
          <cell r="AH387">
            <v>3000</v>
          </cell>
          <cell r="AI387">
            <v>6000</v>
          </cell>
          <cell r="AJ387">
            <v>6000</v>
          </cell>
          <cell r="AK387">
            <v>10000</v>
          </cell>
          <cell r="AL387">
            <v>6000</v>
          </cell>
          <cell r="AM387">
            <v>6000</v>
          </cell>
          <cell r="AN387">
            <v>6000</v>
          </cell>
          <cell r="AO387">
            <v>8000</v>
          </cell>
          <cell r="AP387">
            <v>8000</v>
          </cell>
          <cell r="AQ387">
            <v>8000</v>
          </cell>
          <cell r="AR387">
            <v>4300</v>
          </cell>
          <cell r="AS387">
            <v>10000</v>
          </cell>
          <cell r="AT387">
            <v>6000</v>
          </cell>
          <cell r="AU387">
            <v>11000</v>
          </cell>
          <cell r="AV387">
            <v>8000</v>
          </cell>
          <cell r="AW387">
            <v>10000</v>
          </cell>
          <cell r="AX387">
            <v>9000</v>
          </cell>
          <cell r="AY387">
            <v>7000</v>
          </cell>
          <cell r="AZ387">
            <v>8000</v>
          </cell>
          <cell r="BA387">
            <v>8000</v>
          </cell>
          <cell r="BB387">
            <v>8000</v>
          </cell>
          <cell r="BC387">
            <v>9000</v>
          </cell>
          <cell r="BD387">
            <v>7000</v>
          </cell>
          <cell r="BE387">
            <v>6000</v>
          </cell>
          <cell r="BF387">
            <v>5000</v>
          </cell>
          <cell r="BG387">
            <v>5000</v>
          </cell>
          <cell r="BH387">
            <v>4000</v>
          </cell>
          <cell r="BI387">
            <v>7000</v>
          </cell>
          <cell r="CL387">
            <v>5000</v>
          </cell>
          <cell r="CM387">
            <v>5000</v>
          </cell>
          <cell r="CN387">
            <v>2000</v>
          </cell>
          <cell r="CO387">
            <v>2000</v>
          </cell>
          <cell r="CP387">
            <v>4000</v>
          </cell>
          <cell r="CR387">
            <v>4000</v>
          </cell>
          <cell r="CS387">
            <v>5000</v>
          </cell>
          <cell r="CU387">
            <v>5000</v>
          </cell>
          <cell r="CV387">
            <v>2000</v>
          </cell>
          <cell r="CW387">
            <v>2000</v>
          </cell>
          <cell r="CX387">
            <v>2000</v>
          </cell>
          <cell r="CY387">
            <v>3000</v>
          </cell>
          <cell r="CZ387">
            <v>5000</v>
          </cell>
          <cell r="DA387">
            <v>8000</v>
          </cell>
          <cell r="DB387">
            <v>7000</v>
          </cell>
          <cell r="DC387">
            <v>4000</v>
          </cell>
          <cell r="DD387">
            <v>4000</v>
          </cell>
          <cell r="DE387" t="str">
            <v>ACTIVO</v>
          </cell>
          <cell r="DF387" t="str">
            <v>A</v>
          </cell>
          <cell r="DH387">
            <v>4058.8235294117649</v>
          </cell>
          <cell r="DI387">
            <v>676.47058823529414</v>
          </cell>
        </row>
        <row r="388">
          <cell r="D388">
            <v>12290</v>
          </cell>
          <cell r="E388">
            <v>12010</v>
          </cell>
          <cell r="F388">
            <v>12880</v>
          </cell>
          <cell r="G388">
            <v>11890</v>
          </cell>
          <cell r="H388">
            <v>14130</v>
          </cell>
          <cell r="I388">
            <v>13470</v>
          </cell>
          <cell r="J388">
            <v>10260</v>
          </cell>
          <cell r="K388">
            <v>15920</v>
          </cell>
          <cell r="L388">
            <v>9410</v>
          </cell>
          <cell r="M388">
            <v>16140</v>
          </cell>
          <cell r="N388">
            <v>14130</v>
          </cell>
          <cell r="O388">
            <v>4540</v>
          </cell>
          <cell r="P388">
            <v>15760</v>
          </cell>
          <cell r="Q388">
            <v>7220</v>
          </cell>
          <cell r="R388">
            <v>15720</v>
          </cell>
          <cell r="S388">
            <v>14900</v>
          </cell>
          <cell r="T388">
            <v>11480</v>
          </cell>
          <cell r="U388">
            <v>2480</v>
          </cell>
          <cell r="V388">
            <v>21260</v>
          </cell>
          <cell r="W388">
            <v>6250</v>
          </cell>
          <cell r="X388">
            <v>19890</v>
          </cell>
          <cell r="Y388">
            <v>10320</v>
          </cell>
          <cell r="Z388">
            <v>10650</v>
          </cell>
          <cell r="AA388">
            <v>12650</v>
          </cell>
          <cell r="AB388">
            <v>9880</v>
          </cell>
          <cell r="AC388">
            <v>10550</v>
          </cell>
          <cell r="AD388">
            <v>840</v>
          </cell>
          <cell r="AE388">
            <v>5520</v>
          </cell>
          <cell r="AF388">
            <v>7970</v>
          </cell>
          <cell r="AG388">
            <v>9600</v>
          </cell>
          <cell r="AH388">
            <v>4490</v>
          </cell>
          <cell r="AI388">
            <v>10380</v>
          </cell>
          <cell r="AJ388">
            <v>7750</v>
          </cell>
          <cell r="AK388">
            <v>11580</v>
          </cell>
          <cell r="AL388">
            <v>11820</v>
          </cell>
          <cell r="AM388">
            <v>7340</v>
          </cell>
          <cell r="AN388">
            <v>9850</v>
          </cell>
          <cell r="AO388">
            <v>11820</v>
          </cell>
          <cell r="AP388">
            <v>9790</v>
          </cell>
          <cell r="AQ388">
            <v>9880</v>
          </cell>
          <cell r="AR388">
            <v>14470</v>
          </cell>
          <cell r="AS388">
            <v>15296</v>
          </cell>
          <cell r="AT388">
            <v>7980</v>
          </cell>
          <cell r="AU388">
            <v>17670</v>
          </cell>
          <cell r="AV388">
            <v>12000</v>
          </cell>
          <cell r="AW388">
            <v>14300</v>
          </cell>
          <cell r="AX388">
            <v>13000</v>
          </cell>
          <cell r="AY388">
            <v>9000</v>
          </cell>
          <cell r="AZ388">
            <v>13180</v>
          </cell>
          <cell r="BA388">
            <v>12120</v>
          </cell>
          <cell r="BB388">
            <v>11690</v>
          </cell>
          <cell r="BC388">
            <v>17330</v>
          </cell>
          <cell r="BD388">
            <v>13960</v>
          </cell>
          <cell r="BE388">
            <v>12510</v>
          </cell>
          <cell r="BF388">
            <v>10490</v>
          </cell>
          <cell r="BG388">
            <v>11170</v>
          </cell>
          <cell r="BH388">
            <v>11350</v>
          </cell>
          <cell r="BI388">
            <v>13010</v>
          </cell>
          <cell r="BJ388">
            <v>12960</v>
          </cell>
          <cell r="BK388">
            <v>8040</v>
          </cell>
          <cell r="BL388">
            <v>15870</v>
          </cell>
          <cell r="BM388">
            <v>13020</v>
          </cell>
          <cell r="BN388">
            <v>13100</v>
          </cell>
          <cell r="BO388">
            <v>10100</v>
          </cell>
          <cell r="BP388">
            <v>10770</v>
          </cell>
          <cell r="BQ388">
            <v>12860</v>
          </cell>
          <cell r="BR388">
            <v>8470</v>
          </cell>
          <cell r="BS388">
            <v>14120</v>
          </cell>
          <cell r="BT388">
            <v>8680</v>
          </cell>
          <cell r="BU388">
            <v>10990</v>
          </cell>
          <cell r="BV388">
            <v>3350</v>
          </cell>
          <cell r="BW388">
            <v>11860</v>
          </cell>
          <cell r="BX388">
            <v>9450</v>
          </cell>
          <cell r="BY388">
            <v>5720</v>
          </cell>
          <cell r="BZ388">
            <v>6410</v>
          </cell>
          <cell r="CA388">
            <v>6990</v>
          </cell>
          <cell r="CB388">
            <v>8800</v>
          </cell>
          <cell r="CC388">
            <v>10300</v>
          </cell>
          <cell r="CD388">
            <v>12700</v>
          </cell>
          <cell r="CE388">
            <v>7000</v>
          </cell>
          <cell r="CF388">
            <v>1760</v>
          </cell>
          <cell r="CG388">
            <v>11660</v>
          </cell>
          <cell r="CH388">
            <v>8860</v>
          </cell>
          <cell r="CI388">
            <v>9320</v>
          </cell>
          <cell r="CJ388">
            <v>7550</v>
          </cell>
          <cell r="CK388">
            <v>11190</v>
          </cell>
          <cell r="CL388">
            <v>9000</v>
          </cell>
          <cell r="CM388">
            <v>13800</v>
          </cell>
          <cell r="CN388">
            <v>10060</v>
          </cell>
          <cell r="CO388">
            <v>8160</v>
          </cell>
          <cell r="CP388">
            <v>11700</v>
          </cell>
          <cell r="CQ388">
            <v>10100</v>
          </cell>
          <cell r="CR388">
            <v>12090</v>
          </cell>
          <cell r="CS388">
            <v>10660</v>
          </cell>
          <cell r="CT388">
            <v>9940</v>
          </cell>
          <cell r="CU388">
            <v>11200</v>
          </cell>
          <cell r="CV388">
            <v>11820</v>
          </cell>
          <cell r="CW388">
            <v>8020</v>
          </cell>
          <cell r="CX388">
            <v>8400</v>
          </cell>
          <cell r="CY388">
            <v>9260</v>
          </cell>
          <cell r="CZ388">
            <v>9000</v>
          </cell>
          <cell r="DA388">
            <v>15160</v>
          </cell>
          <cell r="DB388">
            <v>14260</v>
          </cell>
          <cell r="DC388">
            <v>10570</v>
          </cell>
          <cell r="DD388">
            <v>12210</v>
          </cell>
          <cell r="DE388" t="str">
            <v>ACTIVO</v>
          </cell>
          <cell r="DF388" t="str">
            <v/>
          </cell>
          <cell r="DH388">
            <v>10230</v>
          </cell>
          <cell r="DI388">
            <v>1705</v>
          </cell>
        </row>
        <row r="389">
          <cell r="B389">
            <v>405320</v>
          </cell>
          <cell r="C389" t="str">
            <v>JUGO DE LIMÓN CONGELADO WATT</v>
          </cell>
          <cell r="BH389">
            <v>2</v>
          </cell>
          <cell r="BN389">
            <v>3</v>
          </cell>
          <cell r="BP389">
            <v>3</v>
          </cell>
          <cell r="BR389">
            <v>3</v>
          </cell>
          <cell r="BS389">
            <v>3</v>
          </cell>
          <cell r="BT389">
            <v>2</v>
          </cell>
          <cell r="BU389">
            <v>1</v>
          </cell>
          <cell r="BV389">
            <v>3</v>
          </cell>
          <cell r="BW389">
            <v>5</v>
          </cell>
          <cell r="BX389">
            <v>4</v>
          </cell>
          <cell r="BY389">
            <v>1</v>
          </cell>
          <cell r="BZ389">
            <v>5</v>
          </cell>
          <cell r="CB389">
            <v>1</v>
          </cell>
          <cell r="DE389" t="str">
            <v>ACTIVO</v>
          </cell>
          <cell r="DF389" t="str">
            <v>C</v>
          </cell>
          <cell r="DH389">
            <v>0</v>
          </cell>
          <cell r="DI389">
            <v>0</v>
          </cell>
        </row>
        <row r="390">
          <cell r="B390">
            <v>405465</v>
          </cell>
          <cell r="C390" t="str">
            <v>JUGO POLVO FRUTILLA</v>
          </cell>
          <cell r="BQ390">
            <v>2.1</v>
          </cell>
          <cell r="BR390">
            <v>3.75</v>
          </cell>
          <cell r="DE390" t="str">
            <v>SIN USO</v>
          </cell>
          <cell r="DF390" t="str">
            <v>C</v>
          </cell>
          <cell r="DH390">
            <v>0</v>
          </cell>
          <cell r="DI390">
            <v>0</v>
          </cell>
        </row>
        <row r="391">
          <cell r="B391">
            <v>405593</v>
          </cell>
          <cell r="C391" t="str">
            <v>JUGO EN POLVO ZUKO DURAZNO</v>
          </cell>
          <cell r="BW391">
            <v>0.15</v>
          </cell>
          <cell r="BZ391">
            <v>8</v>
          </cell>
          <cell r="CA391">
            <v>5.9</v>
          </cell>
          <cell r="CB391">
            <v>2.7800000000000002</v>
          </cell>
          <cell r="CC391">
            <v>2.1</v>
          </cell>
          <cell r="CD391">
            <v>1.5</v>
          </cell>
          <cell r="CE391">
            <v>0.46500000000000002</v>
          </cell>
          <cell r="CF391">
            <v>1.4999999999999999E-2</v>
          </cell>
          <cell r="CG391">
            <v>17.25</v>
          </cell>
          <cell r="CH391">
            <v>0.9</v>
          </cell>
          <cell r="CI391">
            <v>1.3499999999999996</v>
          </cell>
          <cell r="CJ391">
            <v>2.4</v>
          </cell>
          <cell r="CK391">
            <v>0.15</v>
          </cell>
          <cell r="CL391">
            <v>0.44999999999999996</v>
          </cell>
          <cell r="CM391">
            <v>2.5500000000000003</v>
          </cell>
          <cell r="CN391">
            <v>0.44999999999999996</v>
          </cell>
          <cell r="CO391">
            <v>0.75</v>
          </cell>
          <cell r="CP391">
            <v>2.25</v>
          </cell>
          <cell r="CQ391">
            <v>0.44999999999999996</v>
          </cell>
          <cell r="CR391">
            <v>0.75</v>
          </cell>
          <cell r="CS391">
            <v>3.15</v>
          </cell>
          <cell r="CT391">
            <v>1.9500000000000002</v>
          </cell>
          <cell r="CU391">
            <v>1.6499999999999997</v>
          </cell>
          <cell r="CV391">
            <v>2.9</v>
          </cell>
          <cell r="CW391">
            <v>0.9</v>
          </cell>
          <cell r="CX391">
            <v>1.7999999999999998</v>
          </cell>
          <cell r="CY391">
            <v>3.0599999999999996</v>
          </cell>
          <cell r="CZ391">
            <v>1.75</v>
          </cell>
          <cell r="DA391">
            <v>1.9499999999999997</v>
          </cell>
          <cell r="DB391">
            <v>4</v>
          </cell>
          <cell r="DC391">
            <v>1.6500000000000001</v>
          </cell>
          <cell r="DD391">
            <v>1.5799999999999998</v>
          </cell>
          <cell r="DE391" t="str">
            <v>ACTIVO</v>
          </cell>
          <cell r="DF391" t="str">
            <v>C</v>
          </cell>
          <cell r="DH391">
            <v>2.2421999999999995</v>
          </cell>
          <cell r="DI391">
            <v>0.37369999999999992</v>
          </cell>
        </row>
        <row r="392">
          <cell r="B392">
            <v>405330</v>
          </cell>
          <cell r="C392" t="str">
            <v>JUGO EN POLVO FRUTILLA</v>
          </cell>
          <cell r="G392">
            <v>0.1</v>
          </cell>
          <cell r="H392">
            <v>1.1900000000000002</v>
          </cell>
          <cell r="I392">
            <v>0.43</v>
          </cell>
          <cell r="J392">
            <v>0.58499999999999996</v>
          </cell>
          <cell r="K392">
            <v>1.7050000000000001</v>
          </cell>
          <cell r="L392">
            <v>0.09</v>
          </cell>
          <cell r="N392">
            <v>1.1100000000000001</v>
          </cell>
          <cell r="O392">
            <v>0.24</v>
          </cell>
          <cell r="P392">
            <v>0.39</v>
          </cell>
          <cell r="Q392">
            <v>1.6850000000000001</v>
          </cell>
          <cell r="R392">
            <v>0.18</v>
          </cell>
          <cell r="S392">
            <v>0.48000000000000004</v>
          </cell>
          <cell r="T392">
            <v>1.0349999999999999</v>
          </cell>
          <cell r="U392">
            <v>0.60000000000000009</v>
          </cell>
          <cell r="V392">
            <v>0.44999999999999996</v>
          </cell>
          <cell r="W392">
            <v>0.96</v>
          </cell>
          <cell r="X392">
            <v>1.095</v>
          </cell>
          <cell r="Z392">
            <v>0.15</v>
          </cell>
          <cell r="AA392">
            <v>1.65</v>
          </cell>
          <cell r="AT392">
            <v>0.15</v>
          </cell>
          <cell r="DE392" t="str">
            <v>SIN USO</v>
          </cell>
          <cell r="DF392">
            <v>0</v>
          </cell>
          <cell r="DH392">
            <v>0</v>
          </cell>
          <cell r="DI392">
            <v>0</v>
          </cell>
        </row>
        <row r="393">
          <cell r="B393">
            <v>107404</v>
          </cell>
          <cell r="C393" t="str">
            <v>JUGO EN POLVO SABOR FRUTILLA</v>
          </cell>
          <cell r="K393">
            <v>1.5449999999999999</v>
          </cell>
          <cell r="L393">
            <v>0.55499999999999994</v>
          </cell>
          <cell r="M393">
            <v>0.76500000000000001</v>
          </cell>
          <cell r="P393">
            <v>0.63</v>
          </cell>
          <cell r="R393">
            <v>0.15</v>
          </cell>
          <cell r="S393">
            <v>0.28500000000000003</v>
          </cell>
          <cell r="T393">
            <v>0.21</v>
          </cell>
          <cell r="W393">
            <v>0.15</v>
          </cell>
          <cell r="AH393">
            <v>0.02</v>
          </cell>
          <cell r="DE393" t="str">
            <v>SIN USO</v>
          </cell>
          <cell r="DF393">
            <v>0</v>
          </cell>
          <cell r="DH393">
            <v>0</v>
          </cell>
          <cell r="DI393">
            <v>0</v>
          </cell>
        </row>
        <row r="394">
          <cell r="B394">
            <v>405446</v>
          </cell>
          <cell r="C394" t="str">
            <v>JUGO POLVO DURAZNO</v>
          </cell>
          <cell r="U394">
            <v>0.60000000000000009</v>
          </cell>
          <cell r="V394">
            <v>2.6000000000000005</v>
          </cell>
          <cell r="W394">
            <v>3.0999999999999996</v>
          </cell>
          <cell r="X394">
            <v>0.9</v>
          </cell>
          <cell r="Y394">
            <v>1.4</v>
          </cell>
          <cell r="Z394">
            <v>3.7</v>
          </cell>
          <cell r="AA394">
            <v>0.25</v>
          </cell>
          <cell r="AD394">
            <v>0.4</v>
          </cell>
          <cell r="AF394">
            <v>1.66</v>
          </cell>
          <cell r="AG394">
            <v>0.66</v>
          </cell>
          <cell r="DE394" t="str">
            <v>SIN USO</v>
          </cell>
          <cell r="DF394" t="str">
            <v>C</v>
          </cell>
          <cell r="DH394">
            <v>0</v>
          </cell>
          <cell r="DI394">
            <v>0</v>
          </cell>
        </row>
        <row r="395">
          <cell r="B395">
            <v>405331</v>
          </cell>
          <cell r="C395" t="str">
            <v>JUGO EN POLVO DURAZNO</v>
          </cell>
          <cell r="G395">
            <v>4.5400000000000009</v>
          </cell>
          <cell r="H395">
            <v>0.34</v>
          </cell>
          <cell r="I395">
            <v>0.62</v>
          </cell>
          <cell r="J395">
            <v>0.86</v>
          </cell>
          <cell r="K395">
            <v>6.3400000000000007</v>
          </cell>
          <cell r="L395">
            <v>1.02</v>
          </cell>
          <cell r="M395">
            <v>2.5800000000000005</v>
          </cell>
          <cell r="N395">
            <v>2.6</v>
          </cell>
          <cell r="O395">
            <v>0.22</v>
          </cell>
          <cell r="P395">
            <v>2.08</v>
          </cell>
          <cell r="Q395">
            <v>3.6599999999999997</v>
          </cell>
          <cell r="R395">
            <v>2.5100000000000002</v>
          </cell>
          <cell r="S395">
            <v>1.4</v>
          </cell>
          <cell r="T395">
            <v>1.165</v>
          </cell>
          <cell r="AH395">
            <v>1</v>
          </cell>
          <cell r="AI395">
            <v>17.399999999999999</v>
          </cell>
          <cell r="AJ395">
            <v>5.0999999999999996</v>
          </cell>
          <cell r="AO395">
            <v>1.2</v>
          </cell>
          <cell r="AP395">
            <v>6.4</v>
          </cell>
          <cell r="AQ395">
            <v>0.4</v>
          </cell>
          <cell r="AR395">
            <v>0.35</v>
          </cell>
          <cell r="AS395">
            <v>3.5600000000000005</v>
          </cell>
          <cell r="AT395">
            <v>23</v>
          </cell>
          <cell r="AU395">
            <v>0.24000000000000002</v>
          </cell>
          <cell r="AV395">
            <v>4</v>
          </cell>
          <cell r="AW395">
            <v>2.75</v>
          </cell>
          <cell r="AX395">
            <v>0.32</v>
          </cell>
          <cell r="AY395">
            <v>5.5</v>
          </cell>
          <cell r="AZ395">
            <v>0.2</v>
          </cell>
          <cell r="BA395">
            <v>1</v>
          </cell>
          <cell r="BB395">
            <v>7.1</v>
          </cell>
          <cell r="BC395">
            <v>4.8000000000000007</v>
          </cell>
          <cell r="BD395">
            <v>8.15</v>
          </cell>
          <cell r="BE395">
            <v>34.5</v>
          </cell>
          <cell r="BG395">
            <v>2.1</v>
          </cell>
          <cell r="BH395">
            <v>4.8000000000000007</v>
          </cell>
          <cell r="BI395">
            <v>4.8</v>
          </cell>
          <cell r="BJ395">
            <v>0.315</v>
          </cell>
          <cell r="BK395">
            <v>2.1750000000000003</v>
          </cell>
          <cell r="BL395">
            <v>1.7999999999999998</v>
          </cell>
          <cell r="BM395">
            <v>1.2</v>
          </cell>
          <cell r="BN395">
            <v>0.3</v>
          </cell>
          <cell r="BO395">
            <v>2.5499999999999998</v>
          </cell>
          <cell r="BP395">
            <v>0.3</v>
          </cell>
          <cell r="BQ395">
            <v>0.75</v>
          </cell>
          <cell r="BR395">
            <v>0.44999999999999996</v>
          </cell>
          <cell r="BS395">
            <v>2.6999999999999997</v>
          </cell>
          <cell r="BT395">
            <v>1.9500000000000002</v>
          </cell>
          <cell r="BU395">
            <v>1.4999999999999998</v>
          </cell>
          <cell r="BV395">
            <v>0.82500000000000007</v>
          </cell>
          <cell r="BW395">
            <v>1.6499999999999997</v>
          </cell>
          <cell r="BX395">
            <v>0.6</v>
          </cell>
          <cell r="BY395">
            <v>0.3</v>
          </cell>
          <cell r="BZ395">
            <v>10.875</v>
          </cell>
          <cell r="DE395" t="str">
            <v>ACTIVO</v>
          </cell>
          <cell r="DF395" t="str">
            <v>C</v>
          </cell>
          <cell r="DH395">
            <v>0</v>
          </cell>
          <cell r="DI395">
            <v>0</v>
          </cell>
        </row>
        <row r="396">
          <cell r="G396">
            <v>4.6400000000000006</v>
          </cell>
          <cell r="H396">
            <v>1.5300000000000002</v>
          </cell>
          <cell r="I396">
            <v>1.05</v>
          </cell>
          <cell r="J396">
            <v>1.4449999999999998</v>
          </cell>
          <cell r="K396">
            <v>9.59</v>
          </cell>
          <cell r="L396">
            <v>1.665</v>
          </cell>
          <cell r="M396">
            <v>3.3450000000000006</v>
          </cell>
          <cell r="N396">
            <v>3.71</v>
          </cell>
          <cell r="O396">
            <v>0.45999999999999996</v>
          </cell>
          <cell r="P396">
            <v>3.1</v>
          </cell>
          <cell r="Q396">
            <v>5.3449999999999998</v>
          </cell>
          <cell r="R396">
            <v>2.8400000000000003</v>
          </cell>
          <cell r="S396">
            <v>2.165</v>
          </cell>
          <cell r="T396">
            <v>2.41</v>
          </cell>
          <cell r="U396">
            <v>1.2000000000000002</v>
          </cell>
          <cell r="V396">
            <v>3.0500000000000007</v>
          </cell>
          <cell r="W396">
            <v>4.2099999999999991</v>
          </cell>
          <cell r="X396">
            <v>1.9950000000000001</v>
          </cell>
          <cell r="Y396">
            <v>1.4</v>
          </cell>
          <cell r="Z396">
            <v>3.85</v>
          </cell>
          <cell r="AA396">
            <v>1.9</v>
          </cell>
          <cell r="AD396">
            <v>0.4</v>
          </cell>
          <cell r="AF396">
            <v>1.66</v>
          </cell>
          <cell r="AG396">
            <v>0.66</v>
          </cell>
          <cell r="AH396">
            <v>1.02</v>
          </cell>
          <cell r="AI396">
            <v>17.399999999999999</v>
          </cell>
          <cell r="AJ396">
            <v>5.0999999999999996</v>
          </cell>
          <cell r="AO396">
            <v>1.2</v>
          </cell>
          <cell r="AP396">
            <v>6.4</v>
          </cell>
          <cell r="AQ396">
            <v>0.4</v>
          </cell>
          <cell r="AR396">
            <v>0.35</v>
          </cell>
          <cell r="AS396">
            <v>3.5600000000000005</v>
          </cell>
          <cell r="AT396">
            <v>23.15</v>
          </cell>
          <cell r="AU396">
            <v>0.24000000000000002</v>
          </cell>
          <cell r="AV396">
            <v>4</v>
          </cell>
          <cell r="AW396">
            <v>2.75</v>
          </cell>
          <cell r="AX396">
            <v>0.32</v>
          </cell>
          <cell r="AY396">
            <v>5.5</v>
          </cell>
          <cell r="AZ396">
            <v>0.2</v>
          </cell>
          <cell r="BA396">
            <v>1</v>
          </cell>
          <cell r="BB396">
            <v>7.1</v>
          </cell>
          <cell r="BC396">
            <v>4.8000000000000007</v>
          </cell>
          <cell r="BD396">
            <v>8.15</v>
          </cell>
          <cell r="BE396">
            <v>34.5</v>
          </cell>
          <cell r="BG396">
            <v>2.1</v>
          </cell>
          <cell r="BH396">
            <v>6.8000000000000007</v>
          </cell>
          <cell r="BI396">
            <v>4.8</v>
          </cell>
          <cell r="BJ396">
            <v>0.315</v>
          </cell>
          <cell r="BK396">
            <v>2.1750000000000003</v>
          </cell>
          <cell r="BL396">
            <v>1.7999999999999998</v>
          </cell>
          <cell r="BM396">
            <v>1.2</v>
          </cell>
          <cell r="BN396">
            <v>3.3</v>
          </cell>
          <cell r="BO396">
            <v>2.5499999999999998</v>
          </cell>
          <cell r="BP396">
            <v>3.3</v>
          </cell>
          <cell r="BQ396">
            <v>2.85</v>
          </cell>
          <cell r="BR396">
            <v>7.2</v>
          </cell>
          <cell r="BS396">
            <v>5.6999999999999993</v>
          </cell>
          <cell r="BT396">
            <v>3.95</v>
          </cell>
          <cell r="BU396">
            <v>2.5</v>
          </cell>
          <cell r="BV396">
            <v>3.8250000000000002</v>
          </cell>
          <cell r="BW396">
            <v>6.8</v>
          </cell>
          <cell r="BX396">
            <v>4.5999999999999996</v>
          </cell>
          <cell r="BY396">
            <v>1.3</v>
          </cell>
          <cell r="BZ396">
            <v>23.875</v>
          </cell>
          <cell r="CA396">
            <v>5.9</v>
          </cell>
          <cell r="CB396">
            <v>3.7800000000000002</v>
          </cell>
          <cell r="CC396">
            <v>2.1</v>
          </cell>
          <cell r="CD396">
            <v>1.5</v>
          </cell>
          <cell r="CE396">
            <v>0.46500000000000002</v>
          </cell>
          <cell r="CF396">
            <v>1.4999999999999999E-2</v>
          </cell>
          <cell r="CG396">
            <v>17.25</v>
          </cell>
          <cell r="CH396">
            <v>0.9</v>
          </cell>
          <cell r="CI396">
            <v>1.3499999999999996</v>
          </cell>
          <cell r="CJ396">
            <v>2.4</v>
          </cell>
          <cell r="CK396">
            <v>0.15</v>
          </cell>
          <cell r="CL396">
            <v>0.44999999999999996</v>
          </cell>
          <cell r="CM396">
            <v>2.5500000000000003</v>
          </cell>
          <cell r="CN396">
            <v>0.44999999999999996</v>
          </cell>
          <cell r="CO396">
            <v>0.75</v>
          </cell>
          <cell r="CP396">
            <v>2.25</v>
          </cell>
          <cell r="CQ396">
            <v>0.44999999999999996</v>
          </cell>
          <cell r="CR396">
            <v>0.75</v>
          </cell>
          <cell r="CS396">
            <v>3.15</v>
          </cell>
          <cell r="CT396">
            <v>1.9500000000000002</v>
          </cell>
          <cell r="CU396">
            <v>1.6499999999999997</v>
          </cell>
          <cell r="CV396">
            <v>2.9</v>
          </cell>
          <cell r="CW396">
            <v>0.9</v>
          </cell>
          <cell r="CX396">
            <v>1.7999999999999998</v>
          </cell>
          <cell r="CY396">
            <v>3.0599999999999996</v>
          </cell>
          <cell r="CZ396">
            <v>1.75</v>
          </cell>
          <cell r="DA396">
            <v>1.9499999999999997</v>
          </cell>
          <cell r="DB396">
            <v>4</v>
          </cell>
          <cell r="DC396">
            <v>1.6500000000000001</v>
          </cell>
          <cell r="DD396">
            <v>1.5799999999999998</v>
          </cell>
          <cell r="DE396" t="str">
            <v>ACTIVO</v>
          </cell>
          <cell r="DF396" t="str">
            <v/>
          </cell>
          <cell r="DH396">
            <v>2.2421999999999995</v>
          </cell>
          <cell r="DI396">
            <v>0.37369999999999992</v>
          </cell>
        </row>
        <row r="397">
          <cell r="B397">
            <v>402255</v>
          </cell>
          <cell r="C397" t="str">
            <v>CINTA DE EMBALAJE 72x100 SOLUTION</v>
          </cell>
          <cell r="D397">
            <v>85</v>
          </cell>
          <cell r="E397">
            <v>140</v>
          </cell>
          <cell r="F397">
            <v>114</v>
          </cell>
          <cell r="G397">
            <v>117</v>
          </cell>
          <cell r="H397">
            <v>106</v>
          </cell>
          <cell r="I397">
            <v>136</v>
          </cell>
          <cell r="J397">
            <v>108</v>
          </cell>
          <cell r="K397">
            <v>84</v>
          </cell>
          <cell r="U397">
            <v>6</v>
          </cell>
          <cell r="V397">
            <v>148</v>
          </cell>
          <cell r="W397">
            <v>38</v>
          </cell>
          <cell r="X397">
            <v>323</v>
          </cell>
          <cell r="Y397">
            <v>70</v>
          </cell>
          <cell r="Z397">
            <v>93</v>
          </cell>
          <cell r="AA397">
            <v>73</v>
          </cell>
          <cell r="AB397">
            <v>93</v>
          </cell>
          <cell r="AC397">
            <v>104</v>
          </cell>
          <cell r="AD397">
            <v>20</v>
          </cell>
          <cell r="AE397">
            <v>15</v>
          </cell>
          <cell r="AF397">
            <v>58</v>
          </cell>
          <cell r="AG397">
            <v>128</v>
          </cell>
          <cell r="AH397">
            <v>100</v>
          </cell>
          <cell r="AI397">
            <v>80</v>
          </cell>
          <cell r="AJ397">
            <v>311</v>
          </cell>
          <cell r="AK397">
            <v>65</v>
          </cell>
          <cell r="AL397">
            <v>79</v>
          </cell>
          <cell r="AM397">
            <v>71</v>
          </cell>
          <cell r="AN397">
            <v>69</v>
          </cell>
          <cell r="AO397">
            <v>73</v>
          </cell>
          <cell r="AP397">
            <v>35</v>
          </cell>
          <cell r="AQ397">
            <v>348</v>
          </cell>
          <cell r="AR397">
            <v>62</v>
          </cell>
          <cell r="AS397">
            <v>43</v>
          </cell>
          <cell r="AT397">
            <v>89</v>
          </cell>
          <cell r="AU397">
            <v>60</v>
          </cell>
          <cell r="AV397">
            <v>62</v>
          </cell>
          <cell r="AW397">
            <v>64</v>
          </cell>
          <cell r="AX397">
            <v>76</v>
          </cell>
          <cell r="AY397">
            <v>47</v>
          </cell>
          <cell r="AZ397">
            <v>53</v>
          </cell>
          <cell r="BA397">
            <v>65</v>
          </cell>
          <cell r="BB397">
            <v>78</v>
          </cell>
          <cell r="BC397">
            <v>62</v>
          </cell>
          <cell r="BD397">
            <v>55</v>
          </cell>
          <cell r="BE397">
            <v>36</v>
          </cell>
          <cell r="BF397">
            <v>65</v>
          </cell>
          <cell r="BG397">
            <v>78</v>
          </cell>
          <cell r="BH397">
            <v>74</v>
          </cell>
          <cell r="BI397">
            <v>779</v>
          </cell>
          <cell r="BJ397">
            <v>59</v>
          </cell>
          <cell r="BK397">
            <v>94</v>
          </cell>
          <cell r="BL397">
            <v>73</v>
          </cell>
          <cell r="BM397">
            <v>64</v>
          </cell>
          <cell r="BN397">
            <v>46</v>
          </cell>
          <cell r="BO397">
            <v>53</v>
          </cell>
          <cell r="BP397">
            <v>353</v>
          </cell>
          <cell r="BQ397">
            <v>71</v>
          </cell>
          <cell r="BR397">
            <v>65</v>
          </cell>
          <cell r="BS397">
            <v>68</v>
          </cell>
          <cell r="BT397">
            <v>35</v>
          </cell>
          <cell r="BU397">
            <v>74</v>
          </cell>
          <cell r="BV397">
            <v>47</v>
          </cell>
          <cell r="BW397">
            <v>48</v>
          </cell>
          <cell r="BX397">
            <v>50</v>
          </cell>
          <cell r="BY397">
            <v>45</v>
          </cell>
          <cell r="BZ397">
            <v>84</v>
          </cell>
          <cell r="CA397">
            <v>48</v>
          </cell>
          <cell r="CB397">
            <v>59</v>
          </cell>
          <cell r="CC397">
            <v>49</v>
          </cell>
          <cell r="CD397">
            <v>58</v>
          </cell>
          <cell r="CE397">
            <v>22</v>
          </cell>
          <cell r="CF397">
            <v>8</v>
          </cell>
          <cell r="CG397">
            <v>29</v>
          </cell>
          <cell r="CH397">
            <v>44</v>
          </cell>
          <cell r="CI397">
            <v>70</v>
          </cell>
          <cell r="CJ397">
            <v>56</v>
          </cell>
          <cell r="CK397">
            <v>81</v>
          </cell>
          <cell r="CL397">
            <v>66</v>
          </cell>
          <cell r="CM397">
            <v>58</v>
          </cell>
          <cell r="CN397">
            <v>47</v>
          </cell>
          <cell r="CO397">
            <v>79</v>
          </cell>
          <cell r="CP397">
            <v>57</v>
          </cell>
          <cell r="CQ397">
            <v>665</v>
          </cell>
          <cell r="CR397">
            <v>62</v>
          </cell>
          <cell r="CS397">
            <v>63</v>
          </cell>
          <cell r="CT397">
            <v>44</v>
          </cell>
          <cell r="CU397">
            <v>62</v>
          </cell>
          <cell r="CV397">
            <v>62</v>
          </cell>
          <cell r="CW397">
            <v>52</v>
          </cell>
          <cell r="CX397">
            <v>55</v>
          </cell>
          <cell r="CY397">
            <v>62</v>
          </cell>
          <cell r="CZ397">
            <v>40</v>
          </cell>
          <cell r="DA397">
            <v>80</v>
          </cell>
          <cell r="DB397">
            <v>49</v>
          </cell>
          <cell r="DC397">
            <v>59</v>
          </cell>
          <cell r="DD397">
            <v>54</v>
          </cell>
          <cell r="DE397" t="str">
            <v>ACTIVO</v>
          </cell>
          <cell r="DF397" t="str">
            <v>C</v>
          </cell>
          <cell r="DH397">
            <v>80.16</v>
          </cell>
          <cell r="DI397">
            <v>13.36</v>
          </cell>
        </row>
        <row r="398">
          <cell r="B398">
            <v>405336</v>
          </cell>
          <cell r="C398" t="str">
            <v>CINTA DE EMBALAJE 72x100 REMINISEN</v>
          </cell>
          <cell r="K398">
            <v>47</v>
          </cell>
          <cell r="L398">
            <v>111</v>
          </cell>
          <cell r="M398">
            <v>99</v>
          </cell>
          <cell r="N398">
            <v>115</v>
          </cell>
          <cell r="O398">
            <v>53</v>
          </cell>
          <cell r="P398">
            <v>118</v>
          </cell>
          <cell r="Q398">
            <v>108</v>
          </cell>
          <cell r="R398">
            <v>125</v>
          </cell>
          <cell r="S398">
            <v>83</v>
          </cell>
          <cell r="T398">
            <v>151</v>
          </cell>
          <cell r="U398">
            <v>84</v>
          </cell>
          <cell r="V398">
            <v>106</v>
          </cell>
          <cell r="W398">
            <v>55</v>
          </cell>
          <cell r="X398">
            <v>10</v>
          </cell>
          <cell r="DE398" t="str">
            <v>ACTIVO</v>
          </cell>
          <cell r="DF398" t="str">
            <v/>
          </cell>
          <cell r="DH398">
            <v>0</v>
          </cell>
          <cell r="DI398">
            <v>0</v>
          </cell>
        </row>
        <row r="399">
          <cell r="D399">
            <v>85</v>
          </cell>
          <cell r="E399">
            <v>140</v>
          </cell>
          <cell r="F399">
            <v>114</v>
          </cell>
          <cell r="G399">
            <v>117</v>
          </cell>
          <cell r="H399">
            <v>106</v>
          </cell>
          <cell r="I399">
            <v>136</v>
          </cell>
          <cell r="J399">
            <v>108</v>
          </cell>
          <cell r="K399">
            <v>131</v>
          </cell>
          <cell r="L399">
            <v>111</v>
          </cell>
          <cell r="M399">
            <v>99</v>
          </cell>
          <cell r="N399">
            <v>115</v>
          </cell>
          <cell r="O399">
            <v>53</v>
          </cell>
          <cell r="P399">
            <v>118</v>
          </cell>
          <cell r="Q399">
            <v>108</v>
          </cell>
          <cell r="R399">
            <v>125</v>
          </cell>
          <cell r="S399">
            <v>83</v>
          </cell>
          <cell r="T399">
            <v>151</v>
          </cell>
          <cell r="U399">
            <v>90</v>
          </cell>
          <cell r="V399">
            <v>254</v>
          </cell>
          <cell r="W399">
            <v>93</v>
          </cell>
          <cell r="X399">
            <v>333</v>
          </cell>
          <cell r="Y399">
            <v>70</v>
          </cell>
          <cell r="Z399">
            <v>93</v>
          </cell>
          <cell r="AA399">
            <v>73</v>
          </cell>
          <cell r="AB399">
            <v>93</v>
          </cell>
          <cell r="AC399">
            <v>104</v>
          </cell>
          <cell r="AD399">
            <v>20</v>
          </cell>
          <cell r="AE399">
            <v>15</v>
          </cell>
          <cell r="AF399">
            <v>58</v>
          </cell>
          <cell r="AG399">
            <v>128</v>
          </cell>
          <cell r="AH399">
            <v>100</v>
          </cell>
          <cell r="AI399">
            <v>80</v>
          </cell>
          <cell r="AJ399">
            <v>311</v>
          </cell>
          <cell r="AK399">
            <v>65</v>
          </cell>
          <cell r="AL399">
            <v>79</v>
          </cell>
          <cell r="AM399">
            <v>71</v>
          </cell>
          <cell r="AN399">
            <v>69</v>
          </cell>
          <cell r="AO399">
            <v>73</v>
          </cell>
          <cell r="AP399">
            <v>35</v>
          </cell>
          <cell r="AQ399">
            <v>348</v>
          </cell>
          <cell r="AR399">
            <v>62</v>
          </cell>
          <cell r="AS399">
            <v>43</v>
          </cell>
          <cell r="AT399">
            <v>89</v>
          </cell>
          <cell r="AU399">
            <v>60</v>
          </cell>
          <cell r="AV399">
            <v>62</v>
          </cell>
          <cell r="AW399">
            <v>64</v>
          </cell>
          <cell r="AX399">
            <v>76</v>
          </cell>
          <cell r="AY399">
            <v>47</v>
          </cell>
          <cell r="AZ399">
            <v>53</v>
          </cell>
          <cell r="BA399">
            <v>65</v>
          </cell>
          <cell r="BB399">
            <v>78</v>
          </cell>
          <cell r="BC399">
            <v>62</v>
          </cell>
          <cell r="BD399">
            <v>55</v>
          </cell>
          <cell r="BE399">
            <v>36</v>
          </cell>
          <cell r="BF399">
            <v>65</v>
          </cell>
          <cell r="BG399">
            <v>78</v>
          </cell>
          <cell r="BH399">
            <v>74</v>
          </cell>
          <cell r="BI399">
            <v>779</v>
          </cell>
          <cell r="BJ399">
            <v>59</v>
          </cell>
          <cell r="BK399">
            <v>94</v>
          </cell>
          <cell r="BL399">
            <v>73</v>
          </cell>
          <cell r="BM399">
            <v>64</v>
          </cell>
          <cell r="BN399">
            <v>46</v>
          </cell>
          <cell r="BO399">
            <v>53</v>
          </cell>
          <cell r="BP399">
            <v>353</v>
          </cell>
          <cell r="BQ399">
            <v>71</v>
          </cell>
          <cell r="BR399">
            <v>65</v>
          </cell>
          <cell r="BS399">
            <v>68</v>
          </cell>
          <cell r="BT399">
            <v>35</v>
          </cell>
          <cell r="BU399">
            <v>74</v>
          </cell>
          <cell r="BV399">
            <v>47</v>
          </cell>
          <cell r="BW399">
            <v>48</v>
          </cell>
          <cell r="BX399">
            <v>50</v>
          </cell>
          <cell r="BY399">
            <v>45</v>
          </cell>
          <cell r="BZ399">
            <v>84</v>
          </cell>
          <cell r="CA399">
            <v>48</v>
          </cell>
          <cell r="CB399">
            <v>59</v>
          </cell>
          <cell r="CC399">
            <v>49</v>
          </cell>
          <cell r="CD399">
            <v>58</v>
          </cell>
          <cell r="CE399">
            <v>22</v>
          </cell>
          <cell r="CF399">
            <v>8</v>
          </cell>
          <cell r="CG399">
            <v>29</v>
          </cell>
          <cell r="CH399">
            <v>44</v>
          </cell>
          <cell r="CI399">
            <v>70</v>
          </cell>
          <cell r="CJ399">
            <v>56</v>
          </cell>
          <cell r="CK399">
            <v>81</v>
          </cell>
          <cell r="CL399">
            <v>66</v>
          </cell>
          <cell r="CM399">
            <v>58</v>
          </cell>
          <cell r="CN399">
            <v>47</v>
          </cell>
          <cell r="CO399">
            <v>79</v>
          </cell>
          <cell r="CP399">
            <v>57</v>
          </cell>
          <cell r="CQ399">
            <v>665</v>
          </cell>
          <cell r="CR399">
            <v>62</v>
          </cell>
          <cell r="CS399">
            <v>63</v>
          </cell>
          <cell r="CT399">
            <v>44</v>
          </cell>
          <cell r="CU399">
            <v>62</v>
          </cell>
          <cell r="CV399">
            <v>62</v>
          </cell>
          <cell r="CW399">
            <v>52</v>
          </cell>
          <cell r="CX399">
            <v>55</v>
          </cell>
          <cell r="CY399">
            <v>62</v>
          </cell>
          <cell r="CZ399">
            <v>40</v>
          </cell>
          <cell r="DA399">
            <v>80</v>
          </cell>
          <cell r="DB399">
            <v>49</v>
          </cell>
          <cell r="DC399">
            <v>59</v>
          </cell>
          <cell r="DD399">
            <v>54</v>
          </cell>
          <cell r="DE399" t="str">
            <v>ACTIVO</v>
          </cell>
          <cell r="DF399" t="str">
            <v/>
          </cell>
          <cell r="DH399">
            <v>80.16</v>
          </cell>
          <cell r="DI399">
            <v>13.36</v>
          </cell>
        </row>
        <row r="400">
          <cell r="B400">
            <v>103105</v>
          </cell>
          <cell r="C400" t="str">
            <v>ACEITE VEGETAL 1000 CC. EGC</v>
          </cell>
          <cell r="CH400">
            <v>12</v>
          </cell>
          <cell r="CJ400">
            <v>27</v>
          </cell>
          <cell r="CK400">
            <v>258</v>
          </cell>
          <cell r="CL400">
            <v>68</v>
          </cell>
          <cell r="CM400">
            <v>6</v>
          </cell>
          <cell r="CO400">
            <v>17</v>
          </cell>
          <cell r="CT400">
            <v>35</v>
          </cell>
          <cell r="CU400">
            <v>75</v>
          </cell>
          <cell r="CV400">
            <v>40</v>
          </cell>
          <cell r="CW400">
            <v>25</v>
          </cell>
          <cell r="CX400">
            <v>25</v>
          </cell>
          <cell r="DE400" t="str">
            <v>ACTIVO</v>
          </cell>
          <cell r="DF400" t="str">
            <v/>
          </cell>
          <cell r="DH400">
            <v>53.454545454545453</v>
          </cell>
          <cell r="DI400">
            <v>8.9090909090909083</v>
          </cell>
        </row>
        <row r="401">
          <cell r="B401">
            <v>103104</v>
          </cell>
          <cell r="C401" t="str">
            <v>ACEITE VEGETAL 5000 CC. EGC</v>
          </cell>
          <cell r="D401">
            <v>145</v>
          </cell>
          <cell r="E401">
            <v>215</v>
          </cell>
          <cell r="F401">
            <v>260</v>
          </cell>
          <cell r="G401">
            <v>165</v>
          </cell>
          <cell r="H401">
            <v>90</v>
          </cell>
          <cell r="I401">
            <v>130</v>
          </cell>
          <cell r="J401">
            <v>65</v>
          </cell>
          <cell r="K401">
            <v>100</v>
          </cell>
          <cell r="L401">
            <v>215</v>
          </cell>
          <cell r="M401">
            <v>95</v>
          </cell>
          <cell r="N401">
            <v>85</v>
          </cell>
          <cell r="O401">
            <v>10</v>
          </cell>
          <cell r="P401">
            <v>135</v>
          </cell>
          <cell r="Q401">
            <v>70</v>
          </cell>
          <cell r="R401">
            <v>120</v>
          </cell>
          <cell r="S401">
            <v>120</v>
          </cell>
          <cell r="T401">
            <v>110</v>
          </cell>
          <cell r="U401">
            <v>135</v>
          </cell>
          <cell r="V401">
            <v>90</v>
          </cell>
          <cell r="W401">
            <v>75</v>
          </cell>
          <cell r="X401">
            <v>110</v>
          </cell>
          <cell r="Y401">
            <v>70</v>
          </cell>
          <cell r="Z401">
            <v>20</v>
          </cell>
          <cell r="AA401">
            <v>100</v>
          </cell>
          <cell r="AB401">
            <v>105</v>
          </cell>
          <cell r="AC401">
            <v>40</v>
          </cell>
          <cell r="AD401">
            <v>10</v>
          </cell>
          <cell r="AE401">
            <v>65</v>
          </cell>
          <cell r="AF401">
            <v>71</v>
          </cell>
          <cell r="AG401">
            <v>89</v>
          </cell>
          <cell r="AH401">
            <v>110</v>
          </cell>
          <cell r="AI401">
            <v>175</v>
          </cell>
          <cell r="AJ401">
            <v>110</v>
          </cell>
          <cell r="AK401">
            <v>140</v>
          </cell>
          <cell r="AL401">
            <v>110</v>
          </cell>
          <cell r="AM401">
            <v>95</v>
          </cell>
          <cell r="AN401">
            <v>155</v>
          </cell>
          <cell r="AO401">
            <v>65</v>
          </cell>
          <cell r="AP401">
            <v>45</v>
          </cell>
          <cell r="AQ401">
            <v>150</v>
          </cell>
          <cell r="AR401">
            <v>105</v>
          </cell>
          <cell r="AS401">
            <v>135</v>
          </cell>
          <cell r="AT401">
            <v>145</v>
          </cell>
          <cell r="AU401">
            <v>180</v>
          </cell>
          <cell r="AV401">
            <v>140</v>
          </cell>
          <cell r="AW401">
            <v>60</v>
          </cell>
          <cell r="AX401">
            <v>115</v>
          </cell>
          <cell r="AY401">
            <v>50</v>
          </cell>
          <cell r="AZ401">
            <v>60</v>
          </cell>
          <cell r="BA401">
            <v>100</v>
          </cell>
          <cell r="BB401">
            <v>80</v>
          </cell>
          <cell r="BC401">
            <v>95</v>
          </cell>
          <cell r="BD401">
            <v>85</v>
          </cell>
          <cell r="BE401">
            <v>160</v>
          </cell>
          <cell r="BF401">
            <v>55</v>
          </cell>
          <cell r="BG401">
            <v>120</v>
          </cell>
          <cell r="BH401">
            <v>140</v>
          </cell>
          <cell r="BI401">
            <v>45</v>
          </cell>
          <cell r="BJ401">
            <v>130</v>
          </cell>
          <cell r="BK401">
            <v>65</v>
          </cell>
          <cell r="BL401">
            <v>190</v>
          </cell>
          <cell r="BM401">
            <v>165</v>
          </cell>
          <cell r="BN401">
            <v>145</v>
          </cell>
          <cell r="BO401">
            <v>205</v>
          </cell>
          <cell r="BP401">
            <v>95</v>
          </cell>
          <cell r="BQ401">
            <v>125</v>
          </cell>
          <cell r="BR401">
            <v>245</v>
          </cell>
          <cell r="BS401">
            <v>250</v>
          </cell>
          <cell r="BT401">
            <v>190</v>
          </cell>
          <cell r="BU401">
            <v>225</v>
          </cell>
          <cell r="BV401">
            <v>145</v>
          </cell>
          <cell r="BW401">
            <v>160</v>
          </cell>
          <cell r="BX401">
            <v>155</v>
          </cell>
          <cell r="BY401">
            <v>195</v>
          </cell>
          <cell r="BZ401">
            <v>185</v>
          </cell>
          <cell r="CA401">
            <v>253.5</v>
          </cell>
          <cell r="CB401">
            <v>105</v>
          </cell>
          <cell r="CC401">
            <v>185</v>
          </cell>
          <cell r="CD401">
            <v>266.5</v>
          </cell>
          <cell r="CE401">
            <v>100</v>
          </cell>
          <cell r="CF401">
            <v>20</v>
          </cell>
          <cell r="CG401">
            <v>235</v>
          </cell>
          <cell r="CH401">
            <v>179</v>
          </cell>
          <cell r="CI401">
            <v>202</v>
          </cell>
          <cell r="CJ401">
            <v>188</v>
          </cell>
          <cell r="CK401">
            <v>68</v>
          </cell>
          <cell r="CL401">
            <v>209</v>
          </cell>
          <cell r="CM401">
            <v>127</v>
          </cell>
          <cell r="CN401">
            <v>225</v>
          </cell>
          <cell r="CO401">
            <v>181</v>
          </cell>
          <cell r="CP401">
            <v>222</v>
          </cell>
          <cell r="CQ401">
            <v>188</v>
          </cell>
          <cell r="CR401">
            <v>203</v>
          </cell>
          <cell r="CS401">
            <v>157</v>
          </cell>
          <cell r="CT401">
            <v>243</v>
          </cell>
          <cell r="CU401">
            <v>231</v>
          </cell>
          <cell r="CV401">
            <v>315</v>
          </cell>
          <cell r="CW401">
            <v>310</v>
          </cell>
          <cell r="CX401">
            <v>145</v>
          </cell>
          <cell r="CY401">
            <v>390</v>
          </cell>
          <cell r="CZ401">
            <v>225</v>
          </cell>
          <cell r="DA401">
            <v>215</v>
          </cell>
          <cell r="DB401">
            <v>290</v>
          </cell>
          <cell r="DC401">
            <v>250</v>
          </cell>
          <cell r="DD401">
            <v>190</v>
          </cell>
          <cell r="DE401" t="str">
            <v>ACTIVO</v>
          </cell>
          <cell r="DF401" t="str">
            <v>B</v>
          </cell>
          <cell r="DH401">
            <v>208.32</v>
          </cell>
          <cell r="DI401">
            <v>34.72</v>
          </cell>
        </row>
        <row r="402">
          <cell r="D402">
            <v>145</v>
          </cell>
          <cell r="E402">
            <v>215</v>
          </cell>
          <cell r="F402">
            <v>260</v>
          </cell>
          <cell r="G402">
            <v>165</v>
          </cell>
          <cell r="H402">
            <v>90</v>
          </cell>
          <cell r="I402">
            <v>130</v>
          </cell>
          <cell r="J402">
            <v>65</v>
          </cell>
          <cell r="K402">
            <v>100</v>
          </cell>
          <cell r="L402">
            <v>215</v>
          </cell>
          <cell r="M402">
            <v>95</v>
          </cell>
          <cell r="N402">
            <v>85</v>
          </cell>
          <cell r="O402">
            <v>10</v>
          </cell>
          <cell r="P402">
            <v>135</v>
          </cell>
          <cell r="Q402">
            <v>70</v>
          </cell>
          <cell r="R402">
            <v>120</v>
          </cell>
          <cell r="S402">
            <v>120</v>
          </cell>
          <cell r="T402">
            <v>110</v>
          </cell>
          <cell r="U402">
            <v>135</v>
          </cell>
          <cell r="V402">
            <v>90</v>
          </cell>
          <cell r="W402">
            <v>75</v>
          </cell>
          <cell r="X402">
            <v>110</v>
          </cell>
          <cell r="Y402">
            <v>70</v>
          </cell>
          <cell r="Z402">
            <v>20</v>
          </cell>
          <cell r="AA402">
            <v>100</v>
          </cell>
          <cell r="AB402">
            <v>105</v>
          </cell>
          <cell r="AC402">
            <v>40</v>
          </cell>
          <cell r="AD402">
            <v>10</v>
          </cell>
          <cell r="AE402">
            <v>65</v>
          </cell>
          <cell r="AF402">
            <v>71</v>
          </cell>
          <cell r="AG402">
            <v>89</v>
          </cell>
          <cell r="AH402">
            <v>110</v>
          </cell>
          <cell r="AI402">
            <v>175</v>
          </cell>
          <cell r="AJ402">
            <v>110</v>
          </cell>
          <cell r="AK402">
            <v>140</v>
          </cell>
          <cell r="AL402">
            <v>110</v>
          </cell>
          <cell r="AM402">
            <v>95</v>
          </cell>
          <cell r="AN402">
            <v>155</v>
          </cell>
          <cell r="AO402">
            <v>65</v>
          </cell>
          <cell r="AP402">
            <v>45</v>
          </cell>
          <cell r="AQ402">
            <v>150</v>
          </cell>
          <cell r="AR402">
            <v>105</v>
          </cell>
          <cell r="AS402">
            <v>135</v>
          </cell>
          <cell r="AT402">
            <v>145</v>
          </cell>
          <cell r="AU402">
            <v>180</v>
          </cell>
          <cell r="AV402">
            <v>140</v>
          </cell>
          <cell r="AW402">
            <v>60</v>
          </cell>
          <cell r="AX402">
            <v>115</v>
          </cell>
          <cell r="AY402">
            <v>50</v>
          </cell>
          <cell r="AZ402">
            <v>60</v>
          </cell>
          <cell r="BA402">
            <v>100</v>
          </cell>
          <cell r="BB402">
            <v>80</v>
          </cell>
          <cell r="BC402">
            <v>95</v>
          </cell>
          <cell r="BD402">
            <v>85</v>
          </cell>
          <cell r="BE402">
            <v>160</v>
          </cell>
          <cell r="BF402">
            <v>55</v>
          </cell>
          <cell r="BG402">
            <v>120</v>
          </cell>
          <cell r="BH402">
            <v>140</v>
          </cell>
          <cell r="BI402">
            <v>45</v>
          </cell>
          <cell r="BJ402">
            <v>130</v>
          </cell>
          <cell r="BK402">
            <v>65</v>
          </cell>
          <cell r="BL402">
            <v>190</v>
          </cell>
          <cell r="BM402">
            <v>165</v>
          </cell>
          <cell r="BN402">
            <v>145</v>
          </cell>
          <cell r="BO402">
            <v>205</v>
          </cell>
          <cell r="BP402">
            <v>95</v>
          </cell>
          <cell r="BQ402">
            <v>125</v>
          </cell>
          <cell r="BR402">
            <v>245</v>
          </cell>
          <cell r="BS402">
            <v>250</v>
          </cell>
          <cell r="BT402">
            <v>190</v>
          </cell>
          <cell r="BU402">
            <v>225</v>
          </cell>
          <cell r="BV402">
            <v>145</v>
          </cell>
          <cell r="BW402">
            <v>160</v>
          </cell>
          <cell r="BX402">
            <v>155</v>
          </cell>
          <cell r="BY402">
            <v>195</v>
          </cell>
          <cell r="BZ402">
            <v>185</v>
          </cell>
          <cell r="CA402">
            <v>253.5</v>
          </cell>
          <cell r="CB402">
            <v>105</v>
          </cell>
          <cell r="CC402">
            <v>185</v>
          </cell>
          <cell r="CD402">
            <v>266.5</v>
          </cell>
          <cell r="CE402">
            <v>100</v>
          </cell>
          <cell r="CF402">
            <v>20</v>
          </cell>
          <cell r="CG402">
            <v>235</v>
          </cell>
          <cell r="CH402">
            <v>191</v>
          </cell>
          <cell r="CI402">
            <v>202</v>
          </cell>
          <cell r="CJ402">
            <v>215</v>
          </cell>
          <cell r="CK402">
            <v>326</v>
          </cell>
          <cell r="CL402">
            <v>277</v>
          </cell>
          <cell r="CM402">
            <v>133</v>
          </cell>
          <cell r="CN402">
            <v>225</v>
          </cell>
          <cell r="CO402">
            <v>198</v>
          </cell>
          <cell r="CP402">
            <v>222</v>
          </cell>
          <cell r="CQ402">
            <v>188</v>
          </cell>
          <cell r="CR402">
            <v>203</v>
          </cell>
          <cell r="CS402">
            <v>157</v>
          </cell>
          <cell r="CT402">
            <v>278</v>
          </cell>
          <cell r="CU402">
            <v>306</v>
          </cell>
          <cell r="CV402">
            <v>355</v>
          </cell>
          <cell r="CW402">
            <v>335</v>
          </cell>
          <cell r="CX402">
            <v>170</v>
          </cell>
          <cell r="CY402">
            <v>390</v>
          </cell>
          <cell r="CZ402">
            <v>225</v>
          </cell>
          <cell r="DA402">
            <v>215</v>
          </cell>
          <cell r="DB402">
            <v>290</v>
          </cell>
          <cell r="DC402">
            <v>250</v>
          </cell>
          <cell r="DD402">
            <v>190</v>
          </cell>
          <cell r="DE402" t="str">
            <v>ACTIVO</v>
          </cell>
          <cell r="DF402" t="str">
            <v/>
          </cell>
          <cell r="DH402">
            <v>231.84</v>
          </cell>
          <cell r="DI402">
            <v>38.64</v>
          </cell>
        </row>
        <row r="403">
          <cell r="B403">
            <v>107176</v>
          </cell>
          <cell r="C403" t="str">
            <v>RON TILICURA</v>
          </cell>
          <cell r="AC403">
            <v>20</v>
          </cell>
          <cell r="AO403">
            <v>16</v>
          </cell>
          <cell r="AP403">
            <v>4</v>
          </cell>
          <cell r="DE403" t="str">
            <v>SIN USO</v>
          </cell>
          <cell r="DF403" t="str">
            <v>C</v>
          </cell>
          <cell r="DH403">
            <v>0</v>
          </cell>
          <cell r="DI403">
            <v>0</v>
          </cell>
        </row>
        <row r="404">
          <cell r="B404">
            <v>170174</v>
          </cell>
          <cell r="C404" t="str">
            <v>RON DORADO</v>
          </cell>
          <cell r="G404">
            <v>20</v>
          </cell>
          <cell r="H404">
            <v>8</v>
          </cell>
          <cell r="I404">
            <v>2</v>
          </cell>
          <cell r="J404">
            <v>8</v>
          </cell>
          <cell r="K404">
            <v>17</v>
          </cell>
          <cell r="N404">
            <v>10</v>
          </cell>
          <cell r="P404">
            <v>11</v>
          </cell>
          <cell r="AX404">
            <v>12</v>
          </cell>
          <cell r="BA404">
            <v>9</v>
          </cell>
          <cell r="DE404" t="str">
            <v>SIN USO</v>
          </cell>
          <cell r="DF404" t="str">
            <v>C</v>
          </cell>
          <cell r="DH404">
            <v>0</v>
          </cell>
          <cell r="DI404">
            <v>0</v>
          </cell>
        </row>
        <row r="405">
          <cell r="B405">
            <v>405398</v>
          </cell>
          <cell r="C405" t="str">
            <v>RON DORADO CABO VIEJO 750CC</v>
          </cell>
          <cell r="P405">
            <v>4</v>
          </cell>
          <cell r="S405">
            <v>13</v>
          </cell>
          <cell r="T405">
            <v>14</v>
          </cell>
          <cell r="W405">
            <v>12</v>
          </cell>
          <cell r="X405">
            <v>8</v>
          </cell>
          <cell r="AU405">
            <v>15</v>
          </cell>
          <cell r="BA405">
            <v>1</v>
          </cell>
          <cell r="DE405" t="str">
            <v>SIN USO</v>
          </cell>
          <cell r="DF405" t="str">
            <v>C</v>
          </cell>
          <cell r="DH405">
            <v>0</v>
          </cell>
          <cell r="DI405">
            <v>0</v>
          </cell>
        </row>
        <row r="406">
          <cell r="G406">
            <v>20</v>
          </cell>
          <cell r="H406">
            <v>8</v>
          </cell>
          <cell r="I406">
            <v>2</v>
          </cell>
          <cell r="J406">
            <v>8</v>
          </cell>
          <cell r="K406">
            <v>17</v>
          </cell>
          <cell r="N406">
            <v>10</v>
          </cell>
          <cell r="P406">
            <v>15</v>
          </cell>
          <cell r="S406">
            <v>13</v>
          </cell>
          <cell r="T406">
            <v>14</v>
          </cell>
          <cell r="W406">
            <v>12</v>
          </cell>
          <cell r="X406">
            <v>8</v>
          </cell>
          <cell r="AC406">
            <v>20</v>
          </cell>
          <cell r="AO406">
            <v>16</v>
          </cell>
          <cell r="AP406">
            <v>4</v>
          </cell>
          <cell r="AU406">
            <v>15</v>
          </cell>
          <cell r="AX406">
            <v>12</v>
          </cell>
          <cell r="BA406">
            <v>10</v>
          </cell>
          <cell r="DE406" t="str">
            <v>ACTIVO</v>
          </cell>
          <cell r="DF406" t="str">
            <v/>
          </cell>
          <cell r="DH406">
            <v>0</v>
          </cell>
          <cell r="DI406">
            <v>0</v>
          </cell>
        </row>
        <row r="407">
          <cell r="B407">
            <v>402130</v>
          </cell>
          <cell r="C407" t="str">
            <v>NUEZ PICADILLO LAS TRES ERRES</v>
          </cell>
          <cell r="F407">
            <v>35</v>
          </cell>
          <cell r="G407">
            <v>30</v>
          </cell>
          <cell r="H407">
            <v>20</v>
          </cell>
          <cell r="I407">
            <v>25</v>
          </cell>
          <cell r="J407">
            <v>35</v>
          </cell>
          <cell r="K407">
            <v>45</v>
          </cell>
          <cell r="L407">
            <v>50</v>
          </cell>
          <cell r="M407">
            <v>50</v>
          </cell>
          <cell r="N407">
            <v>80</v>
          </cell>
          <cell r="O407">
            <v>10</v>
          </cell>
          <cell r="P407">
            <v>25</v>
          </cell>
          <cell r="Q407">
            <v>65</v>
          </cell>
          <cell r="R407">
            <v>105</v>
          </cell>
          <cell r="S407">
            <v>35</v>
          </cell>
          <cell r="T407">
            <v>25</v>
          </cell>
          <cell r="U407">
            <v>25</v>
          </cell>
          <cell r="V407">
            <v>40</v>
          </cell>
          <cell r="W407">
            <v>40</v>
          </cell>
          <cell r="X407">
            <v>35</v>
          </cell>
          <cell r="Y407">
            <v>115</v>
          </cell>
          <cell r="Z407">
            <v>45</v>
          </cell>
          <cell r="AA407">
            <v>25</v>
          </cell>
          <cell r="AB407">
            <v>30</v>
          </cell>
          <cell r="AC407">
            <v>25</v>
          </cell>
          <cell r="AD407">
            <v>15</v>
          </cell>
          <cell r="AE407">
            <v>15</v>
          </cell>
          <cell r="AF407">
            <v>40</v>
          </cell>
          <cell r="AG407">
            <v>40</v>
          </cell>
          <cell r="AH407">
            <v>95</v>
          </cell>
          <cell r="AI407">
            <v>35</v>
          </cell>
          <cell r="AJ407">
            <v>55</v>
          </cell>
          <cell r="AK407">
            <v>35</v>
          </cell>
          <cell r="AL407">
            <v>40</v>
          </cell>
          <cell r="AM407">
            <v>35</v>
          </cell>
          <cell r="AN407">
            <v>25</v>
          </cell>
          <cell r="AO407">
            <v>30</v>
          </cell>
          <cell r="AP407">
            <v>55</v>
          </cell>
          <cell r="AQ407">
            <v>25</v>
          </cell>
          <cell r="AR407">
            <v>35</v>
          </cell>
          <cell r="AS407">
            <v>55</v>
          </cell>
          <cell r="AT407">
            <v>45</v>
          </cell>
          <cell r="AU407">
            <v>35</v>
          </cell>
          <cell r="AV407">
            <v>40</v>
          </cell>
          <cell r="AW407">
            <v>30</v>
          </cell>
          <cell r="AX407">
            <v>35</v>
          </cell>
          <cell r="AY407">
            <v>60</v>
          </cell>
          <cell r="AZ407">
            <v>45</v>
          </cell>
          <cell r="BA407">
            <v>20</v>
          </cell>
          <cell r="BJ407">
            <v>10</v>
          </cell>
          <cell r="BK407">
            <v>25</v>
          </cell>
          <cell r="BL407">
            <v>45</v>
          </cell>
          <cell r="BM407">
            <v>65</v>
          </cell>
          <cell r="BN407">
            <v>45</v>
          </cell>
          <cell r="BO407">
            <v>5</v>
          </cell>
          <cell r="CA407">
            <v>40</v>
          </cell>
          <cell r="CB407">
            <v>35</v>
          </cell>
          <cell r="CC407">
            <v>10</v>
          </cell>
          <cell r="CD407">
            <v>15</v>
          </cell>
          <cell r="CP407">
            <v>40</v>
          </cell>
          <cell r="CQ407">
            <v>55</v>
          </cell>
          <cell r="CR407">
            <v>55</v>
          </cell>
          <cell r="CS407">
            <v>20</v>
          </cell>
          <cell r="CT407">
            <v>15</v>
          </cell>
          <cell r="CU407">
            <v>55</v>
          </cell>
          <cell r="CV407">
            <v>50</v>
          </cell>
          <cell r="CW407">
            <v>45</v>
          </cell>
          <cell r="CX407">
            <v>40</v>
          </cell>
          <cell r="CY407">
            <v>60</v>
          </cell>
          <cell r="CZ407">
            <v>55</v>
          </cell>
          <cell r="DA407">
            <v>65</v>
          </cell>
          <cell r="DB407">
            <v>50</v>
          </cell>
          <cell r="DC407">
            <v>70</v>
          </cell>
          <cell r="DD407">
            <v>65</v>
          </cell>
          <cell r="DE407" t="str">
            <v>ACTIVO</v>
          </cell>
          <cell r="DF407" t="str">
            <v>C</v>
          </cell>
          <cell r="DH407">
            <v>49.333333333333336</v>
          </cell>
          <cell r="DI407">
            <v>8.2222222222222232</v>
          </cell>
        </row>
        <row r="408">
          <cell r="B408">
            <v>405543</v>
          </cell>
          <cell r="C408" t="str">
            <v>NUEZ PICADILLO CAMPOS</v>
          </cell>
          <cell r="BB408">
            <v>100</v>
          </cell>
          <cell r="BC408">
            <v>35</v>
          </cell>
          <cell r="BD408">
            <v>123.69</v>
          </cell>
          <cell r="BE408">
            <v>45</v>
          </cell>
          <cell r="BF408">
            <v>50</v>
          </cell>
          <cell r="BG408">
            <v>60</v>
          </cell>
          <cell r="BH408">
            <v>65</v>
          </cell>
          <cell r="BI408">
            <v>80</v>
          </cell>
          <cell r="BJ408">
            <v>50</v>
          </cell>
          <cell r="BK408">
            <v>20</v>
          </cell>
          <cell r="BL408">
            <v>20</v>
          </cell>
          <cell r="BO408">
            <v>65</v>
          </cell>
          <cell r="BP408">
            <v>20</v>
          </cell>
          <cell r="BQ408">
            <v>70</v>
          </cell>
          <cell r="BR408">
            <v>85</v>
          </cell>
          <cell r="BS408">
            <v>80</v>
          </cell>
          <cell r="BT408">
            <v>45</v>
          </cell>
          <cell r="BU408">
            <v>70</v>
          </cell>
          <cell r="BV408">
            <v>45</v>
          </cell>
          <cell r="BW408">
            <v>45</v>
          </cell>
          <cell r="BX408">
            <v>45</v>
          </cell>
          <cell r="BY408">
            <v>45</v>
          </cell>
          <cell r="BZ408">
            <v>60</v>
          </cell>
          <cell r="CA408">
            <v>15</v>
          </cell>
          <cell r="CB408">
            <v>5</v>
          </cell>
          <cell r="CC408">
            <v>55</v>
          </cell>
          <cell r="CD408">
            <v>25</v>
          </cell>
          <cell r="CE408">
            <v>25</v>
          </cell>
          <cell r="CF408">
            <v>10</v>
          </cell>
          <cell r="CG408">
            <v>50</v>
          </cell>
          <cell r="CH408">
            <v>45</v>
          </cell>
          <cell r="CI408">
            <v>110</v>
          </cell>
          <cell r="CJ408">
            <v>45</v>
          </cell>
          <cell r="CK408">
            <v>60</v>
          </cell>
          <cell r="CL408">
            <v>50</v>
          </cell>
          <cell r="CM408">
            <v>50</v>
          </cell>
          <cell r="CN408">
            <v>45</v>
          </cell>
          <cell r="CO408">
            <v>65</v>
          </cell>
          <cell r="CP408">
            <v>10</v>
          </cell>
          <cell r="CQ408">
            <v>5</v>
          </cell>
          <cell r="CS408">
            <v>40</v>
          </cell>
          <cell r="CT408">
            <v>75</v>
          </cell>
          <cell r="CV408">
            <v>5</v>
          </cell>
          <cell r="CW408">
            <v>10</v>
          </cell>
          <cell r="CX408">
            <v>10</v>
          </cell>
          <cell r="DE408" t="str">
            <v>ACTIVO</v>
          </cell>
          <cell r="DF408" t="str">
            <v>B</v>
          </cell>
          <cell r="DH408">
            <v>40.294117647058826</v>
          </cell>
          <cell r="DI408">
            <v>6.715686274509804</v>
          </cell>
        </row>
        <row r="409">
          <cell r="B409">
            <v>107351</v>
          </cell>
          <cell r="C409" t="str">
            <v>PASA MORENA</v>
          </cell>
          <cell r="G409">
            <v>10</v>
          </cell>
          <cell r="H409">
            <v>20</v>
          </cell>
          <cell r="I409">
            <v>20</v>
          </cell>
          <cell r="J409">
            <v>20</v>
          </cell>
          <cell r="K409">
            <v>40</v>
          </cell>
          <cell r="L409">
            <v>30</v>
          </cell>
          <cell r="M409">
            <v>140</v>
          </cell>
          <cell r="N409">
            <v>50</v>
          </cell>
          <cell r="O409">
            <v>10</v>
          </cell>
          <cell r="P409">
            <v>61</v>
          </cell>
          <cell r="Q409">
            <v>80</v>
          </cell>
          <cell r="R409">
            <v>30</v>
          </cell>
          <cell r="S409">
            <v>60</v>
          </cell>
          <cell r="T409">
            <v>30</v>
          </cell>
          <cell r="U409">
            <v>50</v>
          </cell>
          <cell r="V409">
            <v>50</v>
          </cell>
          <cell r="W409">
            <v>40</v>
          </cell>
          <cell r="X409">
            <v>60</v>
          </cell>
          <cell r="Y409">
            <v>40</v>
          </cell>
          <cell r="Z409">
            <v>40</v>
          </cell>
          <cell r="AA409">
            <v>41</v>
          </cell>
          <cell r="AB409">
            <v>40</v>
          </cell>
          <cell r="AC409">
            <v>50</v>
          </cell>
          <cell r="AD409">
            <v>10</v>
          </cell>
          <cell r="AF409">
            <v>70</v>
          </cell>
          <cell r="AG409">
            <v>40</v>
          </cell>
          <cell r="AH409">
            <v>20</v>
          </cell>
          <cell r="AI409">
            <v>42</v>
          </cell>
          <cell r="AJ409">
            <v>40</v>
          </cell>
          <cell r="AK409">
            <v>52</v>
          </cell>
          <cell r="AL409">
            <v>38</v>
          </cell>
          <cell r="AM409">
            <v>44</v>
          </cell>
          <cell r="AN409">
            <v>53</v>
          </cell>
          <cell r="AO409">
            <v>26</v>
          </cell>
          <cell r="AP409">
            <v>34</v>
          </cell>
          <cell r="AQ409">
            <v>60</v>
          </cell>
          <cell r="AR409">
            <v>26</v>
          </cell>
          <cell r="AS409">
            <v>58</v>
          </cell>
          <cell r="AT409">
            <v>50</v>
          </cell>
          <cell r="AU409">
            <v>70</v>
          </cell>
          <cell r="AV409">
            <v>30</v>
          </cell>
          <cell r="AW409">
            <v>46</v>
          </cell>
          <cell r="AX409">
            <v>25</v>
          </cell>
          <cell r="AY409">
            <v>19</v>
          </cell>
          <cell r="AZ409">
            <v>31</v>
          </cell>
          <cell r="BA409">
            <v>58</v>
          </cell>
          <cell r="BB409">
            <v>58</v>
          </cell>
          <cell r="BC409">
            <v>49</v>
          </cell>
          <cell r="BD409">
            <v>44</v>
          </cell>
          <cell r="BE409">
            <v>48</v>
          </cell>
          <cell r="BF409">
            <v>63</v>
          </cell>
          <cell r="BG409">
            <v>40</v>
          </cell>
          <cell r="BH409">
            <v>74</v>
          </cell>
          <cell r="BI409">
            <v>50</v>
          </cell>
          <cell r="BJ409">
            <v>41</v>
          </cell>
          <cell r="BK409">
            <v>48</v>
          </cell>
          <cell r="BL409">
            <v>53</v>
          </cell>
          <cell r="BM409">
            <v>47</v>
          </cell>
          <cell r="BN409">
            <v>45</v>
          </cell>
          <cell r="BO409">
            <v>50</v>
          </cell>
          <cell r="BP409">
            <v>6</v>
          </cell>
          <cell r="BQ409">
            <v>72</v>
          </cell>
          <cell r="BR409">
            <v>66</v>
          </cell>
          <cell r="BS409">
            <v>50</v>
          </cell>
          <cell r="BT409">
            <v>45</v>
          </cell>
          <cell r="BU409">
            <v>62</v>
          </cell>
          <cell r="BV409">
            <v>38</v>
          </cell>
          <cell r="BW409">
            <v>36</v>
          </cell>
          <cell r="BX409">
            <v>27</v>
          </cell>
          <cell r="BY409">
            <v>24</v>
          </cell>
          <cell r="BZ409">
            <v>133</v>
          </cell>
          <cell r="CA409">
            <v>35</v>
          </cell>
          <cell r="CB409">
            <v>40</v>
          </cell>
          <cell r="CC409">
            <v>22</v>
          </cell>
          <cell r="CD409">
            <v>29</v>
          </cell>
          <cell r="CE409">
            <v>20</v>
          </cell>
          <cell r="CF409">
            <v>10</v>
          </cell>
          <cell r="CG409">
            <v>40</v>
          </cell>
          <cell r="CH409">
            <v>30</v>
          </cell>
          <cell r="CI409">
            <v>30</v>
          </cell>
          <cell r="CJ409">
            <v>50</v>
          </cell>
          <cell r="CK409">
            <v>70</v>
          </cell>
          <cell r="CL409">
            <v>60</v>
          </cell>
          <cell r="CM409">
            <v>60</v>
          </cell>
          <cell r="CN409">
            <v>60</v>
          </cell>
          <cell r="CO409">
            <v>60</v>
          </cell>
          <cell r="CP409">
            <v>60</v>
          </cell>
          <cell r="CQ409">
            <v>60</v>
          </cell>
          <cell r="CR409">
            <v>60</v>
          </cell>
          <cell r="CS409">
            <v>50</v>
          </cell>
          <cell r="CT409">
            <v>70</v>
          </cell>
          <cell r="CU409">
            <v>60</v>
          </cell>
          <cell r="CV409">
            <v>60</v>
          </cell>
          <cell r="CW409">
            <v>51</v>
          </cell>
          <cell r="CX409">
            <v>60</v>
          </cell>
          <cell r="CY409">
            <v>70</v>
          </cell>
          <cell r="CZ409">
            <v>60</v>
          </cell>
          <cell r="DA409">
            <v>60</v>
          </cell>
          <cell r="DB409">
            <v>70</v>
          </cell>
          <cell r="DC409">
            <v>60</v>
          </cell>
          <cell r="DD409">
            <v>70</v>
          </cell>
          <cell r="DE409" t="str">
            <v>ACTIVO</v>
          </cell>
          <cell r="DF409" t="str">
            <v>C</v>
          </cell>
          <cell r="DH409">
            <v>55.64</v>
          </cell>
          <cell r="DI409">
            <v>9.2733333333333334</v>
          </cell>
        </row>
        <row r="410">
          <cell r="B410">
            <v>106302</v>
          </cell>
          <cell r="C410" t="str">
            <v>CANELA EN POLVO ALTO LA CRUZ</v>
          </cell>
          <cell r="F410">
            <v>1</v>
          </cell>
          <cell r="G410">
            <v>3</v>
          </cell>
          <cell r="H410">
            <v>1</v>
          </cell>
          <cell r="I410">
            <v>2</v>
          </cell>
          <cell r="J410">
            <v>2</v>
          </cell>
          <cell r="K410">
            <v>1</v>
          </cell>
          <cell r="L410">
            <v>2</v>
          </cell>
          <cell r="M410">
            <v>3</v>
          </cell>
          <cell r="N410">
            <v>2</v>
          </cell>
          <cell r="O410">
            <v>1</v>
          </cell>
          <cell r="P410">
            <v>3</v>
          </cell>
          <cell r="Q410">
            <v>3</v>
          </cell>
          <cell r="R410">
            <v>3</v>
          </cell>
          <cell r="S410">
            <v>1</v>
          </cell>
          <cell r="T410">
            <v>2</v>
          </cell>
          <cell r="U410">
            <v>3</v>
          </cell>
          <cell r="V410">
            <v>2</v>
          </cell>
          <cell r="W410">
            <v>1</v>
          </cell>
          <cell r="X410">
            <v>3</v>
          </cell>
          <cell r="Y410">
            <v>1</v>
          </cell>
          <cell r="Z410">
            <v>2</v>
          </cell>
          <cell r="AA410">
            <v>3</v>
          </cell>
          <cell r="AB410">
            <v>2</v>
          </cell>
          <cell r="AC410">
            <v>2</v>
          </cell>
          <cell r="AD410">
            <v>1</v>
          </cell>
          <cell r="AF410">
            <v>2</v>
          </cell>
          <cell r="AG410">
            <v>1</v>
          </cell>
          <cell r="AH410">
            <v>1</v>
          </cell>
          <cell r="AI410">
            <v>3</v>
          </cell>
          <cell r="AJ410">
            <v>2</v>
          </cell>
          <cell r="AK410">
            <v>2</v>
          </cell>
          <cell r="AL410">
            <v>3</v>
          </cell>
          <cell r="AM410">
            <v>1</v>
          </cell>
          <cell r="AO410">
            <v>1</v>
          </cell>
          <cell r="AP410">
            <v>3</v>
          </cell>
          <cell r="AQ410">
            <v>2</v>
          </cell>
          <cell r="AR410">
            <v>1</v>
          </cell>
          <cell r="AS410">
            <v>2</v>
          </cell>
          <cell r="AT410">
            <v>2</v>
          </cell>
          <cell r="AU410">
            <v>1</v>
          </cell>
          <cell r="AV410">
            <v>2</v>
          </cell>
          <cell r="AW410">
            <v>2</v>
          </cell>
          <cell r="AX410">
            <v>2</v>
          </cell>
          <cell r="AY410">
            <v>10</v>
          </cell>
          <cell r="AZ410">
            <v>1</v>
          </cell>
          <cell r="BA410">
            <v>2</v>
          </cell>
          <cell r="BB410">
            <v>2</v>
          </cell>
          <cell r="BC410">
            <v>6</v>
          </cell>
          <cell r="BD410">
            <v>2</v>
          </cell>
          <cell r="BE410">
            <v>2</v>
          </cell>
          <cell r="BF410">
            <v>1</v>
          </cell>
          <cell r="BG410">
            <v>3</v>
          </cell>
          <cell r="BH410">
            <v>2</v>
          </cell>
          <cell r="BI410">
            <v>3</v>
          </cell>
          <cell r="BJ410">
            <v>7</v>
          </cell>
          <cell r="BK410">
            <v>8</v>
          </cell>
          <cell r="BL410">
            <v>2</v>
          </cell>
          <cell r="BM410">
            <v>7</v>
          </cell>
          <cell r="BN410">
            <v>4</v>
          </cell>
          <cell r="BO410">
            <v>3</v>
          </cell>
          <cell r="BP410">
            <v>1</v>
          </cell>
          <cell r="BQ410">
            <v>4</v>
          </cell>
          <cell r="BR410">
            <v>5</v>
          </cell>
          <cell r="BS410">
            <v>3</v>
          </cell>
          <cell r="BT410">
            <v>2</v>
          </cell>
          <cell r="BU410">
            <v>6</v>
          </cell>
          <cell r="BV410">
            <v>2</v>
          </cell>
          <cell r="BW410">
            <v>3</v>
          </cell>
          <cell r="BX410">
            <v>3</v>
          </cell>
          <cell r="BY410">
            <v>1</v>
          </cell>
          <cell r="BZ410">
            <v>5</v>
          </cell>
          <cell r="CA410">
            <v>2</v>
          </cell>
          <cell r="CB410">
            <v>2</v>
          </cell>
          <cell r="CC410">
            <v>2</v>
          </cell>
          <cell r="CD410">
            <v>3</v>
          </cell>
          <cell r="CE410">
            <v>1</v>
          </cell>
          <cell r="CG410">
            <v>2</v>
          </cell>
          <cell r="CH410">
            <v>2</v>
          </cell>
          <cell r="CI410">
            <v>2</v>
          </cell>
          <cell r="CJ410">
            <v>2</v>
          </cell>
          <cell r="CK410">
            <v>1</v>
          </cell>
          <cell r="CL410">
            <v>3</v>
          </cell>
          <cell r="CM410">
            <v>2</v>
          </cell>
          <cell r="CN410">
            <v>2</v>
          </cell>
          <cell r="CO410">
            <v>2</v>
          </cell>
          <cell r="CP410">
            <v>2</v>
          </cell>
          <cell r="CQ410">
            <v>4</v>
          </cell>
          <cell r="CR410">
            <v>4</v>
          </cell>
          <cell r="CS410">
            <v>6</v>
          </cell>
          <cell r="CT410">
            <v>2</v>
          </cell>
          <cell r="CU410">
            <v>3</v>
          </cell>
          <cell r="CV410">
            <v>2</v>
          </cell>
          <cell r="CW410">
            <v>3</v>
          </cell>
          <cell r="CX410">
            <v>3</v>
          </cell>
          <cell r="CY410">
            <v>2</v>
          </cell>
          <cell r="CZ410">
            <v>1</v>
          </cell>
          <cell r="DA410">
            <v>2</v>
          </cell>
          <cell r="DB410">
            <v>3</v>
          </cell>
          <cell r="DC410">
            <v>2</v>
          </cell>
          <cell r="DD410">
            <v>2</v>
          </cell>
          <cell r="DE410" t="str">
            <v>ACTIVO</v>
          </cell>
          <cell r="DF410" t="str">
            <v>C</v>
          </cell>
          <cell r="DH410">
            <v>2.4583333333333335</v>
          </cell>
          <cell r="DI410">
            <v>0.40972222222222227</v>
          </cell>
        </row>
        <row r="411">
          <cell r="B411">
            <v>106401</v>
          </cell>
          <cell r="C411" t="str">
            <v>CAFE POLVO WINKLER</v>
          </cell>
          <cell r="G411">
            <v>10</v>
          </cell>
          <cell r="H411">
            <v>4</v>
          </cell>
          <cell r="I411">
            <v>1.5</v>
          </cell>
          <cell r="J411">
            <v>7</v>
          </cell>
          <cell r="K411">
            <v>23.5</v>
          </cell>
          <cell r="N411">
            <v>10</v>
          </cell>
          <cell r="P411">
            <v>15</v>
          </cell>
          <cell r="S411">
            <v>18</v>
          </cell>
          <cell r="T411">
            <v>10</v>
          </cell>
          <cell r="W411">
            <v>1</v>
          </cell>
          <cell r="X411">
            <v>20</v>
          </cell>
          <cell r="AB411">
            <v>23</v>
          </cell>
          <cell r="AI411">
            <v>120.5</v>
          </cell>
          <cell r="AN411">
            <v>10</v>
          </cell>
          <cell r="AT411">
            <v>11</v>
          </cell>
          <cell r="AX411">
            <v>11.5</v>
          </cell>
          <cell r="AY411">
            <v>1</v>
          </cell>
          <cell r="BA411">
            <v>11.5</v>
          </cell>
          <cell r="BL411">
            <v>70</v>
          </cell>
          <cell r="CC411">
            <v>47.5</v>
          </cell>
          <cell r="DE411" t="str">
            <v>ACTIVO</v>
          </cell>
          <cell r="DF411" t="str">
            <v>C</v>
          </cell>
          <cell r="DH411">
            <v>0</v>
          </cell>
          <cell r="DI411">
            <v>0</v>
          </cell>
        </row>
        <row r="412">
          <cell r="B412">
            <v>107134</v>
          </cell>
          <cell r="C412" t="str">
            <v>COCO RALLADO ALTO LA CRUZ</v>
          </cell>
          <cell r="D412">
            <v>80</v>
          </cell>
          <cell r="E412">
            <v>40</v>
          </cell>
          <cell r="F412">
            <v>90</v>
          </cell>
          <cell r="G412">
            <v>85</v>
          </cell>
          <cell r="H412">
            <v>45</v>
          </cell>
          <cell r="I412">
            <v>10</v>
          </cell>
          <cell r="J412">
            <v>35</v>
          </cell>
          <cell r="K412">
            <v>40</v>
          </cell>
          <cell r="L412">
            <v>110</v>
          </cell>
          <cell r="M412">
            <v>60</v>
          </cell>
          <cell r="N412">
            <v>50</v>
          </cell>
          <cell r="O412">
            <v>10</v>
          </cell>
          <cell r="P412">
            <v>25</v>
          </cell>
          <cell r="Q412">
            <v>10</v>
          </cell>
          <cell r="R412">
            <v>70</v>
          </cell>
          <cell r="S412">
            <v>55</v>
          </cell>
          <cell r="T412">
            <v>90</v>
          </cell>
          <cell r="U412">
            <v>125</v>
          </cell>
          <cell r="V412">
            <v>70</v>
          </cell>
          <cell r="W412">
            <v>15</v>
          </cell>
          <cell r="X412">
            <v>135</v>
          </cell>
          <cell r="Y412">
            <v>55</v>
          </cell>
          <cell r="AA412">
            <v>60</v>
          </cell>
          <cell r="AB412">
            <v>70</v>
          </cell>
          <cell r="AC412">
            <v>20</v>
          </cell>
          <cell r="AD412">
            <v>30</v>
          </cell>
          <cell r="AE412">
            <v>10</v>
          </cell>
          <cell r="AF412">
            <v>75</v>
          </cell>
          <cell r="AG412">
            <v>75</v>
          </cell>
          <cell r="AH412">
            <v>110</v>
          </cell>
          <cell r="AI412">
            <v>116</v>
          </cell>
          <cell r="AJ412">
            <v>55</v>
          </cell>
          <cell r="AK412">
            <v>65</v>
          </cell>
          <cell r="AL412">
            <v>30</v>
          </cell>
          <cell r="AM412">
            <v>5</v>
          </cell>
          <cell r="AN412">
            <v>35</v>
          </cell>
          <cell r="AO412">
            <v>85</v>
          </cell>
          <cell r="AP412">
            <v>70</v>
          </cell>
          <cell r="AQ412">
            <v>40</v>
          </cell>
          <cell r="AR412">
            <v>20</v>
          </cell>
          <cell r="AS412">
            <v>15</v>
          </cell>
          <cell r="AU412">
            <v>40</v>
          </cell>
          <cell r="AV412">
            <v>50</v>
          </cell>
          <cell r="AW412">
            <v>45</v>
          </cell>
          <cell r="AX412">
            <v>25</v>
          </cell>
          <cell r="AY412">
            <v>55</v>
          </cell>
          <cell r="AZ412">
            <v>10</v>
          </cell>
          <cell r="BA412">
            <v>20</v>
          </cell>
          <cell r="BB412">
            <v>101</v>
          </cell>
          <cell r="BC412">
            <v>45</v>
          </cell>
          <cell r="BD412">
            <v>25</v>
          </cell>
          <cell r="BE412">
            <v>35</v>
          </cell>
          <cell r="BF412">
            <v>35</v>
          </cell>
          <cell r="BG412">
            <v>55</v>
          </cell>
          <cell r="BH412">
            <v>35</v>
          </cell>
          <cell r="BI412">
            <v>20</v>
          </cell>
          <cell r="BJ412">
            <v>80</v>
          </cell>
          <cell r="BK412">
            <v>55</v>
          </cell>
          <cell r="BL412">
            <v>20</v>
          </cell>
          <cell r="BM412">
            <v>75</v>
          </cell>
          <cell r="BN412">
            <v>25</v>
          </cell>
          <cell r="BO412">
            <v>15</v>
          </cell>
          <cell r="BP412">
            <v>30</v>
          </cell>
          <cell r="BQ412">
            <v>50</v>
          </cell>
          <cell r="BR412">
            <v>50</v>
          </cell>
          <cell r="BS412">
            <v>35</v>
          </cell>
          <cell r="BT412">
            <v>60</v>
          </cell>
          <cell r="BU412">
            <v>55</v>
          </cell>
          <cell r="BV412">
            <v>5</v>
          </cell>
          <cell r="BW412">
            <v>70</v>
          </cell>
          <cell r="BX412">
            <v>5</v>
          </cell>
          <cell r="BY412">
            <v>30</v>
          </cell>
          <cell r="BZ412">
            <v>55</v>
          </cell>
          <cell r="CA412">
            <v>65</v>
          </cell>
          <cell r="CB412">
            <v>25</v>
          </cell>
          <cell r="CC412">
            <v>50</v>
          </cell>
          <cell r="CD412">
            <v>20</v>
          </cell>
          <cell r="CE412">
            <v>15</v>
          </cell>
          <cell r="CF412">
            <v>5</v>
          </cell>
          <cell r="CG412">
            <v>40</v>
          </cell>
          <cell r="CH412">
            <v>40</v>
          </cell>
          <cell r="CI412">
            <v>60</v>
          </cell>
          <cell r="CJ412">
            <v>40</v>
          </cell>
          <cell r="CK412">
            <v>110</v>
          </cell>
          <cell r="CL412">
            <v>15</v>
          </cell>
          <cell r="CN412">
            <v>40</v>
          </cell>
          <cell r="CO412">
            <v>40</v>
          </cell>
          <cell r="CP412">
            <v>40</v>
          </cell>
          <cell r="CQ412">
            <v>25</v>
          </cell>
          <cell r="CR412">
            <v>40</v>
          </cell>
          <cell r="CS412">
            <v>20</v>
          </cell>
          <cell r="CT412">
            <v>40</v>
          </cell>
          <cell r="CU412">
            <v>80</v>
          </cell>
          <cell r="CV412">
            <v>55</v>
          </cell>
          <cell r="CW412">
            <v>10</v>
          </cell>
          <cell r="CX412">
            <v>75</v>
          </cell>
          <cell r="CY412">
            <v>60</v>
          </cell>
          <cell r="CZ412">
            <v>55</v>
          </cell>
          <cell r="DA412">
            <v>50</v>
          </cell>
          <cell r="DB412">
            <v>30</v>
          </cell>
          <cell r="DC412">
            <v>40</v>
          </cell>
          <cell r="DD412">
            <v>60</v>
          </cell>
          <cell r="DE412" t="str">
            <v>ACTIVO</v>
          </cell>
          <cell r="DF412" t="str">
            <v>C</v>
          </cell>
          <cell r="DH412">
            <v>44.583333333333336</v>
          </cell>
          <cell r="DI412">
            <v>7.4305555555555562</v>
          </cell>
        </row>
        <row r="413">
          <cell r="B413">
            <v>107148</v>
          </cell>
          <cell r="C413" t="str">
            <v>SABOR AROMA LUCUMA FRANCIAAROMA</v>
          </cell>
          <cell r="E413">
            <v>20</v>
          </cell>
          <cell r="I413">
            <v>20</v>
          </cell>
          <cell r="J413">
            <v>20</v>
          </cell>
          <cell r="K413">
            <v>20</v>
          </cell>
          <cell r="L413">
            <v>20</v>
          </cell>
          <cell r="M413">
            <v>20</v>
          </cell>
          <cell r="N413">
            <v>20</v>
          </cell>
          <cell r="P413">
            <v>20</v>
          </cell>
          <cell r="R413">
            <v>20</v>
          </cell>
          <cell r="U413">
            <v>20</v>
          </cell>
          <cell r="X413">
            <v>20</v>
          </cell>
          <cell r="AB413">
            <v>20</v>
          </cell>
          <cell r="AC413">
            <v>20</v>
          </cell>
          <cell r="AI413">
            <v>40</v>
          </cell>
          <cell r="AL413">
            <v>20</v>
          </cell>
          <cell r="AO413">
            <v>20</v>
          </cell>
          <cell r="AP413">
            <v>40</v>
          </cell>
          <cell r="AV413">
            <v>20</v>
          </cell>
          <cell r="AW413">
            <v>20</v>
          </cell>
          <cell r="AY413">
            <v>20</v>
          </cell>
          <cell r="BB413">
            <v>20</v>
          </cell>
          <cell r="BE413">
            <v>20</v>
          </cell>
          <cell r="BF413">
            <v>20</v>
          </cell>
          <cell r="BI413">
            <v>20</v>
          </cell>
          <cell r="BK413">
            <v>20</v>
          </cell>
          <cell r="BN413">
            <v>20</v>
          </cell>
          <cell r="BQ413">
            <v>20</v>
          </cell>
          <cell r="BS413">
            <v>20</v>
          </cell>
          <cell r="BV413">
            <v>20</v>
          </cell>
          <cell r="BW413">
            <v>20</v>
          </cell>
          <cell r="BZ413">
            <v>20</v>
          </cell>
          <cell r="CC413">
            <v>20</v>
          </cell>
          <cell r="CH413">
            <v>20</v>
          </cell>
          <cell r="CJ413">
            <v>20</v>
          </cell>
          <cell r="CM413">
            <v>20</v>
          </cell>
          <cell r="CO413">
            <v>20</v>
          </cell>
          <cell r="CS413">
            <v>20</v>
          </cell>
          <cell r="DE413" t="str">
            <v>ACTIVO</v>
          </cell>
          <cell r="DF413" t="str">
            <v>C</v>
          </cell>
          <cell r="DH413">
            <v>20</v>
          </cell>
          <cell r="DI413">
            <v>3.3333333333333335</v>
          </cell>
        </row>
        <row r="414">
          <cell r="B414">
            <v>107326</v>
          </cell>
          <cell r="C414" t="str">
            <v>QUINOA PERLA DE COLORES ZUKKER</v>
          </cell>
          <cell r="D414">
            <v>11</v>
          </cell>
          <cell r="E414">
            <v>22</v>
          </cell>
          <cell r="F414">
            <v>22</v>
          </cell>
          <cell r="G414">
            <v>11</v>
          </cell>
          <cell r="H414">
            <v>11</v>
          </cell>
          <cell r="I414">
            <v>22</v>
          </cell>
          <cell r="K414">
            <v>26</v>
          </cell>
          <cell r="L414">
            <v>22</v>
          </cell>
          <cell r="N414">
            <v>11</v>
          </cell>
          <cell r="P414">
            <v>22</v>
          </cell>
          <cell r="Q414">
            <v>22</v>
          </cell>
          <cell r="R414">
            <v>11</v>
          </cell>
          <cell r="S414">
            <v>11</v>
          </cell>
          <cell r="V414">
            <v>11</v>
          </cell>
          <cell r="W414">
            <v>22</v>
          </cell>
          <cell r="Z414">
            <v>11</v>
          </cell>
          <cell r="AA414">
            <v>11</v>
          </cell>
          <cell r="BR414">
            <v>66</v>
          </cell>
          <cell r="DE414" t="str">
            <v>SIN USO</v>
          </cell>
          <cell r="DF414" t="str">
            <v>C</v>
          </cell>
          <cell r="DH414">
            <v>0</v>
          </cell>
          <cell r="DI414">
            <v>0</v>
          </cell>
        </row>
        <row r="415">
          <cell r="B415">
            <v>107225</v>
          </cell>
          <cell r="C415" t="str">
            <v>CAFE POLVO ICB</v>
          </cell>
          <cell r="T415">
            <v>1.5</v>
          </cell>
          <cell r="DE415" t="str">
            <v>SIN USO</v>
          </cell>
          <cell r="DF415" t="str">
            <v/>
          </cell>
          <cell r="DH415">
            <v>0</v>
          </cell>
          <cell r="DI415">
            <v>0</v>
          </cell>
        </row>
        <row r="416">
          <cell r="D416">
            <v>91</v>
          </cell>
          <cell r="E416">
            <v>82</v>
          </cell>
          <cell r="F416">
            <v>148</v>
          </cell>
          <cell r="G416">
            <v>149</v>
          </cell>
          <cell r="H416">
            <v>101</v>
          </cell>
          <cell r="I416">
            <v>100.5</v>
          </cell>
          <cell r="J416">
            <v>119</v>
          </cell>
          <cell r="K416">
            <v>195.5</v>
          </cell>
          <cell r="L416">
            <v>234</v>
          </cell>
          <cell r="M416">
            <v>273</v>
          </cell>
          <cell r="N416">
            <v>223</v>
          </cell>
          <cell r="O416">
            <v>31</v>
          </cell>
          <cell r="P416">
            <v>171</v>
          </cell>
          <cell r="Q416">
            <v>180</v>
          </cell>
          <cell r="R416">
            <v>239</v>
          </cell>
          <cell r="S416">
            <v>180</v>
          </cell>
          <cell r="T416">
            <v>158.5</v>
          </cell>
          <cell r="U416">
            <v>223</v>
          </cell>
          <cell r="V416">
            <v>173</v>
          </cell>
          <cell r="W416">
            <v>119</v>
          </cell>
          <cell r="X416">
            <v>273</v>
          </cell>
          <cell r="Y416">
            <v>211</v>
          </cell>
          <cell r="Z416">
            <v>98</v>
          </cell>
          <cell r="AA416">
            <v>140</v>
          </cell>
          <cell r="AB416">
            <v>185</v>
          </cell>
          <cell r="AC416">
            <v>117</v>
          </cell>
          <cell r="AD416">
            <v>56</v>
          </cell>
          <cell r="AE416">
            <v>25</v>
          </cell>
          <cell r="AF416">
            <v>187</v>
          </cell>
          <cell r="AG416">
            <v>156</v>
          </cell>
          <cell r="AH416">
            <v>226</v>
          </cell>
          <cell r="AI416">
            <v>356.5</v>
          </cell>
          <cell r="AJ416">
            <v>152</v>
          </cell>
          <cell r="AK416">
            <v>154</v>
          </cell>
          <cell r="AL416">
            <v>131</v>
          </cell>
          <cell r="AM416">
            <v>85</v>
          </cell>
          <cell r="AN416">
            <v>123</v>
          </cell>
          <cell r="AO416">
            <v>162</v>
          </cell>
          <cell r="AP416">
            <v>202</v>
          </cell>
          <cell r="AQ416">
            <v>127</v>
          </cell>
          <cell r="AR416">
            <v>82</v>
          </cell>
          <cell r="AS416">
            <v>130</v>
          </cell>
          <cell r="AT416">
            <v>108</v>
          </cell>
          <cell r="AU416">
            <v>146</v>
          </cell>
          <cell r="AV416">
            <v>142</v>
          </cell>
          <cell r="AW416">
            <v>143</v>
          </cell>
          <cell r="AX416">
            <v>98.5</v>
          </cell>
          <cell r="AY416">
            <v>165</v>
          </cell>
          <cell r="AZ416">
            <v>87</v>
          </cell>
          <cell r="BA416">
            <v>111.5</v>
          </cell>
          <cell r="BB416">
            <v>281</v>
          </cell>
          <cell r="BC416">
            <v>135</v>
          </cell>
          <cell r="BD416">
            <v>194.69</v>
          </cell>
          <cell r="BE416">
            <v>150</v>
          </cell>
          <cell r="BF416">
            <v>169</v>
          </cell>
          <cell r="BG416">
            <v>158</v>
          </cell>
          <cell r="BH416">
            <v>176</v>
          </cell>
          <cell r="BI416">
            <v>173</v>
          </cell>
          <cell r="BJ416">
            <v>188</v>
          </cell>
          <cell r="BK416">
            <v>176</v>
          </cell>
          <cell r="BL416">
            <v>210</v>
          </cell>
          <cell r="BM416">
            <v>194</v>
          </cell>
          <cell r="BN416">
            <v>139</v>
          </cell>
          <cell r="BO416">
            <v>138</v>
          </cell>
          <cell r="BP416">
            <v>57</v>
          </cell>
          <cell r="BQ416">
            <v>216</v>
          </cell>
          <cell r="BR416">
            <v>272</v>
          </cell>
          <cell r="BS416">
            <v>188</v>
          </cell>
          <cell r="BT416">
            <v>152</v>
          </cell>
          <cell r="BU416">
            <v>193</v>
          </cell>
          <cell r="BV416">
            <v>110</v>
          </cell>
          <cell r="BW416">
            <v>174</v>
          </cell>
          <cell r="BX416">
            <v>80</v>
          </cell>
          <cell r="BY416">
            <v>100</v>
          </cell>
          <cell r="BZ416">
            <v>273</v>
          </cell>
          <cell r="CA416">
            <v>157</v>
          </cell>
          <cell r="CB416">
            <v>107</v>
          </cell>
          <cell r="CC416">
            <v>206.5</v>
          </cell>
          <cell r="CD416">
            <v>92</v>
          </cell>
          <cell r="CE416">
            <v>61</v>
          </cell>
          <cell r="CF416">
            <v>25</v>
          </cell>
          <cell r="CG416">
            <v>132</v>
          </cell>
          <cell r="CH416">
            <v>137</v>
          </cell>
          <cell r="CI416">
            <v>202</v>
          </cell>
          <cell r="CJ416">
            <v>157</v>
          </cell>
          <cell r="CK416">
            <v>241</v>
          </cell>
          <cell r="CL416">
            <v>128</v>
          </cell>
          <cell r="CM416">
            <v>132</v>
          </cell>
          <cell r="CN416">
            <v>147</v>
          </cell>
          <cell r="CO416">
            <v>187</v>
          </cell>
          <cell r="CP416">
            <v>152</v>
          </cell>
          <cell r="CQ416">
            <v>149</v>
          </cell>
          <cell r="CR416">
            <v>159</v>
          </cell>
          <cell r="CS416">
            <v>156</v>
          </cell>
          <cell r="CT416">
            <v>202</v>
          </cell>
          <cell r="CU416">
            <v>198</v>
          </cell>
          <cell r="CV416">
            <v>172</v>
          </cell>
          <cell r="CW416">
            <v>119</v>
          </cell>
          <cell r="CX416">
            <v>188</v>
          </cell>
          <cell r="CY416">
            <v>192</v>
          </cell>
          <cell r="CZ416">
            <v>171</v>
          </cell>
          <cell r="DA416">
            <v>177</v>
          </cell>
          <cell r="DB416">
            <v>153</v>
          </cell>
          <cell r="DC416">
            <v>172</v>
          </cell>
          <cell r="DD416">
            <v>197</v>
          </cell>
          <cell r="DE416" t="str">
            <v>ACTIVO</v>
          </cell>
          <cell r="DF416" t="str">
            <v/>
          </cell>
          <cell r="DH416">
            <v>161.80000000000001</v>
          </cell>
          <cell r="DI416">
            <v>26.966666666666669</v>
          </cell>
        </row>
        <row r="417">
          <cell r="B417">
            <v>405507</v>
          </cell>
          <cell r="C417" t="str">
            <v>OREO MEDIUM CRUMBS (TROZOS) ALCA</v>
          </cell>
          <cell r="AO417">
            <v>60</v>
          </cell>
          <cell r="AP417">
            <v>12</v>
          </cell>
          <cell r="AQ417">
            <v>108</v>
          </cell>
          <cell r="AU417">
            <v>56</v>
          </cell>
          <cell r="AY417">
            <v>64</v>
          </cell>
          <cell r="AZ417">
            <v>60</v>
          </cell>
          <cell r="BD417">
            <v>348</v>
          </cell>
          <cell r="BF417">
            <v>52</v>
          </cell>
          <cell r="BG417">
            <v>36</v>
          </cell>
          <cell r="BL417">
            <v>44</v>
          </cell>
          <cell r="BM417">
            <v>44</v>
          </cell>
          <cell r="BN417">
            <v>76</v>
          </cell>
          <cell r="BQ417">
            <v>80</v>
          </cell>
          <cell r="BR417">
            <v>80</v>
          </cell>
          <cell r="BT417">
            <v>88</v>
          </cell>
          <cell r="BU417">
            <v>48</v>
          </cell>
          <cell r="BX417">
            <v>76</v>
          </cell>
          <cell r="BY417">
            <v>4</v>
          </cell>
          <cell r="CB417">
            <v>40</v>
          </cell>
          <cell r="CG417">
            <v>40</v>
          </cell>
          <cell r="CI417">
            <v>80</v>
          </cell>
          <cell r="CK417">
            <v>92</v>
          </cell>
          <cell r="CL417">
            <v>60</v>
          </cell>
          <cell r="CM417">
            <v>58.92</v>
          </cell>
          <cell r="CN417">
            <v>40</v>
          </cell>
          <cell r="CP417">
            <v>130</v>
          </cell>
          <cell r="CR417">
            <v>60</v>
          </cell>
          <cell r="CS417">
            <v>80</v>
          </cell>
          <cell r="CT417">
            <v>40</v>
          </cell>
          <cell r="CY417">
            <v>80</v>
          </cell>
          <cell r="DD417">
            <v>76</v>
          </cell>
          <cell r="DE417" t="str">
            <v>ACTIVO</v>
          </cell>
          <cell r="DF417" t="str">
            <v>C</v>
          </cell>
          <cell r="DH417">
            <v>69.743333333333339</v>
          </cell>
          <cell r="DI417">
            <v>11.62388888888889</v>
          </cell>
        </row>
        <row r="418">
          <cell r="B418">
            <v>405506</v>
          </cell>
          <cell r="C418" t="str">
            <v>GALLETA OREO REGULAR ALCA</v>
          </cell>
          <cell r="AZ418">
            <v>44</v>
          </cell>
          <cell r="BD418">
            <v>204.12</v>
          </cell>
          <cell r="BL418">
            <v>64</v>
          </cell>
          <cell r="DE418" t="str">
            <v>ACTIVO</v>
          </cell>
          <cell r="DF418" t="str">
            <v>C</v>
          </cell>
          <cell r="DH418">
            <v>0</v>
          </cell>
          <cell r="DI418">
            <v>0</v>
          </cell>
        </row>
        <row r="419">
          <cell r="B419">
            <v>107335</v>
          </cell>
          <cell r="C419" t="str">
            <v>GALLETA VINO NESTLE</v>
          </cell>
          <cell r="AZ419">
            <v>86.19</v>
          </cell>
          <cell r="BA419">
            <v>11.09</v>
          </cell>
          <cell r="BO419">
            <v>45.84</v>
          </cell>
          <cell r="BQ419">
            <v>98.6</v>
          </cell>
          <cell r="BR419">
            <v>40</v>
          </cell>
          <cell r="BS419">
            <v>46.91</v>
          </cell>
          <cell r="BT419">
            <v>20</v>
          </cell>
          <cell r="BU419">
            <v>60</v>
          </cell>
          <cell r="BV419">
            <v>121.6</v>
          </cell>
          <cell r="BW419">
            <v>60</v>
          </cell>
          <cell r="BX419">
            <v>40</v>
          </cell>
          <cell r="BY419">
            <v>138.4</v>
          </cell>
          <cell r="CU419">
            <v>6.36</v>
          </cell>
          <cell r="CV419">
            <v>127.92</v>
          </cell>
          <cell r="DE419" t="str">
            <v>ACTIVO</v>
          </cell>
          <cell r="DF419" t="str">
            <v>C</v>
          </cell>
          <cell r="DH419">
            <v>67.14</v>
          </cell>
          <cell r="DI419">
            <v>11.19</v>
          </cell>
        </row>
        <row r="420">
          <cell r="B420">
            <v>405333</v>
          </cell>
          <cell r="C420" t="str">
            <v>GALLETA OREO REGULAR BEZANILLA</v>
          </cell>
          <cell r="D420">
            <v>60.263999999999996</v>
          </cell>
          <cell r="E420">
            <v>64.8</v>
          </cell>
          <cell r="F420">
            <v>64.8</v>
          </cell>
          <cell r="G420">
            <v>60.48</v>
          </cell>
          <cell r="H420">
            <v>54</v>
          </cell>
          <cell r="I420">
            <v>3.6720000000000002</v>
          </cell>
          <cell r="J420">
            <v>55.08</v>
          </cell>
          <cell r="K420">
            <v>54</v>
          </cell>
          <cell r="L420">
            <v>62.64</v>
          </cell>
          <cell r="M420">
            <v>47.52</v>
          </cell>
          <cell r="Q420">
            <v>45.36</v>
          </cell>
          <cell r="DE420" t="str">
            <v>SIN USO</v>
          </cell>
          <cell r="DF420" t="str">
            <v/>
          </cell>
          <cell r="DH420">
            <v>0</v>
          </cell>
          <cell r="DI420">
            <v>0</v>
          </cell>
        </row>
        <row r="421">
          <cell r="B421">
            <v>405334</v>
          </cell>
          <cell r="C421" t="str">
            <v>OREO MEDIUM CRUMBS (TROZOS) BEZANILLA</v>
          </cell>
          <cell r="D421">
            <v>120</v>
          </cell>
          <cell r="E421">
            <v>172</v>
          </cell>
          <cell r="F421">
            <v>144</v>
          </cell>
          <cell r="G421">
            <v>132</v>
          </cell>
          <cell r="H421">
            <v>120</v>
          </cell>
          <cell r="I421">
            <v>24</v>
          </cell>
          <cell r="J421">
            <v>140</v>
          </cell>
          <cell r="K421">
            <v>148</v>
          </cell>
          <cell r="L421">
            <v>128</v>
          </cell>
          <cell r="M421">
            <v>64</v>
          </cell>
          <cell r="N421">
            <v>96</v>
          </cell>
          <cell r="O421">
            <v>44</v>
          </cell>
          <cell r="P421">
            <v>120</v>
          </cell>
          <cell r="Q421">
            <v>132</v>
          </cell>
          <cell r="R421">
            <v>84</v>
          </cell>
          <cell r="U421">
            <v>128</v>
          </cell>
          <cell r="V421">
            <v>96</v>
          </cell>
          <cell r="Y421">
            <v>120</v>
          </cell>
          <cell r="Z421">
            <v>120</v>
          </cell>
          <cell r="AE421">
            <v>56</v>
          </cell>
          <cell r="AH421">
            <v>40</v>
          </cell>
          <cell r="AL421">
            <v>40</v>
          </cell>
          <cell r="AO421">
            <v>20</v>
          </cell>
          <cell r="DE421" t="str">
            <v>ACTIVO</v>
          </cell>
          <cell r="DF421" t="str">
            <v>C</v>
          </cell>
          <cell r="DH421">
            <v>0</v>
          </cell>
          <cell r="DI421">
            <v>0</v>
          </cell>
        </row>
        <row r="422">
          <cell r="B422">
            <v>107336</v>
          </cell>
          <cell r="C422" t="str">
            <v>GALLETA VINO CAROZZI</v>
          </cell>
          <cell r="D422">
            <v>80</v>
          </cell>
          <cell r="F422">
            <v>60</v>
          </cell>
          <cell r="G422">
            <v>56.052</v>
          </cell>
          <cell r="H422">
            <v>3.24</v>
          </cell>
          <cell r="I422">
            <v>60</v>
          </cell>
          <cell r="J422">
            <v>140</v>
          </cell>
          <cell r="T422">
            <v>19.52</v>
          </cell>
          <cell r="AI422">
            <v>94.88000000000001</v>
          </cell>
          <cell r="AJ422">
            <v>50</v>
          </cell>
          <cell r="AK422">
            <v>80</v>
          </cell>
          <cell r="AL422">
            <v>120</v>
          </cell>
          <cell r="AN422">
            <v>200</v>
          </cell>
          <cell r="AP422">
            <v>220</v>
          </cell>
          <cell r="AQ422">
            <v>79.84</v>
          </cell>
          <cell r="AS422">
            <v>169.92000000000002</v>
          </cell>
          <cell r="AT422">
            <v>40</v>
          </cell>
          <cell r="AU422">
            <v>40</v>
          </cell>
          <cell r="AX422">
            <v>57.2</v>
          </cell>
          <cell r="AY422">
            <v>118.72</v>
          </cell>
          <cell r="AZ422">
            <v>53.92</v>
          </cell>
          <cell r="BA422">
            <v>49.92</v>
          </cell>
          <cell r="BB422">
            <v>64.959999999999994</v>
          </cell>
          <cell r="BC422">
            <v>114.875</v>
          </cell>
          <cell r="BD422">
            <v>34.880000000000003</v>
          </cell>
          <cell r="BE422">
            <v>34.880000000000003</v>
          </cell>
          <cell r="BF422">
            <v>94.88</v>
          </cell>
          <cell r="BG422">
            <v>20</v>
          </cell>
          <cell r="BI422">
            <v>44.96</v>
          </cell>
          <cell r="BJ422">
            <v>174.92000000000002</v>
          </cell>
          <cell r="BK422">
            <v>44.96</v>
          </cell>
          <cell r="BM422">
            <v>64.800000000000011</v>
          </cell>
          <cell r="BN422">
            <v>80</v>
          </cell>
          <cell r="BO422">
            <v>74.16</v>
          </cell>
          <cell r="BR422">
            <v>20</v>
          </cell>
          <cell r="BS422">
            <v>23.32</v>
          </cell>
          <cell r="BX422">
            <v>60</v>
          </cell>
          <cell r="BY422">
            <v>121.6</v>
          </cell>
          <cell r="BZ422">
            <v>7.84</v>
          </cell>
          <cell r="CA422">
            <v>79.989999999999995</v>
          </cell>
          <cell r="CE422">
            <v>40</v>
          </cell>
          <cell r="CG422">
            <v>60</v>
          </cell>
          <cell r="CI422">
            <v>40</v>
          </cell>
          <cell r="CJ422">
            <v>40</v>
          </cell>
          <cell r="CK422">
            <v>20</v>
          </cell>
          <cell r="CL422">
            <v>80</v>
          </cell>
          <cell r="CN422">
            <v>40</v>
          </cell>
          <cell r="CS422">
            <v>120.8</v>
          </cell>
          <cell r="CT422">
            <v>160</v>
          </cell>
          <cell r="CU422">
            <v>28.72</v>
          </cell>
          <cell r="DE422" t="str">
            <v>ACTIVO</v>
          </cell>
          <cell r="DF422" t="str">
            <v>C</v>
          </cell>
          <cell r="DH422">
            <v>65.502222222222215</v>
          </cell>
          <cell r="DI422">
            <v>10.917037037037035</v>
          </cell>
        </row>
        <row r="423">
          <cell r="B423">
            <v>107343</v>
          </cell>
          <cell r="C423" t="str">
            <v>OREO SMALL CRUMBS 500 GRS</v>
          </cell>
          <cell r="D423">
            <v>24</v>
          </cell>
          <cell r="DE423" t="str">
            <v>SIN USO</v>
          </cell>
          <cell r="DF423" t="str">
            <v/>
          </cell>
          <cell r="DH423">
            <v>0</v>
          </cell>
          <cell r="DI423">
            <v>0</v>
          </cell>
        </row>
        <row r="424">
          <cell r="D424">
            <v>284.26400000000001</v>
          </cell>
          <cell r="E424">
            <v>236.8</v>
          </cell>
          <cell r="F424">
            <v>268.8</v>
          </cell>
          <cell r="G424">
            <v>248.53199999999998</v>
          </cell>
          <cell r="H424">
            <v>177.24</v>
          </cell>
          <cell r="I424">
            <v>87.671999999999997</v>
          </cell>
          <cell r="J424">
            <v>335.08</v>
          </cell>
          <cell r="K424">
            <v>202</v>
          </cell>
          <cell r="L424">
            <v>190.64</v>
          </cell>
          <cell r="M424">
            <v>111.52000000000001</v>
          </cell>
          <cell r="N424">
            <v>96</v>
          </cell>
          <cell r="O424">
            <v>44</v>
          </cell>
          <cell r="P424">
            <v>120</v>
          </cell>
          <cell r="Q424">
            <v>177.36</v>
          </cell>
          <cell r="R424">
            <v>84</v>
          </cell>
          <cell r="T424">
            <v>19.52</v>
          </cell>
          <cell r="U424">
            <v>128</v>
          </cell>
          <cell r="V424">
            <v>96</v>
          </cell>
          <cell r="Y424">
            <v>120</v>
          </cell>
          <cell r="Z424">
            <v>120</v>
          </cell>
          <cell r="AE424">
            <v>56</v>
          </cell>
          <cell r="AH424">
            <v>40</v>
          </cell>
          <cell r="AI424">
            <v>94.88000000000001</v>
          </cell>
          <cell r="AJ424">
            <v>50</v>
          </cell>
          <cell r="AK424">
            <v>80</v>
          </cell>
          <cell r="AL424">
            <v>160</v>
          </cell>
          <cell r="AN424">
            <v>200</v>
          </cell>
          <cell r="AO424">
            <v>80</v>
          </cell>
          <cell r="AP424">
            <v>232</v>
          </cell>
          <cell r="AQ424">
            <v>187.84</v>
          </cell>
          <cell r="AS424">
            <v>169.92000000000002</v>
          </cell>
          <cell r="AT424">
            <v>40</v>
          </cell>
          <cell r="AU424">
            <v>96</v>
          </cell>
          <cell r="AX424">
            <v>57.2</v>
          </cell>
          <cell r="AY424">
            <v>182.72</v>
          </cell>
          <cell r="AZ424">
            <v>244.11</v>
          </cell>
          <cell r="BA424">
            <v>61.010000000000005</v>
          </cell>
          <cell r="BB424">
            <v>64.959999999999994</v>
          </cell>
          <cell r="BC424">
            <v>114.875</v>
          </cell>
          <cell r="BD424">
            <v>587</v>
          </cell>
          <cell r="BE424">
            <v>34.880000000000003</v>
          </cell>
          <cell r="BF424">
            <v>146.88</v>
          </cell>
          <cell r="BG424">
            <v>56</v>
          </cell>
          <cell r="BI424">
            <v>44.96</v>
          </cell>
          <cell r="BJ424">
            <v>174.92000000000002</v>
          </cell>
          <cell r="BK424">
            <v>44.96</v>
          </cell>
          <cell r="BL424">
            <v>108</v>
          </cell>
          <cell r="BM424">
            <v>108.80000000000001</v>
          </cell>
          <cell r="BN424">
            <v>156</v>
          </cell>
          <cell r="BO424">
            <v>120</v>
          </cell>
          <cell r="BQ424">
            <v>178.6</v>
          </cell>
          <cell r="BR424">
            <v>140</v>
          </cell>
          <cell r="BS424">
            <v>70.22999999999999</v>
          </cell>
          <cell r="BT424">
            <v>108</v>
          </cell>
          <cell r="BU424">
            <v>108</v>
          </cell>
          <cell r="BV424">
            <v>121.6</v>
          </cell>
          <cell r="BW424">
            <v>60</v>
          </cell>
          <cell r="BX424">
            <v>176</v>
          </cell>
          <cell r="BY424">
            <v>264</v>
          </cell>
          <cell r="BZ424">
            <v>7.84</v>
          </cell>
          <cell r="CA424">
            <v>79.989999999999995</v>
          </cell>
          <cell r="CB424">
            <v>40</v>
          </cell>
          <cell r="CE424">
            <v>40</v>
          </cell>
          <cell r="CG424">
            <v>100</v>
          </cell>
          <cell r="CI424">
            <v>120</v>
          </cell>
          <cell r="CJ424">
            <v>40</v>
          </cell>
          <cell r="CK424">
            <v>112</v>
          </cell>
          <cell r="CL424">
            <v>140</v>
          </cell>
          <cell r="CM424">
            <v>58.92</v>
          </cell>
          <cell r="CN424">
            <v>80</v>
          </cell>
          <cell r="CP424">
            <v>130</v>
          </cell>
          <cell r="CR424">
            <v>60</v>
          </cell>
          <cell r="CS424">
            <v>200.8</v>
          </cell>
          <cell r="CT424">
            <v>200</v>
          </cell>
          <cell r="CU424">
            <v>35.08</v>
          </cell>
          <cell r="CV424">
            <v>127.92</v>
          </cell>
          <cell r="CY424">
            <v>80</v>
          </cell>
          <cell r="DD424">
            <v>76</v>
          </cell>
          <cell r="DE424" t="str">
            <v>ACTIVO</v>
          </cell>
          <cell r="DF424" t="str">
            <v/>
          </cell>
          <cell r="DH424">
            <v>104.048</v>
          </cell>
          <cell r="DI424">
            <v>17.341333333333335</v>
          </cell>
        </row>
        <row r="425">
          <cell r="B425">
            <v>201002</v>
          </cell>
          <cell r="C425" t="str">
            <v>DESMOLDANTE PARA BATIDOS PURATOS</v>
          </cell>
          <cell r="D425">
            <v>560</v>
          </cell>
          <cell r="E425">
            <v>500</v>
          </cell>
          <cell r="F425">
            <v>600</v>
          </cell>
          <cell r="G425">
            <v>540</v>
          </cell>
          <cell r="H425">
            <v>650</v>
          </cell>
          <cell r="I425">
            <v>520</v>
          </cell>
          <cell r="J425">
            <v>560</v>
          </cell>
          <cell r="K425">
            <v>430</v>
          </cell>
          <cell r="L425">
            <v>610</v>
          </cell>
          <cell r="M425">
            <v>510</v>
          </cell>
          <cell r="N425">
            <v>540</v>
          </cell>
          <cell r="O425">
            <v>300</v>
          </cell>
          <cell r="P425">
            <v>410</v>
          </cell>
          <cell r="Q425">
            <v>610</v>
          </cell>
          <cell r="R425">
            <v>480</v>
          </cell>
          <cell r="S425">
            <v>490</v>
          </cell>
          <cell r="T425">
            <v>460</v>
          </cell>
          <cell r="U425">
            <v>630</v>
          </cell>
          <cell r="V425">
            <v>640</v>
          </cell>
          <cell r="W425">
            <v>390</v>
          </cell>
          <cell r="X425">
            <v>530</v>
          </cell>
          <cell r="Y425">
            <v>670</v>
          </cell>
          <cell r="Z425">
            <v>410</v>
          </cell>
          <cell r="AA425">
            <v>420</v>
          </cell>
          <cell r="AB425">
            <v>570</v>
          </cell>
          <cell r="AC425">
            <v>270</v>
          </cell>
          <cell r="AD425">
            <v>170</v>
          </cell>
          <cell r="AE425">
            <v>80</v>
          </cell>
          <cell r="AF425">
            <v>450</v>
          </cell>
          <cell r="AG425">
            <v>360</v>
          </cell>
          <cell r="AH425">
            <v>290</v>
          </cell>
          <cell r="AI425">
            <v>450</v>
          </cell>
          <cell r="AJ425">
            <v>430</v>
          </cell>
          <cell r="AK425">
            <v>400</v>
          </cell>
          <cell r="AL425">
            <v>490</v>
          </cell>
          <cell r="AM425">
            <v>380</v>
          </cell>
          <cell r="AN425">
            <v>390</v>
          </cell>
          <cell r="AO425">
            <v>490</v>
          </cell>
          <cell r="AP425">
            <v>350</v>
          </cell>
          <cell r="AQ425">
            <v>530</v>
          </cell>
          <cell r="AR425">
            <v>680</v>
          </cell>
          <cell r="AS425">
            <v>810</v>
          </cell>
          <cell r="AT425">
            <v>520</v>
          </cell>
          <cell r="AU425">
            <v>410</v>
          </cell>
          <cell r="AV425">
            <v>520</v>
          </cell>
          <cell r="AW425">
            <v>530</v>
          </cell>
          <cell r="AX425">
            <v>570</v>
          </cell>
          <cell r="AY425">
            <v>530</v>
          </cell>
          <cell r="AZ425">
            <v>600</v>
          </cell>
          <cell r="BA425">
            <v>650</v>
          </cell>
          <cell r="BB425">
            <v>630</v>
          </cell>
          <cell r="BC425">
            <v>600</v>
          </cell>
          <cell r="BD425">
            <v>530</v>
          </cell>
          <cell r="BE425">
            <v>620</v>
          </cell>
          <cell r="BF425">
            <v>410</v>
          </cell>
          <cell r="BG425">
            <v>470</v>
          </cell>
          <cell r="BH425">
            <v>590</v>
          </cell>
          <cell r="BI425">
            <v>480</v>
          </cell>
          <cell r="BJ425">
            <v>500</v>
          </cell>
          <cell r="BK425">
            <v>480</v>
          </cell>
          <cell r="BL425">
            <v>490</v>
          </cell>
          <cell r="BM425">
            <v>520</v>
          </cell>
          <cell r="BN425">
            <v>530</v>
          </cell>
          <cell r="BO425">
            <v>600</v>
          </cell>
          <cell r="BP425">
            <v>230</v>
          </cell>
          <cell r="BQ425">
            <v>640</v>
          </cell>
          <cell r="BR425">
            <v>390</v>
          </cell>
          <cell r="BS425">
            <v>560</v>
          </cell>
          <cell r="BT425">
            <v>310</v>
          </cell>
          <cell r="BU425">
            <v>320</v>
          </cell>
          <cell r="BV425">
            <v>210</v>
          </cell>
          <cell r="BW425">
            <v>420</v>
          </cell>
          <cell r="BX425">
            <v>220</v>
          </cell>
          <cell r="BY425">
            <v>270</v>
          </cell>
          <cell r="BZ425">
            <v>270</v>
          </cell>
          <cell r="CA425">
            <v>290</v>
          </cell>
          <cell r="CB425">
            <v>290</v>
          </cell>
          <cell r="CC425">
            <v>460</v>
          </cell>
          <cell r="CD425">
            <v>340</v>
          </cell>
          <cell r="CE425">
            <v>270</v>
          </cell>
          <cell r="CF425">
            <v>150</v>
          </cell>
          <cell r="CG425">
            <v>430</v>
          </cell>
          <cell r="CH425">
            <v>350</v>
          </cell>
          <cell r="CI425">
            <v>520</v>
          </cell>
          <cell r="CJ425">
            <v>370</v>
          </cell>
          <cell r="CK425">
            <v>450</v>
          </cell>
          <cell r="CL425">
            <v>430</v>
          </cell>
          <cell r="CM425">
            <v>390</v>
          </cell>
          <cell r="CN425">
            <v>410</v>
          </cell>
          <cell r="CO425">
            <v>340</v>
          </cell>
          <cell r="CP425">
            <v>390</v>
          </cell>
          <cell r="CQ425">
            <v>430</v>
          </cell>
          <cell r="CR425">
            <v>490</v>
          </cell>
          <cell r="CS425">
            <v>310</v>
          </cell>
          <cell r="CT425">
            <v>450</v>
          </cell>
          <cell r="CU425">
            <v>470</v>
          </cell>
          <cell r="CV425">
            <v>490</v>
          </cell>
          <cell r="CW425">
            <v>300</v>
          </cell>
          <cell r="CX425">
            <v>260</v>
          </cell>
          <cell r="CY425">
            <v>330</v>
          </cell>
          <cell r="CZ425">
            <v>430</v>
          </cell>
          <cell r="DA425">
            <v>540</v>
          </cell>
          <cell r="DB425">
            <v>470</v>
          </cell>
          <cell r="DC425">
            <v>490</v>
          </cell>
          <cell r="DD425">
            <v>400</v>
          </cell>
          <cell r="DE425" t="str">
            <v>ACTIVO</v>
          </cell>
          <cell r="DF425" t="str">
            <v>A</v>
          </cell>
          <cell r="DH425">
            <v>403.6</v>
          </cell>
          <cell r="DI425">
            <v>67.266666666666666</v>
          </cell>
        </row>
        <row r="426">
          <cell r="D426">
            <v>560</v>
          </cell>
          <cell r="E426">
            <v>500</v>
          </cell>
          <cell r="F426">
            <v>600</v>
          </cell>
          <cell r="G426">
            <v>540</v>
          </cell>
          <cell r="H426">
            <v>650</v>
          </cell>
          <cell r="I426">
            <v>520</v>
          </cell>
          <cell r="J426">
            <v>560</v>
          </cell>
          <cell r="K426">
            <v>430</v>
          </cell>
          <cell r="L426">
            <v>610</v>
          </cell>
          <cell r="M426">
            <v>510</v>
          </cell>
          <cell r="N426">
            <v>540</v>
          </cell>
          <cell r="O426">
            <v>300</v>
          </cell>
          <cell r="P426">
            <v>410</v>
          </cell>
          <cell r="Q426">
            <v>610</v>
          </cell>
          <cell r="R426">
            <v>480</v>
          </cell>
          <cell r="S426">
            <v>490</v>
          </cell>
          <cell r="T426">
            <v>460</v>
          </cell>
          <cell r="U426">
            <v>630</v>
          </cell>
          <cell r="V426">
            <v>640</v>
          </cell>
          <cell r="W426">
            <v>390</v>
          </cell>
          <cell r="X426">
            <v>530</v>
          </cell>
          <cell r="Y426">
            <v>670</v>
          </cell>
          <cell r="Z426">
            <v>410</v>
          </cell>
          <cell r="AA426">
            <v>420</v>
          </cell>
          <cell r="AB426">
            <v>570</v>
          </cell>
          <cell r="AC426">
            <v>270</v>
          </cell>
          <cell r="AD426">
            <v>170</v>
          </cell>
          <cell r="AE426">
            <v>80</v>
          </cell>
          <cell r="AF426">
            <v>450</v>
          </cell>
          <cell r="AG426">
            <v>360</v>
          </cell>
          <cell r="AH426">
            <v>290</v>
          </cell>
          <cell r="AI426">
            <v>450</v>
          </cell>
          <cell r="AJ426">
            <v>430</v>
          </cell>
          <cell r="AK426">
            <v>400</v>
          </cell>
          <cell r="AL426">
            <v>490</v>
          </cell>
          <cell r="AM426">
            <v>380</v>
          </cell>
          <cell r="AN426">
            <v>390</v>
          </cell>
          <cell r="AO426">
            <v>490</v>
          </cell>
          <cell r="AP426">
            <v>350</v>
          </cell>
          <cell r="AQ426">
            <v>530</v>
          </cell>
          <cell r="AR426">
            <v>680</v>
          </cell>
          <cell r="AS426">
            <v>810</v>
          </cell>
          <cell r="AT426">
            <v>520</v>
          </cell>
          <cell r="AU426">
            <v>410</v>
          </cell>
          <cell r="AV426">
            <v>520</v>
          </cell>
          <cell r="AW426">
            <v>530</v>
          </cell>
          <cell r="AX426">
            <v>570</v>
          </cell>
          <cell r="AY426">
            <v>530</v>
          </cell>
          <cell r="AZ426">
            <v>600</v>
          </cell>
          <cell r="BA426">
            <v>650</v>
          </cell>
          <cell r="BB426">
            <v>630</v>
          </cell>
          <cell r="BC426">
            <v>600</v>
          </cell>
          <cell r="BD426">
            <v>530</v>
          </cell>
          <cell r="BE426">
            <v>620</v>
          </cell>
          <cell r="BF426">
            <v>410</v>
          </cell>
          <cell r="BG426">
            <v>470</v>
          </cell>
          <cell r="BH426">
            <v>590</v>
          </cell>
          <cell r="BI426">
            <v>480</v>
          </cell>
          <cell r="BJ426">
            <v>500</v>
          </cell>
          <cell r="BK426">
            <v>480</v>
          </cell>
          <cell r="BL426">
            <v>490</v>
          </cell>
          <cell r="BM426">
            <v>520</v>
          </cell>
          <cell r="BN426">
            <v>530</v>
          </cell>
          <cell r="BO426">
            <v>600</v>
          </cell>
          <cell r="BP426">
            <v>230</v>
          </cell>
          <cell r="BQ426">
            <v>640</v>
          </cell>
          <cell r="BR426">
            <v>390</v>
          </cell>
          <cell r="BS426">
            <v>560</v>
          </cell>
          <cell r="BT426">
            <v>310</v>
          </cell>
          <cell r="BU426">
            <v>320</v>
          </cell>
          <cell r="BV426">
            <v>210</v>
          </cell>
          <cell r="BW426">
            <v>420</v>
          </cell>
          <cell r="BX426">
            <v>220</v>
          </cell>
          <cell r="BY426">
            <v>270</v>
          </cell>
          <cell r="BZ426">
            <v>270</v>
          </cell>
          <cell r="CA426">
            <v>290</v>
          </cell>
          <cell r="CB426">
            <v>290</v>
          </cell>
          <cell r="CC426">
            <v>460</v>
          </cell>
          <cell r="CD426">
            <v>340</v>
          </cell>
          <cell r="CE426">
            <v>270</v>
          </cell>
          <cell r="CF426">
            <v>150</v>
          </cell>
          <cell r="CG426">
            <v>430</v>
          </cell>
          <cell r="CH426">
            <v>350</v>
          </cell>
          <cell r="CI426">
            <v>520</v>
          </cell>
          <cell r="CJ426">
            <v>370</v>
          </cell>
          <cell r="CK426">
            <v>450</v>
          </cell>
          <cell r="CL426">
            <v>430</v>
          </cell>
          <cell r="CM426">
            <v>390</v>
          </cell>
          <cell r="CN426">
            <v>410</v>
          </cell>
          <cell r="CO426">
            <v>340</v>
          </cell>
          <cell r="CP426">
            <v>390</v>
          </cell>
          <cell r="CQ426">
            <v>430</v>
          </cell>
          <cell r="CR426">
            <v>490</v>
          </cell>
          <cell r="CS426">
            <v>310</v>
          </cell>
          <cell r="CT426">
            <v>450</v>
          </cell>
          <cell r="CU426">
            <v>470</v>
          </cell>
          <cell r="CV426">
            <v>490</v>
          </cell>
          <cell r="CW426">
            <v>300</v>
          </cell>
          <cell r="CX426">
            <v>260</v>
          </cell>
          <cell r="CY426">
            <v>330</v>
          </cell>
          <cell r="CZ426">
            <v>430</v>
          </cell>
          <cell r="DA426">
            <v>540</v>
          </cell>
          <cell r="DB426">
            <v>470</v>
          </cell>
          <cell r="DC426">
            <v>490</v>
          </cell>
          <cell r="DD426">
            <v>400</v>
          </cell>
          <cell r="DE426" t="str">
            <v>ACTIVO</v>
          </cell>
          <cell r="DF426" t="str">
            <v/>
          </cell>
          <cell r="DH426">
            <v>403.6</v>
          </cell>
          <cell r="DI426">
            <v>67.266666666666666</v>
          </cell>
        </row>
        <row r="427">
          <cell r="B427">
            <v>403269</v>
          </cell>
          <cell r="C427" t="str">
            <v>PROPIONATO DE CALCIO 14 KG WINKLER</v>
          </cell>
          <cell r="AO427">
            <v>3.04</v>
          </cell>
          <cell r="AP427">
            <v>1.5359999999999998</v>
          </cell>
          <cell r="AQ427">
            <v>2.8000000000000003</v>
          </cell>
          <cell r="AR427">
            <v>2.8000000000000003</v>
          </cell>
          <cell r="AS427">
            <v>2.56</v>
          </cell>
          <cell r="AT427">
            <v>3.04</v>
          </cell>
          <cell r="AU427">
            <v>2</v>
          </cell>
          <cell r="AV427">
            <v>2.4800000000000004</v>
          </cell>
          <cell r="AW427">
            <v>2.8000000000000003</v>
          </cell>
          <cell r="AX427">
            <v>3.7600000000000002</v>
          </cell>
          <cell r="AY427">
            <v>1.6800000000000002</v>
          </cell>
          <cell r="AZ427">
            <v>3.0000000000000004</v>
          </cell>
          <cell r="BA427">
            <v>3.9600000000000004</v>
          </cell>
          <cell r="BB427">
            <v>10.28</v>
          </cell>
          <cell r="BC427">
            <v>5.0000000000000009</v>
          </cell>
          <cell r="BD427">
            <v>3</v>
          </cell>
          <cell r="BE427">
            <v>2.68</v>
          </cell>
          <cell r="BF427">
            <v>3.08</v>
          </cell>
          <cell r="BG427">
            <v>3.4400000000000004</v>
          </cell>
          <cell r="BH427">
            <v>3.28</v>
          </cell>
          <cell r="BI427">
            <v>3.2800000000000002</v>
          </cell>
          <cell r="BJ427">
            <v>3.12</v>
          </cell>
          <cell r="BK427">
            <v>2.3200000000000003</v>
          </cell>
          <cell r="BL427">
            <v>3.44</v>
          </cell>
          <cell r="BM427">
            <v>4.28</v>
          </cell>
          <cell r="BN427">
            <v>2.9200000000000004</v>
          </cell>
          <cell r="BO427">
            <v>2.6</v>
          </cell>
          <cell r="BP427">
            <v>1.6800000000000002</v>
          </cell>
          <cell r="BQ427">
            <v>3.48</v>
          </cell>
          <cell r="BR427">
            <v>1.8399999999999999</v>
          </cell>
          <cell r="BS427">
            <v>4.28</v>
          </cell>
          <cell r="BT427">
            <v>3.8000000000000003</v>
          </cell>
          <cell r="BU427">
            <v>3</v>
          </cell>
          <cell r="BV427">
            <v>3.2800000000000002</v>
          </cell>
          <cell r="BW427">
            <v>1.8800000000000001</v>
          </cell>
          <cell r="BX427">
            <v>9.2800000000000011</v>
          </cell>
          <cell r="BY427">
            <v>2.7199999999999998</v>
          </cell>
          <cell r="BZ427">
            <v>7.12</v>
          </cell>
          <cell r="CA427">
            <v>2.2799999999999998</v>
          </cell>
          <cell r="CB427">
            <v>2.3200000000000003</v>
          </cell>
          <cell r="CC427">
            <v>2.2000000000000002</v>
          </cell>
          <cell r="CD427">
            <v>1.9600000000000002</v>
          </cell>
          <cell r="CG427">
            <v>3.9600000000000004</v>
          </cell>
          <cell r="CH427">
            <v>2.7600000000000002</v>
          </cell>
          <cell r="CI427">
            <v>3.12</v>
          </cell>
          <cell r="CJ427">
            <v>2.4000000000000004</v>
          </cell>
          <cell r="CK427">
            <v>2.9200000000000004</v>
          </cell>
          <cell r="CL427">
            <v>1.52</v>
          </cell>
          <cell r="CM427">
            <v>2.4000000000000004</v>
          </cell>
          <cell r="CN427">
            <v>3.0400000000000005</v>
          </cell>
          <cell r="CO427">
            <v>1.9200000000000004</v>
          </cell>
          <cell r="CP427">
            <v>1.9600000000000004</v>
          </cell>
          <cell r="CQ427">
            <v>2.0000000000000004</v>
          </cell>
          <cell r="CR427">
            <v>2.4800000000000004</v>
          </cell>
          <cell r="CS427">
            <v>1.4000000000000004</v>
          </cell>
          <cell r="CT427">
            <v>2.5600000000000005</v>
          </cell>
          <cell r="CU427">
            <v>2.4400000000000004</v>
          </cell>
          <cell r="CV427">
            <v>3.1200000000000006</v>
          </cell>
          <cell r="CW427">
            <v>3.16</v>
          </cell>
          <cell r="CX427">
            <v>2.72</v>
          </cell>
          <cell r="CY427">
            <v>3.8000000000000003</v>
          </cell>
          <cell r="CZ427">
            <v>1.9200000000000004</v>
          </cell>
          <cell r="DA427">
            <v>1.7600000000000002</v>
          </cell>
          <cell r="DB427">
            <v>2.7600000000000002</v>
          </cell>
          <cell r="DC427">
            <v>1.9200000000000004</v>
          </cell>
          <cell r="DD427">
            <v>2.3600000000000003</v>
          </cell>
          <cell r="DE427" t="str">
            <v>ACTIVO</v>
          </cell>
          <cell r="DF427" t="str">
            <v>C</v>
          </cell>
          <cell r="DH427">
            <v>2.5166666666666662</v>
          </cell>
          <cell r="DI427">
            <v>0.41944444444444434</v>
          </cell>
        </row>
        <row r="428">
          <cell r="B428">
            <v>102103</v>
          </cell>
          <cell r="C428" t="str">
            <v>PROPIONATO DE SODIO WINKLER</v>
          </cell>
          <cell r="D428">
            <v>2.52</v>
          </cell>
          <cell r="E428">
            <v>1.7999999999999998</v>
          </cell>
          <cell r="F428">
            <v>2.4800000000000004</v>
          </cell>
          <cell r="G428">
            <v>1.7200000000000002</v>
          </cell>
          <cell r="H428">
            <v>2.3200000000000003</v>
          </cell>
          <cell r="I428">
            <v>1.6800000000000002</v>
          </cell>
          <cell r="J428">
            <v>1.8400000000000003</v>
          </cell>
          <cell r="K428">
            <v>2.3199999999999998</v>
          </cell>
          <cell r="L428">
            <v>4.24</v>
          </cell>
          <cell r="M428">
            <v>2.2000000000000002</v>
          </cell>
          <cell r="N428">
            <v>2.9200000000000004</v>
          </cell>
          <cell r="O428">
            <v>1.044</v>
          </cell>
          <cell r="P428">
            <v>2.8839999999999999</v>
          </cell>
          <cell r="Q428">
            <v>4.16</v>
          </cell>
          <cell r="R428">
            <v>3.9200000000000004</v>
          </cell>
          <cell r="S428">
            <v>3.9600000000000004</v>
          </cell>
          <cell r="T428">
            <v>2.2800000000000002</v>
          </cell>
          <cell r="U428">
            <v>3.3600000000000003</v>
          </cell>
          <cell r="V428">
            <v>3.4400000000000004</v>
          </cell>
          <cell r="W428">
            <v>1.7200000000000002</v>
          </cell>
          <cell r="X428">
            <v>4.5600000000000005</v>
          </cell>
          <cell r="Y428">
            <v>4.16</v>
          </cell>
          <cell r="Z428">
            <v>2.96</v>
          </cell>
          <cell r="AA428">
            <v>2</v>
          </cell>
          <cell r="AB428">
            <v>4.4400000000000004</v>
          </cell>
          <cell r="AC428">
            <v>1.4000000000000001</v>
          </cell>
          <cell r="AD428">
            <v>0.56000000000000005</v>
          </cell>
          <cell r="AE428">
            <v>1.04</v>
          </cell>
          <cell r="AF428">
            <v>10.120000000000001</v>
          </cell>
          <cell r="AG428">
            <v>5.160000000000001</v>
          </cell>
          <cell r="AH428">
            <v>0.04</v>
          </cell>
          <cell r="AI428">
            <v>3.6000000000000005</v>
          </cell>
          <cell r="AJ428">
            <v>1.56</v>
          </cell>
          <cell r="AK428">
            <v>1.1600000000000001</v>
          </cell>
          <cell r="AN428">
            <v>0.44</v>
          </cell>
          <cell r="AO428">
            <v>0.12</v>
          </cell>
          <cell r="AP428">
            <v>0.2</v>
          </cell>
          <cell r="DE428" t="str">
            <v>SIN USO</v>
          </cell>
          <cell r="DF428" t="str">
            <v>C</v>
          </cell>
          <cell r="DH428">
            <v>0</v>
          </cell>
          <cell r="DI428">
            <v>0</v>
          </cell>
        </row>
        <row r="429">
          <cell r="D429">
            <v>2.52</v>
          </cell>
          <cell r="E429">
            <v>1.7999999999999998</v>
          </cell>
          <cell r="F429">
            <v>2.4800000000000004</v>
          </cell>
          <cell r="G429">
            <v>1.7200000000000002</v>
          </cell>
          <cell r="H429">
            <v>2.3200000000000003</v>
          </cell>
          <cell r="I429">
            <v>1.6800000000000002</v>
          </cell>
          <cell r="J429">
            <v>1.8400000000000003</v>
          </cell>
          <cell r="K429">
            <v>2.3199999999999998</v>
          </cell>
          <cell r="L429">
            <v>4.24</v>
          </cell>
          <cell r="M429">
            <v>2.2000000000000002</v>
          </cell>
          <cell r="N429">
            <v>2.9200000000000004</v>
          </cell>
          <cell r="O429">
            <v>1.044</v>
          </cell>
          <cell r="P429">
            <v>2.8839999999999999</v>
          </cell>
          <cell r="Q429">
            <v>4.16</v>
          </cell>
          <cell r="R429">
            <v>3.9200000000000004</v>
          </cell>
          <cell r="S429">
            <v>3.9600000000000004</v>
          </cell>
          <cell r="T429">
            <v>2.2800000000000002</v>
          </cell>
          <cell r="U429">
            <v>3.3600000000000003</v>
          </cell>
          <cell r="V429">
            <v>3.4400000000000004</v>
          </cell>
          <cell r="W429">
            <v>1.7200000000000002</v>
          </cell>
          <cell r="X429">
            <v>4.5600000000000005</v>
          </cell>
          <cell r="Y429">
            <v>4.16</v>
          </cell>
          <cell r="Z429">
            <v>2.96</v>
          </cell>
          <cell r="AA429">
            <v>2</v>
          </cell>
          <cell r="AB429">
            <v>4.4400000000000004</v>
          </cell>
          <cell r="AC429">
            <v>1.4000000000000001</v>
          </cell>
          <cell r="AD429">
            <v>0.56000000000000005</v>
          </cell>
          <cell r="AE429">
            <v>1.04</v>
          </cell>
          <cell r="AF429">
            <v>10.120000000000001</v>
          </cell>
          <cell r="AG429">
            <v>5.160000000000001</v>
          </cell>
          <cell r="AH429">
            <v>0.04</v>
          </cell>
          <cell r="AI429">
            <v>3.6000000000000005</v>
          </cell>
          <cell r="AJ429">
            <v>1.56</v>
          </cell>
          <cell r="AK429">
            <v>1.1600000000000001</v>
          </cell>
          <cell r="AN429">
            <v>0.44</v>
          </cell>
          <cell r="AO429">
            <v>3.16</v>
          </cell>
          <cell r="AP429">
            <v>1.7359999999999998</v>
          </cell>
          <cell r="AQ429">
            <v>2.8000000000000003</v>
          </cell>
          <cell r="AR429">
            <v>2.8000000000000003</v>
          </cell>
          <cell r="AS429">
            <v>2.56</v>
          </cell>
          <cell r="AT429">
            <v>3.04</v>
          </cell>
          <cell r="AU429">
            <v>2</v>
          </cell>
          <cell r="AV429">
            <v>2.4800000000000004</v>
          </cell>
          <cell r="AW429">
            <v>2.8000000000000003</v>
          </cell>
          <cell r="AX429">
            <v>3.7600000000000002</v>
          </cell>
          <cell r="AY429">
            <v>1.6800000000000002</v>
          </cell>
          <cell r="AZ429">
            <v>3.0000000000000004</v>
          </cell>
          <cell r="BA429">
            <v>3.9600000000000004</v>
          </cell>
          <cell r="BB429">
            <v>10.28</v>
          </cell>
          <cell r="BC429">
            <v>5.0000000000000009</v>
          </cell>
          <cell r="BD429">
            <v>3</v>
          </cell>
          <cell r="BE429">
            <v>2.68</v>
          </cell>
          <cell r="BF429">
            <v>3.08</v>
          </cell>
          <cell r="BG429">
            <v>3.4400000000000004</v>
          </cell>
          <cell r="BH429">
            <v>3.28</v>
          </cell>
          <cell r="BI429">
            <v>3.2800000000000002</v>
          </cell>
          <cell r="BJ429">
            <v>3.12</v>
          </cell>
          <cell r="BK429">
            <v>2.3200000000000003</v>
          </cell>
          <cell r="BL429">
            <v>3.44</v>
          </cell>
          <cell r="BM429">
            <v>4.28</v>
          </cell>
          <cell r="BN429">
            <v>2.9200000000000004</v>
          </cell>
          <cell r="BO429">
            <v>2.6</v>
          </cell>
          <cell r="BP429">
            <v>1.6800000000000002</v>
          </cell>
          <cell r="BQ429">
            <v>3.48</v>
          </cell>
          <cell r="BR429">
            <v>1.8399999999999999</v>
          </cell>
          <cell r="BS429">
            <v>4.28</v>
          </cell>
          <cell r="BT429">
            <v>3.8000000000000003</v>
          </cell>
          <cell r="BU429">
            <v>3</v>
          </cell>
          <cell r="BV429">
            <v>3.2800000000000002</v>
          </cell>
          <cell r="BW429">
            <v>1.8800000000000001</v>
          </cell>
          <cell r="BX429">
            <v>9.2800000000000011</v>
          </cell>
          <cell r="BY429">
            <v>2.7199999999999998</v>
          </cell>
          <cell r="BZ429">
            <v>7.12</v>
          </cell>
          <cell r="CA429">
            <v>2.2799999999999998</v>
          </cell>
          <cell r="CB429">
            <v>2.3200000000000003</v>
          </cell>
          <cell r="CC429">
            <v>2.2000000000000002</v>
          </cell>
          <cell r="CD429">
            <v>1.9600000000000002</v>
          </cell>
          <cell r="CG429">
            <v>3.9600000000000004</v>
          </cell>
          <cell r="CH429">
            <v>2.7600000000000002</v>
          </cell>
          <cell r="CI429">
            <v>3.12</v>
          </cell>
          <cell r="CJ429">
            <v>2.4000000000000004</v>
          </cell>
          <cell r="CK429">
            <v>2.9200000000000004</v>
          </cell>
          <cell r="CL429">
            <v>1.52</v>
          </cell>
          <cell r="CM429">
            <v>2.4000000000000004</v>
          </cell>
          <cell r="CN429">
            <v>3.0400000000000005</v>
          </cell>
          <cell r="CO429">
            <v>1.9200000000000004</v>
          </cell>
          <cell r="CP429">
            <v>1.9600000000000004</v>
          </cell>
          <cell r="CQ429">
            <v>2.0000000000000004</v>
          </cell>
          <cell r="CR429">
            <v>2.4800000000000004</v>
          </cell>
          <cell r="CS429">
            <v>1.4000000000000004</v>
          </cell>
          <cell r="CT429">
            <v>2.5600000000000005</v>
          </cell>
          <cell r="CU429">
            <v>2.4400000000000004</v>
          </cell>
          <cell r="CV429">
            <v>3.1200000000000006</v>
          </cell>
          <cell r="CW429">
            <v>3.16</v>
          </cell>
          <cell r="CX429">
            <v>2.72</v>
          </cell>
          <cell r="CY429">
            <v>3.8000000000000003</v>
          </cell>
          <cell r="CZ429">
            <v>1.9200000000000004</v>
          </cell>
          <cell r="DA429">
            <v>1.7600000000000002</v>
          </cell>
          <cell r="DB429">
            <v>2.7600000000000002</v>
          </cell>
          <cell r="DC429">
            <v>1.9200000000000004</v>
          </cell>
          <cell r="DD429">
            <v>2.3600000000000003</v>
          </cell>
          <cell r="DE429" t="str">
            <v>ACTIVO</v>
          </cell>
          <cell r="DF429" t="str">
            <v/>
          </cell>
          <cell r="DH429">
            <v>2.5166666666666662</v>
          </cell>
          <cell r="DI429">
            <v>0.41944444444444434</v>
          </cell>
        </row>
        <row r="430">
          <cell r="B430">
            <v>405539</v>
          </cell>
          <cell r="C430" t="str">
            <v>LECHE CONDENSADA WATTS</v>
          </cell>
          <cell r="BH430">
            <v>20</v>
          </cell>
          <cell r="BJ430">
            <v>15</v>
          </cell>
          <cell r="BK430">
            <v>5</v>
          </cell>
          <cell r="BL430">
            <v>10</v>
          </cell>
          <cell r="BN430">
            <v>25</v>
          </cell>
          <cell r="BP430">
            <v>15</v>
          </cell>
          <cell r="BQ430">
            <v>100</v>
          </cell>
          <cell r="BR430">
            <v>10</v>
          </cell>
          <cell r="BS430">
            <v>20</v>
          </cell>
          <cell r="BT430">
            <v>10</v>
          </cell>
          <cell r="BU430">
            <v>10</v>
          </cell>
          <cell r="BV430">
            <v>10</v>
          </cell>
          <cell r="BW430">
            <v>20</v>
          </cell>
          <cell r="BX430">
            <v>15</v>
          </cell>
          <cell r="BY430">
            <v>200</v>
          </cell>
          <cell r="BZ430">
            <v>5</v>
          </cell>
          <cell r="DE430" t="str">
            <v>SIN USO</v>
          </cell>
          <cell r="DF430" t="str">
            <v>C</v>
          </cell>
          <cell r="DH430">
            <v>0</v>
          </cell>
          <cell r="DI430">
            <v>0</v>
          </cell>
        </row>
        <row r="431">
          <cell r="BH431">
            <v>20</v>
          </cell>
          <cell r="BJ431">
            <v>15</v>
          </cell>
          <cell r="BK431">
            <v>5</v>
          </cell>
          <cell r="BL431">
            <v>10</v>
          </cell>
          <cell r="BN431">
            <v>25</v>
          </cell>
          <cell r="BP431">
            <v>15</v>
          </cell>
          <cell r="BQ431">
            <v>100</v>
          </cell>
          <cell r="BR431">
            <v>10</v>
          </cell>
          <cell r="BS431">
            <v>20</v>
          </cell>
          <cell r="BT431">
            <v>10</v>
          </cell>
          <cell r="BU431">
            <v>10</v>
          </cell>
          <cell r="BV431">
            <v>10</v>
          </cell>
          <cell r="BW431">
            <v>20</v>
          </cell>
          <cell r="BX431">
            <v>15</v>
          </cell>
          <cell r="BY431">
            <v>200</v>
          </cell>
          <cell r="BZ431">
            <v>5</v>
          </cell>
          <cell r="DE431" t="str">
            <v>ACTIVO</v>
          </cell>
          <cell r="DF431" t="str">
            <v/>
          </cell>
          <cell r="DH431">
            <v>0</v>
          </cell>
          <cell r="DI431">
            <v>0</v>
          </cell>
        </row>
        <row r="432">
          <cell r="B432">
            <v>405304</v>
          </cell>
          <cell r="C432" t="str">
            <v>COLORANTE ROJO POLVO</v>
          </cell>
          <cell r="E432">
            <v>10</v>
          </cell>
          <cell r="Q432">
            <v>5</v>
          </cell>
          <cell r="Z432">
            <v>1</v>
          </cell>
          <cell r="AM432">
            <v>5</v>
          </cell>
          <cell r="AP432">
            <v>5</v>
          </cell>
          <cell r="AZ432">
            <v>20</v>
          </cell>
          <cell r="BI432">
            <v>5</v>
          </cell>
          <cell r="BY432">
            <v>5</v>
          </cell>
          <cell r="CB432">
            <v>5</v>
          </cell>
          <cell r="CO432">
            <v>10</v>
          </cell>
          <cell r="DE432" t="str">
            <v>ACTIVO</v>
          </cell>
          <cell r="DF432" t="str">
            <v>C</v>
          </cell>
          <cell r="DH432">
            <v>10</v>
          </cell>
          <cell r="DI432">
            <v>1.6666666666666667</v>
          </cell>
        </row>
        <row r="433">
          <cell r="B433">
            <v>405421</v>
          </cell>
          <cell r="C433" t="str">
            <v>COLORANTE NARANJA FLORAMATIC</v>
          </cell>
          <cell r="S433">
            <v>5</v>
          </cell>
          <cell r="DE433" t="str">
            <v>SIN USO</v>
          </cell>
          <cell r="DF433" t="str">
            <v/>
          </cell>
          <cell r="DH433">
            <v>0</v>
          </cell>
          <cell r="DI433">
            <v>0</v>
          </cell>
        </row>
        <row r="434">
          <cell r="E434">
            <v>10</v>
          </cell>
          <cell r="Q434">
            <v>5</v>
          </cell>
          <cell r="S434">
            <v>5</v>
          </cell>
          <cell r="Z434">
            <v>1</v>
          </cell>
          <cell r="AM434">
            <v>5</v>
          </cell>
          <cell r="AP434">
            <v>5</v>
          </cell>
          <cell r="AZ434">
            <v>20</v>
          </cell>
          <cell r="BI434">
            <v>5</v>
          </cell>
          <cell r="BY434">
            <v>5</v>
          </cell>
          <cell r="CB434">
            <v>5</v>
          </cell>
          <cell r="CO434">
            <v>10</v>
          </cell>
          <cell r="DE434" t="str">
            <v>ACTIVO</v>
          </cell>
          <cell r="DF434" t="str">
            <v/>
          </cell>
          <cell r="DH434">
            <v>10</v>
          </cell>
          <cell r="DI434">
            <v>1.6666666666666667</v>
          </cell>
        </row>
        <row r="435">
          <cell r="B435">
            <v>107159</v>
          </cell>
          <cell r="C435" t="str">
            <v>GELATINA S/SABOR ALTO LA CRUZ</v>
          </cell>
          <cell r="J435">
            <v>15</v>
          </cell>
          <cell r="K435">
            <v>4</v>
          </cell>
          <cell r="M435">
            <v>23</v>
          </cell>
          <cell r="N435">
            <v>5</v>
          </cell>
          <cell r="O435">
            <v>5</v>
          </cell>
          <cell r="P435">
            <v>7</v>
          </cell>
          <cell r="Q435">
            <v>13</v>
          </cell>
          <cell r="R435">
            <v>13</v>
          </cell>
          <cell r="S435">
            <v>18</v>
          </cell>
          <cell r="T435">
            <v>8</v>
          </cell>
          <cell r="U435">
            <v>33</v>
          </cell>
          <cell r="V435">
            <v>21</v>
          </cell>
          <cell r="W435">
            <v>10</v>
          </cell>
          <cell r="X435">
            <v>15</v>
          </cell>
          <cell r="Y435">
            <v>30</v>
          </cell>
          <cell r="Z435">
            <v>10</v>
          </cell>
          <cell r="AA435">
            <v>10</v>
          </cell>
          <cell r="AB435">
            <v>23</v>
          </cell>
          <cell r="AC435">
            <v>15</v>
          </cell>
          <cell r="AD435">
            <v>6</v>
          </cell>
          <cell r="AE435">
            <v>12</v>
          </cell>
          <cell r="AF435">
            <v>19</v>
          </cell>
          <cell r="AG435">
            <v>21</v>
          </cell>
          <cell r="AH435">
            <v>7</v>
          </cell>
          <cell r="AI435">
            <v>28</v>
          </cell>
          <cell r="AJ435">
            <v>19</v>
          </cell>
          <cell r="AK435">
            <v>0</v>
          </cell>
          <cell r="AL435">
            <v>17</v>
          </cell>
          <cell r="AM435">
            <v>14</v>
          </cell>
          <cell r="AN435">
            <v>16</v>
          </cell>
          <cell r="AO435">
            <v>16</v>
          </cell>
          <cell r="AP435">
            <v>24</v>
          </cell>
          <cell r="AQ435">
            <v>18</v>
          </cell>
          <cell r="AR435">
            <v>19</v>
          </cell>
          <cell r="AS435">
            <v>14</v>
          </cell>
          <cell r="AT435">
            <v>17</v>
          </cell>
          <cell r="AU435">
            <v>12</v>
          </cell>
          <cell r="AV435">
            <v>24</v>
          </cell>
          <cell r="AW435">
            <v>19</v>
          </cell>
          <cell r="AX435">
            <v>18</v>
          </cell>
          <cell r="AY435">
            <v>13</v>
          </cell>
          <cell r="AZ435">
            <v>13</v>
          </cell>
          <cell r="BA435">
            <v>21</v>
          </cell>
          <cell r="BB435">
            <v>15</v>
          </cell>
          <cell r="BC435">
            <v>27</v>
          </cell>
          <cell r="BD435">
            <v>15</v>
          </cell>
          <cell r="BE435">
            <v>15</v>
          </cell>
          <cell r="BF435">
            <v>4</v>
          </cell>
          <cell r="BG435">
            <v>23</v>
          </cell>
          <cell r="BH435">
            <v>16</v>
          </cell>
          <cell r="BI435">
            <v>18</v>
          </cell>
          <cell r="BJ435">
            <v>16</v>
          </cell>
          <cell r="BK435">
            <v>16</v>
          </cell>
          <cell r="BL435">
            <v>14</v>
          </cell>
          <cell r="BM435">
            <v>17</v>
          </cell>
          <cell r="BN435">
            <v>19</v>
          </cell>
          <cell r="BO435">
            <v>14</v>
          </cell>
          <cell r="BP435">
            <v>10</v>
          </cell>
          <cell r="BQ435">
            <v>16</v>
          </cell>
          <cell r="BR435">
            <v>7</v>
          </cell>
          <cell r="BS435">
            <v>22</v>
          </cell>
          <cell r="BT435">
            <v>13</v>
          </cell>
          <cell r="BU435">
            <v>15</v>
          </cell>
          <cell r="BV435">
            <v>13</v>
          </cell>
          <cell r="BW435">
            <v>13</v>
          </cell>
          <cell r="BX435">
            <v>7</v>
          </cell>
          <cell r="BY435">
            <v>12</v>
          </cell>
          <cell r="BZ435">
            <v>23</v>
          </cell>
          <cell r="CA435">
            <v>12</v>
          </cell>
          <cell r="CB435">
            <v>9</v>
          </cell>
          <cell r="CC435">
            <v>16</v>
          </cell>
          <cell r="CD435">
            <v>15</v>
          </cell>
          <cell r="CE435">
            <v>8</v>
          </cell>
          <cell r="CF435">
            <v>4</v>
          </cell>
          <cell r="CG435">
            <v>14</v>
          </cell>
          <cell r="CH435">
            <v>15</v>
          </cell>
          <cell r="CI435">
            <v>17</v>
          </cell>
          <cell r="CJ435">
            <v>8</v>
          </cell>
          <cell r="CK435">
            <v>24</v>
          </cell>
          <cell r="CL435">
            <v>15</v>
          </cell>
          <cell r="CM435">
            <v>20</v>
          </cell>
          <cell r="CN435">
            <v>17</v>
          </cell>
          <cell r="CO435">
            <v>24</v>
          </cell>
          <cell r="CP435">
            <v>18</v>
          </cell>
          <cell r="CQ435">
            <v>9</v>
          </cell>
          <cell r="CR435">
            <v>15</v>
          </cell>
          <cell r="CS435">
            <v>9</v>
          </cell>
          <cell r="CT435">
            <v>17</v>
          </cell>
          <cell r="CU435">
            <v>14</v>
          </cell>
          <cell r="CV435">
            <v>8</v>
          </cell>
          <cell r="CX435">
            <v>27</v>
          </cell>
          <cell r="CY435">
            <v>19</v>
          </cell>
          <cell r="CZ435">
            <v>12</v>
          </cell>
          <cell r="DA435">
            <v>18</v>
          </cell>
          <cell r="DB435">
            <v>16</v>
          </cell>
          <cell r="DC435">
            <v>18</v>
          </cell>
          <cell r="DD435">
            <v>17</v>
          </cell>
          <cell r="DE435" t="str">
            <v>ACTIVO</v>
          </cell>
          <cell r="DF435" t="str">
            <v>C</v>
          </cell>
          <cell r="DH435">
            <v>15.625</v>
          </cell>
          <cell r="DI435">
            <v>2.6041666666666665</v>
          </cell>
        </row>
        <row r="436">
          <cell r="B436">
            <v>107160</v>
          </cell>
          <cell r="C436" t="str">
            <v>GELATINA FRAMBUESA ALTO LA CRUZ</v>
          </cell>
          <cell r="J436">
            <v>18</v>
          </cell>
          <cell r="K436">
            <v>7</v>
          </cell>
          <cell r="L436">
            <v>8</v>
          </cell>
          <cell r="M436">
            <v>35</v>
          </cell>
          <cell r="N436">
            <v>6</v>
          </cell>
          <cell r="O436">
            <v>7</v>
          </cell>
          <cell r="P436">
            <v>8</v>
          </cell>
          <cell r="Q436">
            <v>18</v>
          </cell>
          <cell r="R436">
            <v>18</v>
          </cell>
          <cell r="S436">
            <v>27</v>
          </cell>
          <cell r="T436">
            <v>18</v>
          </cell>
          <cell r="U436">
            <v>30</v>
          </cell>
          <cell r="V436">
            <v>24</v>
          </cell>
          <cell r="W436">
            <v>12</v>
          </cell>
          <cell r="X436">
            <v>21</v>
          </cell>
          <cell r="Y436">
            <v>60</v>
          </cell>
          <cell r="Z436">
            <v>17</v>
          </cell>
          <cell r="AA436">
            <v>15</v>
          </cell>
          <cell r="AB436">
            <v>32</v>
          </cell>
          <cell r="AC436">
            <v>16</v>
          </cell>
          <cell r="AD436">
            <v>12</v>
          </cell>
          <cell r="AE436">
            <v>19</v>
          </cell>
          <cell r="AF436">
            <v>25</v>
          </cell>
          <cell r="AG436">
            <v>31</v>
          </cell>
          <cell r="AH436">
            <v>13</v>
          </cell>
          <cell r="AI436">
            <v>27</v>
          </cell>
          <cell r="AJ436">
            <v>21</v>
          </cell>
          <cell r="AK436">
            <v>4</v>
          </cell>
          <cell r="AL436">
            <v>23</v>
          </cell>
          <cell r="AM436">
            <v>16</v>
          </cell>
          <cell r="AN436">
            <v>23</v>
          </cell>
          <cell r="AO436">
            <v>20</v>
          </cell>
          <cell r="AP436">
            <v>23</v>
          </cell>
          <cell r="AQ436">
            <v>29</v>
          </cell>
          <cell r="AR436">
            <v>32</v>
          </cell>
          <cell r="AS436">
            <v>18</v>
          </cell>
          <cell r="AT436">
            <v>21</v>
          </cell>
          <cell r="AU436">
            <v>20</v>
          </cell>
          <cell r="AV436">
            <v>39</v>
          </cell>
          <cell r="AW436">
            <v>29</v>
          </cell>
          <cell r="AX436">
            <v>24</v>
          </cell>
          <cell r="AY436">
            <v>17</v>
          </cell>
          <cell r="AZ436">
            <v>16</v>
          </cell>
          <cell r="BA436">
            <v>25</v>
          </cell>
          <cell r="BB436">
            <v>18</v>
          </cell>
          <cell r="BC436">
            <v>35</v>
          </cell>
          <cell r="BD436">
            <v>20</v>
          </cell>
          <cell r="BE436">
            <v>21</v>
          </cell>
          <cell r="BF436">
            <v>7</v>
          </cell>
          <cell r="BG436">
            <v>31</v>
          </cell>
          <cell r="BH436">
            <v>20</v>
          </cell>
          <cell r="BI436">
            <v>23</v>
          </cell>
          <cell r="BJ436">
            <v>22</v>
          </cell>
          <cell r="BK436">
            <v>22</v>
          </cell>
          <cell r="BL436">
            <v>23</v>
          </cell>
          <cell r="BM436">
            <v>25</v>
          </cell>
          <cell r="BN436">
            <v>23</v>
          </cell>
          <cell r="BO436">
            <v>21</v>
          </cell>
          <cell r="BP436">
            <v>13</v>
          </cell>
          <cell r="BQ436">
            <v>22</v>
          </cell>
          <cell r="BR436">
            <v>11</v>
          </cell>
          <cell r="BS436">
            <v>28</v>
          </cell>
          <cell r="BT436">
            <v>18</v>
          </cell>
          <cell r="BU436">
            <v>16</v>
          </cell>
          <cell r="BV436">
            <v>22</v>
          </cell>
          <cell r="BW436">
            <v>18</v>
          </cell>
          <cell r="BX436">
            <v>7</v>
          </cell>
          <cell r="BY436">
            <v>15</v>
          </cell>
          <cell r="BZ436">
            <v>30</v>
          </cell>
          <cell r="CA436">
            <v>18</v>
          </cell>
          <cell r="CB436">
            <v>12</v>
          </cell>
          <cell r="CC436">
            <v>19</v>
          </cell>
          <cell r="CD436">
            <v>19</v>
          </cell>
          <cell r="CE436">
            <v>9</v>
          </cell>
          <cell r="CF436">
            <v>5</v>
          </cell>
          <cell r="CG436">
            <v>21</v>
          </cell>
          <cell r="CH436">
            <v>20</v>
          </cell>
          <cell r="CI436">
            <v>23</v>
          </cell>
          <cell r="CJ436">
            <v>10</v>
          </cell>
          <cell r="CK436">
            <v>31</v>
          </cell>
          <cell r="CL436">
            <v>40</v>
          </cell>
          <cell r="CM436">
            <v>27</v>
          </cell>
          <cell r="CN436">
            <v>23</v>
          </cell>
          <cell r="CO436">
            <v>20</v>
          </cell>
          <cell r="CP436">
            <v>23</v>
          </cell>
          <cell r="CQ436">
            <v>13</v>
          </cell>
          <cell r="CR436">
            <v>23</v>
          </cell>
          <cell r="CS436">
            <v>11</v>
          </cell>
          <cell r="CT436">
            <v>20</v>
          </cell>
          <cell r="CU436">
            <v>19</v>
          </cell>
          <cell r="CV436">
            <v>13</v>
          </cell>
          <cell r="CX436">
            <v>39</v>
          </cell>
          <cell r="CY436">
            <v>26</v>
          </cell>
          <cell r="CZ436">
            <v>14</v>
          </cell>
          <cell r="DA436">
            <v>19</v>
          </cell>
          <cell r="DB436">
            <v>18</v>
          </cell>
          <cell r="DC436">
            <v>28</v>
          </cell>
          <cell r="DD436">
            <v>26</v>
          </cell>
          <cell r="DE436" t="str">
            <v>ACTIVO</v>
          </cell>
          <cell r="DF436" t="str">
            <v>C</v>
          </cell>
          <cell r="DH436">
            <v>21.333333333333332</v>
          </cell>
          <cell r="DI436">
            <v>3.5555555555555554</v>
          </cell>
        </row>
        <row r="437">
          <cell r="J437">
            <v>33</v>
          </cell>
          <cell r="K437">
            <v>11</v>
          </cell>
          <cell r="L437">
            <v>8</v>
          </cell>
          <cell r="M437">
            <v>58</v>
          </cell>
          <cell r="N437">
            <v>11</v>
          </cell>
          <cell r="O437">
            <v>12</v>
          </cell>
          <cell r="P437">
            <v>15</v>
          </cell>
          <cell r="Q437">
            <v>31</v>
          </cell>
          <cell r="R437">
            <v>31</v>
          </cell>
          <cell r="S437">
            <v>45</v>
          </cell>
          <cell r="T437">
            <v>26</v>
          </cell>
          <cell r="U437">
            <v>63</v>
          </cell>
          <cell r="V437">
            <v>45</v>
          </cell>
          <cell r="W437">
            <v>22</v>
          </cell>
          <cell r="X437">
            <v>36</v>
          </cell>
          <cell r="Y437">
            <v>90</v>
          </cell>
          <cell r="Z437">
            <v>27</v>
          </cell>
          <cell r="AA437">
            <v>25</v>
          </cell>
          <cell r="AB437">
            <v>55</v>
          </cell>
          <cell r="AC437">
            <v>31</v>
          </cell>
          <cell r="AD437">
            <v>18</v>
          </cell>
          <cell r="AE437">
            <v>31</v>
          </cell>
          <cell r="AF437">
            <v>44</v>
          </cell>
          <cell r="AG437">
            <v>52</v>
          </cell>
          <cell r="AH437">
            <v>20</v>
          </cell>
          <cell r="AI437">
            <v>55</v>
          </cell>
          <cell r="AJ437">
            <v>40</v>
          </cell>
          <cell r="AK437">
            <v>4</v>
          </cell>
          <cell r="AL437">
            <v>40</v>
          </cell>
          <cell r="AM437">
            <v>30</v>
          </cell>
          <cell r="AN437">
            <v>39</v>
          </cell>
          <cell r="AO437">
            <v>36</v>
          </cell>
          <cell r="AP437">
            <v>47</v>
          </cell>
          <cell r="AQ437">
            <v>47</v>
          </cell>
          <cell r="AR437">
            <v>51</v>
          </cell>
          <cell r="AS437">
            <v>32</v>
          </cell>
          <cell r="AT437">
            <v>38</v>
          </cell>
          <cell r="AU437">
            <v>32</v>
          </cell>
          <cell r="AV437">
            <v>63</v>
          </cell>
          <cell r="AW437">
            <v>48</v>
          </cell>
          <cell r="AX437">
            <v>42</v>
          </cell>
          <cell r="AY437">
            <v>30</v>
          </cell>
          <cell r="AZ437">
            <v>29</v>
          </cell>
          <cell r="BA437">
            <v>46</v>
          </cell>
          <cell r="BB437">
            <v>33</v>
          </cell>
          <cell r="BC437">
            <v>62</v>
          </cell>
          <cell r="BD437">
            <v>35</v>
          </cell>
          <cell r="BE437">
            <v>36</v>
          </cell>
          <cell r="BF437">
            <v>11</v>
          </cell>
          <cell r="BG437">
            <v>54</v>
          </cell>
          <cell r="BH437">
            <v>36</v>
          </cell>
          <cell r="BI437">
            <v>41</v>
          </cell>
          <cell r="BJ437">
            <v>38</v>
          </cell>
          <cell r="BK437">
            <v>38</v>
          </cell>
          <cell r="BL437">
            <v>37</v>
          </cell>
          <cell r="BM437">
            <v>42</v>
          </cell>
          <cell r="BN437">
            <v>42</v>
          </cell>
          <cell r="BO437">
            <v>35</v>
          </cell>
          <cell r="BP437">
            <v>23</v>
          </cell>
          <cell r="BQ437">
            <v>38</v>
          </cell>
          <cell r="BR437">
            <v>18</v>
          </cell>
          <cell r="BS437">
            <v>50</v>
          </cell>
          <cell r="BT437">
            <v>31</v>
          </cell>
          <cell r="BU437">
            <v>31</v>
          </cell>
          <cell r="BV437">
            <v>35</v>
          </cell>
          <cell r="BW437">
            <v>31</v>
          </cell>
          <cell r="BX437">
            <v>14</v>
          </cell>
          <cell r="BY437">
            <v>27</v>
          </cell>
          <cell r="BZ437">
            <v>53</v>
          </cell>
          <cell r="CA437">
            <v>30</v>
          </cell>
          <cell r="CB437">
            <v>21</v>
          </cell>
          <cell r="CC437">
            <v>35</v>
          </cell>
          <cell r="CD437">
            <v>34</v>
          </cell>
          <cell r="CE437">
            <v>17</v>
          </cell>
          <cell r="CF437">
            <v>9</v>
          </cell>
          <cell r="CG437">
            <v>35</v>
          </cell>
          <cell r="CH437">
            <v>35</v>
          </cell>
          <cell r="CI437">
            <v>40</v>
          </cell>
          <cell r="CJ437">
            <v>18</v>
          </cell>
          <cell r="CK437">
            <v>55</v>
          </cell>
          <cell r="CL437">
            <v>55</v>
          </cell>
          <cell r="CM437">
            <v>47</v>
          </cell>
          <cell r="CN437">
            <v>40</v>
          </cell>
          <cell r="CO437">
            <v>44</v>
          </cell>
          <cell r="CP437">
            <v>41</v>
          </cell>
          <cell r="CQ437">
            <v>22</v>
          </cell>
          <cell r="CR437">
            <v>38</v>
          </cell>
          <cell r="CS437">
            <v>20</v>
          </cell>
          <cell r="CT437">
            <v>37</v>
          </cell>
          <cell r="CU437">
            <v>33</v>
          </cell>
          <cell r="CV437">
            <v>21</v>
          </cell>
          <cell r="CX437">
            <v>66</v>
          </cell>
          <cell r="CY437">
            <v>45</v>
          </cell>
          <cell r="CZ437">
            <v>26</v>
          </cell>
          <cell r="DA437">
            <v>37</v>
          </cell>
          <cell r="DB437">
            <v>34</v>
          </cell>
          <cell r="DC437">
            <v>46</v>
          </cell>
          <cell r="DD437">
            <v>43</v>
          </cell>
          <cell r="DE437" t="str">
            <v>ACTIVO</v>
          </cell>
          <cell r="DF437" t="str">
            <v/>
          </cell>
          <cell r="DH437">
            <v>36.958333333333336</v>
          </cell>
          <cell r="DI437">
            <v>6.1597222222222223</v>
          </cell>
        </row>
        <row r="438">
          <cell r="B438">
            <v>107174</v>
          </cell>
          <cell r="C438" t="str">
            <v>YOGURT FRUTILLA SOPROLE</v>
          </cell>
          <cell r="BA438">
            <v>374</v>
          </cell>
          <cell r="BB438">
            <v>248</v>
          </cell>
          <cell r="BC438">
            <v>335</v>
          </cell>
          <cell r="BD438">
            <v>18</v>
          </cell>
          <cell r="BE438">
            <v>22</v>
          </cell>
          <cell r="BF438">
            <v>26</v>
          </cell>
          <cell r="BG438">
            <v>25</v>
          </cell>
          <cell r="BH438">
            <v>18</v>
          </cell>
          <cell r="BI438">
            <v>9</v>
          </cell>
          <cell r="DE438" t="str">
            <v>ACTIVO</v>
          </cell>
          <cell r="DF438" t="str">
            <v>C</v>
          </cell>
          <cell r="DH438">
            <v>0</v>
          </cell>
          <cell r="DI438">
            <v>0</v>
          </cell>
        </row>
        <row r="439">
          <cell r="B439">
            <v>107164</v>
          </cell>
          <cell r="C439" t="str">
            <v>YOGURT FRUTILLA DIWATTS</v>
          </cell>
          <cell r="J439">
            <v>282</v>
          </cell>
          <cell r="K439">
            <v>35</v>
          </cell>
          <cell r="L439">
            <v>106</v>
          </cell>
          <cell r="M439">
            <v>499</v>
          </cell>
          <cell r="N439">
            <v>94</v>
          </cell>
          <cell r="O439">
            <v>120</v>
          </cell>
          <cell r="P439">
            <v>147</v>
          </cell>
          <cell r="Q439">
            <v>263</v>
          </cell>
          <cell r="R439">
            <v>184</v>
          </cell>
          <cell r="S439">
            <v>381</v>
          </cell>
          <cell r="T439">
            <v>147</v>
          </cell>
          <cell r="U439">
            <v>456</v>
          </cell>
          <cell r="V439">
            <v>325</v>
          </cell>
          <cell r="W439">
            <v>144</v>
          </cell>
          <cell r="X439">
            <v>313</v>
          </cell>
          <cell r="Y439">
            <v>610</v>
          </cell>
          <cell r="Z439">
            <v>256</v>
          </cell>
          <cell r="AA439">
            <v>179</v>
          </cell>
          <cell r="AB439">
            <v>506</v>
          </cell>
          <cell r="AC439">
            <v>192</v>
          </cell>
          <cell r="AD439">
            <v>151</v>
          </cell>
          <cell r="AE439">
            <v>264</v>
          </cell>
          <cell r="AF439">
            <v>374</v>
          </cell>
          <cell r="AG439">
            <v>460</v>
          </cell>
          <cell r="AH439">
            <v>129</v>
          </cell>
          <cell r="AI439">
            <v>532</v>
          </cell>
          <cell r="AJ439">
            <v>284</v>
          </cell>
          <cell r="AK439">
            <v>0</v>
          </cell>
          <cell r="AL439">
            <v>264</v>
          </cell>
          <cell r="AM439">
            <v>299</v>
          </cell>
          <cell r="AN439">
            <v>340</v>
          </cell>
          <cell r="AO439">
            <v>321</v>
          </cell>
          <cell r="AP439">
            <v>388</v>
          </cell>
          <cell r="AQ439">
            <v>394</v>
          </cell>
          <cell r="AR439">
            <v>398</v>
          </cell>
          <cell r="AS439">
            <v>290</v>
          </cell>
          <cell r="AT439">
            <v>350</v>
          </cell>
          <cell r="AU439">
            <v>249</v>
          </cell>
          <cell r="AV439">
            <v>515</v>
          </cell>
          <cell r="AW439">
            <v>394</v>
          </cell>
          <cell r="AX439">
            <v>292</v>
          </cell>
          <cell r="AY439">
            <v>216</v>
          </cell>
          <cell r="AZ439">
            <v>269</v>
          </cell>
          <cell r="BA439">
            <v>24</v>
          </cell>
          <cell r="BC439">
            <v>207</v>
          </cell>
          <cell r="BD439">
            <v>225</v>
          </cell>
          <cell r="BE439">
            <v>274</v>
          </cell>
          <cell r="BF439">
            <v>92</v>
          </cell>
          <cell r="BG439">
            <v>449</v>
          </cell>
          <cell r="BH439">
            <v>313</v>
          </cell>
          <cell r="BI439">
            <v>372</v>
          </cell>
          <cell r="BJ439">
            <v>354</v>
          </cell>
          <cell r="BK439">
            <v>337</v>
          </cell>
          <cell r="BL439">
            <v>276</v>
          </cell>
          <cell r="BM439">
            <v>313</v>
          </cell>
          <cell r="BN439">
            <v>438</v>
          </cell>
          <cell r="BO439">
            <v>278</v>
          </cell>
          <cell r="BP439">
            <v>164</v>
          </cell>
          <cell r="BQ439">
            <v>346</v>
          </cell>
          <cell r="BR439">
            <v>159</v>
          </cell>
          <cell r="BS439">
            <v>537</v>
          </cell>
          <cell r="BT439">
            <v>271</v>
          </cell>
          <cell r="BU439">
            <v>270</v>
          </cell>
          <cell r="BV439">
            <v>273</v>
          </cell>
          <cell r="BW439">
            <v>288</v>
          </cell>
          <cell r="BX439">
            <v>139</v>
          </cell>
          <cell r="BY439">
            <v>242</v>
          </cell>
          <cell r="BZ439">
            <v>477</v>
          </cell>
          <cell r="CA439">
            <v>289</v>
          </cell>
          <cell r="CB439">
            <v>205</v>
          </cell>
          <cell r="CC439">
            <v>318</v>
          </cell>
          <cell r="CD439">
            <v>382</v>
          </cell>
          <cell r="CE439">
            <v>125</v>
          </cell>
          <cell r="CF439">
            <v>90</v>
          </cell>
          <cell r="CG439">
            <v>290</v>
          </cell>
          <cell r="CH439">
            <v>323</v>
          </cell>
          <cell r="CI439">
            <v>357</v>
          </cell>
          <cell r="CJ439">
            <v>163</v>
          </cell>
          <cell r="CK439">
            <v>505</v>
          </cell>
          <cell r="CL439">
            <v>316</v>
          </cell>
          <cell r="CM439">
            <v>392</v>
          </cell>
          <cell r="CN439">
            <v>370</v>
          </cell>
          <cell r="CO439">
            <v>322</v>
          </cell>
          <cell r="CP439">
            <v>382</v>
          </cell>
          <cell r="CQ439">
            <v>193</v>
          </cell>
          <cell r="CR439">
            <v>295</v>
          </cell>
          <cell r="CS439">
            <v>177</v>
          </cell>
          <cell r="CT439">
            <v>371</v>
          </cell>
          <cell r="CU439">
            <v>290</v>
          </cell>
          <cell r="CV439">
            <v>170</v>
          </cell>
          <cell r="CX439">
            <v>564</v>
          </cell>
          <cell r="CY439">
            <v>405</v>
          </cell>
          <cell r="CZ439">
            <v>232</v>
          </cell>
          <cell r="DA439">
            <v>306</v>
          </cell>
          <cell r="DB439">
            <v>314</v>
          </cell>
          <cell r="DC439">
            <v>381</v>
          </cell>
          <cell r="DD439">
            <v>327</v>
          </cell>
          <cell r="DE439" t="str">
            <v>ACTIVO</v>
          </cell>
          <cell r="DF439" t="str">
            <v>B</v>
          </cell>
          <cell r="DH439">
            <v>313.95833333333331</v>
          </cell>
          <cell r="DI439">
            <v>52.326388888888886</v>
          </cell>
        </row>
        <row r="440">
          <cell r="J440">
            <v>282</v>
          </cell>
          <cell r="K440">
            <v>35</v>
          </cell>
          <cell r="L440">
            <v>106</v>
          </cell>
          <cell r="M440">
            <v>499</v>
          </cell>
          <cell r="N440">
            <v>94</v>
          </cell>
          <cell r="O440">
            <v>120</v>
          </cell>
          <cell r="P440">
            <v>147</v>
          </cell>
          <cell r="Q440">
            <v>263</v>
          </cell>
          <cell r="R440">
            <v>184</v>
          </cell>
          <cell r="S440">
            <v>381</v>
          </cell>
          <cell r="T440">
            <v>147</v>
          </cell>
          <cell r="U440">
            <v>456</v>
          </cell>
          <cell r="V440">
            <v>325</v>
          </cell>
          <cell r="W440">
            <v>144</v>
          </cell>
          <cell r="X440">
            <v>313</v>
          </cell>
          <cell r="Y440">
            <v>610</v>
          </cell>
          <cell r="Z440">
            <v>256</v>
          </cell>
          <cell r="AA440">
            <v>179</v>
          </cell>
          <cell r="AB440">
            <v>506</v>
          </cell>
          <cell r="AC440">
            <v>192</v>
          </cell>
          <cell r="AD440">
            <v>151</v>
          </cell>
          <cell r="AE440">
            <v>264</v>
          </cell>
          <cell r="AF440">
            <v>374</v>
          </cell>
          <cell r="AG440">
            <v>460</v>
          </cell>
          <cell r="AH440">
            <v>129</v>
          </cell>
          <cell r="AI440">
            <v>532</v>
          </cell>
          <cell r="AJ440">
            <v>284</v>
          </cell>
          <cell r="AK440">
            <v>0</v>
          </cell>
          <cell r="AL440">
            <v>264</v>
          </cell>
          <cell r="AM440">
            <v>299</v>
          </cell>
          <cell r="AN440">
            <v>340</v>
          </cell>
          <cell r="AO440">
            <v>321</v>
          </cell>
          <cell r="AP440">
            <v>388</v>
          </cell>
          <cell r="AQ440">
            <v>394</v>
          </cell>
          <cell r="AR440">
            <v>398</v>
          </cell>
          <cell r="AS440">
            <v>290</v>
          </cell>
          <cell r="AT440">
            <v>350</v>
          </cell>
          <cell r="AU440">
            <v>249</v>
          </cell>
          <cell r="AV440">
            <v>515</v>
          </cell>
          <cell r="AW440">
            <v>394</v>
          </cell>
          <cell r="AX440">
            <v>292</v>
          </cell>
          <cell r="AY440">
            <v>216</v>
          </cell>
          <cell r="AZ440">
            <v>269</v>
          </cell>
          <cell r="BA440">
            <v>398</v>
          </cell>
          <cell r="BB440">
            <v>248</v>
          </cell>
          <cell r="BC440">
            <v>542</v>
          </cell>
          <cell r="BD440">
            <v>243</v>
          </cell>
          <cell r="BE440">
            <v>296</v>
          </cell>
          <cell r="BF440">
            <v>118</v>
          </cell>
          <cell r="BG440">
            <v>474</v>
          </cell>
          <cell r="BH440">
            <v>331</v>
          </cell>
          <cell r="BI440">
            <v>381</v>
          </cell>
          <cell r="BJ440">
            <v>354</v>
          </cell>
          <cell r="BK440">
            <v>337</v>
          </cell>
          <cell r="BL440">
            <v>276</v>
          </cell>
          <cell r="BM440">
            <v>313</v>
          </cell>
          <cell r="BN440">
            <v>438</v>
          </cell>
          <cell r="BO440">
            <v>278</v>
          </cell>
          <cell r="BP440">
            <v>164</v>
          </cell>
          <cell r="BQ440">
            <v>346</v>
          </cell>
          <cell r="BR440">
            <v>159</v>
          </cell>
          <cell r="BS440">
            <v>537</v>
          </cell>
          <cell r="BT440">
            <v>271</v>
          </cell>
          <cell r="BU440">
            <v>270</v>
          </cell>
          <cell r="BV440">
            <v>273</v>
          </cell>
          <cell r="BW440">
            <v>288</v>
          </cell>
          <cell r="BX440">
            <v>139</v>
          </cell>
          <cell r="BY440">
            <v>242</v>
          </cell>
          <cell r="BZ440">
            <v>477</v>
          </cell>
          <cell r="CA440">
            <v>289</v>
          </cell>
          <cell r="CB440">
            <v>205</v>
          </cell>
          <cell r="CC440">
            <v>318</v>
          </cell>
          <cell r="CD440">
            <v>382</v>
          </cell>
          <cell r="CE440">
            <v>125</v>
          </cell>
          <cell r="CF440">
            <v>90</v>
          </cell>
          <cell r="CG440">
            <v>290</v>
          </cell>
          <cell r="CH440">
            <v>323</v>
          </cell>
          <cell r="CI440">
            <v>357</v>
          </cell>
          <cell r="CJ440">
            <v>163</v>
          </cell>
          <cell r="CK440">
            <v>505</v>
          </cell>
          <cell r="CL440">
            <v>316</v>
          </cell>
          <cell r="CM440">
            <v>392</v>
          </cell>
          <cell r="CN440">
            <v>370</v>
          </cell>
          <cell r="CO440">
            <v>322</v>
          </cell>
          <cell r="CP440">
            <v>382</v>
          </cell>
          <cell r="CQ440">
            <v>193</v>
          </cell>
          <cell r="CR440">
            <v>295</v>
          </cell>
          <cell r="CS440">
            <v>177</v>
          </cell>
          <cell r="CT440">
            <v>371</v>
          </cell>
          <cell r="CU440">
            <v>290</v>
          </cell>
          <cell r="CV440">
            <v>170</v>
          </cell>
          <cell r="CX440">
            <v>564</v>
          </cell>
          <cell r="CY440">
            <v>405</v>
          </cell>
          <cell r="CZ440">
            <v>232</v>
          </cell>
          <cell r="DA440">
            <v>306</v>
          </cell>
          <cell r="DB440">
            <v>314</v>
          </cell>
          <cell r="DC440">
            <v>381</v>
          </cell>
          <cell r="DD440">
            <v>327</v>
          </cell>
        </row>
        <row r="447">
          <cell r="B447" t="str">
            <v xml:space="preserve">maesta con # productos activos en las 3 plantas que no se repitan </v>
          </cell>
        </row>
        <row r="448">
          <cell r="B448" t="str">
            <v xml:space="preserve"># se comprarn por plantas </v>
          </cell>
        </row>
        <row r="449">
          <cell r="B449" t="str">
            <v xml:space="preserve"># se repiten en enea en pv </v>
          </cell>
        </row>
        <row r="450">
          <cell r="B450" t="str">
            <v xml:space="preserve">$ plata significa </v>
          </cell>
        </row>
        <row r="451">
          <cell r="B451" t="str">
            <v># cuantos se entregan directos en plantas</v>
          </cell>
        </row>
        <row r="452">
          <cell r="B452" t="str">
            <v xml:space="preserve"># se compra en enea para otras plantas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umo SEMANAL PV "/>
      <sheetName val="RECETAS"/>
      <sheetName val="PEDIR"/>
      <sheetName val="CONSUMO DIA PV"/>
      <sheetName val="Stock Bodegas"/>
      <sheetName val="Base Transferencia"/>
      <sheetName val="CONSUMO $"/>
      <sheetName val="Base Stock"/>
      <sheetName val="Calendario"/>
      <sheetName val="Base Categoria"/>
      <sheetName val="lef time"/>
      <sheetName val="NO ACTIVOS "/>
      <sheetName val="PROVEEDOR"/>
      <sheetName val="DN PEDIDOS"/>
      <sheetName val="DN LLEGO"/>
      <sheetName val="POR LLEGAR"/>
      <sheetName val="PEDIDOS"/>
      <sheetName val="DN CONSUMOS"/>
      <sheetName val="CONSUMOS"/>
      <sheetName val="Hoja1"/>
      <sheetName val="Hoja2"/>
    </sheetNames>
    <sheetDataSet>
      <sheetData sheetId="0" refreshError="1">
        <row r="1">
          <cell r="B1" t="str">
            <v>PUERTO VESPUCIO</v>
          </cell>
        </row>
        <row r="2">
          <cell r="B2" t="str">
            <v>(Todas)</v>
          </cell>
          <cell r="DJ2" t="str">
            <v xml:space="preserve"> </v>
          </cell>
        </row>
        <row r="3">
          <cell r="B3" t="str">
            <v>(Todas)</v>
          </cell>
        </row>
        <row r="4">
          <cell r="B4" t="str">
            <v>(Todas)</v>
          </cell>
        </row>
        <row r="5">
          <cell r="B5" t="str">
            <v>(Todas)</v>
          </cell>
        </row>
        <row r="6">
          <cell r="B6" t="str">
            <v>(Todas)</v>
          </cell>
        </row>
        <row r="7">
          <cell r="B7" t="str">
            <v>(Todas)</v>
          </cell>
        </row>
        <row r="9">
          <cell r="D9" t="str">
            <v>año</v>
          </cell>
          <cell r="E9" t="str">
            <v>Semana</v>
          </cell>
        </row>
        <row r="10">
          <cell r="D10" t="str">
            <v>2024</v>
          </cell>
          <cell r="AE10" t="str">
            <v>2025</v>
          </cell>
          <cell r="CF10" t="str">
            <v>2026</v>
          </cell>
        </row>
        <row r="11">
          <cell r="B11" t="str">
            <v xml:space="preserve">artículo  </v>
          </cell>
          <cell r="C11" t="str">
            <v>Descripción artículo/serv.</v>
          </cell>
          <cell r="D11">
            <v>27</v>
          </cell>
          <cell r="E11">
            <v>28</v>
          </cell>
          <cell r="F11">
            <v>29</v>
          </cell>
          <cell r="G11">
            <v>30</v>
          </cell>
          <cell r="H11">
            <v>31</v>
          </cell>
          <cell r="I11">
            <v>32</v>
          </cell>
          <cell r="J11">
            <v>33</v>
          </cell>
          <cell r="K11">
            <v>34</v>
          </cell>
          <cell r="L11">
            <v>35</v>
          </cell>
          <cell r="M11">
            <v>36</v>
          </cell>
          <cell r="N11">
            <v>37</v>
          </cell>
          <cell r="O11">
            <v>38</v>
          </cell>
          <cell r="P11">
            <v>39</v>
          </cell>
          <cell r="Q11">
            <v>40</v>
          </cell>
          <cell r="R11">
            <v>41</v>
          </cell>
          <cell r="S11">
            <v>42</v>
          </cell>
          <cell r="T11">
            <v>43</v>
          </cell>
          <cell r="U11">
            <v>44</v>
          </cell>
          <cell r="V11">
            <v>45</v>
          </cell>
          <cell r="W11">
            <v>46</v>
          </cell>
          <cell r="X11">
            <v>47</v>
          </cell>
          <cell r="Y11">
            <v>48</v>
          </cell>
          <cell r="Z11">
            <v>49</v>
          </cell>
          <cell r="AA11">
            <v>50</v>
          </cell>
          <cell r="AB11">
            <v>51</v>
          </cell>
          <cell r="AC11">
            <v>52</v>
          </cell>
          <cell r="AD11">
            <v>53</v>
          </cell>
          <cell r="AE11">
            <v>1</v>
          </cell>
          <cell r="AF11">
            <v>2</v>
          </cell>
          <cell r="AG11">
            <v>3</v>
          </cell>
          <cell r="AH11">
            <v>4</v>
          </cell>
          <cell r="AI11">
            <v>5</v>
          </cell>
          <cell r="AJ11">
            <v>6</v>
          </cell>
          <cell r="AK11">
            <v>7</v>
          </cell>
          <cell r="AL11">
            <v>8</v>
          </cell>
          <cell r="AM11">
            <v>9</v>
          </cell>
          <cell r="AN11">
            <v>10</v>
          </cell>
          <cell r="AO11">
            <v>11</v>
          </cell>
          <cell r="AP11">
            <v>12</v>
          </cell>
          <cell r="AQ11">
            <v>13</v>
          </cell>
          <cell r="AR11">
            <v>14</v>
          </cell>
          <cell r="AS11">
            <v>15</v>
          </cell>
          <cell r="AT11">
            <v>16</v>
          </cell>
          <cell r="AU11">
            <v>17</v>
          </cell>
          <cell r="AV11">
            <v>18</v>
          </cell>
          <cell r="AW11">
            <v>19</v>
          </cell>
          <cell r="AX11">
            <v>20</v>
          </cell>
          <cell r="AY11">
            <v>21</v>
          </cell>
          <cell r="AZ11">
            <v>22</v>
          </cell>
          <cell r="BA11">
            <v>23</v>
          </cell>
          <cell r="BB11">
            <v>24</v>
          </cell>
          <cell r="BC11">
            <v>25</v>
          </cell>
          <cell r="BD11">
            <v>26</v>
          </cell>
          <cell r="BE11">
            <v>27</v>
          </cell>
          <cell r="BF11">
            <v>28</v>
          </cell>
          <cell r="BG11">
            <v>29</v>
          </cell>
          <cell r="BH11">
            <v>30</v>
          </cell>
          <cell r="BI11">
            <v>31</v>
          </cell>
          <cell r="BJ11">
            <v>32</v>
          </cell>
          <cell r="BK11">
            <v>33</v>
          </cell>
          <cell r="BL11">
            <v>34</v>
          </cell>
          <cell r="BM11">
            <v>35</v>
          </cell>
          <cell r="BN11">
            <v>36</v>
          </cell>
          <cell r="BO11">
            <v>37</v>
          </cell>
          <cell r="BP11">
            <v>38</v>
          </cell>
          <cell r="BQ11">
            <v>39</v>
          </cell>
          <cell r="BR11">
            <v>40</v>
          </cell>
          <cell r="BS11">
            <v>41</v>
          </cell>
          <cell r="BT11">
            <v>42</v>
          </cell>
          <cell r="BU11">
            <v>43</v>
          </cell>
          <cell r="BV11">
            <v>44</v>
          </cell>
          <cell r="BW11">
            <v>45</v>
          </cell>
          <cell r="BX11">
            <v>46</v>
          </cell>
          <cell r="BY11">
            <v>47</v>
          </cell>
          <cell r="BZ11">
            <v>48</v>
          </cell>
          <cell r="CA11">
            <v>49</v>
          </cell>
          <cell r="CB11">
            <v>50</v>
          </cell>
          <cell r="CC11">
            <v>51</v>
          </cell>
          <cell r="CD11">
            <v>52</v>
          </cell>
          <cell r="CE11">
            <v>53</v>
          </cell>
          <cell r="CF11">
            <v>1</v>
          </cell>
          <cell r="CG11">
            <v>2</v>
          </cell>
          <cell r="CH11">
            <v>3</v>
          </cell>
          <cell r="CI11">
            <v>4</v>
          </cell>
          <cell r="CJ11">
            <v>5</v>
          </cell>
          <cell r="CK11">
            <v>6</v>
          </cell>
          <cell r="CL11">
            <v>7</v>
          </cell>
          <cell r="CM11">
            <v>8</v>
          </cell>
          <cell r="CN11">
            <v>9</v>
          </cell>
          <cell r="CO11">
            <v>10</v>
          </cell>
          <cell r="CP11">
            <v>11</v>
          </cell>
          <cell r="CQ11">
            <v>12</v>
          </cell>
          <cell r="CR11">
            <v>13</v>
          </cell>
          <cell r="CS11">
            <v>14</v>
          </cell>
          <cell r="CT11">
            <v>15</v>
          </cell>
          <cell r="CU11">
            <v>16</v>
          </cell>
          <cell r="CV11">
            <v>17</v>
          </cell>
          <cell r="CW11">
            <v>18</v>
          </cell>
          <cell r="CX11">
            <v>19</v>
          </cell>
          <cell r="CY11">
            <v>20</v>
          </cell>
          <cell r="CZ11">
            <v>21</v>
          </cell>
          <cell r="DA11">
            <v>22</v>
          </cell>
          <cell r="DB11" t="str">
            <v xml:space="preserve">status </v>
          </cell>
          <cell r="DC11" t="str">
            <v>ABC</v>
          </cell>
          <cell r="DE11" t="str">
            <v>PROMEDIO</v>
          </cell>
          <cell r="DF11" t="str">
            <v>S/DIA</v>
          </cell>
          <cell r="DG11" t="str">
            <v>DESV</v>
          </cell>
          <cell r="DH11" t="str">
            <v>STOCK</v>
          </cell>
          <cell r="DI11" t="str">
            <v>STOCK $</v>
          </cell>
          <cell r="DJ11" t="str">
            <v>D/Stock</v>
          </cell>
          <cell r="DK11" t="str">
            <v>STATUS</v>
          </cell>
          <cell r="DL11" t="str">
            <v>P REORDEN</v>
          </cell>
          <cell r="DM11" t="str">
            <v>S/SG</v>
          </cell>
          <cell r="DN11" t="str">
            <v>REFERENCIA</v>
          </cell>
        </row>
        <row r="12">
          <cell r="B12">
            <v>402254</v>
          </cell>
          <cell r="C12" t="str">
            <v>BOLSA PREPICADA BANDEJA 100X90</v>
          </cell>
          <cell r="D12">
            <v>315</v>
          </cell>
          <cell r="E12">
            <v>329</v>
          </cell>
          <cell r="F12">
            <v>419.8</v>
          </cell>
          <cell r="G12">
            <v>289.2</v>
          </cell>
          <cell r="H12">
            <v>545</v>
          </cell>
          <cell r="I12">
            <v>360</v>
          </cell>
          <cell r="J12">
            <v>113</v>
          </cell>
          <cell r="K12">
            <v>185</v>
          </cell>
          <cell r="L12">
            <v>405</v>
          </cell>
          <cell r="M12">
            <v>430</v>
          </cell>
          <cell r="N12">
            <v>380</v>
          </cell>
          <cell r="O12">
            <v>210</v>
          </cell>
          <cell r="P12">
            <v>450</v>
          </cell>
          <cell r="Q12">
            <v>153.1</v>
          </cell>
          <cell r="R12">
            <v>300</v>
          </cell>
          <cell r="S12">
            <v>256</v>
          </cell>
          <cell r="T12">
            <v>335.1</v>
          </cell>
          <cell r="V12">
            <v>270</v>
          </cell>
          <cell r="W12">
            <v>268.47000000000003</v>
          </cell>
          <cell r="X12">
            <v>477.2</v>
          </cell>
          <cell r="Y12">
            <v>390</v>
          </cell>
          <cell r="Z12">
            <v>270</v>
          </cell>
          <cell r="AA12">
            <v>270</v>
          </cell>
          <cell r="AB12">
            <v>540</v>
          </cell>
          <cell r="AC12">
            <v>225</v>
          </cell>
          <cell r="AD12">
            <v>90</v>
          </cell>
          <cell r="AE12">
            <v>60</v>
          </cell>
          <cell r="AF12">
            <v>285</v>
          </cell>
          <cell r="AG12">
            <v>210</v>
          </cell>
          <cell r="AH12">
            <v>156.4</v>
          </cell>
          <cell r="AI12">
            <v>45</v>
          </cell>
          <cell r="AJ12">
            <v>210</v>
          </cell>
          <cell r="AK12">
            <v>390</v>
          </cell>
          <cell r="AL12">
            <v>300</v>
          </cell>
          <cell r="AM12">
            <v>240</v>
          </cell>
          <cell r="AN12">
            <v>375</v>
          </cell>
          <cell r="AO12">
            <v>255</v>
          </cell>
          <cell r="AP12">
            <v>360</v>
          </cell>
          <cell r="AQ12">
            <v>244.2</v>
          </cell>
          <cell r="AT12">
            <v>800</v>
          </cell>
          <cell r="AU12">
            <v>108.2</v>
          </cell>
          <cell r="AV12">
            <v>345</v>
          </cell>
          <cell r="AW12">
            <v>154.6</v>
          </cell>
          <cell r="AX12">
            <v>120</v>
          </cell>
          <cell r="AY12">
            <v>345</v>
          </cell>
          <cell r="AZ12">
            <v>330</v>
          </cell>
          <cell r="BA12">
            <v>555</v>
          </cell>
          <cell r="BB12">
            <v>184.1</v>
          </cell>
          <cell r="BD12">
            <v>262.60000000000002</v>
          </cell>
          <cell r="BE12">
            <v>405</v>
          </cell>
          <cell r="BF12">
            <v>151.69999999999999</v>
          </cell>
          <cell r="BG12">
            <v>180</v>
          </cell>
          <cell r="BH12">
            <v>450</v>
          </cell>
          <cell r="BI12">
            <v>315</v>
          </cell>
          <cell r="BJ12">
            <v>510</v>
          </cell>
          <cell r="BK12">
            <v>165</v>
          </cell>
          <cell r="BM12">
            <v>360</v>
          </cell>
          <cell r="BN12">
            <v>390</v>
          </cell>
          <cell r="BO12">
            <v>375</v>
          </cell>
          <cell r="BP12">
            <v>135</v>
          </cell>
          <cell r="BQ12">
            <v>241</v>
          </cell>
          <cell r="BR12">
            <v>240</v>
          </cell>
          <cell r="BS12">
            <v>150</v>
          </cell>
          <cell r="BT12">
            <v>15</v>
          </cell>
          <cell r="BU12">
            <v>675</v>
          </cell>
          <cell r="BV12">
            <v>255</v>
          </cell>
          <cell r="BW12">
            <v>195</v>
          </cell>
          <cell r="BX12">
            <v>120</v>
          </cell>
          <cell r="BY12">
            <v>210</v>
          </cell>
          <cell r="BZ12">
            <v>178.5</v>
          </cell>
          <cell r="CA12">
            <v>208.50000000000003</v>
          </cell>
          <cell r="CB12">
            <v>264.10000000000008</v>
          </cell>
          <cell r="CC12">
            <v>285</v>
          </cell>
          <cell r="CD12">
            <v>267.60000000000002</v>
          </cell>
          <cell r="CE12">
            <v>191.8</v>
          </cell>
          <cell r="CG12">
            <v>200</v>
          </cell>
          <cell r="CH12">
            <v>206.2</v>
          </cell>
          <cell r="CI12">
            <v>37.299999999999997</v>
          </cell>
          <cell r="CK12">
            <v>30</v>
          </cell>
          <cell r="CL12">
            <v>405</v>
          </cell>
          <cell r="CM12">
            <v>9.6999999999999993</v>
          </cell>
          <cell r="CN12">
            <v>15</v>
          </cell>
          <cell r="CP12">
            <v>60</v>
          </cell>
          <cell r="CQ12">
            <v>390</v>
          </cell>
          <cell r="CR12">
            <v>184.1</v>
          </cell>
          <cell r="CT12">
            <v>60</v>
          </cell>
          <cell r="CU12">
            <v>360</v>
          </cell>
          <cell r="CV12">
            <v>343.7</v>
          </cell>
          <cell r="CW12">
            <v>300</v>
          </cell>
          <cell r="CX12">
            <v>192</v>
          </cell>
          <cell r="DB12" t="str">
            <v>ACTIVO</v>
          </cell>
          <cell r="DC12" t="str">
            <v>B</v>
          </cell>
          <cell r="DE12">
            <v>177</v>
          </cell>
          <cell r="DF12">
            <v>29.5</v>
          </cell>
          <cell r="DG12">
            <v>150.58509730584984</v>
          </cell>
          <cell r="DH12">
            <v>0</v>
          </cell>
          <cell r="DI12" t="str">
            <v>0</v>
          </cell>
          <cell r="DJ12">
            <v>0</v>
          </cell>
          <cell r="DK12" t="str">
            <v>COMPRAR</v>
          </cell>
          <cell r="DL12">
            <v>442.5</v>
          </cell>
          <cell r="DM12">
            <v>59</v>
          </cell>
          <cell r="DN12">
            <v>501.5</v>
          </cell>
        </row>
        <row r="13">
          <cell r="B13">
            <v>400203</v>
          </cell>
          <cell r="C13" t="str">
            <v>BOLSA PREPICADA BANDEJA (22+60+22)104x90</v>
          </cell>
          <cell r="J13">
            <v>200</v>
          </cell>
          <cell r="K13">
            <v>250</v>
          </cell>
          <cell r="M13">
            <v>50</v>
          </cell>
          <cell r="AI13">
            <v>345</v>
          </cell>
          <cell r="AJ13">
            <v>157.19999999999999</v>
          </cell>
          <cell r="AR13">
            <v>345</v>
          </cell>
          <cell r="AS13">
            <v>390</v>
          </cell>
          <cell r="AT13">
            <v>77.7</v>
          </cell>
          <cell r="AX13">
            <v>315</v>
          </cell>
          <cell r="AY13">
            <v>90</v>
          </cell>
          <cell r="AZ13">
            <v>90</v>
          </cell>
          <cell r="BB13">
            <v>5</v>
          </cell>
          <cell r="BK13">
            <v>10</v>
          </cell>
          <cell r="BL13">
            <v>60</v>
          </cell>
          <cell r="CI13">
            <v>292.7</v>
          </cell>
          <cell r="CJ13">
            <v>225</v>
          </cell>
          <cell r="CK13">
            <v>315</v>
          </cell>
          <cell r="CN13">
            <v>270</v>
          </cell>
          <cell r="CO13">
            <v>195</v>
          </cell>
          <cell r="CP13">
            <v>35</v>
          </cell>
          <cell r="CR13">
            <v>45</v>
          </cell>
          <cell r="CS13">
            <v>270</v>
          </cell>
          <cell r="CT13">
            <v>255</v>
          </cell>
          <cell r="CY13">
            <v>139</v>
          </cell>
          <cell r="CZ13">
            <v>69.5</v>
          </cell>
          <cell r="DA13">
            <v>305</v>
          </cell>
          <cell r="DB13" t="str">
            <v>ACTIVO</v>
          </cell>
          <cell r="DC13" t="str">
            <v>C</v>
          </cell>
          <cell r="DE13">
            <v>211.41111111111113</v>
          </cell>
          <cell r="DF13">
            <v>35.235185185185188</v>
          </cell>
          <cell r="DG13">
            <v>147.33056277389534</v>
          </cell>
          <cell r="DH13">
            <v>160</v>
          </cell>
          <cell r="DI13">
            <v>440000</v>
          </cell>
          <cell r="DJ13">
            <v>0.75681925684553519</v>
          </cell>
          <cell r="DK13" t="str">
            <v>COMPRAR</v>
          </cell>
          <cell r="DL13">
            <v>176.17592592592592</v>
          </cell>
          <cell r="DM13">
            <v>70.470370370370375</v>
          </cell>
          <cell r="DN13">
            <v>246.6462962962963</v>
          </cell>
        </row>
        <row r="14">
          <cell r="B14">
            <v>400210</v>
          </cell>
          <cell r="C14" t="str">
            <v>BOLSA PREPICADA BANDEJA  100*90 COLOR AZUL</v>
          </cell>
          <cell r="D14">
            <v>45</v>
          </cell>
          <cell r="E14">
            <v>15</v>
          </cell>
          <cell r="G14">
            <v>60</v>
          </cell>
          <cell r="I14">
            <v>30</v>
          </cell>
          <cell r="J14">
            <v>15</v>
          </cell>
          <cell r="K14">
            <v>15</v>
          </cell>
          <cell r="L14">
            <v>15</v>
          </cell>
          <cell r="M14">
            <v>15</v>
          </cell>
          <cell r="N14">
            <v>15</v>
          </cell>
          <cell r="O14">
            <v>30</v>
          </cell>
          <cell r="P14">
            <v>15</v>
          </cell>
          <cell r="Q14">
            <v>15</v>
          </cell>
          <cell r="R14">
            <v>15</v>
          </cell>
          <cell r="S14">
            <v>45</v>
          </cell>
          <cell r="T14">
            <v>15</v>
          </cell>
          <cell r="U14">
            <v>30</v>
          </cell>
          <cell r="V14">
            <v>30</v>
          </cell>
          <cell r="DB14" t="str">
            <v>SIN USO</v>
          </cell>
          <cell r="DC14" t="str">
            <v/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 t="str">
            <v>0</v>
          </cell>
          <cell r="DJ14">
            <v>0</v>
          </cell>
          <cell r="DK14" t="str">
            <v>INACTIVO</v>
          </cell>
          <cell r="DL14">
            <v>0</v>
          </cell>
          <cell r="DM14">
            <v>0</v>
          </cell>
          <cell r="DN14">
            <v>0</v>
          </cell>
        </row>
        <row r="15">
          <cell r="B15">
            <v>402263</v>
          </cell>
          <cell r="C15" t="str">
            <v>BOLSA PREPICADA BANDEJA  100*90 COLOR AZUL ASTRA</v>
          </cell>
          <cell r="Z15">
            <v>45</v>
          </cell>
          <cell r="AB15">
            <v>30</v>
          </cell>
          <cell r="AC15">
            <v>15</v>
          </cell>
          <cell r="AF15">
            <v>15</v>
          </cell>
          <cell r="AG15">
            <v>45</v>
          </cell>
          <cell r="AH15">
            <v>60</v>
          </cell>
          <cell r="AI15">
            <v>15</v>
          </cell>
          <cell r="AK15">
            <v>30</v>
          </cell>
          <cell r="AL15">
            <v>30</v>
          </cell>
          <cell r="AM15">
            <v>30</v>
          </cell>
          <cell r="AN15">
            <v>15</v>
          </cell>
          <cell r="AO15">
            <v>135</v>
          </cell>
          <cell r="AP15">
            <v>30</v>
          </cell>
          <cell r="AQ15">
            <v>30</v>
          </cell>
          <cell r="AR15">
            <v>60</v>
          </cell>
          <cell r="AS15">
            <v>30</v>
          </cell>
          <cell r="AT15">
            <v>15</v>
          </cell>
          <cell r="AU15">
            <v>60</v>
          </cell>
          <cell r="AV15">
            <v>15</v>
          </cell>
          <cell r="AW15">
            <v>105</v>
          </cell>
          <cell r="AX15">
            <v>30</v>
          </cell>
          <cell r="AY15">
            <v>15</v>
          </cell>
          <cell r="AZ15">
            <v>15</v>
          </cell>
          <cell r="BB15">
            <v>75</v>
          </cell>
          <cell r="BC15">
            <v>90</v>
          </cell>
          <cell r="BD15">
            <v>75</v>
          </cell>
          <cell r="BE15">
            <v>75</v>
          </cell>
          <cell r="BF15">
            <v>15</v>
          </cell>
          <cell r="BG15">
            <v>15</v>
          </cell>
          <cell r="BH15">
            <v>60</v>
          </cell>
          <cell r="BI15">
            <v>45</v>
          </cell>
          <cell r="BJ15">
            <v>30</v>
          </cell>
          <cell r="BK15">
            <v>30</v>
          </cell>
          <cell r="BL15">
            <v>15</v>
          </cell>
          <cell r="BM15">
            <v>45</v>
          </cell>
          <cell r="BN15">
            <v>15</v>
          </cell>
          <cell r="BO15">
            <v>15</v>
          </cell>
          <cell r="BQ15">
            <v>15</v>
          </cell>
          <cell r="BR15">
            <v>15</v>
          </cell>
          <cell r="BS15">
            <v>45</v>
          </cell>
          <cell r="BT15">
            <v>30</v>
          </cell>
          <cell r="BU15">
            <v>60</v>
          </cell>
          <cell r="BV15">
            <v>45</v>
          </cell>
          <cell r="BX15">
            <v>15</v>
          </cell>
          <cell r="BZ15">
            <v>28</v>
          </cell>
          <cell r="CA15">
            <v>27.8</v>
          </cell>
          <cell r="CB15">
            <v>27.8</v>
          </cell>
          <cell r="CC15">
            <v>15</v>
          </cell>
          <cell r="CD15">
            <v>15</v>
          </cell>
          <cell r="CE15">
            <v>30</v>
          </cell>
          <cell r="CG15">
            <v>15</v>
          </cell>
          <cell r="CH15">
            <v>60</v>
          </cell>
          <cell r="CI15">
            <v>45</v>
          </cell>
          <cell r="CJ15">
            <v>60</v>
          </cell>
          <cell r="CK15">
            <v>45</v>
          </cell>
          <cell r="CL15">
            <v>15</v>
          </cell>
          <cell r="CM15">
            <v>45</v>
          </cell>
          <cell r="CN15">
            <v>30</v>
          </cell>
          <cell r="CO15">
            <v>45</v>
          </cell>
          <cell r="CP15">
            <v>30</v>
          </cell>
          <cell r="CQ15">
            <v>30</v>
          </cell>
          <cell r="CR15">
            <v>45</v>
          </cell>
          <cell r="CS15">
            <v>45</v>
          </cell>
          <cell r="CT15">
            <v>30</v>
          </cell>
          <cell r="CU15">
            <v>15</v>
          </cell>
          <cell r="CV15">
            <v>15</v>
          </cell>
          <cell r="CW15">
            <v>15</v>
          </cell>
          <cell r="CX15">
            <v>60</v>
          </cell>
          <cell r="CY15">
            <v>30</v>
          </cell>
          <cell r="CZ15">
            <v>60</v>
          </cell>
          <cell r="DA15">
            <v>45</v>
          </cell>
          <cell r="DB15" t="str">
            <v>ACTIVO</v>
          </cell>
          <cell r="DC15" t="str">
            <v>C</v>
          </cell>
          <cell r="DE15">
            <v>35.625</v>
          </cell>
          <cell r="DF15">
            <v>5.9375</v>
          </cell>
          <cell r="DG15">
            <v>26.925549184555489</v>
          </cell>
          <cell r="DH15">
            <v>78.400000000000006</v>
          </cell>
          <cell r="DI15">
            <v>194326.16</v>
          </cell>
          <cell r="DJ15">
            <v>2.2007017543859653</v>
          </cell>
          <cell r="DK15" t="str">
            <v>COMPRAR</v>
          </cell>
          <cell r="DL15">
            <v>89.0625</v>
          </cell>
          <cell r="DM15">
            <v>11.875</v>
          </cell>
          <cell r="DN15">
            <v>100.9375</v>
          </cell>
        </row>
        <row r="16">
          <cell r="B16">
            <v>400101</v>
          </cell>
          <cell r="C16" t="str">
            <v>BOLSA 30X32 CM 35 MICRAS</v>
          </cell>
          <cell r="D16">
            <v>4000</v>
          </cell>
          <cell r="E16">
            <v>8000</v>
          </cell>
          <cell r="F16">
            <v>4000</v>
          </cell>
          <cell r="G16">
            <v>4000</v>
          </cell>
          <cell r="H16">
            <v>8000</v>
          </cell>
          <cell r="I16">
            <v>8000</v>
          </cell>
          <cell r="J16">
            <v>4000</v>
          </cell>
          <cell r="K16">
            <v>4000</v>
          </cell>
          <cell r="L16">
            <v>8000</v>
          </cell>
          <cell r="M16">
            <v>4000</v>
          </cell>
          <cell r="N16">
            <v>8000</v>
          </cell>
          <cell r="P16">
            <v>8000</v>
          </cell>
          <cell r="Q16">
            <v>8000</v>
          </cell>
          <cell r="R16">
            <v>8000</v>
          </cell>
          <cell r="T16">
            <v>7500</v>
          </cell>
          <cell r="U16">
            <v>8000</v>
          </cell>
          <cell r="V16">
            <v>8000</v>
          </cell>
          <cell r="W16">
            <v>7500</v>
          </cell>
          <cell r="X16">
            <v>7500</v>
          </cell>
          <cell r="Y16">
            <v>8000</v>
          </cell>
          <cell r="Z16">
            <v>4000</v>
          </cell>
          <cell r="AA16">
            <v>4000</v>
          </cell>
          <cell r="AB16">
            <v>12000</v>
          </cell>
          <cell r="AC16">
            <v>6500</v>
          </cell>
          <cell r="AF16">
            <v>6000</v>
          </cell>
          <cell r="AG16">
            <v>16000</v>
          </cell>
          <cell r="AH16">
            <v>4000</v>
          </cell>
          <cell r="AI16">
            <v>8000</v>
          </cell>
          <cell r="AJ16">
            <v>4000</v>
          </cell>
          <cell r="AK16">
            <v>8000</v>
          </cell>
          <cell r="AL16">
            <v>8000</v>
          </cell>
          <cell r="AM16">
            <v>4000</v>
          </cell>
          <cell r="AN16">
            <v>8000</v>
          </cell>
          <cell r="AO16">
            <v>8000</v>
          </cell>
          <cell r="AQ16">
            <v>8000</v>
          </cell>
          <cell r="AR16">
            <v>8000</v>
          </cell>
          <cell r="AS16">
            <v>2000</v>
          </cell>
          <cell r="AT16">
            <v>4000</v>
          </cell>
          <cell r="AU16">
            <v>6000</v>
          </cell>
          <cell r="AW16">
            <v>12000</v>
          </cell>
          <cell r="AX16">
            <v>6000</v>
          </cell>
          <cell r="AY16">
            <v>8000</v>
          </cell>
          <cell r="AZ16">
            <v>4000</v>
          </cell>
          <cell r="BA16">
            <v>8000</v>
          </cell>
          <cell r="BB16">
            <v>8000</v>
          </cell>
          <cell r="BC16">
            <v>4000</v>
          </cell>
          <cell r="BD16">
            <v>4000</v>
          </cell>
          <cell r="BE16">
            <v>4015</v>
          </cell>
          <cell r="BF16">
            <v>3985</v>
          </cell>
          <cell r="BG16">
            <v>10000</v>
          </cell>
          <cell r="BH16">
            <v>8000</v>
          </cell>
          <cell r="BI16">
            <v>4000</v>
          </cell>
          <cell r="BJ16">
            <v>4000</v>
          </cell>
          <cell r="BK16">
            <v>8000</v>
          </cell>
          <cell r="BL16">
            <v>8000</v>
          </cell>
          <cell r="BM16">
            <v>8000</v>
          </cell>
          <cell r="BN16">
            <v>4000</v>
          </cell>
          <cell r="BO16">
            <v>8000</v>
          </cell>
          <cell r="BQ16">
            <v>12000</v>
          </cell>
          <cell r="BR16">
            <v>8000</v>
          </cell>
          <cell r="BS16">
            <v>8000</v>
          </cell>
          <cell r="BU16">
            <v>4000</v>
          </cell>
          <cell r="BV16">
            <v>8000</v>
          </cell>
          <cell r="BX16">
            <v>4000</v>
          </cell>
          <cell r="BY16">
            <v>4000</v>
          </cell>
          <cell r="BZ16">
            <v>12000</v>
          </cell>
          <cell r="CA16">
            <v>8000</v>
          </cell>
          <cell r="CB16">
            <v>8000</v>
          </cell>
          <cell r="CC16">
            <v>2000</v>
          </cell>
          <cell r="CD16">
            <v>8000</v>
          </cell>
          <cell r="CE16">
            <v>4000</v>
          </cell>
          <cell r="CG16">
            <v>4000</v>
          </cell>
          <cell r="CH16">
            <v>6000</v>
          </cell>
          <cell r="CI16">
            <v>14000</v>
          </cell>
          <cell r="CJ16">
            <v>4000</v>
          </cell>
          <cell r="CK16">
            <v>8000</v>
          </cell>
          <cell r="CL16">
            <v>6000</v>
          </cell>
          <cell r="CM16">
            <v>8000</v>
          </cell>
          <cell r="CN16">
            <v>4000</v>
          </cell>
          <cell r="CO16">
            <v>8000</v>
          </cell>
          <cell r="CP16">
            <v>4000</v>
          </cell>
          <cell r="CQ16">
            <v>2000</v>
          </cell>
          <cell r="CR16">
            <v>4000</v>
          </cell>
          <cell r="CS16">
            <v>2000</v>
          </cell>
          <cell r="CT16">
            <v>8000</v>
          </cell>
          <cell r="CU16">
            <v>6000</v>
          </cell>
          <cell r="CV16">
            <v>4000</v>
          </cell>
          <cell r="CW16">
            <v>8000</v>
          </cell>
          <cell r="CX16">
            <v>8000</v>
          </cell>
          <cell r="CY16">
            <v>8000</v>
          </cell>
          <cell r="CZ16">
            <v>2900</v>
          </cell>
          <cell r="DA16">
            <v>4000</v>
          </cell>
          <cell r="DB16" t="str">
            <v>ACTIVO</v>
          </cell>
          <cell r="DC16" t="str">
            <v>C</v>
          </cell>
          <cell r="DE16">
            <v>5750</v>
          </cell>
          <cell r="DF16">
            <v>958.33333333333337</v>
          </cell>
          <cell r="DG16">
            <v>2871.920677265171</v>
          </cell>
          <cell r="DH16">
            <v>0</v>
          </cell>
          <cell r="DI16" t="str">
            <v>0</v>
          </cell>
          <cell r="DJ16">
            <v>0</v>
          </cell>
          <cell r="DK16" t="str">
            <v>COMPRAR</v>
          </cell>
          <cell r="DL16">
            <v>4791.666666666667</v>
          </cell>
          <cell r="DM16">
            <v>1916.6666666666667</v>
          </cell>
          <cell r="DN16">
            <v>6708.3333333333339</v>
          </cell>
        </row>
        <row r="17">
          <cell r="B17">
            <v>400202</v>
          </cell>
          <cell r="C17" t="str">
            <v>BOLSA PREPICADA 50x75</v>
          </cell>
          <cell r="G17">
            <v>30</v>
          </cell>
          <cell r="K17">
            <v>10</v>
          </cell>
          <cell r="M17">
            <v>20</v>
          </cell>
          <cell r="P17">
            <v>40</v>
          </cell>
          <cell r="R17">
            <v>15</v>
          </cell>
          <cell r="X17">
            <v>30</v>
          </cell>
          <cell r="Y17">
            <v>15</v>
          </cell>
          <cell r="AB17">
            <v>30</v>
          </cell>
          <cell r="AI17">
            <v>20</v>
          </cell>
          <cell r="AK17">
            <v>15</v>
          </cell>
          <cell r="AL17">
            <v>10</v>
          </cell>
          <cell r="AM17">
            <v>10</v>
          </cell>
          <cell r="AN17">
            <v>10</v>
          </cell>
          <cell r="AO17">
            <v>10</v>
          </cell>
          <cell r="AQ17">
            <v>30</v>
          </cell>
          <cell r="AS17">
            <v>15</v>
          </cell>
          <cell r="AX17">
            <v>15</v>
          </cell>
          <cell r="AZ17">
            <v>15</v>
          </cell>
          <cell r="BB17">
            <v>15</v>
          </cell>
          <cell r="BD17">
            <v>40</v>
          </cell>
          <cell r="BG17">
            <v>15</v>
          </cell>
          <cell r="BI17">
            <v>30</v>
          </cell>
          <cell r="BL17">
            <v>15</v>
          </cell>
          <cell r="BM17">
            <v>30</v>
          </cell>
          <cell r="BN17">
            <v>15</v>
          </cell>
          <cell r="BQ17">
            <v>30</v>
          </cell>
          <cell r="BR17">
            <v>10</v>
          </cell>
          <cell r="BV17">
            <v>25</v>
          </cell>
          <cell r="BZ17">
            <v>15</v>
          </cell>
          <cell r="CC17">
            <v>15</v>
          </cell>
          <cell r="CD17">
            <v>15</v>
          </cell>
          <cell r="CE17">
            <v>15</v>
          </cell>
          <cell r="CI17">
            <v>15</v>
          </cell>
          <cell r="CJ17">
            <v>15</v>
          </cell>
          <cell r="CK17">
            <v>15</v>
          </cell>
          <cell r="CN17">
            <v>30</v>
          </cell>
          <cell r="CR17">
            <v>15</v>
          </cell>
          <cell r="CV17">
            <v>30</v>
          </cell>
          <cell r="DA17">
            <v>10</v>
          </cell>
          <cell r="DB17" t="str">
            <v>ACTIVO</v>
          </cell>
          <cell r="DC17" t="str">
            <v>C</v>
          </cell>
          <cell r="DE17">
            <v>20</v>
          </cell>
          <cell r="DF17">
            <v>3.3333333333333335</v>
          </cell>
          <cell r="DG17">
            <v>8.1843567647173039</v>
          </cell>
          <cell r="DH17">
            <v>170</v>
          </cell>
          <cell r="DI17">
            <v>433500</v>
          </cell>
          <cell r="DJ17">
            <v>8.5</v>
          </cell>
          <cell r="DK17" t="str">
            <v>OK</v>
          </cell>
          <cell r="DL17">
            <v>16.666666666666668</v>
          </cell>
          <cell r="DM17">
            <v>6.666666666666667</v>
          </cell>
          <cell r="DN17">
            <v>23.333333333333336</v>
          </cell>
        </row>
        <row r="18">
          <cell r="B18">
            <v>400205</v>
          </cell>
          <cell r="C18" t="str">
            <v>BOLSA PEBD 40x42 CM x35 MICRAS</v>
          </cell>
          <cell r="H18">
            <v>2500</v>
          </cell>
          <cell r="M18">
            <v>10500</v>
          </cell>
          <cell r="Q18">
            <v>4000</v>
          </cell>
          <cell r="R18">
            <v>4000</v>
          </cell>
          <cell r="T18">
            <v>2000</v>
          </cell>
          <cell r="Y18">
            <v>4000</v>
          </cell>
          <cell r="AA18">
            <v>5500</v>
          </cell>
          <cell r="AJ18">
            <v>2000</v>
          </cell>
          <cell r="AK18">
            <v>4000</v>
          </cell>
          <cell r="AP18">
            <v>1000</v>
          </cell>
          <cell r="AU18">
            <v>14000</v>
          </cell>
          <cell r="AV18">
            <v>12000</v>
          </cell>
          <cell r="AW18">
            <v>2000</v>
          </cell>
          <cell r="AZ18">
            <v>2000</v>
          </cell>
          <cell r="BA18">
            <v>6000</v>
          </cell>
          <cell r="BC18">
            <v>4000</v>
          </cell>
          <cell r="BK18">
            <v>8000</v>
          </cell>
          <cell r="BL18">
            <v>4000</v>
          </cell>
          <cell r="BN18">
            <v>4000</v>
          </cell>
          <cell r="BP18">
            <v>4000</v>
          </cell>
          <cell r="BQ18">
            <v>2000</v>
          </cell>
          <cell r="BR18">
            <v>2000</v>
          </cell>
          <cell r="BS18">
            <v>2000</v>
          </cell>
          <cell r="BU18">
            <v>2500</v>
          </cell>
          <cell r="BV18">
            <v>8000</v>
          </cell>
          <cell r="BW18">
            <v>4000</v>
          </cell>
          <cell r="BZ18">
            <v>2000</v>
          </cell>
          <cell r="CB18">
            <v>2000</v>
          </cell>
          <cell r="CF18">
            <v>2000</v>
          </cell>
          <cell r="CI18">
            <v>2000</v>
          </cell>
          <cell r="CK18">
            <v>4000</v>
          </cell>
          <cell r="CL18">
            <v>4000</v>
          </cell>
          <cell r="CQ18">
            <v>12000</v>
          </cell>
          <cell r="CU18">
            <v>2000</v>
          </cell>
          <cell r="CX18">
            <v>4000</v>
          </cell>
          <cell r="DA18">
            <v>12000</v>
          </cell>
          <cell r="DB18" t="str">
            <v>ACTIVO</v>
          </cell>
          <cell r="DC18" t="str">
            <v>C</v>
          </cell>
          <cell r="DE18">
            <v>4333.333333333333</v>
          </cell>
          <cell r="DF18">
            <v>722.22222222222217</v>
          </cell>
          <cell r="DG18">
            <v>3468.2230938293787</v>
          </cell>
          <cell r="DH18">
            <v>16000</v>
          </cell>
          <cell r="DI18">
            <v>512000</v>
          </cell>
          <cell r="DJ18">
            <v>3.6923076923076925</v>
          </cell>
          <cell r="DK18" t="str">
            <v>OK</v>
          </cell>
          <cell r="DL18">
            <v>3611.1111111111109</v>
          </cell>
          <cell r="DM18">
            <v>1444.4444444444443</v>
          </cell>
          <cell r="DN18">
            <v>5055.5555555555547</v>
          </cell>
        </row>
        <row r="19">
          <cell r="D19">
            <v>4360</v>
          </cell>
          <cell r="E19">
            <v>8344</v>
          </cell>
          <cell r="F19">
            <v>4419.8</v>
          </cell>
          <cell r="G19">
            <v>4379.2</v>
          </cell>
          <cell r="H19">
            <v>11045</v>
          </cell>
          <cell r="I19">
            <v>8390</v>
          </cell>
          <cell r="J19">
            <v>4328</v>
          </cell>
          <cell r="K19">
            <v>4460</v>
          </cell>
          <cell r="L19">
            <v>8420</v>
          </cell>
          <cell r="M19">
            <v>15015</v>
          </cell>
          <cell r="N19">
            <v>8395</v>
          </cell>
          <cell r="O19">
            <v>240</v>
          </cell>
          <cell r="P19">
            <v>8505</v>
          </cell>
          <cell r="Q19">
            <v>12168.1</v>
          </cell>
          <cell r="R19">
            <v>12330</v>
          </cell>
          <cell r="S19">
            <v>301</v>
          </cell>
          <cell r="T19">
            <v>9850.1</v>
          </cell>
          <cell r="U19">
            <v>8030</v>
          </cell>
          <cell r="V19">
            <v>8300</v>
          </cell>
          <cell r="W19">
            <v>7768.47</v>
          </cell>
          <cell r="X19">
            <v>8007.2</v>
          </cell>
          <cell r="Y19">
            <v>12405</v>
          </cell>
          <cell r="Z19">
            <v>4315</v>
          </cell>
          <cell r="AA19">
            <v>9770</v>
          </cell>
          <cell r="AB19">
            <v>12600</v>
          </cell>
          <cell r="AC19">
            <v>6740</v>
          </cell>
          <cell r="AD19">
            <v>90</v>
          </cell>
          <cell r="AE19">
            <v>60</v>
          </cell>
          <cell r="AF19">
            <v>6300</v>
          </cell>
          <cell r="AG19">
            <v>16255</v>
          </cell>
          <cell r="AH19">
            <v>4216.3999999999996</v>
          </cell>
          <cell r="AI19">
            <v>8425</v>
          </cell>
          <cell r="AJ19">
            <v>6367.2</v>
          </cell>
          <cell r="AK19">
            <v>12435</v>
          </cell>
          <cell r="AL19">
            <v>8340</v>
          </cell>
          <cell r="AM19">
            <v>4280</v>
          </cell>
          <cell r="AN19">
            <v>8400</v>
          </cell>
          <cell r="AO19">
            <v>8400</v>
          </cell>
          <cell r="AP19">
            <v>1390</v>
          </cell>
          <cell r="AQ19">
            <v>8304.2000000000007</v>
          </cell>
          <cell r="AR19">
            <v>8405</v>
          </cell>
          <cell r="AS19">
            <v>2435</v>
          </cell>
          <cell r="AT19">
            <v>4892.7</v>
          </cell>
          <cell r="AU19">
            <v>20168.2</v>
          </cell>
          <cell r="AV19">
            <v>12360</v>
          </cell>
          <cell r="AW19">
            <v>14259.6</v>
          </cell>
          <cell r="AX19">
            <v>6480</v>
          </cell>
          <cell r="AY19">
            <v>8450</v>
          </cell>
          <cell r="AZ19">
            <v>6450</v>
          </cell>
          <cell r="BA19">
            <v>14555</v>
          </cell>
          <cell r="BB19">
            <v>8279.1</v>
          </cell>
          <cell r="BC19">
            <v>8090</v>
          </cell>
          <cell r="BD19">
            <v>4377.6000000000004</v>
          </cell>
          <cell r="BE19">
            <v>4495</v>
          </cell>
          <cell r="BF19">
            <v>4151.7</v>
          </cell>
          <cell r="BG19">
            <v>10210</v>
          </cell>
          <cell r="BH19">
            <v>8510</v>
          </cell>
          <cell r="BI19">
            <v>4390</v>
          </cell>
          <cell r="BJ19">
            <v>4540</v>
          </cell>
          <cell r="BK19">
            <v>16205</v>
          </cell>
          <cell r="BL19">
            <v>12090</v>
          </cell>
          <cell r="BM19">
            <v>8435</v>
          </cell>
          <cell r="BN19">
            <v>8420</v>
          </cell>
          <cell r="BO19">
            <v>8390</v>
          </cell>
          <cell r="BP19">
            <v>4135</v>
          </cell>
          <cell r="BQ19">
            <v>14286</v>
          </cell>
          <cell r="BR19">
            <v>10265</v>
          </cell>
          <cell r="BS19">
            <v>10195</v>
          </cell>
          <cell r="BT19">
            <v>45</v>
          </cell>
          <cell r="BU19">
            <v>7235</v>
          </cell>
          <cell r="BV19">
            <v>16325</v>
          </cell>
          <cell r="BW19">
            <v>4195</v>
          </cell>
          <cell r="BX19">
            <v>4135</v>
          </cell>
          <cell r="BY19">
            <v>4210</v>
          </cell>
          <cell r="BZ19">
            <v>14221.5</v>
          </cell>
          <cell r="CA19">
            <v>8236.2999999999993</v>
          </cell>
          <cell r="CB19">
            <v>10291.9</v>
          </cell>
          <cell r="CC19">
            <v>2315</v>
          </cell>
          <cell r="CD19">
            <v>8297.6</v>
          </cell>
          <cell r="CE19">
            <v>4236.8</v>
          </cell>
          <cell r="CF19">
            <v>2000</v>
          </cell>
          <cell r="CG19">
            <v>4215</v>
          </cell>
          <cell r="CH19">
            <v>6266.2</v>
          </cell>
          <cell r="CI19">
            <v>16390</v>
          </cell>
          <cell r="CJ19">
            <v>4300</v>
          </cell>
          <cell r="CK19">
            <v>12405</v>
          </cell>
          <cell r="CL19">
            <v>10420</v>
          </cell>
          <cell r="CM19">
            <v>8054.7</v>
          </cell>
          <cell r="CN19">
            <v>4345</v>
          </cell>
          <cell r="CO19">
            <v>8240</v>
          </cell>
          <cell r="CP19">
            <v>4125</v>
          </cell>
          <cell r="CQ19">
            <v>14420</v>
          </cell>
          <cell r="CR19">
            <v>4289.1000000000004</v>
          </cell>
          <cell r="CS19">
            <v>2315</v>
          </cell>
          <cell r="CT19">
            <v>8345</v>
          </cell>
          <cell r="CU19">
            <v>8375</v>
          </cell>
          <cell r="CV19">
            <v>4388.7</v>
          </cell>
          <cell r="CW19">
            <v>8315</v>
          </cell>
          <cell r="CX19">
            <v>12252</v>
          </cell>
          <cell r="CY19">
            <v>8169</v>
          </cell>
          <cell r="CZ19">
            <v>3029.5</v>
          </cell>
          <cell r="DA19">
            <v>16360</v>
          </cell>
          <cell r="DB19" t="str">
            <v>ACTIVO</v>
          </cell>
          <cell r="DC19" t="str">
            <v/>
          </cell>
          <cell r="DE19">
            <v>7229.0411764705877</v>
          </cell>
          <cell r="DF19">
            <v>1204.8401960784313</v>
          </cell>
          <cell r="DG19">
            <v>4408.9975098419409</v>
          </cell>
          <cell r="DH19">
            <v>0</v>
          </cell>
          <cell r="DI19" t="str">
            <v>0</v>
          </cell>
          <cell r="DJ19">
            <v>0</v>
          </cell>
          <cell r="DK19" t="str">
            <v>INACTIVO</v>
          </cell>
          <cell r="DL19">
            <v>0</v>
          </cell>
          <cell r="DM19">
            <v>2409.6803921568626</v>
          </cell>
          <cell r="DN19">
            <v>2409.6803921568626</v>
          </cell>
        </row>
        <row r="20">
          <cell r="B20">
            <v>403393</v>
          </cell>
          <cell r="C20" t="str">
            <v>CAJA PTG 15PP SISA PROSERVAR</v>
          </cell>
          <cell r="W20">
            <v>500</v>
          </cell>
          <cell r="CI20">
            <v>500</v>
          </cell>
          <cell r="CL20">
            <v>500</v>
          </cell>
          <cell r="CT20">
            <v>500</v>
          </cell>
          <cell r="CV20">
            <v>500</v>
          </cell>
          <cell r="DB20" t="str">
            <v>ACTIVO</v>
          </cell>
          <cell r="DC20" t="str">
            <v/>
          </cell>
          <cell r="DE20">
            <v>500</v>
          </cell>
          <cell r="DF20">
            <v>83.333333333333329</v>
          </cell>
          <cell r="DG20">
            <v>0</v>
          </cell>
          <cell r="DH20">
            <v>1000</v>
          </cell>
          <cell r="DI20">
            <v>555000</v>
          </cell>
          <cell r="DJ20">
            <v>2</v>
          </cell>
          <cell r="DK20" t="str">
            <v>COMPRAR</v>
          </cell>
          <cell r="DL20">
            <v>1250</v>
          </cell>
          <cell r="DM20">
            <v>166.66666666666666</v>
          </cell>
          <cell r="DN20">
            <v>1416.6666666666667</v>
          </cell>
        </row>
        <row r="21">
          <cell r="B21">
            <v>107363</v>
          </cell>
          <cell r="C21" t="str">
            <v>CAJA PTG 15PP SISA SYCOR</v>
          </cell>
          <cell r="E21">
            <v>1600</v>
          </cell>
          <cell r="F21">
            <v>650</v>
          </cell>
          <cell r="G21">
            <v>1700</v>
          </cell>
          <cell r="H21">
            <v>1250</v>
          </cell>
          <cell r="I21">
            <v>900</v>
          </cell>
          <cell r="J21">
            <v>500</v>
          </cell>
          <cell r="K21">
            <v>450</v>
          </cell>
          <cell r="M21">
            <v>2250</v>
          </cell>
          <cell r="P21">
            <v>2350</v>
          </cell>
          <cell r="Q21">
            <v>2000</v>
          </cell>
          <cell r="R21">
            <v>500</v>
          </cell>
          <cell r="T21">
            <v>1500</v>
          </cell>
          <cell r="V21">
            <v>1000</v>
          </cell>
          <cell r="AL21">
            <v>1500</v>
          </cell>
          <cell r="AM21">
            <v>1000</v>
          </cell>
          <cell r="AW21">
            <v>550</v>
          </cell>
          <cell r="BB21">
            <v>500</v>
          </cell>
          <cell r="BE21">
            <v>600</v>
          </cell>
          <cell r="BH21">
            <v>600</v>
          </cell>
          <cell r="BK21">
            <v>600</v>
          </cell>
          <cell r="BR21">
            <v>600</v>
          </cell>
          <cell r="BT21">
            <v>400</v>
          </cell>
          <cell r="BV21">
            <v>500</v>
          </cell>
          <cell r="CG21">
            <v>500</v>
          </cell>
          <cell r="DB21" t="str">
            <v>ACTIVO</v>
          </cell>
          <cell r="DC21" t="str">
            <v>C</v>
          </cell>
          <cell r="DE21">
            <v>500</v>
          </cell>
          <cell r="DF21">
            <v>83.333333333333329</v>
          </cell>
          <cell r="DG21">
            <v>326.64115546642989</v>
          </cell>
          <cell r="DH21">
            <v>0</v>
          </cell>
          <cell r="DI21" t="str">
            <v>0</v>
          </cell>
          <cell r="DJ21">
            <v>0</v>
          </cell>
          <cell r="DK21" t="str">
            <v>COMPRAR</v>
          </cell>
          <cell r="DL21">
            <v>1250</v>
          </cell>
          <cell r="DM21">
            <v>166.66666666666666</v>
          </cell>
          <cell r="DN21">
            <v>1416.6666666666667</v>
          </cell>
        </row>
        <row r="22">
          <cell r="B22">
            <v>402252</v>
          </cell>
          <cell r="C22" t="str">
            <v>CAJA PTG 15PP SISA VTM SUR</v>
          </cell>
          <cell r="D22">
            <v>1000</v>
          </cell>
          <cell r="E22">
            <v>445</v>
          </cell>
          <cell r="H22">
            <v>900</v>
          </cell>
          <cell r="J22">
            <v>900</v>
          </cell>
          <cell r="L22">
            <v>1800</v>
          </cell>
          <cell r="AA22">
            <v>900</v>
          </cell>
          <cell r="AF22">
            <v>550</v>
          </cell>
          <cell r="AG22">
            <v>400</v>
          </cell>
          <cell r="AM22">
            <v>500</v>
          </cell>
          <cell r="CP22">
            <v>500</v>
          </cell>
          <cell r="CQ22">
            <v>1000</v>
          </cell>
          <cell r="DB22" t="str">
            <v>ACTIVO</v>
          </cell>
          <cell r="DC22" t="str">
            <v>C</v>
          </cell>
          <cell r="DE22">
            <v>750</v>
          </cell>
          <cell r="DF22">
            <v>125</v>
          </cell>
          <cell r="DG22">
            <v>76.376261582597209</v>
          </cell>
          <cell r="DH22">
            <v>0</v>
          </cell>
          <cell r="DI22" t="str">
            <v>0</v>
          </cell>
          <cell r="DJ22">
            <v>0</v>
          </cell>
          <cell r="DK22" t="str">
            <v>COMPRAR</v>
          </cell>
          <cell r="DL22">
            <v>1875</v>
          </cell>
          <cell r="DM22">
            <v>250</v>
          </cell>
          <cell r="DN22">
            <v>2125</v>
          </cell>
        </row>
        <row r="23">
          <cell r="B23">
            <v>403394</v>
          </cell>
          <cell r="C23" t="str">
            <v>CAJA PTG 15PP JUMBO PROSERVAR</v>
          </cell>
          <cell r="D23">
            <v>608</v>
          </cell>
          <cell r="V23">
            <v>500</v>
          </cell>
          <cell r="W23">
            <v>500</v>
          </cell>
          <cell r="X23">
            <v>500</v>
          </cell>
          <cell r="Y23">
            <v>500</v>
          </cell>
          <cell r="AB23">
            <v>500</v>
          </cell>
          <cell r="AJ23">
            <v>1000</v>
          </cell>
          <cell r="AK23">
            <v>450</v>
          </cell>
          <cell r="AM23">
            <v>500</v>
          </cell>
          <cell r="AN23">
            <v>500</v>
          </cell>
          <cell r="AZ23">
            <v>500</v>
          </cell>
          <cell r="BA23">
            <v>500</v>
          </cell>
          <cell r="BB23">
            <v>1000</v>
          </cell>
          <cell r="BD23">
            <v>500</v>
          </cell>
          <cell r="BE23">
            <v>500</v>
          </cell>
          <cell r="BF23">
            <v>500</v>
          </cell>
          <cell r="BG23">
            <v>500</v>
          </cell>
          <cell r="BH23">
            <v>500</v>
          </cell>
          <cell r="BQ23">
            <v>500</v>
          </cell>
          <cell r="BZ23">
            <v>500</v>
          </cell>
          <cell r="CA23">
            <v>500</v>
          </cell>
          <cell r="CC23">
            <v>500</v>
          </cell>
          <cell r="CD23">
            <v>500</v>
          </cell>
          <cell r="CG23">
            <v>500</v>
          </cell>
          <cell r="CH23">
            <v>500</v>
          </cell>
          <cell r="CI23">
            <v>500</v>
          </cell>
          <cell r="CJ23">
            <v>500</v>
          </cell>
          <cell r="CX23">
            <v>500</v>
          </cell>
          <cell r="DB23" t="str">
            <v>ACTIVO</v>
          </cell>
          <cell r="DC23" t="str">
            <v>C</v>
          </cell>
          <cell r="DE23">
            <v>500</v>
          </cell>
          <cell r="DF23">
            <v>83.333333333333329</v>
          </cell>
          <cell r="DG23">
            <v>167.59545129303973</v>
          </cell>
          <cell r="DH23">
            <v>0</v>
          </cell>
          <cell r="DI23" t="str">
            <v>0</v>
          </cell>
          <cell r="DJ23">
            <v>0</v>
          </cell>
          <cell r="DK23" t="str">
            <v>COMPRAR</v>
          </cell>
          <cell r="DL23">
            <v>1250</v>
          </cell>
          <cell r="DM23">
            <v>166.66666666666666</v>
          </cell>
          <cell r="DN23">
            <v>1416.6666666666667</v>
          </cell>
        </row>
        <row r="24">
          <cell r="B24">
            <v>107362</v>
          </cell>
          <cell r="C24" t="str">
            <v>CAJA PTG 15PP JUMBO SYCOR</v>
          </cell>
          <cell r="G24">
            <v>800</v>
          </cell>
          <cell r="I24">
            <v>400</v>
          </cell>
          <cell r="L24">
            <v>450</v>
          </cell>
          <cell r="M24">
            <v>450</v>
          </cell>
          <cell r="N24">
            <v>950</v>
          </cell>
          <cell r="P24">
            <v>500</v>
          </cell>
          <cell r="R24">
            <v>500</v>
          </cell>
          <cell r="S24">
            <v>500</v>
          </cell>
          <cell r="AA24">
            <v>500</v>
          </cell>
          <cell r="AH24">
            <v>1000</v>
          </cell>
          <cell r="AS24">
            <v>500</v>
          </cell>
          <cell r="AT24">
            <v>500</v>
          </cell>
          <cell r="AV24">
            <v>1000</v>
          </cell>
          <cell r="BI24">
            <v>500</v>
          </cell>
          <cell r="BK24">
            <v>500</v>
          </cell>
          <cell r="BL24">
            <v>500</v>
          </cell>
          <cell r="BM24">
            <v>500</v>
          </cell>
          <cell r="BN24">
            <v>500</v>
          </cell>
          <cell r="BO24">
            <v>500</v>
          </cell>
          <cell r="BQ24">
            <v>500</v>
          </cell>
          <cell r="BR24">
            <v>500</v>
          </cell>
          <cell r="BS24">
            <v>500</v>
          </cell>
          <cell r="BT24">
            <v>759</v>
          </cell>
          <cell r="BU24">
            <v>500</v>
          </cell>
          <cell r="BY24">
            <v>1000</v>
          </cell>
          <cell r="CZ24">
            <v>500</v>
          </cell>
          <cell r="DB24" t="str">
            <v>ACTIVO</v>
          </cell>
          <cell r="DC24" t="str">
            <v>C</v>
          </cell>
          <cell r="DE24">
            <v>0</v>
          </cell>
          <cell r="DF24">
            <v>0</v>
          </cell>
          <cell r="DG24">
            <v>203.91189886811412</v>
          </cell>
          <cell r="DH24">
            <v>0</v>
          </cell>
          <cell r="DI24" t="str">
            <v>0</v>
          </cell>
          <cell r="DJ24">
            <v>0</v>
          </cell>
          <cell r="DK24" t="str">
            <v>COMPRAR</v>
          </cell>
          <cell r="DL24">
            <v>0</v>
          </cell>
          <cell r="DM24">
            <v>0</v>
          </cell>
          <cell r="DN24">
            <v>0</v>
          </cell>
        </row>
        <row r="25">
          <cell r="B25">
            <v>402251</v>
          </cell>
          <cell r="C25" t="str">
            <v>CAJA PTG 15PP JUMBO VTM SUR</v>
          </cell>
          <cell r="K25">
            <v>450</v>
          </cell>
          <cell r="AE25">
            <v>450</v>
          </cell>
          <cell r="AL25">
            <v>500</v>
          </cell>
          <cell r="AN25">
            <v>600</v>
          </cell>
          <cell r="AQ25">
            <v>1300</v>
          </cell>
          <cell r="AR25">
            <v>550</v>
          </cell>
          <cell r="AW25">
            <v>500</v>
          </cell>
          <cell r="AX25">
            <v>500</v>
          </cell>
          <cell r="BD25">
            <v>500</v>
          </cell>
          <cell r="BU25">
            <v>500</v>
          </cell>
          <cell r="CM25">
            <v>500</v>
          </cell>
          <cell r="CP25">
            <v>500</v>
          </cell>
          <cell r="CQ25">
            <v>500</v>
          </cell>
          <cell r="CR25">
            <v>500</v>
          </cell>
          <cell r="CS25">
            <v>500</v>
          </cell>
          <cell r="CT25">
            <v>500</v>
          </cell>
          <cell r="CV25">
            <v>1000</v>
          </cell>
          <cell r="DA25">
            <v>500</v>
          </cell>
          <cell r="DB25" t="str">
            <v>ACTIVO</v>
          </cell>
          <cell r="DC25" t="str">
            <v>C</v>
          </cell>
          <cell r="DE25">
            <v>571.42857142857144</v>
          </cell>
          <cell r="DF25">
            <v>95.238095238095241</v>
          </cell>
          <cell r="DG25">
            <v>265.75364531836624</v>
          </cell>
          <cell r="DH25">
            <v>1340</v>
          </cell>
          <cell r="DI25">
            <v>760624.2</v>
          </cell>
          <cell r="DJ25">
            <v>2.3449999999999998</v>
          </cell>
          <cell r="DK25" t="str">
            <v>COMPRAR</v>
          </cell>
          <cell r="DL25">
            <v>1428.5714285714287</v>
          </cell>
          <cell r="DM25">
            <v>190.47619047619048</v>
          </cell>
          <cell r="DN25">
            <v>1619.0476190476193</v>
          </cell>
        </row>
        <row r="26">
          <cell r="B26">
            <v>107276</v>
          </cell>
          <cell r="C26" t="str">
            <v>CAJA TORTA MEDIANA PROSERVAR</v>
          </cell>
          <cell r="G26">
            <v>1600</v>
          </cell>
          <cell r="I26">
            <v>1600</v>
          </cell>
          <cell r="AZ26">
            <v>500</v>
          </cell>
          <cell r="BB26">
            <v>500</v>
          </cell>
          <cell r="BC26">
            <v>600</v>
          </cell>
          <cell r="BH26">
            <v>550</v>
          </cell>
          <cell r="BI26">
            <v>500</v>
          </cell>
          <cell r="BK26">
            <v>500</v>
          </cell>
          <cell r="CX26">
            <v>500</v>
          </cell>
          <cell r="CZ26">
            <v>200</v>
          </cell>
          <cell r="DB26" t="str">
            <v>ACTIVO</v>
          </cell>
          <cell r="DC26" t="str">
            <v>C</v>
          </cell>
          <cell r="DE26">
            <v>0</v>
          </cell>
          <cell r="DF26">
            <v>0</v>
          </cell>
          <cell r="DG26">
            <v>41.83300132670378</v>
          </cell>
          <cell r="DH26">
            <v>0</v>
          </cell>
          <cell r="DI26" t="str">
            <v>0</v>
          </cell>
          <cell r="DJ26">
            <v>0</v>
          </cell>
          <cell r="DK26" t="str">
            <v>COMPRAR</v>
          </cell>
          <cell r="DL26">
            <v>0</v>
          </cell>
          <cell r="DM26">
            <v>0</v>
          </cell>
          <cell r="DN26">
            <v>0</v>
          </cell>
        </row>
        <row r="27">
          <cell r="B27">
            <v>402253</v>
          </cell>
          <cell r="C27" t="str">
            <v>CAJA TORTA MEDIANA VTM SUR</v>
          </cell>
          <cell r="D27">
            <v>2400</v>
          </cell>
          <cell r="G27">
            <v>629.58199999999999</v>
          </cell>
          <cell r="J27">
            <v>1200</v>
          </cell>
          <cell r="K27">
            <v>1700</v>
          </cell>
          <cell r="L27">
            <v>2100</v>
          </cell>
          <cell r="M27">
            <v>500</v>
          </cell>
          <cell r="W27">
            <v>2400</v>
          </cell>
          <cell r="Y27">
            <v>1000</v>
          </cell>
          <cell r="AE27">
            <v>1600</v>
          </cell>
          <cell r="AG27">
            <v>1300</v>
          </cell>
          <cell r="AL27">
            <v>1300</v>
          </cell>
          <cell r="AP27">
            <v>400</v>
          </cell>
          <cell r="AQ27">
            <v>882</v>
          </cell>
          <cell r="BP27">
            <v>500</v>
          </cell>
          <cell r="CB27">
            <v>600</v>
          </cell>
          <cell r="CL27">
            <v>700</v>
          </cell>
          <cell r="CP27">
            <v>500</v>
          </cell>
          <cell r="CR27">
            <v>600</v>
          </cell>
          <cell r="CZ27">
            <v>200</v>
          </cell>
          <cell r="DB27" t="str">
            <v>ACTIVO</v>
          </cell>
          <cell r="DC27" t="str">
            <v>C</v>
          </cell>
          <cell r="DE27">
            <v>600</v>
          </cell>
          <cell r="DF27">
            <v>100</v>
          </cell>
          <cell r="DG27">
            <v>465.28905506352146</v>
          </cell>
          <cell r="DH27">
            <v>600</v>
          </cell>
          <cell r="DI27">
            <v>315600</v>
          </cell>
          <cell r="DJ27">
            <v>1</v>
          </cell>
          <cell r="DK27" t="str">
            <v>COMPRAR</v>
          </cell>
          <cell r="DL27">
            <v>1500</v>
          </cell>
          <cell r="DM27">
            <v>200</v>
          </cell>
          <cell r="DN27">
            <v>1700</v>
          </cell>
        </row>
        <row r="28">
          <cell r="B28">
            <v>107364</v>
          </cell>
          <cell r="C28" t="str">
            <v>CAJA TORTA MEDIANA SYCOR</v>
          </cell>
          <cell r="F28">
            <v>1800</v>
          </cell>
          <cell r="G28">
            <v>720.41800000000001</v>
          </cell>
          <cell r="L28">
            <v>800</v>
          </cell>
          <cell r="M28">
            <v>1300</v>
          </cell>
          <cell r="N28">
            <v>1500</v>
          </cell>
          <cell r="O28">
            <v>500</v>
          </cell>
          <cell r="P28">
            <v>1000</v>
          </cell>
          <cell r="Q28">
            <v>2300</v>
          </cell>
          <cell r="U28">
            <v>1000</v>
          </cell>
          <cell r="AJ28">
            <v>600</v>
          </cell>
          <cell r="AL28">
            <v>650</v>
          </cell>
          <cell r="AN28">
            <v>750</v>
          </cell>
          <cell r="AU28">
            <v>500</v>
          </cell>
          <cell r="AV28">
            <v>500</v>
          </cell>
          <cell r="AY28">
            <v>500</v>
          </cell>
          <cell r="BA28">
            <v>500</v>
          </cell>
          <cell r="BB28">
            <v>500</v>
          </cell>
          <cell r="BK28">
            <v>1000</v>
          </cell>
          <cell r="BL28">
            <v>500</v>
          </cell>
          <cell r="BM28">
            <v>500</v>
          </cell>
          <cell r="BN28">
            <v>500</v>
          </cell>
          <cell r="BQ28">
            <v>500</v>
          </cell>
          <cell r="BS28">
            <v>500</v>
          </cell>
          <cell r="BT28">
            <v>3000</v>
          </cell>
          <cell r="CI28">
            <v>1000</v>
          </cell>
          <cell r="CK28">
            <v>500</v>
          </cell>
          <cell r="CQ28">
            <v>500</v>
          </cell>
          <cell r="CU28">
            <v>500</v>
          </cell>
          <cell r="CW28">
            <v>500</v>
          </cell>
          <cell r="DB28" t="str">
            <v>ACTIVO</v>
          </cell>
          <cell r="DC28" t="str">
            <v>C</v>
          </cell>
          <cell r="DE28">
            <v>625</v>
          </cell>
          <cell r="DF28">
            <v>104.16666666666667</v>
          </cell>
          <cell r="DG28">
            <v>642.44695908541371</v>
          </cell>
          <cell r="DH28">
            <v>0</v>
          </cell>
          <cell r="DI28" t="str">
            <v>0</v>
          </cell>
          <cell r="DJ28">
            <v>0</v>
          </cell>
          <cell r="DK28" t="str">
            <v>COMPRAR</v>
          </cell>
          <cell r="DL28">
            <v>1562.5</v>
          </cell>
          <cell r="DM28">
            <v>208.33333333333334</v>
          </cell>
          <cell r="DN28">
            <v>1770.8333333333333</v>
          </cell>
        </row>
        <row r="29">
          <cell r="B29">
            <v>405419</v>
          </cell>
          <cell r="C29" t="str">
            <v>CAJA DOS TORTAS PROSERVAR</v>
          </cell>
          <cell r="AJ29">
            <v>1050</v>
          </cell>
          <cell r="DB29" t="str">
            <v>ACTIVO</v>
          </cell>
          <cell r="DC29" t="str">
            <v>C</v>
          </cell>
          <cell r="DE29">
            <v>0</v>
          </cell>
          <cell r="DF29">
            <v>0</v>
          </cell>
          <cell r="DG29">
            <v>0</v>
          </cell>
          <cell r="DH29">
            <v>0</v>
          </cell>
          <cell r="DI29" t="str">
            <v>0</v>
          </cell>
          <cell r="DJ29">
            <v>0</v>
          </cell>
          <cell r="DK29" t="str">
            <v>COMPRAR</v>
          </cell>
          <cell r="DL29">
            <v>0</v>
          </cell>
          <cell r="DM29">
            <v>0</v>
          </cell>
          <cell r="DN29">
            <v>0</v>
          </cell>
        </row>
        <row r="30">
          <cell r="B30">
            <v>501146</v>
          </cell>
          <cell r="C30" t="str">
            <v>CAJA PLASTICA AZUL QUINTA</v>
          </cell>
          <cell r="AT30">
            <v>72</v>
          </cell>
          <cell r="DB30" t="str">
            <v>ACTIVO</v>
          </cell>
          <cell r="DC30" t="str">
            <v>C</v>
          </cell>
          <cell r="DE30">
            <v>0</v>
          </cell>
          <cell r="DF30">
            <v>0</v>
          </cell>
          <cell r="DG30">
            <v>0</v>
          </cell>
          <cell r="DH30">
            <v>0</v>
          </cell>
          <cell r="DI30" t="str">
            <v>0</v>
          </cell>
          <cell r="DJ30">
            <v>0</v>
          </cell>
          <cell r="DK30" t="str">
            <v>COMPRAR</v>
          </cell>
          <cell r="DL30">
            <v>0</v>
          </cell>
          <cell r="DM30">
            <v>0</v>
          </cell>
          <cell r="DN30">
            <v>0</v>
          </cell>
        </row>
        <row r="31">
          <cell r="B31">
            <v>107361</v>
          </cell>
          <cell r="C31" t="str">
            <v>CAJA  PTG AZUL 15PP ALTA SYCOR</v>
          </cell>
          <cell r="G31">
            <v>399</v>
          </cell>
          <cell r="N31">
            <v>1000</v>
          </cell>
          <cell r="AS31">
            <v>500</v>
          </cell>
          <cell r="AW31">
            <v>500</v>
          </cell>
          <cell r="AZ31">
            <v>500</v>
          </cell>
          <cell r="BA31">
            <v>500</v>
          </cell>
          <cell r="BC31">
            <v>500</v>
          </cell>
          <cell r="BE31">
            <v>500</v>
          </cell>
          <cell r="BK31">
            <v>500</v>
          </cell>
          <cell r="BY31">
            <v>500</v>
          </cell>
          <cell r="CC31">
            <v>400</v>
          </cell>
          <cell r="CN31">
            <v>500</v>
          </cell>
          <cell r="CO31">
            <v>500</v>
          </cell>
          <cell r="CR31">
            <v>500</v>
          </cell>
          <cell r="DB31" t="str">
            <v>ACTIVO</v>
          </cell>
          <cell r="DC31" t="str">
            <v>C</v>
          </cell>
          <cell r="DE31">
            <v>500</v>
          </cell>
          <cell r="DF31">
            <v>83.333333333333329</v>
          </cell>
          <cell r="DG31">
            <v>33.333333333333336</v>
          </cell>
          <cell r="DH31">
            <v>500</v>
          </cell>
          <cell r="DI31">
            <v>292500</v>
          </cell>
          <cell r="DJ31">
            <v>1</v>
          </cell>
          <cell r="DK31" t="str">
            <v>COMPRAR</v>
          </cell>
          <cell r="DL31">
            <v>1250</v>
          </cell>
          <cell r="DM31">
            <v>166.66666666666666</v>
          </cell>
          <cell r="DN31">
            <v>1416.6666666666667</v>
          </cell>
        </row>
        <row r="32">
          <cell r="B32">
            <v>403310</v>
          </cell>
          <cell r="C32" t="str">
            <v>CAJA  PTG AZUL 15PP ALTA</v>
          </cell>
          <cell r="D32">
            <v>400</v>
          </cell>
          <cell r="P32">
            <v>500</v>
          </cell>
          <cell r="T32">
            <v>400</v>
          </cell>
          <cell r="AA32">
            <v>500</v>
          </cell>
          <cell r="AB32">
            <v>300</v>
          </cell>
          <cell r="AI32">
            <v>500</v>
          </cell>
          <cell r="DB32" t="str">
            <v>ACTIVO</v>
          </cell>
          <cell r="DC32" t="str">
            <v>C</v>
          </cell>
          <cell r="DE32">
            <v>0</v>
          </cell>
          <cell r="DF32">
            <v>0</v>
          </cell>
          <cell r="DG32">
            <v>0</v>
          </cell>
          <cell r="DH32">
            <v>0</v>
          </cell>
          <cell r="DI32" t="str">
            <v>0</v>
          </cell>
          <cell r="DJ32">
            <v>0</v>
          </cell>
          <cell r="DK32" t="str">
            <v>COMPRAR</v>
          </cell>
          <cell r="DL32">
            <v>0</v>
          </cell>
          <cell r="DM32">
            <v>0</v>
          </cell>
          <cell r="DN32">
            <v>0</v>
          </cell>
        </row>
        <row r="33">
          <cell r="B33">
            <v>405503</v>
          </cell>
          <cell r="C33" t="str">
            <v>CAJA PASTELES ASTRA</v>
          </cell>
          <cell r="AN33">
            <v>500</v>
          </cell>
          <cell r="AP33">
            <v>870</v>
          </cell>
          <cell r="BE33">
            <v>600</v>
          </cell>
          <cell r="BH33">
            <v>600</v>
          </cell>
          <cell r="BL33">
            <v>858</v>
          </cell>
          <cell r="BY33">
            <v>1250</v>
          </cell>
          <cell r="CG33">
            <v>1700</v>
          </cell>
          <cell r="CO33">
            <v>550</v>
          </cell>
          <cell r="CV33">
            <v>950</v>
          </cell>
          <cell r="CZ33">
            <v>362</v>
          </cell>
          <cell r="DB33" t="str">
            <v>ACTIVO</v>
          </cell>
          <cell r="DC33" t="str">
            <v>C</v>
          </cell>
          <cell r="DE33">
            <v>1066.6666666666667</v>
          </cell>
          <cell r="DF33">
            <v>177.7777777777778</v>
          </cell>
          <cell r="DG33">
            <v>275.05756973162312</v>
          </cell>
          <cell r="DH33">
            <v>0</v>
          </cell>
          <cell r="DI33" t="str">
            <v>0</v>
          </cell>
          <cell r="DJ33">
            <v>0</v>
          </cell>
          <cell r="DK33" t="str">
            <v>COMPRAR</v>
          </cell>
          <cell r="DL33">
            <v>2666.666666666667</v>
          </cell>
          <cell r="DM33">
            <v>355.5555555555556</v>
          </cell>
          <cell r="DN33">
            <v>3022.2222222222226</v>
          </cell>
        </row>
        <row r="34">
          <cell r="B34">
            <v>403315</v>
          </cell>
          <cell r="C34" t="str">
            <v>CAJA DE PASTELES PAIMASA</v>
          </cell>
          <cell r="P34">
            <v>50</v>
          </cell>
          <cell r="R34">
            <v>500</v>
          </cell>
          <cell r="T34">
            <v>700</v>
          </cell>
          <cell r="AB34">
            <v>1250</v>
          </cell>
          <cell r="AH34">
            <v>1500</v>
          </cell>
          <cell r="DB34" t="str">
            <v>ACTIVO</v>
          </cell>
          <cell r="DC34" t="str">
            <v>C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 t="str">
            <v>0</v>
          </cell>
          <cell r="DJ34">
            <v>0</v>
          </cell>
          <cell r="DK34" t="str">
            <v>COMPRAR</v>
          </cell>
          <cell r="DL34">
            <v>0</v>
          </cell>
          <cell r="DM34">
            <v>0</v>
          </cell>
          <cell r="DN34">
            <v>0</v>
          </cell>
        </row>
        <row r="35">
          <cell r="B35">
            <v>107365</v>
          </cell>
          <cell r="C35" t="str">
            <v>CAJA PRODUCTO SECO (PS) SYCOR</v>
          </cell>
          <cell r="F35">
            <v>450</v>
          </cell>
          <cell r="G35">
            <v>300</v>
          </cell>
          <cell r="I35">
            <v>500</v>
          </cell>
          <cell r="K35">
            <v>500</v>
          </cell>
          <cell r="N35">
            <v>500</v>
          </cell>
          <cell r="O35">
            <v>1000</v>
          </cell>
          <cell r="P35">
            <v>1050</v>
          </cell>
          <cell r="Q35">
            <v>400</v>
          </cell>
          <cell r="R35">
            <v>50</v>
          </cell>
          <cell r="V35">
            <v>500</v>
          </cell>
          <cell r="W35">
            <v>500</v>
          </cell>
          <cell r="X35">
            <v>500</v>
          </cell>
          <cell r="Y35">
            <v>500</v>
          </cell>
          <cell r="AB35">
            <v>500</v>
          </cell>
          <cell r="AC35">
            <v>1000</v>
          </cell>
          <cell r="AH35">
            <v>1100</v>
          </cell>
          <cell r="AI35">
            <v>600</v>
          </cell>
          <cell r="AJ35">
            <v>400</v>
          </cell>
          <cell r="AM35">
            <v>500</v>
          </cell>
          <cell r="AQ35">
            <v>650</v>
          </cell>
          <cell r="AS35">
            <v>1120</v>
          </cell>
          <cell r="AV35">
            <v>1000</v>
          </cell>
          <cell r="AW35">
            <v>576</v>
          </cell>
          <cell r="AZ35">
            <v>500</v>
          </cell>
          <cell r="BB35">
            <v>1000</v>
          </cell>
          <cell r="BD35">
            <v>500</v>
          </cell>
          <cell r="BE35">
            <v>500</v>
          </cell>
          <cell r="BF35">
            <v>475</v>
          </cell>
          <cell r="BH35">
            <v>1000</v>
          </cell>
          <cell r="BK35">
            <v>500</v>
          </cell>
          <cell r="BN35">
            <v>500</v>
          </cell>
          <cell r="BO35">
            <v>500</v>
          </cell>
          <cell r="BQ35">
            <v>500</v>
          </cell>
          <cell r="BU35">
            <v>500</v>
          </cell>
          <cell r="BV35">
            <v>500</v>
          </cell>
          <cell r="BY35">
            <v>500</v>
          </cell>
          <cell r="CA35">
            <v>600</v>
          </cell>
          <cell r="CB35">
            <v>500</v>
          </cell>
          <cell r="CD35">
            <v>500</v>
          </cell>
          <cell r="CE35">
            <v>144</v>
          </cell>
          <cell r="CG35">
            <v>500</v>
          </cell>
          <cell r="CK35">
            <v>500</v>
          </cell>
          <cell r="CL35">
            <v>500</v>
          </cell>
          <cell r="CN35">
            <v>500</v>
          </cell>
          <cell r="CP35">
            <v>500</v>
          </cell>
          <cell r="CQ35">
            <v>500</v>
          </cell>
          <cell r="CS35">
            <v>1000</v>
          </cell>
          <cell r="CV35">
            <v>500</v>
          </cell>
          <cell r="CX35">
            <v>500</v>
          </cell>
          <cell r="DA35">
            <v>500</v>
          </cell>
          <cell r="DB35" t="str">
            <v>ACTIVO</v>
          </cell>
          <cell r="DC35" t="str">
            <v>C</v>
          </cell>
          <cell r="DE35">
            <v>562.5</v>
          </cell>
          <cell r="DF35">
            <v>93.75</v>
          </cell>
          <cell r="DG35">
            <v>241.17317429598177</v>
          </cell>
          <cell r="DH35">
            <v>89</v>
          </cell>
          <cell r="DI35">
            <v>43877</v>
          </cell>
          <cell r="DJ35">
            <v>0.15822222222222221</v>
          </cell>
          <cell r="DK35" t="str">
            <v>COMPRAR</v>
          </cell>
          <cell r="DL35">
            <v>1406.25</v>
          </cell>
          <cell r="DM35">
            <v>187.5</v>
          </cell>
          <cell r="DN35">
            <v>1593.75</v>
          </cell>
        </row>
        <row r="36">
          <cell r="B36">
            <v>107367</v>
          </cell>
          <cell r="C36" t="str">
            <v>CAJA DE ENCOMIENDA (EN) SYCOR</v>
          </cell>
          <cell r="E36">
            <v>400</v>
          </cell>
          <cell r="F36">
            <v>400</v>
          </cell>
          <cell r="G36">
            <v>400</v>
          </cell>
          <cell r="J36">
            <v>400</v>
          </cell>
          <cell r="K36">
            <v>400</v>
          </cell>
          <cell r="M36">
            <v>400</v>
          </cell>
          <cell r="N36">
            <v>500</v>
          </cell>
          <cell r="P36">
            <v>900</v>
          </cell>
          <cell r="U36">
            <v>400</v>
          </cell>
          <cell r="Y36">
            <v>400</v>
          </cell>
          <cell r="AB36">
            <v>400</v>
          </cell>
          <cell r="AC36">
            <v>800</v>
          </cell>
          <cell r="AF36">
            <v>400</v>
          </cell>
          <cell r="AG36">
            <v>400</v>
          </cell>
          <cell r="AH36">
            <v>600</v>
          </cell>
          <cell r="AJ36">
            <v>500</v>
          </cell>
          <cell r="AK36">
            <v>170</v>
          </cell>
          <cell r="AP36">
            <v>500</v>
          </cell>
          <cell r="AQ36">
            <v>550</v>
          </cell>
          <cell r="AS36">
            <v>1350</v>
          </cell>
          <cell r="AU36">
            <v>450</v>
          </cell>
          <cell r="AW36">
            <v>500</v>
          </cell>
          <cell r="AY36">
            <v>500</v>
          </cell>
          <cell r="BA36">
            <v>500</v>
          </cell>
          <cell r="BB36">
            <v>550</v>
          </cell>
          <cell r="BC36">
            <v>500</v>
          </cell>
          <cell r="BD36">
            <v>400</v>
          </cell>
          <cell r="BE36">
            <v>500</v>
          </cell>
          <cell r="BF36">
            <v>400</v>
          </cell>
          <cell r="BJ36">
            <v>225</v>
          </cell>
          <cell r="BO36">
            <v>550</v>
          </cell>
          <cell r="BP36">
            <v>150</v>
          </cell>
          <cell r="BU36">
            <v>500</v>
          </cell>
          <cell r="BV36">
            <v>500</v>
          </cell>
          <cell r="CA36">
            <v>500</v>
          </cell>
          <cell r="CC36">
            <v>500</v>
          </cell>
          <cell r="CF36">
            <v>400</v>
          </cell>
          <cell r="CG36">
            <v>500</v>
          </cell>
          <cell r="CK36">
            <v>400</v>
          </cell>
          <cell r="CN36">
            <v>400</v>
          </cell>
          <cell r="CQ36">
            <v>400</v>
          </cell>
          <cell r="CS36">
            <v>400</v>
          </cell>
          <cell r="CV36">
            <v>400</v>
          </cell>
          <cell r="CX36">
            <v>400</v>
          </cell>
          <cell r="CZ36">
            <v>400</v>
          </cell>
          <cell r="DB36" t="str">
            <v>ACTIVO</v>
          </cell>
          <cell r="DC36" t="str">
            <v>B</v>
          </cell>
          <cell r="DE36">
            <v>414.28571428571428</v>
          </cell>
          <cell r="DF36">
            <v>69.047619047619051</v>
          </cell>
          <cell r="DG36">
            <v>217.26050865996885</v>
          </cell>
          <cell r="DH36">
            <v>500</v>
          </cell>
          <cell r="DI36">
            <v>445385</v>
          </cell>
          <cell r="DJ36">
            <v>1.2068965517241379</v>
          </cell>
          <cell r="DK36" t="str">
            <v>COMPRAR</v>
          </cell>
          <cell r="DL36">
            <v>1035.7142857142858</v>
          </cell>
          <cell r="DM36">
            <v>138.0952380952381</v>
          </cell>
          <cell r="DN36">
            <v>1173.8095238095239</v>
          </cell>
        </row>
        <row r="37">
          <cell r="B37">
            <v>403308</v>
          </cell>
          <cell r="C37" t="str">
            <v>CAJA MADRE DE PLANCHAS (PL) PAIMASA</v>
          </cell>
          <cell r="I37">
            <v>400</v>
          </cell>
          <cell r="Z37">
            <v>500</v>
          </cell>
          <cell r="AH37">
            <v>500</v>
          </cell>
          <cell r="DB37" t="str">
            <v>SIN USO</v>
          </cell>
          <cell r="DC37" t="str">
            <v>C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 t="str">
            <v>0</v>
          </cell>
          <cell r="DJ37">
            <v>0</v>
          </cell>
          <cell r="DK37" t="str">
            <v>INACTIVO</v>
          </cell>
          <cell r="DL37">
            <v>0</v>
          </cell>
          <cell r="DM37">
            <v>0</v>
          </cell>
          <cell r="DN37">
            <v>0</v>
          </cell>
        </row>
        <row r="38">
          <cell r="B38">
            <v>107366</v>
          </cell>
          <cell r="C38" t="str">
            <v>CAJA MADRE DE PLANCHAS (PL) SYCOR</v>
          </cell>
          <cell r="O38">
            <v>500</v>
          </cell>
          <cell r="Q38">
            <v>500</v>
          </cell>
          <cell r="BG38">
            <v>600</v>
          </cell>
          <cell r="BQ38">
            <v>500</v>
          </cell>
          <cell r="CA38">
            <v>500</v>
          </cell>
          <cell r="CK38">
            <v>905</v>
          </cell>
          <cell r="DB38" t="str">
            <v>SIN USO</v>
          </cell>
          <cell r="DC38" t="str">
            <v>C</v>
          </cell>
          <cell r="DE38">
            <v>905</v>
          </cell>
          <cell r="DF38">
            <v>150.83333333333334</v>
          </cell>
          <cell r="DG38">
            <v>57.735026918962575</v>
          </cell>
          <cell r="DH38">
            <v>0</v>
          </cell>
          <cell r="DI38" t="str">
            <v>0</v>
          </cell>
          <cell r="DJ38">
            <v>0</v>
          </cell>
          <cell r="DK38" t="str">
            <v>INACTIVO</v>
          </cell>
          <cell r="DL38">
            <v>2262.5</v>
          </cell>
          <cell r="DM38">
            <v>301.66666666666669</v>
          </cell>
          <cell r="DN38">
            <v>2564.1666666666665</v>
          </cell>
        </row>
        <row r="39">
          <cell r="B39">
            <v>405383</v>
          </cell>
          <cell r="C39" t="str">
            <v>ESTUCHE GALLETAS VERA Y GIANNINI</v>
          </cell>
          <cell r="AB39">
            <v>2600</v>
          </cell>
          <cell r="AC39">
            <v>2800</v>
          </cell>
          <cell r="AE39">
            <v>600</v>
          </cell>
          <cell r="AF39">
            <v>1400</v>
          </cell>
          <cell r="AH39">
            <v>2000</v>
          </cell>
          <cell r="AI39">
            <v>1600</v>
          </cell>
          <cell r="AJ39">
            <v>3400</v>
          </cell>
          <cell r="AK39">
            <v>1800</v>
          </cell>
          <cell r="AL39">
            <v>1600</v>
          </cell>
          <cell r="AM39">
            <v>400</v>
          </cell>
          <cell r="AN39">
            <v>400</v>
          </cell>
          <cell r="AO39">
            <v>1000</v>
          </cell>
          <cell r="AP39">
            <v>400</v>
          </cell>
          <cell r="AQ39">
            <v>1000</v>
          </cell>
          <cell r="AR39">
            <v>200</v>
          </cell>
          <cell r="AS39">
            <v>200</v>
          </cell>
          <cell r="AT39">
            <v>400</v>
          </cell>
          <cell r="AU39">
            <v>600</v>
          </cell>
          <cell r="AV39">
            <v>400</v>
          </cell>
          <cell r="AW39">
            <v>600</v>
          </cell>
          <cell r="AX39">
            <v>400</v>
          </cell>
          <cell r="AY39">
            <v>600</v>
          </cell>
          <cell r="AZ39">
            <v>1800</v>
          </cell>
          <cell r="BA39">
            <v>1600</v>
          </cell>
          <cell r="BB39">
            <v>2200</v>
          </cell>
          <cell r="BC39">
            <v>200</v>
          </cell>
          <cell r="BD39">
            <v>600</v>
          </cell>
          <cell r="BE39">
            <v>1400</v>
          </cell>
          <cell r="BF39">
            <v>1400</v>
          </cell>
          <cell r="BG39">
            <v>1200</v>
          </cell>
          <cell r="BH39">
            <v>1400</v>
          </cell>
          <cell r="BI39">
            <v>1000</v>
          </cell>
          <cell r="BR39">
            <v>2440</v>
          </cell>
          <cell r="BS39">
            <v>1000</v>
          </cell>
          <cell r="BT39">
            <v>1200</v>
          </cell>
          <cell r="BU39">
            <v>1400</v>
          </cell>
          <cell r="DB39" t="str">
            <v>ACTIVO</v>
          </cell>
          <cell r="DC39" t="str">
            <v>C</v>
          </cell>
          <cell r="DE39">
            <v>0</v>
          </cell>
          <cell r="DF39">
            <v>0</v>
          </cell>
          <cell r="DG39">
            <v>737.72594653605165</v>
          </cell>
          <cell r="DH39">
            <v>0</v>
          </cell>
          <cell r="DI39" t="str">
            <v>0</v>
          </cell>
          <cell r="DJ39">
            <v>0</v>
          </cell>
          <cell r="DK39" t="str">
            <v>COMPRAR</v>
          </cell>
          <cell r="DL39">
            <v>0</v>
          </cell>
          <cell r="DM39">
            <v>0</v>
          </cell>
          <cell r="DN39">
            <v>0</v>
          </cell>
        </row>
        <row r="40">
          <cell r="D40">
            <v>4408</v>
          </cell>
          <cell r="E40">
            <v>2445</v>
          </cell>
          <cell r="F40">
            <v>3300</v>
          </cell>
          <cell r="G40">
            <v>6549</v>
          </cell>
          <cell r="H40">
            <v>2150</v>
          </cell>
          <cell r="I40">
            <v>3800</v>
          </cell>
          <cell r="J40">
            <v>3000</v>
          </cell>
          <cell r="K40">
            <v>3500</v>
          </cell>
          <cell r="L40">
            <v>5150</v>
          </cell>
          <cell r="M40">
            <v>4900</v>
          </cell>
          <cell r="N40">
            <v>4450</v>
          </cell>
          <cell r="O40">
            <v>2000</v>
          </cell>
          <cell r="P40">
            <v>6350</v>
          </cell>
          <cell r="Q40">
            <v>5200</v>
          </cell>
          <cell r="R40">
            <v>1550</v>
          </cell>
          <cell r="S40">
            <v>500</v>
          </cell>
          <cell r="T40">
            <v>2600</v>
          </cell>
          <cell r="U40">
            <v>1400</v>
          </cell>
          <cell r="V40">
            <v>2000</v>
          </cell>
          <cell r="W40">
            <v>3900</v>
          </cell>
          <cell r="X40">
            <v>1000</v>
          </cell>
          <cell r="Y40">
            <v>2400</v>
          </cell>
          <cell r="Z40">
            <v>500</v>
          </cell>
          <cell r="AA40">
            <v>1900</v>
          </cell>
          <cell r="AB40">
            <v>5550</v>
          </cell>
          <cell r="AC40">
            <v>4600</v>
          </cell>
          <cell r="AE40">
            <v>2650</v>
          </cell>
          <cell r="AF40">
            <v>2350</v>
          </cell>
          <cell r="AG40">
            <v>2100</v>
          </cell>
          <cell r="AH40">
            <v>6700</v>
          </cell>
          <cell r="AI40">
            <v>2700</v>
          </cell>
          <cell r="AJ40">
            <v>6950</v>
          </cell>
          <cell r="AK40">
            <v>2420</v>
          </cell>
          <cell r="AL40">
            <v>5550</v>
          </cell>
          <cell r="AM40">
            <v>2900</v>
          </cell>
          <cell r="AN40">
            <v>2750</v>
          </cell>
          <cell r="AO40">
            <v>1000</v>
          </cell>
          <cell r="AP40">
            <v>2170</v>
          </cell>
          <cell r="AQ40">
            <v>4382</v>
          </cell>
          <cell r="AR40">
            <v>750</v>
          </cell>
          <cell r="AS40">
            <v>3670</v>
          </cell>
          <cell r="AT40">
            <v>972</v>
          </cell>
          <cell r="AU40">
            <v>1550</v>
          </cell>
          <cell r="AV40">
            <v>2900</v>
          </cell>
          <cell r="AW40">
            <v>3226</v>
          </cell>
          <cell r="AX40">
            <v>900</v>
          </cell>
          <cell r="AY40">
            <v>1600</v>
          </cell>
          <cell r="AZ40">
            <v>3800</v>
          </cell>
          <cell r="BA40">
            <v>3600</v>
          </cell>
          <cell r="BB40">
            <v>6250</v>
          </cell>
          <cell r="BC40">
            <v>1800</v>
          </cell>
          <cell r="BD40">
            <v>2500</v>
          </cell>
          <cell r="BE40">
            <v>4600</v>
          </cell>
          <cell r="BF40">
            <v>2775</v>
          </cell>
          <cell r="BG40">
            <v>2300</v>
          </cell>
          <cell r="BH40">
            <v>4650</v>
          </cell>
          <cell r="BI40">
            <v>2000</v>
          </cell>
          <cell r="BJ40">
            <v>225</v>
          </cell>
          <cell r="BK40">
            <v>3600</v>
          </cell>
          <cell r="BL40">
            <v>1858</v>
          </cell>
          <cell r="BM40">
            <v>1000</v>
          </cell>
          <cell r="BN40">
            <v>1500</v>
          </cell>
          <cell r="BO40">
            <v>1550</v>
          </cell>
          <cell r="BP40">
            <v>650</v>
          </cell>
          <cell r="BQ40">
            <v>2500</v>
          </cell>
          <cell r="BR40">
            <v>3540</v>
          </cell>
          <cell r="BS40">
            <v>2000</v>
          </cell>
          <cell r="BT40">
            <v>5359</v>
          </cell>
          <cell r="BU40">
            <v>3400</v>
          </cell>
          <cell r="BV40">
            <v>1500</v>
          </cell>
          <cell r="BY40">
            <v>3250</v>
          </cell>
          <cell r="BZ40">
            <v>500</v>
          </cell>
          <cell r="CA40">
            <v>2100</v>
          </cell>
          <cell r="CB40">
            <v>1100</v>
          </cell>
          <cell r="CC40">
            <v>1400</v>
          </cell>
          <cell r="CD40">
            <v>1000</v>
          </cell>
          <cell r="CE40">
            <v>144</v>
          </cell>
          <cell r="CF40">
            <v>400</v>
          </cell>
          <cell r="CG40">
            <v>3700</v>
          </cell>
          <cell r="CH40">
            <v>500</v>
          </cell>
          <cell r="CI40">
            <v>2000</v>
          </cell>
          <cell r="CJ40">
            <v>500</v>
          </cell>
          <cell r="CK40">
            <v>2305</v>
          </cell>
          <cell r="CL40">
            <v>1700</v>
          </cell>
          <cell r="CM40">
            <v>500</v>
          </cell>
          <cell r="CN40">
            <v>1400</v>
          </cell>
          <cell r="CO40">
            <v>1050</v>
          </cell>
          <cell r="CP40">
            <v>2000</v>
          </cell>
          <cell r="CQ40">
            <v>2900</v>
          </cell>
          <cell r="CR40">
            <v>1600</v>
          </cell>
          <cell r="CS40">
            <v>1900</v>
          </cell>
          <cell r="CT40">
            <v>1000</v>
          </cell>
          <cell r="CU40">
            <v>500</v>
          </cell>
          <cell r="CV40">
            <v>3350</v>
          </cell>
          <cell r="CW40">
            <v>500</v>
          </cell>
          <cell r="CX40">
            <v>1900</v>
          </cell>
          <cell r="CZ40">
            <v>1662</v>
          </cell>
          <cell r="DA40">
            <v>1000</v>
          </cell>
          <cell r="DB40" t="str">
            <v>ACTIVO</v>
          </cell>
          <cell r="DC40" t="str">
            <v/>
          </cell>
          <cell r="DE40">
            <v>1606.1764705882354</v>
          </cell>
          <cell r="DF40">
            <v>267.69607843137254</v>
          </cell>
          <cell r="DG40">
            <v>1628.2467997156677</v>
          </cell>
          <cell r="DH40">
            <v>0</v>
          </cell>
          <cell r="DI40" t="str">
            <v>0</v>
          </cell>
          <cell r="DJ40">
            <v>0</v>
          </cell>
          <cell r="DK40" t="str">
            <v>INACTIVO</v>
          </cell>
          <cell r="DL40">
            <v>0</v>
          </cell>
          <cell r="DM40">
            <v>535.39215686274508</v>
          </cell>
          <cell r="DN40">
            <v>535.39215686274508</v>
          </cell>
        </row>
        <row r="41">
          <cell r="B41">
            <v>403395</v>
          </cell>
          <cell r="C41" t="str">
            <v>PLANCHA DE CARTON 1X1,20 PROSERVAR</v>
          </cell>
          <cell r="D41">
            <v>500</v>
          </cell>
          <cell r="H41">
            <v>500</v>
          </cell>
          <cell r="DB41" t="str">
            <v>ACTIVO</v>
          </cell>
          <cell r="DC41" t="str">
            <v/>
          </cell>
          <cell r="DE41">
            <v>0</v>
          </cell>
          <cell r="DF41">
            <v>0</v>
          </cell>
          <cell r="DG41">
            <v>0</v>
          </cell>
          <cell r="DH41">
            <v>0</v>
          </cell>
          <cell r="DI41" t="str">
            <v>0</v>
          </cell>
          <cell r="DJ41">
            <v>0</v>
          </cell>
          <cell r="DK41" t="str">
            <v>COMPRAR</v>
          </cell>
          <cell r="DL41">
            <v>0</v>
          </cell>
          <cell r="DM41">
            <v>0</v>
          </cell>
          <cell r="DN41">
            <v>0</v>
          </cell>
        </row>
        <row r="42">
          <cell r="B42">
            <v>107316</v>
          </cell>
          <cell r="C42" t="str">
            <v>PLANCHA DE CARTON 1X1,20 ASTRA</v>
          </cell>
          <cell r="F42">
            <v>500</v>
          </cell>
          <cell r="G42">
            <v>500</v>
          </cell>
          <cell r="K42">
            <v>400</v>
          </cell>
          <cell r="L42">
            <v>900</v>
          </cell>
          <cell r="N42">
            <v>800</v>
          </cell>
          <cell r="Q42">
            <v>405</v>
          </cell>
          <cell r="T42">
            <v>400</v>
          </cell>
          <cell r="V42">
            <v>800</v>
          </cell>
          <cell r="X42">
            <v>800</v>
          </cell>
          <cell r="Y42">
            <v>1000</v>
          </cell>
          <cell r="Z42">
            <v>500</v>
          </cell>
          <cell r="AA42">
            <v>500</v>
          </cell>
          <cell r="AB42">
            <v>600</v>
          </cell>
          <cell r="AG42">
            <v>500</v>
          </cell>
          <cell r="AH42">
            <v>600</v>
          </cell>
          <cell r="AI42">
            <v>1000</v>
          </cell>
          <cell r="AL42">
            <v>600</v>
          </cell>
          <cell r="AP42">
            <v>500</v>
          </cell>
          <cell r="AQ42">
            <v>1500</v>
          </cell>
          <cell r="AR42">
            <v>400</v>
          </cell>
          <cell r="AT42">
            <v>400</v>
          </cell>
          <cell r="AU42">
            <v>900</v>
          </cell>
          <cell r="AW42">
            <v>900</v>
          </cell>
          <cell r="AX42">
            <v>500</v>
          </cell>
          <cell r="AY42">
            <v>500</v>
          </cell>
          <cell r="AZ42">
            <v>500</v>
          </cell>
          <cell r="BA42">
            <v>500</v>
          </cell>
          <cell r="BB42">
            <v>500</v>
          </cell>
          <cell r="BD42">
            <v>500</v>
          </cell>
          <cell r="BE42">
            <v>500</v>
          </cell>
          <cell r="BG42">
            <v>1000</v>
          </cell>
          <cell r="BI42">
            <v>500</v>
          </cell>
          <cell r="BJ42">
            <v>657</v>
          </cell>
          <cell r="BK42">
            <v>500</v>
          </cell>
          <cell r="BM42">
            <v>500</v>
          </cell>
          <cell r="BN42">
            <v>480</v>
          </cell>
          <cell r="BO42">
            <v>450</v>
          </cell>
          <cell r="BQ42">
            <v>1000</v>
          </cell>
          <cell r="BR42">
            <v>500</v>
          </cell>
          <cell r="BV42">
            <v>500</v>
          </cell>
          <cell r="BW42">
            <v>500</v>
          </cell>
          <cell r="BY42">
            <v>1000</v>
          </cell>
          <cell r="CB42">
            <v>500</v>
          </cell>
          <cell r="CD42">
            <v>500</v>
          </cell>
          <cell r="CG42">
            <v>1000</v>
          </cell>
          <cell r="CI42">
            <v>1000</v>
          </cell>
          <cell r="CJ42">
            <v>500</v>
          </cell>
          <cell r="CK42">
            <v>500</v>
          </cell>
          <cell r="CL42">
            <v>500</v>
          </cell>
          <cell r="CM42">
            <v>500</v>
          </cell>
          <cell r="CO42">
            <v>500</v>
          </cell>
          <cell r="CP42">
            <v>1000</v>
          </cell>
          <cell r="CR42">
            <v>750</v>
          </cell>
          <cell r="CS42">
            <v>500</v>
          </cell>
          <cell r="CT42">
            <v>500</v>
          </cell>
          <cell r="CU42">
            <v>500</v>
          </cell>
          <cell r="CV42">
            <v>1000</v>
          </cell>
          <cell r="CX42">
            <v>500</v>
          </cell>
          <cell r="CY42">
            <v>500</v>
          </cell>
          <cell r="DA42">
            <v>500</v>
          </cell>
          <cell r="DB42" t="str">
            <v>ACTIVO</v>
          </cell>
          <cell r="DC42" t="str">
            <v>B</v>
          </cell>
          <cell r="DE42">
            <v>673.07692307692309</v>
          </cell>
          <cell r="DF42">
            <v>112.17948717948718</v>
          </cell>
          <cell r="DG42">
            <v>251.67236339062674</v>
          </cell>
          <cell r="DH42">
            <v>750</v>
          </cell>
          <cell r="DI42">
            <v>461280</v>
          </cell>
          <cell r="DJ42">
            <v>1.1142857142857143</v>
          </cell>
          <cell r="DK42" t="str">
            <v>COMPRAR</v>
          </cell>
          <cell r="DL42">
            <v>1682.6923076923076</v>
          </cell>
          <cell r="DM42">
            <v>224.35897435897436</v>
          </cell>
          <cell r="DN42">
            <v>1907.051282051282</v>
          </cell>
        </row>
        <row r="43">
          <cell r="B43">
            <v>403266</v>
          </cell>
          <cell r="C43" t="str">
            <v>PLANCHA DE CARTON 1X1,20 EHLAN</v>
          </cell>
          <cell r="P43">
            <v>400</v>
          </cell>
          <cell r="DB43" t="str">
            <v>ACTIVO</v>
          </cell>
          <cell r="DC43" t="str">
            <v/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 t="str">
            <v>0</v>
          </cell>
          <cell r="DJ43">
            <v>0</v>
          </cell>
          <cell r="DK43" t="str">
            <v>COMPRAR</v>
          </cell>
          <cell r="DL43">
            <v>0</v>
          </cell>
          <cell r="DM43">
            <v>0</v>
          </cell>
          <cell r="DN43">
            <v>0</v>
          </cell>
        </row>
        <row r="44">
          <cell r="B44">
            <v>405438</v>
          </cell>
          <cell r="C44" t="str">
            <v>CARTULINA BLANCA EMPLACADA DIAMTERO 19CM ALIMPACK</v>
          </cell>
          <cell r="BK44">
            <v>24000</v>
          </cell>
          <cell r="DB44" t="str">
            <v>ACTIVO</v>
          </cell>
          <cell r="DC44" t="str">
            <v>C</v>
          </cell>
          <cell r="DE44">
            <v>0</v>
          </cell>
          <cell r="DF44">
            <v>0</v>
          </cell>
          <cell r="DG44">
            <v>0</v>
          </cell>
          <cell r="DH44">
            <v>0</v>
          </cell>
          <cell r="DI44" t="str">
            <v>0</v>
          </cell>
          <cell r="DJ44">
            <v>0</v>
          </cell>
          <cell r="DK44" t="str">
            <v>COMPRAR</v>
          </cell>
          <cell r="DL44">
            <v>0</v>
          </cell>
          <cell r="DM44">
            <v>0</v>
          </cell>
          <cell r="DN44">
            <v>0</v>
          </cell>
        </row>
        <row r="45">
          <cell r="B45">
            <v>405583</v>
          </cell>
          <cell r="C45" t="str">
            <v>DISCO MICROCORRUGADO EMPLACADO 19 CM DIÁMETRO ASTRA</v>
          </cell>
          <cell r="BQ45">
            <v>1250</v>
          </cell>
          <cell r="BR45">
            <v>13000</v>
          </cell>
          <cell r="BS45">
            <v>8600</v>
          </cell>
          <cell r="CL45">
            <v>2000</v>
          </cell>
          <cell r="CM45">
            <v>5300</v>
          </cell>
          <cell r="CO45">
            <v>12500</v>
          </cell>
          <cell r="CP45">
            <v>14500</v>
          </cell>
          <cell r="CQ45">
            <v>3500</v>
          </cell>
          <cell r="CR45">
            <v>5950</v>
          </cell>
          <cell r="CU45">
            <v>29600</v>
          </cell>
          <cell r="DB45" t="str">
            <v>ACTIVO</v>
          </cell>
          <cell r="DC45" t="str">
            <v>C</v>
          </cell>
          <cell r="DE45">
            <v>10478.571428571429</v>
          </cell>
          <cell r="DF45">
            <v>1746.4285714285716</v>
          </cell>
          <cell r="DG45">
            <v>5936.399020730777</v>
          </cell>
          <cell r="DH45">
            <v>350</v>
          </cell>
          <cell r="DI45">
            <v>17150</v>
          </cell>
          <cell r="DJ45">
            <v>3.3401499659168367E-2</v>
          </cell>
          <cell r="DK45" t="str">
            <v>COMPRAR</v>
          </cell>
          <cell r="DL45">
            <v>26196.428571428572</v>
          </cell>
          <cell r="DM45">
            <v>3492.8571428571431</v>
          </cell>
          <cell r="DN45">
            <v>29689.285714285717</v>
          </cell>
        </row>
        <row r="46">
          <cell r="B46">
            <v>405582</v>
          </cell>
          <cell r="C46" t="str">
            <v>DISCO MICROCORRUGADO EMPLACADO 15,5 CM DIÁMETRO ASTRA</v>
          </cell>
          <cell r="CE46">
            <v>3200</v>
          </cell>
          <cell r="CG46">
            <v>4400</v>
          </cell>
          <cell r="CM46">
            <v>7800</v>
          </cell>
          <cell r="CR46">
            <v>19600</v>
          </cell>
          <cell r="DB46" t="str">
            <v>ACTIVO</v>
          </cell>
          <cell r="DC46" t="str">
            <v>C</v>
          </cell>
          <cell r="DE46">
            <v>10600</v>
          </cell>
          <cell r="DF46">
            <v>1766.6666666666667</v>
          </cell>
          <cell r="DG46">
            <v>0</v>
          </cell>
          <cell r="DH46">
            <v>0</v>
          </cell>
          <cell r="DI46" t="str">
            <v>0</v>
          </cell>
          <cell r="DJ46">
            <v>0</v>
          </cell>
          <cell r="DK46" t="str">
            <v>COMPRAR</v>
          </cell>
          <cell r="DL46">
            <v>26500</v>
          </cell>
          <cell r="DM46">
            <v>3533.3333333333335</v>
          </cell>
          <cell r="DN46">
            <v>30033.333333333332</v>
          </cell>
        </row>
        <row r="47">
          <cell r="B47">
            <v>405696</v>
          </cell>
          <cell r="C47" t="str">
            <v>CAJA PASTELES 600X325X120 ASTRA</v>
          </cell>
          <cell r="CH47">
            <v>500</v>
          </cell>
          <cell r="DB47" t="str">
            <v>ACTIVO</v>
          </cell>
          <cell r="DC47" t="str">
            <v/>
          </cell>
          <cell r="DE47">
            <v>500</v>
          </cell>
          <cell r="DF47">
            <v>83.333333333333329</v>
          </cell>
          <cell r="DG47">
            <v>0</v>
          </cell>
          <cell r="DH47">
            <v>1100</v>
          </cell>
          <cell r="DI47">
            <v>660000</v>
          </cell>
          <cell r="DJ47">
            <v>2.2000000000000002</v>
          </cell>
          <cell r="DK47" t="str">
            <v>COMPRAR</v>
          </cell>
          <cell r="DL47">
            <v>1250</v>
          </cell>
          <cell r="DM47">
            <v>166.66666666666666</v>
          </cell>
          <cell r="DN47">
            <v>1416.6666666666667</v>
          </cell>
        </row>
        <row r="48">
          <cell r="B48">
            <v>403100</v>
          </cell>
          <cell r="C48" t="str">
            <v>DISCO CARTON BLANCO 24 JUMBO ARRIAZA</v>
          </cell>
          <cell r="D48">
            <v>8700</v>
          </cell>
          <cell r="E48">
            <v>9500</v>
          </cell>
          <cell r="F48">
            <v>14800</v>
          </cell>
          <cell r="BB48">
            <v>2000</v>
          </cell>
          <cell r="BC48">
            <v>3500</v>
          </cell>
          <cell r="BD48">
            <v>6500</v>
          </cell>
          <cell r="BE48">
            <v>13500</v>
          </cell>
          <cell r="BF48">
            <v>17000</v>
          </cell>
          <cell r="BG48">
            <v>8000</v>
          </cell>
          <cell r="BH48">
            <v>18000</v>
          </cell>
          <cell r="BI48">
            <v>12500</v>
          </cell>
          <cell r="BJ48">
            <v>25000</v>
          </cell>
          <cell r="BK48">
            <v>8000</v>
          </cell>
          <cell r="BL48">
            <v>8500</v>
          </cell>
          <cell r="BM48">
            <v>18500</v>
          </cell>
          <cell r="BN48">
            <v>11500</v>
          </cell>
          <cell r="BO48">
            <v>9500</v>
          </cell>
          <cell r="BP48">
            <v>4000</v>
          </cell>
          <cell r="BQ48">
            <v>20500</v>
          </cell>
          <cell r="BR48">
            <v>9000</v>
          </cell>
          <cell r="BS48">
            <v>14000</v>
          </cell>
          <cell r="BT48">
            <v>11000</v>
          </cell>
          <cell r="BU48">
            <v>27000</v>
          </cell>
          <cell r="BV48">
            <v>16000</v>
          </cell>
          <cell r="BW48">
            <v>3000</v>
          </cell>
          <cell r="BX48">
            <v>7500</v>
          </cell>
          <cell r="BY48">
            <v>15500</v>
          </cell>
          <cell r="BZ48">
            <v>20500</v>
          </cell>
          <cell r="CA48">
            <v>8000</v>
          </cell>
          <cell r="CB48">
            <v>9000</v>
          </cell>
          <cell r="CC48">
            <v>5000</v>
          </cell>
          <cell r="CD48">
            <v>8500</v>
          </cell>
          <cell r="CE48">
            <v>5500</v>
          </cell>
          <cell r="CF48">
            <v>2000</v>
          </cell>
          <cell r="CG48">
            <v>10000</v>
          </cell>
          <cell r="CH48">
            <v>13500</v>
          </cell>
          <cell r="CI48">
            <v>20000</v>
          </cell>
          <cell r="CJ48">
            <v>17000</v>
          </cell>
          <cell r="CK48">
            <v>19500</v>
          </cell>
          <cell r="CL48">
            <v>9500</v>
          </cell>
          <cell r="CM48">
            <v>15500</v>
          </cell>
          <cell r="CN48">
            <v>12000</v>
          </cell>
          <cell r="CO48">
            <v>11500</v>
          </cell>
          <cell r="CP48">
            <v>10000</v>
          </cell>
          <cell r="CQ48">
            <v>6000</v>
          </cell>
          <cell r="CR48">
            <v>39500</v>
          </cell>
          <cell r="CS48">
            <v>21250</v>
          </cell>
          <cell r="CT48">
            <v>4000</v>
          </cell>
          <cell r="CU48">
            <v>12000</v>
          </cell>
          <cell r="CV48">
            <v>12500</v>
          </cell>
          <cell r="CW48">
            <v>5000</v>
          </cell>
          <cell r="CX48">
            <v>3600</v>
          </cell>
          <cell r="CY48">
            <v>3500</v>
          </cell>
          <cell r="DA48">
            <v>2000</v>
          </cell>
          <cell r="DB48" t="str">
            <v>ACTIVO</v>
          </cell>
          <cell r="DC48" t="str">
            <v>B</v>
          </cell>
          <cell r="DE48">
            <v>13867.64705882353</v>
          </cell>
          <cell r="DF48">
            <v>2311.2745098039218</v>
          </cell>
          <cell r="DG48">
            <v>6504.5518986551906</v>
          </cell>
          <cell r="DH48">
            <v>40600</v>
          </cell>
          <cell r="DI48">
            <v>1384460</v>
          </cell>
          <cell r="DJ48">
            <v>2.9276776246023331</v>
          </cell>
          <cell r="DK48" t="str">
            <v>OK</v>
          </cell>
          <cell r="DL48">
            <v>9245.0980392156871</v>
          </cell>
          <cell r="DM48">
            <v>4622.5490196078435</v>
          </cell>
          <cell r="DN48">
            <v>13867.647058823532</v>
          </cell>
        </row>
        <row r="49">
          <cell r="B49">
            <v>405741</v>
          </cell>
          <cell r="C49" t="str">
            <v>DISCO CARTON BLANCO 24 CM PRAGGA</v>
          </cell>
          <cell r="CV49">
            <v>2500</v>
          </cell>
          <cell r="CW49">
            <v>5400</v>
          </cell>
          <cell r="CX49">
            <v>12600</v>
          </cell>
          <cell r="CY49">
            <v>5400</v>
          </cell>
          <cell r="CZ49">
            <v>1500</v>
          </cell>
          <cell r="DB49" t="str">
            <v>ACTIVO</v>
          </cell>
          <cell r="DC49" t="str">
            <v/>
          </cell>
          <cell r="DE49">
            <v>2500</v>
          </cell>
          <cell r="DF49">
            <v>416.66666666666669</v>
          </cell>
          <cell r="DG49">
            <v>0</v>
          </cell>
          <cell r="DH49">
            <v>198400</v>
          </cell>
          <cell r="DI49">
            <v>6626560</v>
          </cell>
          <cell r="DJ49">
            <v>79.36</v>
          </cell>
          <cell r="DK49" t="str">
            <v>OK</v>
          </cell>
          <cell r="DL49">
            <v>1666.6666666666667</v>
          </cell>
          <cell r="DM49">
            <v>833.33333333333337</v>
          </cell>
          <cell r="DN49">
            <v>2500</v>
          </cell>
        </row>
        <row r="50">
          <cell r="B50">
            <v>403108</v>
          </cell>
          <cell r="C50" t="str">
            <v>DISCO CARTON BLANCO 17CM ARRIAZA</v>
          </cell>
          <cell r="D50">
            <v>19000</v>
          </cell>
          <cell r="E50">
            <v>16000</v>
          </cell>
          <cell r="BB50">
            <v>7500</v>
          </cell>
          <cell r="BC50">
            <v>12500</v>
          </cell>
          <cell r="BD50">
            <v>18500</v>
          </cell>
          <cell r="BE50">
            <v>14000</v>
          </cell>
          <cell r="BF50">
            <v>15500</v>
          </cell>
          <cell r="BG50">
            <v>25500</v>
          </cell>
          <cell r="BH50">
            <v>12500</v>
          </cell>
          <cell r="BI50">
            <v>13000</v>
          </cell>
          <cell r="BJ50">
            <v>29500</v>
          </cell>
          <cell r="BK50">
            <v>39500</v>
          </cell>
          <cell r="BL50">
            <v>24000</v>
          </cell>
          <cell r="BM50">
            <v>17500</v>
          </cell>
          <cell r="BN50">
            <v>22500</v>
          </cell>
          <cell r="BO50">
            <v>21000</v>
          </cell>
          <cell r="BQ50">
            <v>20500</v>
          </cell>
          <cell r="BR50">
            <v>19000</v>
          </cell>
          <cell r="BS50">
            <v>16500</v>
          </cell>
          <cell r="BT50">
            <v>5000</v>
          </cell>
          <cell r="BU50">
            <v>17500</v>
          </cell>
          <cell r="BV50">
            <v>4000</v>
          </cell>
          <cell r="BW50">
            <v>16000</v>
          </cell>
          <cell r="BX50">
            <v>25000</v>
          </cell>
          <cell r="BY50">
            <v>8500</v>
          </cell>
          <cell r="BZ50">
            <v>15000</v>
          </cell>
          <cell r="CA50">
            <v>10000</v>
          </cell>
          <cell r="CB50">
            <v>11500</v>
          </cell>
          <cell r="CC50">
            <v>18000</v>
          </cell>
          <cell r="CD50">
            <v>7500</v>
          </cell>
          <cell r="CE50">
            <v>4500</v>
          </cell>
          <cell r="CG50">
            <v>19000</v>
          </cell>
          <cell r="CH50">
            <v>13000</v>
          </cell>
          <cell r="CI50">
            <v>27550</v>
          </cell>
          <cell r="CJ50">
            <v>12500</v>
          </cell>
          <cell r="CK50">
            <v>10500</v>
          </cell>
          <cell r="CL50">
            <v>17500</v>
          </cell>
          <cell r="CM50">
            <v>22000</v>
          </cell>
          <cell r="CN50">
            <v>18500</v>
          </cell>
          <cell r="CO50">
            <v>17500</v>
          </cell>
          <cell r="CP50">
            <v>19500</v>
          </cell>
          <cell r="CQ50">
            <v>18000</v>
          </cell>
          <cell r="CR50">
            <v>31500</v>
          </cell>
          <cell r="CS50">
            <v>27000</v>
          </cell>
          <cell r="CT50">
            <v>5000</v>
          </cell>
          <cell r="CV50">
            <v>3500</v>
          </cell>
          <cell r="CX50">
            <v>1800</v>
          </cell>
          <cell r="CY50">
            <v>2000</v>
          </cell>
          <cell r="DA50">
            <v>14500</v>
          </cell>
          <cell r="DB50" t="str">
            <v>ACTIVO</v>
          </cell>
          <cell r="DC50" t="str">
            <v>B</v>
          </cell>
          <cell r="DE50">
            <v>17503.333333333332</v>
          </cell>
          <cell r="DF50">
            <v>2917.2222222222222</v>
          </cell>
          <cell r="DG50">
            <v>7955.9284831851428</v>
          </cell>
          <cell r="DH50">
            <v>12500</v>
          </cell>
          <cell r="DI50">
            <v>302500</v>
          </cell>
          <cell r="DJ50">
            <v>0.71414968577413829</v>
          </cell>
          <cell r="DK50" t="str">
            <v>COMPRAR</v>
          </cell>
          <cell r="DL50">
            <v>11668.888888888889</v>
          </cell>
          <cell r="DM50">
            <v>5834.4444444444443</v>
          </cell>
          <cell r="DN50">
            <v>17503.333333333332</v>
          </cell>
        </row>
        <row r="51">
          <cell r="B51">
            <v>405739</v>
          </cell>
          <cell r="C51" t="str">
            <v>DISCO CARTON BLANCO 17 CM PRAGGA</v>
          </cell>
          <cell r="CT51">
            <v>9000</v>
          </cell>
          <cell r="CU51">
            <v>2000</v>
          </cell>
          <cell r="CV51">
            <v>6400</v>
          </cell>
          <cell r="CW51">
            <v>2500</v>
          </cell>
          <cell r="CX51">
            <v>1800</v>
          </cell>
          <cell r="CY51">
            <v>5000</v>
          </cell>
          <cell r="CZ51">
            <v>9100</v>
          </cell>
          <cell r="DA51">
            <v>24100</v>
          </cell>
          <cell r="DB51" t="str">
            <v>ACTIVO</v>
          </cell>
          <cell r="DC51" t="str">
            <v/>
          </cell>
          <cell r="DE51">
            <v>5800</v>
          </cell>
          <cell r="DF51">
            <v>966.66666666666663</v>
          </cell>
          <cell r="DG51">
            <v>0</v>
          </cell>
          <cell r="DH51">
            <v>203500</v>
          </cell>
          <cell r="DI51">
            <v>4253150</v>
          </cell>
          <cell r="DJ51">
            <v>35.086206896551722</v>
          </cell>
          <cell r="DK51" t="str">
            <v>OK</v>
          </cell>
          <cell r="DL51">
            <v>3866.6666666666665</v>
          </cell>
          <cell r="DM51">
            <v>1933.3333333333333</v>
          </cell>
          <cell r="DN51">
            <v>5800</v>
          </cell>
        </row>
        <row r="52">
          <cell r="B52">
            <v>403101</v>
          </cell>
          <cell r="C52" t="str">
            <v>DISCO CARTON BLANCO 19,5 JUMBO ARRIAZA</v>
          </cell>
          <cell r="Z52">
            <v>500</v>
          </cell>
          <cell r="AC52">
            <v>1500</v>
          </cell>
          <cell r="AQ52">
            <v>10000</v>
          </cell>
          <cell r="AU52">
            <v>11000</v>
          </cell>
          <cell r="AW52">
            <v>7000</v>
          </cell>
          <cell r="AX52">
            <v>38500</v>
          </cell>
          <cell r="AY52">
            <v>12000</v>
          </cell>
          <cell r="BA52">
            <v>40000</v>
          </cell>
          <cell r="BB52">
            <v>60000</v>
          </cell>
          <cell r="BC52">
            <v>59500</v>
          </cell>
          <cell r="BD52">
            <v>55500</v>
          </cell>
          <cell r="BE52">
            <v>62500</v>
          </cell>
          <cell r="BF52">
            <v>47500</v>
          </cell>
          <cell r="BG52">
            <v>41500</v>
          </cell>
          <cell r="BH52">
            <v>78500</v>
          </cell>
          <cell r="BI52">
            <v>31000</v>
          </cell>
          <cell r="BJ52">
            <v>70548</v>
          </cell>
          <cell r="BK52">
            <v>47000</v>
          </cell>
          <cell r="BL52">
            <v>56500</v>
          </cell>
          <cell r="BM52">
            <v>60000</v>
          </cell>
          <cell r="BN52">
            <v>52000</v>
          </cell>
          <cell r="BO52">
            <v>44500</v>
          </cell>
          <cell r="BP52">
            <v>34500</v>
          </cell>
          <cell r="BQ52">
            <v>63000</v>
          </cell>
          <cell r="BR52">
            <v>53000</v>
          </cell>
          <cell r="BS52">
            <v>60000</v>
          </cell>
          <cell r="BT52">
            <v>32500</v>
          </cell>
          <cell r="BU52">
            <v>38500</v>
          </cell>
          <cell r="BV52">
            <v>33500</v>
          </cell>
          <cell r="BW52">
            <v>32500</v>
          </cell>
          <cell r="BX52">
            <v>26000</v>
          </cell>
          <cell r="BY52">
            <v>41500</v>
          </cell>
          <cell r="BZ52">
            <v>28500</v>
          </cell>
          <cell r="CA52">
            <v>28500</v>
          </cell>
          <cell r="CB52">
            <v>33800</v>
          </cell>
          <cell r="CC52">
            <v>53000</v>
          </cell>
          <cell r="CD52">
            <v>37700</v>
          </cell>
          <cell r="CE52">
            <v>14500</v>
          </cell>
          <cell r="CF52">
            <v>6500</v>
          </cell>
          <cell r="CG52">
            <v>56500</v>
          </cell>
          <cell r="CH52">
            <v>45500</v>
          </cell>
          <cell r="CI52">
            <v>44500</v>
          </cell>
          <cell r="CJ52">
            <v>42000</v>
          </cell>
          <cell r="CK52">
            <v>57000</v>
          </cell>
          <cell r="CL52">
            <v>42500</v>
          </cell>
          <cell r="CM52">
            <v>34000</v>
          </cell>
          <cell r="CN52">
            <v>30000</v>
          </cell>
          <cell r="CO52">
            <v>36000</v>
          </cell>
          <cell r="CP52">
            <v>50500</v>
          </cell>
          <cell r="CQ52">
            <v>40500</v>
          </cell>
          <cell r="CR52">
            <v>500</v>
          </cell>
          <cell r="CS52">
            <v>33000</v>
          </cell>
          <cell r="CT52">
            <v>14500</v>
          </cell>
          <cell r="DB52" t="str">
            <v>ACTIVO</v>
          </cell>
          <cell r="DC52" t="str">
            <v>B</v>
          </cell>
          <cell r="DE52">
            <v>35566.666666666664</v>
          </cell>
          <cell r="DF52">
            <v>5927.7777777777774</v>
          </cell>
          <cell r="DG52">
            <v>17814.239726013373</v>
          </cell>
          <cell r="DH52">
            <v>0</v>
          </cell>
          <cell r="DI52" t="str">
            <v>0</v>
          </cell>
          <cell r="DJ52">
            <v>0</v>
          </cell>
          <cell r="DK52" t="str">
            <v>COMPRAR</v>
          </cell>
          <cell r="DL52">
            <v>23711.111111111109</v>
          </cell>
          <cell r="DM52">
            <v>11855.555555555555</v>
          </cell>
          <cell r="DN52">
            <v>35566.666666666664</v>
          </cell>
        </row>
        <row r="53">
          <cell r="B53">
            <v>405740</v>
          </cell>
          <cell r="C53" t="str">
            <v>DISCO CARTON BLANCO 19 CM PRAGGA</v>
          </cell>
          <cell r="CT53">
            <v>26400</v>
          </cell>
          <cell r="CU53">
            <v>11000</v>
          </cell>
          <cell r="CV53">
            <v>47200</v>
          </cell>
          <cell r="CW53">
            <v>43900</v>
          </cell>
          <cell r="CX53">
            <v>41400</v>
          </cell>
          <cell r="CY53">
            <v>37800</v>
          </cell>
          <cell r="CZ53">
            <v>29100</v>
          </cell>
          <cell r="DA53">
            <v>61200</v>
          </cell>
          <cell r="DB53" t="str">
            <v>ACTIVO</v>
          </cell>
          <cell r="DC53" t="str">
            <v/>
          </cell>
          <cell r="DE53">
            <v>28200</v>
          </cell>
          <cell r="DF53">
            <v>4700</v>
          </cell>
          <cell r="DG53">
            <v>0</v>
          </cell>
          <cell r="DH53">
            <v>63000</v>
          </cell>
          <cell r="DI53">
            <v>1568700</v>
          </cell>
          <cell r="DJ53">
            <v>2.2340425531914891</v>
          </cell>
          <cell r="DK53" t="str">
            <v>OK</v>
          </cell>
          <cell r="DL53">
            <v>18800</v>
          </cell>
          <cell r="DM53">
            <v>9400</v>
          </cell>
          <cell r="DN53">
            <v>28200</v>
          </cell>
        </row>
        <row r="54">
          <cell r="B54">
            <v>403258</v>
          </cell>
          <cell r="C54" t="str">
            <v>CAPSULAS DE PAPEL NUMERO 11 FOOD PACK</v>
          </cell>
          <cell r="CW54">
            <v>4000</v>
          </cell>
          <cell r="CX54">
            <v>2000</v>
          </cell>
          <cell r="CZ54">
            <v>2000</v>
          </cell>
          <cell r="DB54" t="str">
            <v>ACTIVO</v>
          </cell>
          <cell r="DC54" t="str">
            <v/>
          </cell>
          <cell r="DE54">
            <v>0</v>
          </cell>
          <cell r="DF54">
            <v>0</v>
          </cell>
          <cell r="DG54">
            <v>0</v>
          </cell>
          <cell r="DH54">
            <v>11000</v>
          </cell>
          <cell r="DI54">
            <v>156530</v>
          </cell>
          <cell r="DJ54">
            <v>0</v>
          </cell>
          <cell r="DK54" t="str">
            <v>OK</v>
          </cell>
          <cell r="DL54">
            <v>0</v>
          </cell>
          <cell r="DM54">
            <v>0</v>
          </cell>
          <cell r="DN54">
            <v>0</v>
          </cell>
        </row>
        <row r="55">
          <cell r="B55">
            <v>403015</v>
          </cell>
          <cell r="C55" t="str">
            <v>PAPEL BEIGE 38.5 x 44.5 ARRIAZA</v>
          </cell>
          <cell r="D55">
            <v>2000</v>
          </cell>
          <cell r="F55">
            <v>2000</v>
          </cell>
          <cell r="G55">
            <v>2000</v>
          </cell>
          <cell r="H55">
            <v>2000</v>
          </cell>
          <cell r="J55">
            <v>2000</v>
          </cell>
          <cell r="K55">
            <v>4000</v>
          </cell>
          <cell r="O55">
            <v>4000</v>
          </cell>
          <cell r="P55">
            <v>6000</v>
          </cell>
          <cell r="S55">
            <v>4000</v>
          </cell>
          <cell r="T55">
            <v>4000</v>
          </cell>
          <cell r="V55">
            <v>12000</v>
          </cell>
          <cell r="W55">
            <v>4000</v>
          </cell>
          <cell r="AA55">
            <v>4000</v>
          </cell>
          <cell r="AF55">
            <v>4000</v>
          </cell>
          <cell r="AJ55">
            <v>6000</v>
          </cell>
          <cell r="AK55">
            <v>2000</v>
          </cell>
          <cell r="AM55">
            <v>0</v>
          </cell>
          <cell r="AP55">
            <v>2000</v>
          </cell>
          <cell r="AR55">
            <v>2000</v>
          </cell>
          <cell r="AS55">
            <v>2000</v>
          </cell>
          <cell r="AT55">
            <v>2000</v>
          </cell>
          <cell r="AV55">
            <v>2000</v>
          </cell>
          <cell r="AX55">
            <v>2000</v>
          </cell>
          <cell r="AY55">
            <v>2000</v>
          </cell>
          <cell r="BB55">
            <v>2000</v>
          </cell>
          <cell r="BC55">
            <v>2000</v>
          </cell>
          <cell r="BE55">
            <v>1</v>
          </cell>
          <cell r="BF55">
            <v>2000</v>
          </cell>
          <cell r="BG55">
            <v>2000</v>
          </cell>
          <cell r="BH55">
            <v>2000</v>
          </cell>
          <cell r="BJ55">
            <v>4000</v>
          </cell>
          <cell r="BK55">
            <v>2000</v>
          </cell>
          <cell r="BM55">
            <v>2000</v>
          </cell>
          <cell r="BO55">
            <v>4000</v>
          </cell>
          <cell r="BQ55">
            <v>4000</v>
          </cell>
          <cell r="BT55">
            <v>4000</v>
          </cell>
          <cell r="BU55">
            <v>2000</v>
          </cell>
          <cell r="BW55">
            <v>4000</v>
          </cell>
          <cell r="CA55">
            <v>1000</v>
          </cell>
          <cell r="CC55">
            <v>2000</v>
          </cell>
          <cell r="CH55">
            <v>2000</v>
          </cell>
          <cell r="CI55">
            <v>2000</v>
          </cell>
          <cell r="CM55">
            <v>2000</v>
          </cell>
          <cell r="CO55">
            <v>4000</v>
          </cell>
          <cell r="CQ55">
            <v>2000</v>
          </cell>
          <cell r="CR55">
            <v>2000</v>
          </cell>
          <cell r="CT55">
            <v>2000</v>
          </cell>
          <cell r="CV55">
            <v>1000</v>
          </cell>
          <cell r="CW55">
            <v>2000</v>
          </cell>
          <cell r="CY55">
            <v>4000</v>
          </cell>
          <cell r="DB55" t="str">
            <v>ACTIVO</v>
          </cell>
          <cell r="DC55" t="str">
            <v>C</v>
          </cell>
          <cell r="DE55">
            <v>2125</v>
          </cell>
          <cell r="DF55">
            <v>354.16666666666669</v>
          </cell>
          <cell r="DG55">
            <v>1308.4592328775718</v>
          </cell>
          <cell r="DH55">
            <v>20000</v>
          </cell>
          <cell r="DI55">
            <v>298000</v>
          </cell>
          <cell r="DJ55">
            <v>9.4117647058823533</v>
          </cell>
          <cell r="DK55" t="str">
            <v>OK</v>
          </cell>
          <cell r="DL55">
            <v>1416.6666666666667</v>
          </cell>
          <cell r="DM55">
            <v>708.33333333333337</v>
          </cell>
          <cell r="DN55">
            <v>2125</v>
          </cell>
        </row>
        <row r="56">
          <cell r="B56">
            <v>403271</v>
          </cell>
          <cell r="C56" t="str">
            <v>DISCO CARTÓN CORRUGADO 15,5 CM EHLAN</v>
          </cell>
          <cell r="D56">
            <v>13100</v>
          </cell>
          <cell r="E56">
            <v>7300</v>
          </cell>
          <cell r="F56">
            <v>13450</v>
          </cell>
          <cell r="G56">
            <v>7800</v>
          </cell>
          <cell r="H56">
            <v>1400</v>
          </cell>
          <cell r="I56">
            <v>1900</v>
          </cell>
          <cell r="J56">
            <v>3700</v>
          </cell>
          <cell r="K56">
            <v>3300</v>
          </cell>
          <cell r="L56">
            <v>2500</v>
          </cell>
          <cell r="M56">
            <v>3600</v>
          </cell>
          <cell r="N56">
            <v>1250</v>
          </cell>
          <cell r="P56">
            <v>970</v>
          </cell>
          <cell r="Q56">
            <v>11501</v>
          </cell>
          <cell r="R56">
            <v>3500</v>
          </cell>
          <cell r="T56">
            <v>699</v>
          </cell>
          <cell r="AC56">
            <v>4600</v>
          </cell>
          <cell r="AS56">
            <v>7600</v>
          </cell>
          <cell r="AT56">
            <v>3500</v>
          </cell>
          <cell r="AU56">
            <v>4000</v>
          </cell>
          <cell r="AV56">
            <v>5500</v>
          </cell>
          <cell r="AW56">
            <v>8250</v>
          </cell>
          <cell r="AX56">
            <v>17600</v>
          </cell>
          <cell r="AY56">
            <v>8250</v>
          </cell>
          <cell r="AZ56">
            <v>5600</v>
          </cell>
          <cell r="BA56">
            <v>8500</v>
          </cell>
          <cell r="BB56">
            <v>12950</v>
          </cell>
          <cell r="BC56">
            <v>7650</v>
          </cell>
          <cell r="BD56">
            <v>5500</v>
          </cell>
          <cell r="CH56">
            <v>10180</v>
          </cell>
          <cell r="CI56">
            <v>5700</v>
          </cell>
          <cell r="CJ56">
            <v>3950</v>
          </cell>
          <cell r="CK56">
            <v>200</v>
          </cell>
          <cell r="CL56">
            <v>7250</v>
          </cell>
          <cell r="CN56">
            <v>17800</v>
          </cell>
          <cell r="CO56">
            <v>2600</v>
          </cell>
          <cell r="CP56">
            <v>1600</v>
          </cell>
          <cell r="CR56">
            <v>23180</v>
          </cell>
          <cell r="CS56">
            <v>2250</v>
          </cell>
          <cell r="CT56">
            <v>4000</v>
          </cell>
          <cell r="CU56">
            <v>4000</v>
          </cell>
          <cell r="CW56">
            <v>1400</v>
          </cell>
          <cell r="CY56">
            <v>6750</v>
          </cell>
          <cell r="CZ56">
            <v>5250</v>
          </cell>
          <cell r="DA56">
            <v>5600</v>
          </cell>
          <cell r="DB56" t="str">
            <v>ACTIVO</v>
          </cell>
          <cell r="DC56" t="str">
            <v>C</v>
          </cell>
          <cell r="DE56">
            <v>6892.5</v>
          </cell>
          <cell r="DF56">
            <v>1148.75</v>
          </cell>
          <cell r="DG56">
            <v>3951.1697539136962</v>
          </cell>
          <cell r="DH56">
            <v>32400</v>
          </cell>
          <cell r="DI56">
            <v>1198800</v>
          </cell>
          <cell r="DJ56">
            <v>4.7007616974972795</v>
          </cell>
          <cell r="DK56" t="str">
            <v>OK</v>
          </cell>
          <cell r="DL56">
            <v>17231.25</v>
          </cell>
          <cell r="DM56">
            <v>2297.5</v>
          </cell>
          <cell r="DN56">
            <v>19528.75</v>
          </cell>
        </row>
        <row r="57">
          <cell r="B57">
            <v>403278</v>
          </cell>
          <cell r="C57" t="str">
            <v>DISCO CARTON CAFE CORRUGADO 15,5CM CM ASTRA</v>
          </cell>
          <cell r="I57">
            <v>5200</v>
          </cell>
          <cell r="J57">
            <v>3400</v>
          </cell>
          <cell r="K57">
            <v>2800</v>
          </cell>
          <cell r="L57">
            <v>6900</v>
          </cell>
          <cell r="M57">
            <v>2950</v>
          </cell>
          <cell r="N57">
            <v>4550</v>
          </cell>
          <cell r="P57">
            <v>5330</v>
          </cell>
          <cell r="R57">
            <v>1000</v>
          </cell>
          <cell r="S57">
            <v>21000</v>
          </cell>
          <cell r="T57">
            <v>5801</v>
          </cell>
          <cell r="U57">
            <v>6100</v>
          </cell>
          <cell r="V57">
            <v>1750</v>
          </cell>
          <cell r="W57">
            <v>7000</v>
          </cell>
          <cell r="X57">
            <v>9600</v>
          </cell>
          <cell r="Y57">
            <v>8900</v>
          </cell>
          <cell r="Z57">
            <v>9700</v>
          </cell>
          <cell r="AA57">
            <v>5000</v>
          </cell>
          <cell r="AF57">
            <v>4000</v>
          </cell>
          <cell r="AG57">
            <v>6500</v>
          </cell>
          <cell r="AH57">
            <v>2400</v>
          </cell>
          <cell r="AI57">
            <v>4000</v>
          </cell>
          <cell r="AJ57">
            <v>9600</v>
          </cell>
          <cell r="AL57">
            <v>6500</v>
          </cell>
          <cell r="AM57">
            <v>8500</v>
          </cell>
          <cell r="AN57">
            <v>8100</v>
          </cell>
          <cell r="AP57">
            <v>6050</v>
          </cell>
          <cell r="AQ57">
            <v>6500</v>
          </cell>
          <cell r="AR57">
            <v>6100</v>
          </cell>
          <cell r="AS57">
            <v>3900</v>
          </cell>
          <cell r="BE57">
            <v>3000</v>
          </cell>
          <cell r="BF57">
            <v>8100</v>
          </cell>
          <cell r="BG57">
            <v>12350</v>
          </cell>
          <cell r="BH57">
            <v>4300</v>
          </cell>
          <cell r="BI57">
            <v>6900</v>
          </cell>
          <cell r="BJ57">
            <v>11200</v>
          </cell>
          <cell r="BK57">
            <v>8400</v>
          </cell>
          <cell r="BL57">
            <v>14120</v>
          </cell>
          <cell r="BM57">
            <v>5700</v>
          </cell>
          <cell r="BN57">
            <v>16600</v>
          </cell>
          <cell r="BO57">
            <v>9100</v>
          </cell>
          <cell r="BP57">
            <v>3900</v>
          </cell>
          <cell r="BQ57">
            <v>10000</v>
          </cell>
          <cell r="BR57">
            <v>2900</v>
          </cell>
          <cell r="BS57">
            <v>3400</v>
          </cell>
          <cell r="BT57">
            <v>5436</v>
          </cell>
          <cell r="BU57">
            <v>8164</v>
          </cell>
          <cell r="BV57">
            <v>1400</v>
          </cell>
          <cell r="BW57">
            <v>14600</v>
          </cell>
          <cell r="BX57">
            <v>8500</v>
          </cell>
          <cell r="BY57">
            <v>6350</v>
          </cell>
          <cell r="BZ57">
            <v>5000</v>
          </cell>
          <cell r="CA57">
            <v>7100</v>
          </cell>
          <cell r="CB57">
            <v>7700</v>
          </cell>
          <cell r="CC57">
            <v>8400</v>
          </cell>
          <cell r="CD57">
            <v>10660</v>
          </cell>
          <cell r="CG57">
            <v>900</v>
          </cell>
          <cell r="CO57">
            <v>2800</v>
          </cell>
          <cell r="CP57">
            <v>2800</v>
          </cell>
          <cell r="CQ57">
            <v>5300</v>
          </cell>
          <cell r="CR57">
            <v>11700</v>
          </cell>
          <cell r="DA57">
            <v>600</v>
          </cell>
          <cell r="DB57" t="str">
            <v>ACTIVO</v>
          </cell>
          <cell r="DC57" t="str">
            <v>C</v>
          </cell>
          <cell r="DE57">
            <v>4700</v>
          </cell>
          <cell r="DF57">
            <v>783.33333333333337</v>
          </cell>
          <cell r="DG57">
            <v>3466.5520023802123</v>
          </cell>
          <cell r="DH57">
            <v>750</v>
          </cell>
          <cell r="DI57">
            <v>20250</v>
          </cell>
          <cell r="DJ57">
            <v>0.15957446808510639</v>
          </cell>
          <cell r="DK57" t="str">
            <v>COMPRAR</v>
          </cell>
          <cell r="DL57">
            <v>11750</v>
          </cell>
          <cell r="DM57">
            <v>1566.6666666666667</v>
          </cell>
          <cell r="DN57">
            <v>13316.666666666666</v>
          </cell>
        </row>
        <row r="58">
          <cell r="B58">
            <v>107318</v>
          </cell>
          <cell r="C58" t="str">
            <v>DISCO CARTÓN CAFE CORRUGADO 19 CM ASTRA</v>
          </cell>
          <cell r="D58">
            <v>21500</v>
          </cell>
          <cell r="E58">
            <v>5750</v>
          </cell>
          <cell r="F58">
            <v>22650</v>
          </cell>
          <cell r="G58">
            <v>13000</v>
          </cell>
          <cell r="H58">
            <v>14000</v>
          </cell>
          <cell r="J58">
            <v>12000</v>
          </cell>
          <cell r="K58">
            <v>12750</v>
          </cell>
          <cell r="L58">
            <v>23000</v>
          </cell>
          <cell r="M58">
            <v>22000</v>
          </cell>
          <cell r="N58">
            <v>9500</v>
          </cell>
          <cell r="O58">
            <v>12000</v>
          </cell>
          <cell r="P58">
            <v>16000</v>
          </cell>
          <cell r="Q58">
            <v>26000</v>
          </cell>
          <cell r="R58">
            <v>16500</v>
          </cell>
          <cell r="S58">
            <v>30900</v>
          </cell>
          <cell r="T58">
            <v>17300</v>
          </cell>
          <cell r="U58">
            <v>23000</v>
          </cell>
          <cell r="V58">
            <v>32000</v>
          </cell>
          <cell r="W58">
            <v>15250</v>
          </cell>
          <cell r="X58">
            <v>5500</v>
          </cell>
          <cell r="Y58">
            <v>40500</v>
          </cell>
          <cell r="AA58">
            <v>961</v>
          </cell>
          <cell r="AC58">
            <v>22800</v>
          </cell>
          <cell r="AD58">
            <v>8700</v>
          </cell>
          <cell r="AG58">
            <v>3000</v>
          </cell>
          <cell r="AH58">
            <v>13500</v>
          </cell>
          <cell r="AI58">
            <v>21710</v>
          </cell>
          <cell r="AJ58">
            <v>1000</v>
          </cell>
          <cell r="AK58">
            <v>8000</v>
          </cell>
          <cell r="AL58">
            <v>8500</v>
          </cell>
          <cell r="AM58">
            <v>11500</v>
          </cell>
          <cell r="AN58">
            <v>10300</v>
          </cell>
          <cell r="AO58">
            <v>26000</v>
          </cell>
          <cell r="AP58">
            <v>9000</v>
          </cell>
          <cell r="AQ58">
            <v>18174</v>
          </cell>
          <cell r="AS58">
            <v>7400</v>
          </cell>
          <cell r="AT58">
            <v>2900</v>
          </cell>
          <cell r="AV58">
            <v>5500</v>
          </cell>
          <cell r="BA58">
            <v>26500</v>
          </cell>
          <cell r="BB58">
            <v>5580</v>
          </cell>
          <cell r="BD58">
            <v>12200</v>
          </cell>
          <cell r="BE58">
            <v>16500</v>
          </cell>
          <cell r="BF58">
            <v>16000</v>
          </cell>
          <cell r="BG58">
            <v>8920</v>
          </cell>
          <cell r="BH58">
            <v>6800</v>
          </cell>
          <cell r="CI58">
            <v>500</v>
          </cell>
          <cell r="CY58">
            <v>2500</v>
          </cell>
          <cell r="CZ58">
            <v>1150</v>
          </cell>
          <cell r="DA58">
            <v>1000</v>
          </cell>
          <cell r="DB58" t="str">
            <v>ACTIVO</v>
          </cell>
          <cell r="DC58" t="str">
            <v>C</v>
          </cell>
          <cell r="DE58">
            <v>500</v>
          </cell>
          <cell r="DF58">
            <v>83.333333333333329</v>
          </cell>
          <cell r="DG58">
            <v>7195.4073381501312</v>
          </cell>
          <cell r="DH58">
            <v>0</v>
          </cell>
          <cell r="DI58" t="str">
            <v>0</v>
          </cell>
          <cell r="DJ58">
            <v>0</v>
          </cell>
          <cell r="DK58" t="str">
            <v>COMPRAR</v>
          </cell>
          <cell r="DL58">
            <v>1250</v>
          </cell>
          <cell r="DM58">
            <v>166.66666666666666</v>
          </cell>
          <cell r="DN58">
            <v>1416.6666666666667</v>
          </cell>
        </row>
        <row r="59">
          <cell r="B59">
            <v>107292</v>
          </cell>
          <cell r="C59" t="str">
            <v>DISCO CARTÓN CORRUGADO 19 CM EHLAN</v>
          </cell>
          <cell r="I59">
            <v>16250</v>
          </cell>
          <cell r="J59">
            <v>19800</v>
          </cell>
          <cell r="K59">
            <v>8450</v>
          </cell>
          <cell r="L59">
            <v>2400</v>
          </cell>
          <cell r="Z59">
            <v>3839</v>
          </cell>
          <cell r="AD59">
            <v>1800</v>
          </cell>
          <cell r="AI59">
            <v>490</v>
          </cell>
          <cell r="AJ59">
            <v>18750</v>
          </cell>
          <cell r="AK59">
            <v>6000</v>
          </cell>
          <cell r="AL59">
            <v>4000</v>
          </cell>
          <cell r="AM59">
            <v>200</v>
          </cell>
          <cell r="AQ59">
            <v>1534</v>
          </cell>
          <cell r="AR59">
            <v>15000</v>
          </cell>
          <cell r="AT59">
            <v>1500</v>
          </cell>
          <cell r="AU59">
            <v>22350</v>
          </cell>
          <cell r="AV59">
            <v>21000</v>
          </cell>
          <cell r="AW59">
            <v>19000</v>
          </cell>
          <cell r="AX59">
            <v>6450</v>
          </cell>
          <cell r="AY59">
            <v>6300</v>
          </cell>
          <cell r="AZ59">
            <v>15000</v>
          </cell>
          <cell r="BC59">
            <v>3500</v>
          </cell>
          <cell r="BD59">
            <v>8020</v>
          </cell>
          <cell r="BF59">
            <v>300</v>
          </cell>
          <cell r="BH59">
            <v>3880</v>
          </cell>
          <cell r="BI59">
            <v>9100</v>
          </cell>
          <cell r="BJ59">
            <v>9100</v>
          </cell>
          <cell r="BK59">
            <v>11300</v>
          </cell>
          <cell r="BL59">
            <v>15500</v>
          </cell>
          <cell r="BM59">
            <v>26000</v>
          </cell>
          <cell r="BN59">
            <v>3500</v>
          </cell>
          <cell r="BO59">
            <v>14000</v>
          </cell>
          <cell r="BP59">
            <v>2500</v>
          </cell>
          <cell r="BQ59">
            <v>12900</v>
          </cell>
          <cell r="BS59">
            <v>16500</v>
          </cell>
          <cell r="BT59">
            <v>9500</v>
          </cell>
          <cell r="BU59">
            <v>12000</v>
          </cell>
          <cell r="BV59">
            <v>17000</v>
          </cell>
          <cell r="BW59">
            <v>3500</v>
          </cell>
          <cell r="BX59">
            <v>4500</v>
          </cell>
          <cell r="BY59">
            <v>6500</v>
          </cell>
          <cell r="BZ59">
            <v>13000</v>
          </cell>
          <cell r="CA59">
            <v>7500</v>
          </cell>
          <cell r="CB59">
            <v>7200</v>
          </cell>
          <cell r="CC59">
            <v>8000</v>
          </cell>
          <cell r="CD59">
            <v>4000</v>
          </cell>
          <cell r="CE59">
            <v>5000</v>
          </cell>
          <cell r="CF59">
            <v>7500</v>
          </cell>
          <cell r="CG59">
            <v>17300</v>
          </cell>
          <cell r="CI59">
            <v>50400</v>
          </cell>
          <cell r="CJ59">
            <v>15750</v>
          </cell>
          <cell r="CK59">
            <v>4250</v>
          </cell>
          <cell r="CL59">
            <v>7100</v>
          </cell>
          <cell r="CM59">
            <v>3000</v>
          </cell>
          <cell r="CN59">
            <v>3500</v>
          </cell>
          <cell r="CO59">
            <v>8500</v>
          </cell>
          <cell r="CP59">
            <v>500</v>
          </cell>
          <cell r="CQ59">
            <v>13000</v>
          </cell>
          <cell r="CR59">
            <v>6800</v>
          </cell>
          <cell r="CS59">
            <v>4000</v>
          </cell>
          <cell r="CT59">
            <v>13000</v>
          </cell>
          <cell r="CU59">
            <v>17900</v>
          </cell>
          <cell r="CV59">
            <v>38850</v>
          </cell>
          <cell r="CW59">
            <v>9950</v>
          </cell>
          <cell r="CX59">
            <v>4500</v>
          </cell>
          <cell r="CY59">
            <v>10500</v>
          </cell>
          <cell r="CZ59">
            <v>22650</v>
          </cell>
          <cell r="DA59">
            <v>13400</v>
          </cell>
          <cell r="DB59" t="str">
            <v>ACTIVO</v>
          </cell>
          <cell r="DC59" t="str">
            <v>B</v>
          </cell>
          <cell r="DE59">
            <v>13209.375</v>
          </cell>
          <cell r="DF59">
            <v>2201.5625</v>
          </cell>
          <cell r="DG59">
            <v>6656.0544235863626</v>
          </cell>
          <cell r="DH59">
            <v>16900</v>
          </cell>
          <cell r="DI59">
            <v>659100</v>
          </cell>
          <cell r="DJ59">
            <v>1.2793943695292169</v>
          </cell>
          <cell r="DK59" t="str">
            <v>COMPRAR</v>
          </cell>
          <cell r="DL59">
            <v>33023.4375</v>
          </cell>
          <cell r="DM59">
            <v>4403.125</v>
          </cell>
          <cell r="DN59">
            <v>37426.5625</v>
          </cell>
        </row>
        <row r="60">
          <cell r="B60">
            <v>393320</v>
          </cell>
          <cell r="C60" t="str">
            <v>HOJA SEPARADORA TORTA DIAMETRO 230 MMS.</v>
          </cell>
          <cell r="E60">
            <v>3000</v>
          </cell>
          <cell r="F60">
            <v>3000</v>
          </cell>
          <cell r="G60">
            <v>3000</v>
          </cell>
          <cell r="H60">
            <v>9000</v>
          </cell>
          <cell r="I60">
            <v>6000</v>
          </cell>
          <cell r="J60">
            <v>9000</v>
          </cell>
          <cell r="K60">
            <v>9600</v>
          </cell>
          <cell r="L60">
            <v>7600</v>
          </cell>
          <cell r="M60">
            <v>14400</v>
          </cell>
          <cell r="N60">
            <v>9001</v>
          </cell>
          <cell r="O60">
            <v>9600</v>
          </cell>
          <cell r="P60">
            <v>11000</v>
          </cell>
          <cell r="Q60">
            <v>12000</v>
          </cell>
          <cell r="S60">
            <v>9000</v>
          </cell>
          <cell r="T60">
            <v>6000</v>
          </cell>
          <cell r="U60">
            <v>850</v>
          </cell>
          <cell r="Z60">
            <v>3000</v>
          </cell>
          <cell r="AB60">
            <v>6000</v>
          </cell>
          <cell r="AC60">
            <v>1498</v>
          </cell>
          <cell r="AH60">
            <v>7200</v>
          </cell>
          <cell r="AJ60">
            <v>3000</v>
          </cell>
          <cell r="AK60">
            <v>12000</v>
          </cell>
          <cell r="AL60">
            <v>6000</v>
          </cell>
          <cell r="AM60">
            <v>6000</v>
          </cell>
          <cell r="AN60">
            <v>9000</v>
          </cell>
          <cell r="AO60">
            <v>12000</v>
          </cell>
          <cell r="AQ60">
            <v>6000</v>
          </cell>
          <cell r="AR60">
            <v>12000</v>
          </cell>
          <cell r="AS60">
            <v>9000</v>
          </cell>
          <cell r="AT60">
            <v>6000</v>
          </cell>
          <cell r="AU60">
            <v>2500</v>
          </cell>
          <cell r="AV60">
            <v>3350</v>
          </cell>
          <cell r="AX60">
            <v>5700</v>
          </cell>
          <cell r="AY60">
            <v>8050</v>
          </cell>
          <cell r="AZ60">
            <v>15000</v>
          </cell>
          <cell r="BA60">
            <v>10600</v>
          </cell>
          <cell r="BB60">
            <v>3000</v>
          </cell>
          <cell r="BC60">
            <v>500</v>
          </cell>
          <cell r="BE60">
            <v>9000</v>
          </cell>
          <cell r="BF60">
            <v>6000</v>
          </cell>
          <cell r="BG60">
            <v>1342</v>
          </cell>
          <cell r="BH60">
            <v>9000</v>
          </cell>
          <cell r="BK60">
            <v>3000</v>
          </cell>
          <cell r="BL60">
            <v>9000</v>
          </cell>
          <cell r="BM60">
            <v>9000</v>
          </cell>
          <cell r="BN60">
            <v>6300</v>
          </cell>
          <cell r="BR60">
            <v>3300</v>
          </cell>
          <cell r="BS60">
            <v>2400</v>
          </cell>
          <cell r="BT60">
            <v>3000</v>
          </cell>
          <cell r="BU60">
            <v>1800</v>
          </cell>
          <cell r="BY60">
            <v>12000</v>
          </cell>
          <cell r="BZ60">
            <v>17400</v>
          </cell>
          <cell r="CA60">
            <v>2400</v>
          </cell>
          <cell r="CD60">
            <v>2400</v>
          </cell>
          <cell r="CE60">
            <v>2400</v>
          </cell>
          <cell r="CG60">
            <v>9000</v>
          </cell>
          <cell r="CI60">
            <v>9600</v>
          </cell>
          <cell r="CK60">
            <v>12000</v>
          </cell>
          <cell r="CL60">
            <v>9600</v>
          </cell>
          <cell r="CM60">
            <v>9600</v>
          </cell>
          <cell r="CN60">
            <v>9600</v>
          </cell>
          <cell r="CO60">
            <v>4800</v>
          </cell>
          <cell r="CP60">
            <v>3000</v>
          </cell>
          <cell r="CR60">
            <v>7200</v>
          </cell>
          <cell r="CS60">
            <v>4800</v>
          </cell>
          <cell r="CT60">
            <v>1800</v>
          </cell>
          <cell r="CV60">
            <v>3600</v>
          </cell>
          <cell r="CW60">
            <v>2400</v>
          </cell>
          <cell r="CX60">
            <v>800</v>
          </cell>
          <cell r="CZ60">
            <v>4200</v>
          </cell>
          <cell r="DB60" t="str">
            <v>ACTIVO</v>
          </cell>
          <cell r="DC60" t="str">
            <v>B</v>
          </cell>
          <cell r="DE60">
            <v>7050</v>
          </cell>
          <cell r="DF60">
            <v>1175</v>
          </cell>
          <cell r="DG60">
            <v>4168.2338519383056</v>
          </cell>
          <cell r="DH60">
            <v>9600</v>
          </cell>
          <cell r="DI60">
            <v>1449600</v>
          </cell>
          <cell r="DJ60">
            <v>1.3617021276595744</v>
          </cell>
          <cell r="DK60" t="str">
            <v>COMPRAR</v>
          </cell>
          <cell r="DL60">
            <v>17625</v>
          </cell>
          <cell r="DM60">
            <v>2350</v>
          </cell>
          <cell r="DN60">
            <v>19975</v>
          </cell>
        </row>
        <row r="61">
          <cell r="B61">
            <v>402257</v>
          </cell>
          <cell r="C61" t="str">
            <v>HOJA SEPARADORA TORTA DIAMETRO 230 MMS ASTRA</v>
          </cell>
          <cell r="D61">
            <v>7200</v>
          </cell>
          <cell r="E61">
            <v>6900</v>
          </cell>
          <cell r="F61">
            <v>3900</v>
          </cell>
          <cell r="G61">
            <v>10800</v>
          </cell>
          <cell r="K61">
            <v>3600</v>
          </cell>
          <cell r="L61">
            <v>3600</v>
          </cell>
          <cell r="P61">
            <v>6000</v>
          </cell>
          <cell r="T61">
            <v>6000</v>
          </cell>
          <cell r="U61">
            <v>12350</v>
          </cell>
          <cell r="V61">
            <v>14700</v>
          </cell>
          <cell r="W61">
            <v>9850</v>
          </cell>
          <cell r="Y61">
            <v>8700</v>
          </cell>
          <cell r="AC61">
            <v>6000</v>
          </cell>
          <cell r="AD61">
            <v>3000</v>
          </cell>
          <cell r="AE61">
            <v>3000</v>
          </cell>
          <cell r="AF61">
            <v>13800</v>
          </cell>
          <cell r="AG61">
            <v>3751</v>
          </cell>
          <cell r="AH61">
            <v>4199</v>
          </cell>
          <cell r="AI61">
            <v>3000</v>
          </cell>
          <cell r="AJ61">
            <v>600</v>
          </cell>
          <cell r="AP61">
            <v>18000</v>
          </cell>
          <cell r="AQ61">
            <v>8300</v>
          </cell>
          <cell r="AT61">
            <v>2500</v>
          </cell>
          <cell r="AU61">
            <v>6500</v>
          </cell>
          <cell r="AV61">
            <v>6000</v>
          </cell>
          <cell r="AW61">
            <v>16500</v>
          </cell>
          <cell r="AX61">
            <v>13500</v>
          </cell>
          <cell r="AY61">
            <v>1850</v>
          </cell>
          <cell r="BB61">
            <v>9600</v>
          </cell>
          <cell r="BC61">
            <v>12400</v>
          </cell>
          <cell r="BD61">
            <v>14100</v>
          </cell>
          <cell r="BE61">
            <v>6000</v>
          </cell>
          <cell r="BF61">
            <v>6000</v>
          </cell>
          <cell r="BG61">
            <v>1658</v>
          </cell>
          <cell r="BI61">
            <v>3300</v>
          </cell>
          <cell r="BJ61">
            <v>9900</v>
          </cell>
          <cell r="BK61">
            <v>9900</v>
          </cell>
          <cell r="BO61">
            <v>3900</v>
          </cell>
          <cell r="BP61">
            <v>3300</v>
          </cell>
          <cell r="BQ61">
            <v>6600</v>
          </cell>
          <cell r="BR61">
            <v>8300</v>
          </cell>
          <cell r="BS61">
            <v>2400</v>
          </cell>
          <cell r="BT61">
            <v>3300</v>
          </cell>
          <cell r="BU61">
            <v>6300</v>
          </cell>
          <cell r="BV61">
            <v>11100</v>
          </cell>
          <cell r="BX61">
            <v>3000</v>
          </cell>
          <cell r="CA61">
            <v>8400</v>
          </cell>
          <cell r="CB61">
            <v>2400</v>
          </cell>
          <cell r="CC61">
            <v>15000</v>
          </cell>
          <cell r="CG61">
            <v>4800</v>
          </cell>
          <cell r="CH61">
            <v>10800</v>
          </cell>
          <cell r="CI61">
            <v>1200</v>
          </cell>
          <cell r="CJ61">
            <v>5400</v>
          </cell>
          <cell r="CP61">
            <v>2400</v>
          </cell>
          <cell r="CQ61">
            <v>13500</v>
          </cell>
          <cell r="CS61">
            <v>8400</v>
          </cell>
          <cell r="CT61">
            <v>8100</v>
          </cell>
          <cell r="CU61">
            <v>600</v>
          </cell>
          <cell r="CV61">
            <v>6000</v>
          </cell>
          <cell r="CY61">
            <v>1800</v>
          </cell>
          <cell r="CZ61">
            <v>3000</v>
          </cell>
          <cell r="DA61">
            <v>9400</v>
          </cell>
          <cell r="DB61" t="str">
            <v>ACTIVO</v>
          </cell>
          <cell r="DC61" t="str">
            <v>B</v>
          </cell>
          <cell r="DE61">
            <v>6120</v>
          </cell>
          <cell r="DF61">
            <v>1020</v>
          </cell>
          <cell r="DG61">
            <v>4753.6020085259752</v>
          </cell>
          <cell r="DH61">
            <v>9000</v>
          </cell>
          <cell r="DI61">
            <v>1305000</v>
          </cell>
          <cell r="DJ61">
            <v>1.4705882352941178</v>
          </cell>
          <cell r="DK61" t="str">
            <v>COMPRAR</v>
          </cell>
          <cell r="DL61">
            <v>15300</v>
          </cell>
          <cell r="DM61">
            <v>2040</v>
          </cell>
          <cell r="DN61">
            <v>17340</v>
          </cell>
        </row>
        <row r="62">
          <cell r="B62">
            <v>393321</v>
          </cell>
          <cell r="C62" t="str">
            <v>HOJA SEPARADORA TORTA MEDIANA DIAMETRO 210 MMS.</v>
          </cell>
          <cell r="E62">
            <v>3000</v>
          </cell>
          <cell r="F62">
            <v>600</v>
          </cell>
          <cell r="G62">
            <v>3000</v>
          </cell>
          <cell r="H62">
            <v>1600</v>
          </cell>
          <cell r="I62">
            <v>3000</v>
          </cell>
          <cell r="J62">
            <v>3000</v>
          </cell>
          <cell r="K62">
            <v>1400</v>
          </cell>
          <cell r="L62">
            <v>3000</v>
          </cell>
          <cell r="N62">
            <v>3000</v>
          </cell>
          <cell r="P62">
            <v>6000</v>
          </cell>
          <cell r="R62">
            <v>3328</v>
          </cell>
          <cell r="X62">
            <v>6000</v>
          </cell>
          <cell r="Y62">
            <v>3000</v>
          </cell>
          <cell r="Z62">
            <v>3000</v>
          </cell>
          <cell r="AJ62">
            <v>3000</v>
          </cell>
          <cell r="AL62">
            <v>3000</v>
          </cell>
          <cell r="AN62">
            <v>6000</v>
          </cell>
          <cell r="AO62">
            <v>100</v>
          </cell>
          <cell r="AP62">
            <v>2900</v>
          </cell>
          <cell r="AR62">
            <v>3000</v>
          </cell>
          <cell r="AS62">
            <v>3000</v>
          </cell>
          <cell r="AT62">
            <v>6000</v>
          </cell>
          <cell r="AV62">
            <v>3000</v>
          </cell>
          <cell r="AW62">
            <v>3000</v>
          </cell>
          <cell r="AY62">
            <v>3000</v>
          </cell>
          <cell r="BB62">
            <v>3000</v>
          </cell>
          <cell r="BD62">
            <v>6000</v>
          </cell>
          <cell r="BF62">
            <v>3000</v>
          </cell>
          <cell r="BG62">
            <v>8500</v>
          </cell>
          <cell r="BH62">
            <v>3000</v>
          </cell>
          <cell r="BJ62">
            <v>3000</v>
          </cell>
          <cell r="BK62">
            <v>6000</v>
          </cell>
          <cell r="BL62">
            <v>1220</v>
          </cell>
          <cell r="BM62">
            <v>3000</v>
          </cell>
          <cell r="BN62">
            <v>15900</v>
          </cell>
          <cell r="BO62">
            <v>5700</v>
          </cell>
          <cell r="BP62">
            <v>2700</v>
          </cell>
          <cell r="BQ62">
            <v>3000</v>
          </cell>
          <cell r="BR62">
            <v>7200</v>
          </cell>
          <cell r="BT62">
            <v>6000</v>
          </cell>
          <cell r="BU62">
            <v>4500</v>
          </cell>
          <cell r="BW62">
            <v>3300</v>
          </cell>
          <cell r="BX62">
            <v>9600</v>
          </cell>
          <cell r="BY62">
            <v>1500</v>
          </cell>
          <cell r="BZ62">
            <v>200</v>
          </cell>
          <cell r="CA62">
            <v>8800</v>
          </cell>
          <cell r="CB62">
            <v>3000</v>
          </cell>
          <cell r="CC62">
            <v>4400</v>
          </cell>
          <cell r="CD62">
            <v>2400</v>
          </cell>
          <cell r="CE62">
            <v>2400</v>
          </cell>
          <cell r="CG62">
            <v>2400</v>
          </cell>
          <cell r="CH62">
            <v>6000</v>
          </cell>
          <cell r="CI62">
            <v>4800</v>
          </cell>
          <cell r="CJ62">
            <v>4800</v>
          </cell>
          <cell r="CK62">
            <v>7200</v>
          </cell>
          <cell r="CL62">
            <v>2400</v>
          </cell>
          <cell r="CM62">
            <v>12000</v>
          </cell>
          <cell r="CN62">
            <v>4800</v>
          </cell>
          <cell r="CO62">
            <v>3000</v>
          </cell>
          <cell r="CP62">
            <v>2400</v>
          </cell>
          <cell r="CQ62">
            <v>4800</v>
          </cell>
          <cell r="CR62">
            <v>4800</v>
          </cell>
          <cell r="CS62">
            <v>2400</v>
          </cell>
          <cell r="CT62">
            <v>2400</v>
          </cell>
          <cell r="CV62">
            <v>2400</v>
          </cell>
          <cell r="CX62">
            <v>1200</v>
          </cell>
          <cell r="CZ62">
            <v>2400</v>
          </cell>
          <cell r="DA62">
            <v>8400</v>
          </cell>
          <cell r="DB62" t="str">
            <v>ACTIVO</v>
          </cell>
          <cell r="DC62" t="str">
            <v>B</v>
          </cell>
          <cell r="DE62">
            <v>4440</v>
          </cell>
          <cell r="DF62">
            <v>740</v>
          </cell>
          <cell r="DG62">
            <v>2992.9706005694438</v>
          </cell>
          <cell r="DH62">
            <v>2400</v>
          </cell>
          <cell r="DI62">
            <v>362400</v>
          </cell>
          <cell r="DJ62">
            <v>0.54054054054054057</v>
          </cell>
          <cell r="DK62" t="str">
            <v>COMPRAR</v>
          </cell>
          <cell r="DL62">
            <v>11100</v>
          </cell>
          <cell r="DM62">
            <v>1480</v>
          </cell>
          <cell r="DN62">
            <v>12580</v>
          </cell>
        </row>
        <row r="63">
          <cell r="B63">
            <v>393322</v>
          </cell>
          <cell r="C63" t="str">
            <v>HOJA SEPARADORA TARTALETA DIAMETRO 255 MMS.</v>
          </cell>
          <cell r="D63">
            <v>1200</v>
          </cell>
          <cell r="F63">
            <v>1000</v>
          </cell>
          <cell r="G63">
            <v>700</v>
          </cell>
          <cell r="H63">
            <v>800</v>
          </cell>
          <cell r="I63">
            <v>1300</v>
          </cell>
          <cell r="J63">
            <v>500</v>
          </cell>
          <cell r="K63">
            <v>1100</v>
          </cell>
          <cell r="L63">
            <v>500</v>
          </cell>
          <cell r="M63">
            <v>1000</v>
          </cell>
          <cell r="N63">
            <v>900</v>
          </cell>
          <cell r="O63">
            <v>1100</v>
          </cell>
          <cell r="P63">
            <v>1500</v>
          </cell>
          <cell r="Q63">
            <v>900</v>
          </cell>
          <cell r="R63">
            <v>1100</v>
          </cell>
          <cell r="S63">
            <v>1200</v>
          </cell>
          <cell r="T63">
            <v>2600</v>
          </cell>
          <cell r="U63">
            <v>600</v>
          </cell>
          <cell r="V63">
            <v>4700</v>
          </cell>
          <cell r="W63">
            <v>7700</v>
          </cell>
          <cell r="X63">
            <v>2200</v>
          </cell>
          <cell r="Z63">
            <v>3000</v>
          </cell>
          <cell r="AD63">
            <v>500</v>
          </cell>
          <cell r="AF63">
            <v>401</v>
          </cell>
          <cell r="AG63">
            <v>950</v>
          </cell>
          <cell r="AH63">
            <v>1399</v>
          </cell>
          <cell r="AI63">
            <v>700</v>
          </cell>
          <cell r="AJ63">
            <v>850</v>
          </cell>
          <cell r="AK63">
            <v>1100</v>
          </cell>
          <cell r="AL63">
            <v>700</v>
          </cell>
          <cell r="AM63">
            <v>900</v>
          </cell>
          <cell r="AN63">
            <v>900</v>
          </cell>
          <cell r="AO63">
            <v>1200</v>
          </cell>
          <cell r="AP63">
            <v>1000</v>
          </cell>
          <cell r="AQ63">
            <v>2000</v>
          </cell>
          <cell r="AR63">
            <v>2100</v>
          </cell>
          <cell r="AS63">
            <v>1900</v>
          </cell>
          <cell r="AT63">
            <v>1400</v>
          </cell>
          <cell r="AU63">
            <v>5900</v>
          </cell>
          <cell r="AV63">
            <v>2200</v>
          </cell>
          <cell r="AW63">
            <v>2000</v>
          </cell>
          <cell r="AX63">
            <v>1800</v>
          </cell>
          <cell r="AY63">
            <v>3000</v>
          </cell>
          <cell r="AZ63">
            <v>1600</v>
          </cell>
          <cell r="BA63">
            <v>1200</v>
          </cell>
          <cell r="BD63">
            <v>800</v>
          </cell>
          <cell r="BE63">
            <v>800</v>
          </cell>
          <cell r="BF63">
            <v>1600</v>
          </cell>
          <cell r="BG63">
            <v>6000</v>
          </cell>
          <cell r="BH63">
            <v>3200</v>
          </cell>
          <cell r="BI63">
            <v>3900</v>
          </cell>
          <cell r="BJ63">
            <v>2200</v>
          </cell>
          <cell r="BK63">
            <v>1200</v>
          </cell>
          <cell r="BL63">
            <v>1300</v>
          </cell>
          <cell r="BM63">
            <v>700</v>
          </cell>
          <cell r="BN63">
            <v>1000</v>
          </cell>
          <cell r="BO63">
            <v>1100</v>
          </cell>
          <cell r="BP63">
            <v>800</v>
          </cell>
          <cell r="BQ63">
            <v>100</v>
          </cell>
          <cell r="BS63">
            <v>500</v>
          </cell>
          <cell r="BT63">
            <v>700</v>
          </cell>
          <cell r="BU63">
            <v>2000</v>
          </cell>
          <cell r="BV63">
            <v>1000</v>
          </cell>
          <cell r="BW63">
            <v>600</v>
          </cell>
          <cell r="BX63">
            <v>700</v>
          </cell>
          <cell r="BY63">
            <v>1400</v>
          </cell>
          <cell r="BZ63">
            <v>2300</v>
          </cell>
          <cell r="CA63">
            <v>300</v>
          </cell>
          <cell r="CB63">
            <v>12800</v>
          </cell>
          <cell r="CC63">
            <v>400</v>
          </cell>
          <cell r="CG63">
            <v>300</v>
          </cell>
          <cell r="CH63">
            <v>200</v>
          </cell>
          <cell r="CI63">
            <v>2300</v>
          </cell>
          <cell r="CK63">
            <v>2700</v>
          </cell>
          <cell r="CM63">
            <v>5400</v>
          </cell>
          <cell r="CO63">
            <v>3000</v>
          </cell>
          <cell r="CQ63">
            <v>3100</v>
          </cell>
          <cell r="CR63">
            <v>500</v>
          </cell>
          <cell r="CS63">
            <v>2800</v>
          </cell>
          <cell r="CX63">
            <v>1800</v>
          </cell>
          <cell r="DA63">
            <v>2000</v>
          </cell>
          <cell r="DB63" t="str">
            <v>ACTIVO</v>
          </cell>
          <cell r="DC63" t="str">
            <v>B</v>
          </cell>
          <cell r="DE63">
            <v>2255.5555555555557</v>
          </cell>
          <cell r="DF63">
            <v>375.92592592592592</v>
          </cell>
          <cell r="DG63">
            <v>2049.5911342902837</v>
          </cell>
          <cell r="DH63">
            <v>6000</v>
          </cell>
          <cell r="DI63">
            <v>903000</v>
          </cell>
          <cell r="DJ63">
            <v>2.6600985221674875</v>
          </cell>
          <cell r="DK63" t="str">
            <v>COMPRAR</v>
          </cell>
          <cell r="DL63">
            <v>5638.8888888888887</v>
          </cell>
          <cell r="DM63">
            <v>751.85185185185185</v>
          </cell>
          <cell r="DN63">
            <v>6390.7407407407409</v>
          </cell>
        </row>
        <row r="64">
          <cell r="B64">
            <v>403245</v>
          </cell>
          <cell r="C64" t="str">
            <v>Borde G 220x25 VERTIENTES</v>
          </cell>
          <cell r="D64">
            <v>8866</v>
          </cell>
          <cell r="E64">
            <v>16094</v>
          </cell>
          <cell r="F64">
            <v>19760</v>
          </cell>
          <cell r="G64">
            <v>10920</v>
          </cell>
          <cell r="H64">
            <v>15600</v>
          </cell>
          <cell r="I64">
            <v>15080</v>
          </cell>
          <cell r="J64">
            <v>16380</v>
          </cell>
          <cell r="K64">
            <v>15340</v>
          </cell>
          <cell r="L64">
            <v>20540</v>
          </cell>
          <cell r="M64">
            <v>19240</v>
          </cell>
          <cell r="N64">
            <v>17680</v>
          </cell>
          <cell r="O64">
            <v>7282.08</v>
          </cell>
          <cell r="P64">
            <v>16637.919999999998</v>
          </cell>
          <cell r="Q64">
            <v>1820</v>
          </cell>
          <cell r="CH64">
            <v>2080</v>
          </cell>
          <cell r="CI64">
            <v>1040</v>
          </cell>
          <cell r="CJ64">
            <v>18200</v>
          </cell>
          <cell r="CK64">
            <v>13640</v>
          </cell>
          <cell r="CL64">
            <v>780</v>
          </cell>
          <cell r="CU64">
            <v>7920</v>
          </cell>
          <cell r="CV64">
            <v>7540</v>
          </cell>
          <cell r="DB64" t="str">
            <v>ACTIVO</v>
          </cell>
          <cell r="DC64" t="str">
            <v/>
          </cell>
          <cell r="DE64">
            <v>7314.2857142857147</v>
          </cell>
          <cell r="DF64">
            <v>1219.047619047619</v>
          </cell>
          <cell r="DG64">
            <v>0</v>
          </cell>
          <cell r="DH64">
            <v>7540</v>
          </cell>
          <cell r="DI64">
            <v>1206400</v>
          </cell>
          <cell r="DJ64">
            <v>1.0308593749999999</v>
          </cell>
          <cell r="DK64" t="str">
            <v>OK</v>
          </cell>
          <cell r="DL64">
            <v>4876.1904761904761</v>
          </cell>
          <cell r="DM64">
            <v>2438.0952380952381</v>
          </cell>
          <cell r="DN64">
            <v>7314.2857142857138</v>
          </cell>
        </row>
        <row r="65">
          <cell r="B65">
            <v>405422</v>
          </cell>
          <cell r="C65" t="str">
            <v>MOLDES PAPEL BASE TARTA MOLDESPAC</v>
          </cell>
          <cell r="Q65">
            <v>17420</v>
          </cell>
          <cell r="R65">
            <v>11960</v>
          </cell>
          <cell r="S65">
            <v>21060</v>
          </cell>
          <cell r="T65">
            <v>14560</v>
          </cell>
          <cell r="U65">
            <v>22880</v>
          </cell>
          <cell r="V65">
            <v>20800</v>
          </cell>
          <cell r="W65">
            <v>12480</v>
          </cell>
          <cell r="X65">
            <v>24700</v>
          </cell>
          <cell r="Y65">
            <v>28600</v>
          </cell>
          <cell r="Z65">
            <v>22360</v>
          </cell>
          <cell r="AA65">
            <v>5720</v>
          </cell>
          <cell r="AB65">
            <v>14040</v>
          </cell>
          <cell r="AC65">
            <v>8060</v>
          </cell>
          <cell r="AD65">
            <v>4160</v>
          </cell>
          <cell r="AE65">
            <v>1820</v>
          </cell>
          <cell r="AF65">
            <v>19760</v>
          </cell>
          <cell r="AG65">
            <v>27040</v>
          </cell>
          <cell r="AH65">
            <v>24180</v>
          </cell>
          <cell r="AI65">
            <v>22100</v>
          </cell>
          <cell r="AJ65">
            <v>10920</v>
          </cell>
          <cell r="AK65">
            <v>16380</v>
          </cell>
          <cell r="AL65">
            <v>10920</v>
          </cell>
          <cell r="AM65">
            <v>18200</v>
          </cell>
          <cell r="AN65">
            <v>16900</v>
          </cell>
          <cell r="AO65">
            <v>13520</v>
          </cell>
          <cell r="AP65">
            <v>10660</v>
          </cell>
          <cell r="AQ65">
            <v>21580</v>
          </cell>
          <cell r="AR65">
            <v>23140</v>
          </cell>
          <cell r="AS65">
            <v>18200</v>
          </cell>
          <cell r="AT65">
            <v>17940</v>
          </cell>
          <cell r="AU65">
            <v>19500</v>
          </cell>
          <cell r="AV65">
            <v>23660</v>
          </cell>
          <cell r="AW65">
            <v>23920</v>
          </cell>
          <cell r="AX65">
            <v>27300</v>
          </cell>
          <cell r="AY65">
            <v>21320</v>
          </cell>
          <cell r="AZ65">
            <v>13260</v>
          </cell>
          <cell r="BA65">
            <v>25480</v>
          </cell>
          <cell r="BB65">
            <v>8840</v>
          </cell>
          <cell r="BC65">
            <v>17420</v>
          </cell>
          <cell r="BD65">
            <v>5680</v>
          </cell>
          <cell r="BE65">
            <v>27040</v>
          </cell>
          <cell r="BF65">
            <v>14040</v>
          </cell>
          <cell r="BG65">
            <v>14820</v>
          </cell>
          <cell r="BH65">
            <v>17940</v>
          </cell>
          <cell r="BI65">
            <v>17940</v>
          </cell>
          <cell r="BJ65">
            <v>32500</v>
          </cell>
          <cell r="BK65">
            <v>15860</v>
          </cell>
          <cell r="BL65">
            <v>20800</v>
          </cell>
          <cell r="BM65">
            <v>21060</v>
          </cell>
          <cell r="BN65">
            <v>17680</v>
          </cell>
          <cell r="BO65">
            <v>18200</v>
          </cell>
          <cell r="BP65">
            <v>8320</v>
          </cell>
          <cell r="BQ65">
            <v>72800</v>
          </cell>
          <cell r="BR65">
            <v>13260</v>
          </cell>
          <cell r="BS65">
            <v>21840</v>
          </cell>
          <cell r="BT65">
            <v>14300</v>
          </cell>
          <cell r="BU65">
            <v>22100</v>
          </cell>
          <cell r="BV65">
            <v>14300</v>
          </cell>
          <cell r="BW65">
            <v>14040</v>
          </cell>
          <cell r="BX65">
            <v>11960</v>
          </cell>
          <cell r="BY65">
            <v>12740</v>
          </cell>
          <cell r="BZ65">
            <v>18720</v>
          </cell>
          <cell r="CA65">
            <v>17940</v>
          </cell>
          <cell r="CB65">
            <v>5720</v>
          </cell>
          <cell r="CC65">
            <v>14820</v>
          </cell>
          <cell r="CD65">
            <v>13000</v>
          </cell>
          <cell r="CE65">
            <v>8320</v>
          </cell>
          <cell r="CF65">
            <v>2340</v>
          </cell>
          <cell r="CG65">
            <v>17160</v>
          </cell>
          <cell r="CH65">
            <v>19500</v>
          </cell>
          <cell r="CI65">
            <v>15860</v>
          </cell>
          <cell r="CJ65">
            <v>1560</v>
          </cell>
          <cell r="CK65">
            <v>7540</v>
          </cell>
          <cell r="CL65">
            <v>13520</v>
          </cell>
          <cell r="CM65">
            <v>21840</v>
          </cell>
          <cell r="CN65">
            <v>22620</v>
          </cell>
          <cell r="CO65">
            <v>15340</v>
          </cell>
          <cell r="CP65">
            <v>10140</v>
          </cell>
          <cell r="CQ65">
            <v>8580</v>
          </cell>
          <cell r="CR65">
            <v>10920</v>
          </cell>
          <cell r="CS65">
            <v>5980</v>
          </cell>
          <cell r="CT65">
            <v>15080</v>
          </cell>
          <cell r="CU65">
            <v>6900</v>
          </cell>
          <cell r="CV65">
            <v>13000</v>
          </cell>
          <cell r="CW65">
            <v>18460</v>
          </cell>
          <cell r="CX65">
            <v>18200</v>
          </cell>
          <cell r="CY65">
            <v>16900</v>
          </cell>
          <cell r="CZ65">
            <v>8580</v>
          </cell>
          <cell r="DA65">
            <v>8320</v>
          </cell>
          <cell r="DB65" t="str">
            <v>ACTIVO</v>
          </cell>
          <cell r="DC65" t="str">
            <v>A</v>
          </cell>
          <cell r="DE65">
            <v>12228.235294117647</v>
          </cell>
          <cell r="DF65">
            <v>2038.0392156862745</v>
          </cell>
          <cell r="DG65">
            <v>9783.1732707380306</v>
          </cell>
          <cell r="DH65">
            <v>18460</v>
          </cell>
          <cell r="DI65">
            <v>3064360</v>
          </cell>
          <cell r="DJ65">
            <v>1.509620935154897</v>
          </cell>
          <cell r="DK65" t="str">
            <v>OK</v>
          </cell>
          <cell r="DL65">
            <v>4076.0784313725489</v>
          </cell>
          <cell r="DM65">
            <v>4076.0784313725489</v>
          </cell>
          <cell r="DN65">
            <v>8152.1568627450979</v>
          </cell>
        </row>
        <row r="66">
          <cell r="B66">
            <v>403368</v>
          </cell>
          <cell r="C66" t="str">
            <v>HOJA SENCILLA PROSERVAR</v>
          </cell>
          <cell r="D66">
            <v>1000</v>
          </cell>
          <cell r="E66">
            <v>900</v>
          </cell>
          <cell r="F66">
            <v>900</v>
          </cell>
          <cell r="G66">
            <v>1700</v>
          </cell>
          <cell r="H66">
            <v>1000</v>
          </cell>
          <cell r="N66">
            <v>1000</v>
          </cell>
          <cell r="O66">
            <v>100</v>
          </cell>
          <cell r="P66">
            <v>900</v>
          </cell>
          <cell r="Q66">
            <v>1000</v>
          </cell>
          <cell r="R66">
            <v>1300</v>
          </cell>
          <cell r="S66">
            <v>632</v>
          </cell>
          <cell r="T66">
            <v>68</v>
          </cell>
          <cell r="AG66">
            <v>300</v>
          </cell>
          <cell r="AH66">
            <v>600</v>
          </cell>
          <cell r="AM66">
            <v>500</v>
          </cell>
          <cell r="AO66">
            <v>801</v>
          </cell>
          <cell r="AP66">
            <v>200</v>
          </cell>
          <cell r="AQ66">
            <v>1099</v>
          </cell>
          <cell r="AR66">
            <v>500</v>
          </cell>
          <cell r="AS66">
            <v>500</v>
          </cell>
          <cell r="AT66">
            <v>400</v>
          </cell>
          <cell r="AU66">
            <v>400</v>
          </cell>
          <cell r="BE66">
            <v>600</v>
          </cell>
          <cell r="BF66">
            <v>600</v>
          </cell>
          <cell r="BG66">
            <v>600</v>
          </cell>
          <cell r="BH66">
            <v>200</v>
          </cell>
          <cell r="BI66">
            <v>600</v>
          </cell>
          <cell r="BJ66">
            <v>1600</v>
          </cell>
          <cell r="BP66">
            <v>400</v>
          </cell>
          <cell r="BQ66">
            <v>800</v>
          </cell>
          <cell r="BR66">
            <v>1000</v>
          </cell>
          <cell r="BS66">
            <v>1000</v>
          </cell>
          <cell r="BU66">
            <v>400</v>
          </cell>
          <cell r="BV66">
            <v>700</v>
          </cell>
          <cell r="BW66">
            <v>200</v>
          </cell>
          <cell r="BX66">
            <v>600</v>
          </cell>
          <cell r="BZ66">
            <v>600</v>
          </cell>
          <cell r="CA66">
            <v>900</v>
          </cell>
          <cell r="CB66">
            <v>500</v>
          </cell>
          <cell r="CC66">
            <v>280</v>
          </cell>
          <cell r="CD66">
            <v>300</v>
          </cell>
          <cell r="CG66">
            <v>1300</v>
          </cell>
          <cell r="CH66">
            <v>800</v>
          </cell>
          <cell r="CI66">
            <v>1900</v>
          </cell>
          <cell r="CN66">
            <v>400</v>
          </cell>
          <cell r="CO66">
            <v>400</v>
          </cell>
          <cell r="CP66">
            <v>800</v>
          </cell>
          <cell r="CQ66">
            <v>900</v>
          </cell>
          <cell r="CR66">
            <v>1200</v>
          </cell>
          <cell r="CS66">
            <v>1000</v>
          </cell>
          <cell r="CT66">
            <v>1900</v>
          </cell>
          <cell r="CW66">
            <v>200</v>
          </cell>
          <cell r="CX66">
            <v>96</v>
          </cell>
          <cell r="DB66" t="str">
            <v>ACTIVO</v>
          </cell>
          <cell r="DC66" t="str">
            <v>C</v>
          </cell>
          <cell r="DE66">
            <v>1060</v>
          </cell>
          <cell r="DF66">
            <v>176.66666666666666</v>
          </cell>
          <cell r="DG66">
            <v>311.11166085063633</v>
          </cell>
          <cell r="DH66">
            <v>1800</v>
          </cell>
          <cell r="DI66">
            <v>297000</v>
          </cell>
          <cell r="DJ66">
            <v>1.6981132075471699</v>
          </cell>
          <cell r="DK66" t="str">
            <v>COMPRAR</v>
          </cell>
          <cell r="DL66">
            <v>2650</v>
          </cell>
          <cell r="DM66">
            <v>353.33333333333331</v>
          </cell>
          <cell r="DN66">
            <v>3003.3333333333335</v>
          </cell>
        </row>
        <row r="67">
          <cell r="B67">
            <v>403373</v>
          </cell>
          <cell r="C67" t="str">
            <v>HOJA SEPARADORA PLANCHAS PROSERVAR</v>
          </cell>
          <cell r="I67">
            <v>800</v>
          </cell>
          <cell r="J67">
            <v>1700</v>
          </cell>
          <cell r="K67">
            <v>500</v>
          </cell>
          <cell r="S67">
            <v>500</v>
          </cell>
          <cell r="T67">
            <v>500</v>
          </cell>
          <cell r="U67">
            <v>600</v>
          </cell>
          <cell r="V67">
            <v>800</v>
          </cell>
          <cell r="W67">
            <v>100</v>
          </cell>
          <cell r="X67">
            <v>500</v>
          </cell>
          <cell r="AF67">
            <v>1400</v>
          </cell>
          <cell r="AG67">
            <v>300</v>
          </cell>
          <cell r="AK67">
            <v>600</v>
          </cell>
          <cell r="AL67">
            <v>1100</v>
          </cell>
          <cell r="AM67">
            <v>800</v>
          </cell>
          <cell r="AN67">
            <v>1000</v>
          </cell>
          <cell r="AO67">
            <v>100</v>
          </cell>
          <cell r="AU67">
            <v>400</v>
          </cell>
          <cell r="AW67">
            <v>700</v>
          </cell>
          <cell r="AX67">
            <v>400</v>
          </cell>
          <cell r="AY67">
            <v>1600</v>
          </cell>
          <cell r="AZ67">
            <v>900</v>
          </cell>
          <cell r="BA67">
            <v>700</v>
          </cell>
          <cell r="CJ67">
            <v>200</v>
          </cell>
          <cell r="CK67">
            <v>500</v>
          </cell>
          <cell r="CL67">
            <v>1700</v>
          </cell>
          <cell r="CM67">
            <v>300</v>
          </cell>
          <cell r="CN67">
            <v>400</v>
          </cell>
          <cell r="CO67">
            <v>200</v>
          </cell>
          <cell r="CP67">
            <v>200</v>
          </cell>
          <cell r="CR67">
            <v>200</v>
          </cell>
          <cell r="CU67">
            <v>1200</v>
          </cell>
          <cell r="CV67">
            <v>1100</v>
          </cell>
          <cell r="DB67" t="str">
            <v>ACTIVO</v>
          </cell>
          <cell r="DC67" t="str">
            <v>C</v>
          </cell>
          <cell r="DE67">
            <v>600</v>
          </cell>
          <cell r="DF67">
            <v>100</v>
          </cell>
          <cell r="DG67">
            <v>432.7905871292632</v>
          </cell>
          <cell r="DH67">
            <v>0</v>
          </cell>
          <cell r="DI67" t="str">
            <v>0</v>
          </cell>
          <cell r="DJ67">
            <v>0</v>
          </cell>
          <cell r="DK67" t="str">
            <v>COMPRAR</v>
          </cell>
          <cell r="DL67">
            <v>1500</v>
          </cell>
          <cell r="DM67">
            <v>200</v>
          </cell>
          <cell r="DN67">
            <v>1700</v>
          </cell>
        </row>
        <row r="68">
          <cell r="B68">
            <v>405170</v>
          </cell>
          <cell r="C68" t="str">
            <v>DISCO CARTON 19CM MICROCORRUGADO ALIMPACK</v>
          </cell>
          <cell r="L68">
            <v>5000</v>
          </cell>
          <cell r="P68">
            <v>1600</v>
          </cell>
          <cell r="R68">
            <v>5750</v>
          </cell>
          <cell r="DB68" t="str">
            <v>ACTIVO</v>
          </cell>
          <cell r="DC68" t="str">
            <v/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 t="str">
            <v>0</v>
          </cell>
          <cell r="DJ68">
            <v>0</v>
          </cell>
          <cell r="DK68" t="str">
            <v>COMPRAR</v>
          </cell>
          <cell r="DL68">
            <v>0</v>
          </cell>
          <cell r="DM68">
            <v>0</v>
          </cell>
          <cell r="DN68">
            <v>0</v>
          </cell>
        </row>
        <row r="69">
          <cell r="B69">
            <v>405346</v>
          </cell>
          <cell r="C69" t="str">
            <v>DISCO CARTON BLANCO 17CM FPS</v>
          </cell>
          <cell r="F69">
            <v>11500</v>
          </cell>
          <cell r="G69">
            <v>28500</v>
          </cell>
          <cell r="H69">
            <v>24000</v>
          </cell>
          <cell r="I69">
            <v>17500</v>
          </cell>
          <cell r="J69">
            <v>22000</v>
          </cell>
          <cell r="K69">
            <v>24500</v>
          </cell>
          <cell r="L69">
            <v>26500</v>
          </cell>
          <cell r="M69">
            <v>31500</v>
          </cell>
          <cell r="N69">
            <v>28500</v>
          </cell>
          <cell r="O69">
            <v>13000</v>
          </cell>
          <cell r="P69">
            <v>15500</v>
          </cell>
          <cell r="Q69">
            <v>19500</v>
          </cell>
          <cell r="R69">
            <v>26000</v>
          </cell>
          <cell r="S69">
            <v>27000</v>
          </cell>
          <cell r="T69">
            <v>28000</v>
          </cell>
          <cell r="U69">
            <v>23500</v>
          </cell>
          <cell r="V69">
            <v>19000</v>
          </cell>
          <cell r="W69">
            <v>23000</v>
          </cell>
          <cell r="X69">
            <v>18500</v>
          </cell>
          <cell r="Y69">
            <v>22000</v>
          </cell>
          <cell r="Z69">
            <v>12000</v>
          </cell>
          <cell r="AA69">
            <v>15001</v>
          </cell>
          <cell r="AB69">
            <v>14999</v>
          </cell>
          <cell r="AC69">
            <v>5000</v>
          </cell>
          <cell r="AD69">
            <v>3000</v>
          </cell>
          <cell r="AF69">
            <v>22500</v>
          </cell>
          <cell r="AG69">
            <v>9000</v>
          </cell>
          <cell r="AH69">
            <v>5000</v>
          </cell>
          <cell r="AI69">
            <v>11500</v>
          </cell>
          <cell r="AJ69">
            <v>31000</v>
          </cell>
          <cell r="AK69">
            <v>12500</v>
          </cell>
          <cell r="AL69">
            <v>29000</v>
          </cell>
          <cell r="AM69">
            <v>8000</v>
          </cell>
          <cell r="AN69">
            <v>16000</v>
          </cell>
          <cell r="AO69">
            <v>22000</v>
          </cell>
          <cell r="AP69">
            <v>10000</v>
          </cell>
          <cell r="AQ69">
            <v>28000</v>
          </cell>
          <cell r="AR69">
            <v>24500</v>
          </cell>
          <cell r="AS69">
            <v>6000</v>
          </cell>
          <cell r="AT69">
            <v>12500</v>
          </cell>
          <cell r="AU69">
            <v>18000</v>
          </cell>
          <cell r="AV69">
            <v>14000</v>
          </cell>
          <cell r="AW69">
            <v>23500</v>
          </cell>
          <cell r="AX69">
            <v>13500</v>
          </cell>
          <cell r="AY69">
            <v>20000</v>
          </cell>
          <cell r="AZ69">
            <v>16000</v>
          </cell>
          <cell r="BA69">
            <v>27000</v>
          </cell>
          <cell r="BB69">
            <v>24500</v>
          </cell>
          <cell r="BC69">
            <v>17500</v>
          </cell>
          <cell r="DB69" t="str">
            <v>SIN USO</v>
          </cell>
          <cell r="DC69" t="str">
            <v>C</v>
          </cell>
          <cell r="DE69">
            <v>0</v>
          </cell>
          <cell r="DF69">
            <v>0</v>
          </cell>
          <cell r="DG69">
            <v>7594.7815321929529</v>
          </cell>
          <cell r="DH69">
            <v>0</v>
          </cell>
          <cell r="DI69" t="str">
            <v>0</v>
          </cell>
          <cell r="DJ69">
            <v>0</v>
          </cell>
          <cell r="DK69" t="str">
            <v>INACTIVO</v>
          </cell>
          <cell r="DL69">
            <v>0</v>
          </cell>
          <cell r="DM69">
            <v>0</v>
          </cell>
          <cell r="DN69">
            <v>0</v>
          </cell>
        </row>
        <row r="70">
          <cell r="B70">
            <v>405347</v>
          </cell>
          <cell r="C70" t="str">
            <v>DISCO CARTON BLANCO 24 FPS</v>
          </cell>
          <cell r="H70">
            <v>20000</v>
          </cell>
          <cell r="I70">
            <v>14500</v>
          </cell>
          <cell r="J70">
            <v>14500</v>
          </cell>
          <cell r="K70">
            <v>7500</v>
          </cell>
          <cell r="L70">
            <v>9000</v>
          </cell>
          <cell r="M70">
            <v>9500</v>
          </cell>
          <cell r="N70">
            <v>9000</v>
          </cell>
          <cell r="O70">
            <v>10000</v>
          </cell>
          <cell r="P70">
            <v>20500</v>
          </cell>
          <cell r="Q70">
            <v>6000</v>
          </cell>
          <cell r="R70">
            <v>10500</v>
          </cell>
          <cell r="S70">
            <v>25500</v>
          </cell>
          <cell r="T70">
            <v>10000</v>
          </cell>
          <cell r="U70">
            <v>13500</v>
          </cell>
          <cell r="V70">
            <v>8500</v>
          </cell>
          <cell r="W70">
            <v>14500</v>
          </cell>
          <cell r="X70">
            <v>23000</v>
          </cell>
          <cell r="Y70">
            <v>22500</v>
          </cell>
          <cell r="Z70">
            <v>9500</v>
          </cell>
          <cell r="AA70">
            <v>3500</v>
          </cell>
          <cell r="AB70">
            <v>5500</v>
          </cell>
          <cell r="AC70">
            <v>9000</v>
          </cell>
          <cell r="AF70">
            <v>25000</v>
          </cell>
          <cell r="AG70">
            <v>15000</v>
          </cell>
          <cell r="AH70">
            <v>21000</v>
          </cell>
          <cell r="AI70">
            <v>14000</v>
          </cell>
          <cell r="AJ70">
            <v>7500</v>
          </cell>
          <cell r="AK70">
            <v>18532</v>
          </cell>
          <cell r="AL70">
            <v>6042</v>
          </cell>
          <cell r="AM70">
            <v>14014</v>
          </cell>
          <cell r="AN70">
            <v>14006</v>
          </cell>
          <cell r="AO70">
            <v>10539</v>
          </cell>
          <cell r="AP70">
            <v>12049</v>
          </cell>
          <cell r="AQ70">
            <v>12044</v>
          </cell>
          <cell r="AR70">
            <v>12507</v>
          </cell>
          <cell r="AS70">
            <v>12500</v>
          </cell>
          <cell r="AT70">
            <v>14500</v>
          </cell>
          <cell r="AU70">
            <v>20503</v>
          </cell>
          <cell r="AV70">
            <v>17500</v>
          </cell>
          <cell r="AW70">
            <v>22002</v>
          </cell>
          <cell r="AX70">
            <v>20000</v>
          </cell>
          <cell r="AY70">
            <v>13000</v>
          </cell>
          <cell r="AZ70">
            <v>5000</v>
          </cell>
          <cell r="BA70">
            <v>19500</v>
          </cell>
          <cell r="BB70">
            <v>4500</v>
          </cell>
          <cell r="BC70">
            <v>18500</v>
          </cell>
          <cell r="DB70" t="str">
            <v>SIN USO</v>
          </cell>
          <cell r="DC70" t="str">
            <v>B</v>
          </cell>
          <cell r="DE70">
            <v>0</v>
          </cell>
          <cell r="DF70">
            <v>0</v>
          </cell>
          <cell r="DG70">
            <v>5480.8602936009056</v>
          </cell>
          <cell r="DH70">
            <v>0</v>
          </cell>
          <cell r="DI70" t="str">
            <v>0</v>
          </cell>
          <cell r="DJ70">
            <v>0</v>
          </cell>
          <cell r="DK70" t="str">
            <v>INACTIVO</v>
          </cell>
          <cell r="DL70">
            <v>0</v>
          </cell>
          <cell r="DM70">
            <v>0</v>
          </cell>
          <cell r="DN70">
            <v>0</v>
          </cell>
        </row>
        <row r="71">
          <cell r="B71">
            <v>107357</v>
          </cell>
          <cell r="C71" t="str">
            <v>DISCO CARTÓN BLANCO 19 FPS</v>
          </cell>
          <cell r="D71">
            <v>71500</v>
          </cell>
          <cell r="E71">
            <v>68000</v>
          </cell>
          <cell r="F71">
            <v>59500</v>
          </cell>
          <cell r="G71">
            <v>48500</v>
          </cell>
          <cell r="H71">
            <v>92500</v>
          </cell>
          <cell r="I71">
            <v>71000</v>
          </cell>
          <cell r="J71">
            <v>66500</v>
          </cell>
          <cell r="K71">
            <v>61000</v>
          </cell>
          <cell r="L71">
            <v>38500</v>
          </cell>
          <cell r="M71">
            <v>61500</v>
          </cell>
          <cell r="N71">
            <v>46000</v>
          </cell>
          <cell r="O71">
            <v>30000</v>
          </cell>
          <cell r="P71">
            <v>76000</v>
          </cell>
          <cell r="Q71">
            <v>59000</v>
          </cell>
          <cell r="R71">
            <v>62500</v>
          </cell>
          <cell r="S71">
            <v>45000</v>
          </cell>
          <cell r="T71">
            <v>49500</v>
          </cell>
          <cell r="U71">
            <v>46500</v>
          </cell>
          <cell r="V71">
            <v>63500</v>
          </cell>
          <cell r="W71">
            <v>45500</v>
          </cell>
          <cell r="X71">
            <v>73500</v>
          </cell>
          <cell r="Y71">
            <v>52000</v>
          </cell>
          <cell r="Z71">
            <v>44500</v>
          </cell>
          <cell r="AA71">
            <v>36501</v>
          </cell>
          <cell r="AB71">
            <v>84999</v>
          </cell>
          <cell r="AC71">
            <v>32500</v>
          </cell>
          <cell r="AD71">
            <v>8500</v>
          </cell>
          <cell r="AE71">
            <v>7000</v>
          </cell>
          <cell r="AF71">
            <v>50000</v>
          </cell>
          <cell r="AG71">
            <v>38500</v>
          </cell>
          <cell r="AH71">
            <v>39000</v>
          </cell>
          <cell r="AI71">
            <v>32500</v>
          </cell>
          <cell r="AJ71">
            <v>51500</v>
          </cell>
          <cell r="AK71">
            <v>57500</v>
          </cell>
          <cell r="AL71">
            <v>39500</v>
          </cell>
          <cell r="AM71">
            <v>39500</v>
          </cell>
          <cell r="AN71">
            <v>42500</v>
          </cell>
          <cell r="AO71">
            <v>46500</v>
          </cell>
          <cell r="AP71">
            <v>45500</v>
          </cell>
          <cell r="AQ71">
            <v>43500</v>
          </cell>
          <cell r="AR71">
            <v>43500</v>
          </cell>
          <cell r="AS71">
            <v>66500</v>
          </cell>
          <cell r="AT71">
            <v>58000</v>
          </cell>
          <cell r="AU71">
            <v>43500</v>
          </cell>
          <cell r="AV71">
            <v>37500</v>
          </cell>
          <cell r="AW71">
            <v>69000</v>
          </cell>
          <cell r="AX71">
            <v>28500</v>
          </cell>
          <cell r="AY71">
            <v>56000</v>
          </cell>
          <cell r="AZ71">
            <v>43650</v>
          </cell>
          <cell r="BA71">
            <v>8000</v>
          </cell>
          <cell r="BB71">
            <v>11000</v>
          </cell>
          <cell r="BC71">
            <v>500</v>
          </cell>
          <cell r="DB71" t="str">
            <v>SIN USO</v>
          </cell>
          <cell r="DC71" t="str">
            <v>B</v>
          </cell>
          <cell r="DE71">
            <v>0</v>
          </cell>
          <cell r="DF71">
            <v>0</v>
          </cell>
          <cell r="DG71">
            <v>17681.498805248382</v>
          </cell>
          <cell r="DH71">
            <v>0</v>
          </cell>
          <cell r="DI71" t="str">
            <v>0</v>
          </cell>
          <cell r="DJ71">
            <v>0</v>
          </cell>
          <cell r="DK71" t="str">
            <v>INACTIVO</v>
          </cell>
          <cell r="DL71">
            <v>0</v>
          </cell>
          <cell r="DM71">
            <v>0</v>
          </cell>
          <cell r="DN71">
            <v>0</v>
          </cell>
        </row>
        <row r="72">
          <cell r="B72">
            <v>403375</v>
          </cell>
          <cell r="C72" t="str">
            <v>DISCO DE CARTON 15,5CM VTM</v>
          </cell>
          <cell r="CB72">
            <v>0</v>
          </cell>
          <cell r="CD72">
            <v>900</v>
          </cell>
          <cell r="DB72" t="str">
            <v>SIN USO</v>
          </cell>
          <cell r="DC72" t="str">
            <v>C</v>
          </cell>
          <cell r="DE72">
            <v>0</v>
          </cell>
          <cell r="DF72">
            <v>0</v>
          </cell>
          <cell r="DG72">
            <v>636.3961030678928</v>
          </cell>
          <cell r="DH72">
            <v>0</v>
          </cell>
          <cell r="DI72" t="str">
            <v>0</v>
          </cell>
          <cell r="DJ72">
            <v>0</v>
          </cell>
          <cell r="DK72" t="str">
            <v>INACTIVO</v>
          </cell>
          <cell r="DL72">
            <v>0</v>
          </cell>
          <cell r="DM72">
            <v>0</v>
          </cell>
          <cell r="DN72">
            <v>0</v>
          </cell>
        </row>
        <row r="73">
          <cell r="D73">
            <v>154566</v>
          </cell>
          <cell r="E73">
            <v>136444</v>
          </cell>
          <cell r="F73">
            <v>153560</v>
          </cell>
          <cell r="G73">
            <v>130420</v>
          </cell>
          <cell r="H73">
            <v>182400</v>
          </cell>
          <cell r="I73">
            <v>152530</v>
          </cell>
          <cell r="J73">
            <v>174480</v>
          </cell>
          <cell r="K73">
            <v>156240</v>
          </cell>
          <cell r="L73">
            <v>149940</v>
          </cell>
          <cell r="M73">
            <v>165690</v>
          </cell>
          <cell r="N73">
            <v>131181</v>
          </cell>
          <cell r="O73">
            <v>87082.08</v>
          </cell>
          <cell r="P73">
            <v>184337.91999999998</v>
          </cell>
          <cell r="Q73">
            <v>155546</v>
          </cell>
          <cell r="R73">
            <v>143438</v>
          </cell>
          <cell r="S73">
            <v>185792</v>
          </cell>
          <cell r="T73">
            <v>145428</v>
          </cell>
          <cell r="U73">
            <v>149880</v>
          </cell>
          <cell r="V73">
            <v>178550</v>
          </cell>
          <cell r="W73">
            <v>139380</v>
          </cell>
          <cell r="X73">
            <v>164300</v>
          </cell>
          <cell r="Y73">
            <v>187200</v>
          </cell>
          <cell r="Z73">
            <v>111899</v>
          </cell>
          <cell r="AA73">
            <v>71183</v>
          </cell>
          <cell r="AB73">
            <v>126138</v>
          </cell>
          <cell r="AC73">
            <v>90958</v>
          </cell>
          <cell r="AD73">
            <v>29660</v>
          </cell>
          <cell r="AE73">
            <v>11820</v>
          </cell>
          <cell r="AF73">
            <v>140861</v>
          </cell>
          <cell r="AG73">
            <v>104841</v>
          </cell>
          <cell r="AH73">
            <v>119078</v>
          </cell>
          <cell r="AI73">
            <v>111000</v>
          </cell>
          <cell r="AJ73">
            <v>143720</v>
          </cell>
          <cell r="AK73">
            <v>134612</v>
          </cell>
          <cell r="AL73">
            <v>115862</v>
          </cell>
          <cell r="AM73">
            <v>108114</v>
          </cell>
          <cell r="AN73">
            <v>124706</v>
          </cell>
          <cell r="AO73">
            <v>132760</v>
          </cell>
          <cell r="AP73">
            <v>117859</v>
          </cell>
          <cell r="AQ73">
            <v>160231</v>
          </cell>
          <cell r="AR73">
            <v>144747</v>
          </cell>
          <cell r="AS73">
            <v>138500</v>
          </cell>
          <cell r="AT73">
            <v>129540</v>
          </cell>
          <cell r="AU73">
            <v>155453</v>
          </cell>
          <cell r="AV73">
            <v>141210</v>
          </cell>
          <cell r="AW73">
            <v>195772</v>
          </cell>
          <cell r="AX73">
            <v>175750</v>
          </cell>
          <cell r="AY73">
            <v>156870</v>
          </cell>
          <cell r="AZ73">
            <v>116510</v>
          </cell>
          <cell r="BA73">
            <v>167980</v>
          </cell>
          <cell r="BB73">
            <v>154970</v>
          </cell>
          <cell r="BC73">
            <v>155470</v>
          </cell>
          <cell r="BD73">
            <v>133300</v>
          </cell>
          <cell r="BE73">
            <v>153441</v>
          </cell>
          <cell r="BF73">
            <v>137640</v>
          </cell>
          <cell r="BG73">
            <v>132190</v>
          </cell>
          <cell r="BH73">
            <v>159320</v>
          </cell>
          <cell r="BI73">
            <v>98740</v>
          </cell>
          <cell r="BJ73">
            <v>199205</v>
          </cell>
          <cell r="BK73">
            <v>176660</v>
          </cell>
          <cell r="BL73">
            <v>150940</v>
          </cell>
          <cell r="BM73">
            <v>163960</v>
          </cell>
          <cell r="BN73">
            <v>147460</v>
          </cell>
          <cell r="BO73">
            <v>131450</v>
          </cell>
          <cell r="BP73">
            <v>60420</v>
          </cell>
          <cell r="BQ73">
            <v>216450</v>
          </cell>
          <cell r="BR73">
            <v>130460</v>
          </cell>
          <cell r="BS73">
            <v>147140</v>
          </cell>
          <cell r="BT73">
            <v>94736</v>
          </cell>
          <cell r="BU73">
            <v>142264</v>
          </cell>
          <cell r="BV73">
            <v>99500</v>
          </cell>
          <cell r="BW73">
            <v>92240</v>
          </cell>
          <cell r="BX73">
            <v>97360</v>
          </cell>
          <cell r="BY73">
            <v>106990</v>
          </cell>
          <cell r="BZ73">
            <v>121220</v>
          </cell>
          <cell r="CA73">
            <v>100840</v>
          </cell>
          <cell r="CB73">
            <v>94120</v>
          </cell>
          <cell r="CC73">
            <v>129300</v>
          </cell>
          <cell r="CD73">
            <v>87860</v>
          </cell>
          <cell r="CE73">
            <v>45820</v>
          </cell>
          <cell r="CF73">
            <v>18340</v>
          </cell>
          <cell r="CG73">
            <v>144060</v>
          </cell>
          <cell r="CH73">
            <v>124060</v>
          </cell>
          <cell r="CI73">
            <v>188350</v>
          </cell>
          <cell r="CJ73">
            <v>121860</v>
          </cell>
          <cell r="CK73">
            <v>135530</v>
          </cell>
          <cell r="CL73">
            <v>114350</v>
          </cell>
          <cell r="CM73">
            <v>139240</v>
          </cell>
          <cell r="CN73">
            <v>119620</v>
          </cell>
          <cell r="CO73">
            <v>122640</v>
          </cell>
          <cell r="CP73">
            <v>119340</v>
          </cell>
          <cell r="CQ73">
            <v>119180</v>
          </cell>
          <cell r="CR73">
            <v>166300</v>
          </cell>
          <cell r="CS73">
            <v>113380</v>
          </cell>
          <cell r="CT73">
            <v>107680</v>
          </cell>
          <cell r="CU73">
            <v>93620</v>
          </cell>
          <cell r="CV73">
            <v>146590</v>
          </cell>
          <cell r="CW73">
            <v>95210</v>
          </cell>
          <cell r="CX73">
            <v>90296</v>
          </cell>
          <cell r="CY73">
            <v>96650</v>
          </cell>
          <cell r="CZ73">
            <v>88930</v>
          </cell>
          <cell r="DA73">
            <v>151020</v>
          </cell>
          <cell r="DB73" t="str">
            <v>ACTIVO</v>
          </cell>
          <cell r="DC73" t="str">
            <v/>
          </cell>
          <cell r="DE73">
            <v>123184.70588235294</v>
          </cell>
          <cell r="DF73">
            <v>20530.784313725489</v>
          </cell>
          <cell r="DG73">
            <v>36330.207759208963</v>
          </cell>
          <cell r="DH73">
            <v>0</v>
          </cell>
          <cell r="DI73" t="str">
            <v>0</v>
          </cell>
          <cell r="DJ73">
            <v>0</v>
          </cell>
          <cell r="DK73" t="str">
            <v>INACTIVO</v>
          </cell>
          <cell r="DL73">
            <v>0</v>
          </cell>
          <cell r="DM73">
            <v>41061.568627450979</v>
          </cell>
          <cell r="DN73">
            <v>41061.568627450979</v>
          </cell>
        </row>
        <row r="74">
          <cell r="B74">
            <v>405214</v>
          </cell>
          <cell r="C74" t="str">
            <v>CREMYVIT NARANJA TM1 PURATOS</v>
          </cell>
          <cell r="D74">
            <v>880</v>
          </cell>
          <cell r="E74">
            <v>620</v>
          </cell>
          <cell r="F74">
            <v>680</v>
          </cell>
          <cell r="G74">
            <v>600</v>
          </cell>
          <cell r="H74">
            <v>860</v>
          </cell>
          <cell r="I74">
            <v>240</v>
          </cell>
          <cell r="J74">
            <v>540</v>
          </cell>
          <cell r="K74">
            <v>620</v>
          </cell>
          <cell r="L74">
            <v>850</v>
          </cell>
          <cell r="M74">
            <v>950</v>
          </cell>
          <cell r="N74">
            <v>940</v>
          </cell>
          <cell r="O74">
            <v>280</v>
          </cell>
          <cell r="P74">
            <v>400</v>
          </cell>
          <cell r="Q74">
            <v>500</v>
          </cell>
          <cell r="R74">
            <v>940</v>
          </cell>
          <cell r="S74">
            <v>520</v>
          </cell>
          <cell r="T74">
            <v>1140</v>
          </cell>
          <cell r="U74">
            <v>1720</v>
          </cell>
          <cell r="V74">
            <v>1100</v>
          </cell>
          <cell r="X74">
            <v>2040</v>
          </cell>
          <cell r="Y74">
            <v>940</v>
          </cell>
          <cell r="AA74">
            <v>780</v>
          </cell>
          <cell r="AB74">
            <v>1200</v>
          </cell>
          <cell r="AC74">
            <v>320</v>
          </cell>
          <cell r="AD74">
            <v>480</v>
          </cell>
          <cell r="AE74">
            <v>60</v>
          </cell>
          <cell r="AF74">
            <v>540</v>
          </cell>
          <cell r="AG74">
            <v>1093</v>
          </cell>
          <cell r="AH74">
            <v>1067</v>
          </cell>
          <cell r="AI74">
            <v>1582.5</v>
          </cell>
          <cell r="AJ74">
            <v>700</v>
          </cell>
          <cell r="AK74">
            <v>620</v>
          </cell>
          <cell r="AL74">
            <v>500</v>
          </cell>
          <cell r="AN74">
            <v>660</v>
          </cell>
          <cell r="AO74">
            <v>960</v>
          </cell>
          <cell r="AP74">
            <v>920</v>
          </cell>
          <cell r="AQ74">
            <v>620</v>
          </cell>
          <cell r="AR74">
            <v>200</v>
          </cell>
          <cell r="AS74">
            <v>20</v>
          </cell>
          <cell r="AU74">
            <v>700</v>
          </cell>
          <cell r="AV74">
            <v>440</v>
          </cell>
          <cell r="AW74">
            <v>450</v>
          </cell>
          <cell r="AX74">
            <v>280</v>
          </cell>
          <cell r="AY74">
            <v>930</v>
          </cell>
          <cell r="AZ74">
            <v>210</v>
          </cell>
          <cell r="BA74">
            <v>260</v>
          </cell>
          <cell r="BB74">
            <v>780</v>
          </cell>
          <cell r="BC74">
            <v>360</v>
          </cell>
          <cell r="BD74">
            <v>460</v>
          </cell>
          <cell r="BE74">
            <v>700</v>
          </cell>
          <cell r="BF74">
            <v>420</v>
          </cell>
          <cell r="BG74">
            <v>660</v>
          </cell>
          <cell r="BH74">
            <v>320</v>
          </cell>
          <cell r="BI74">
            <v>280</v>
          </cell>
          <cell r="BJ74">
            <v>700</v>
          </cell>
          <cell r="BK74">
            <v>780</v>
          </cell>
          <cell r="BM74">
            <v>1040</v>
          </cell>
          <cell r="BO74">
            <v>20</v>
          </cell>
          <cell r="BP74">
            <v>560</v>
          </cell>
          <cell r="BQ74">
            <v>360</v>
          </cell>
          <cell r="BR74">
            <v>660</v>
          </cell>
          <cell r="BS74">
            <v>400</v>
          </cell>
          <cell r="BT74">
            <v>640</v>
          </cell>
          <cell r="BU74">
            <v>260</v>
          </cell>
          <cell r="BW74">
            <v>780</v>
          </cell>
          <cell r="BX74">
            <v>100</v>
          </cell>
          <cell r="BY74">
            <v>460</v>
          </cell>
          <cell r="BZ74">
            <v>440</v>
          </cell>
          <cell r="CA74">
            <v>840</v>
          </cell>
          <cell r="CB74">
            <v>300</v>
          </cell>
          <cell r="CC74">
            <v>200</v>
          </cell>
          <cell r="CD74">
            <v>340</v>
          </cell>
          <cell r="CE74">
            <v>20</v>
          </cell>
          <cell r="CF74">
            <v>120</v>
          </cell>
          <cell r="CG74">
            <v>560</v>
          </cell>
          <cell r="CH74">
            <v>400</v>
          </cell>
          <cell r="CI74">
            <v>700</v>
          </cell>
          <cell r="CJ74">
            <v>420</v>
          </cell>
          <cell r="CK74">
            <v>1340</v>
          </cell>
          <cell r="CN74">
            <v>340</v>
          </cell>
          <cell r="CO74">
            <v>745</v>
          </cell>
          <cell r="CP74">
            <v>480</v>
          </cell>
          <cell r="CR74">
            <v>360</v>
          </cell>
          <cell r="CS74">
            <v>160</v>
          </cell>
          <cell r="CT74">
            <v>720</v>
          </cell>
          <cell r="CU74">
            <v>1320</v>
          </cell>
          <cell r="CV74">
            <v>840</v>
          </cell>
          <cell r="CW74">
            <v>180</v>
          </cell>
          <cell r="CX74">
            <v>980</v>
          </cell>
          <cell r="CY74">
            <v>980</v>
          </cell>
          <cell r="CZ74">
            <v>720</v>
          </cell>
          <cell r="DA74">
            <v>800</v>
          </cell>
          <cell r="DB74" t="str">
            <v>ACTIVO</v>
          </cell>
          <cell r="DC74" t="str">
            <v>A</v>
          </cell>
          <cell r="DE74">
            <v>607.5</v>
          </cell>
          <cell r="DF74">
            <v>101.25</v>
          </cell>
          <cell r="DG74">
            <v>325.45764815141189</v>
          </cell>
          <cell r="DH74">
            <v>5140</v>
          </cell>
          <cell r="DI74">
            <v>15317200</v>
          </cell>
          <cell r="DJ74">
            <v>8.4609053497942384</v>
          </cell>
          <cell r="DK74" t="str">
            <v>OK</v>
          </cell>
          <cell r="DL74">
            <v>405</v>
          </cell>
          <cell r="DM74">
            <v>202.5</v>
          </cell>
          <cell r="DN74">
            <v>607.5</v>
          </cell>
        </row>
        <row r="75">
          <cell r="B75">
            <v>107417</v>
          </cell>
          <cell r="C75" t="str">
            <v>CREMA PASTELERA NARANJA BAKELS</v>
          </cell>
          <cell r="AK75">
            <v>720</v>
          </cell>
          <cell r="AL75">
            <v>80</v>
          </cell>
          <cell r="AM75">
            <v>40</v>
          </cell>
          <cell r="AV75">
            <v>320</v>
          </cell>
          <cell r="AW75">
            <v>560</v>
          </cell>
          <cell r="AX75">
            <v>140</v>
          </cell>
          <cell r="AY75">
            <v>260</v>
          </cell>
          <cell r="BA75">
            <v>80</v>
          </cell>
          <cell r="BB75">
            <v>400</v>
          </cell>
          <cell r="BC75">
            <v>460</v>
          </cell>
          <cell r="BD75">
            <v>20</v>
          </cell>
          <cell r="BE75">
            <v>65</v>
          </cell>
          <cell r="BF75">
            <v>220</v>
          </cell>
          <cell r="BG75">
            <v>365</v>
          </cell>
          <cell r="BH75">
            <v>160</v>
          </cell>
          <cell r="BI75">
            <v>200</v>
          </cell>
          <cell r="BJ75">
            <v>360</v>
          </cell>
          <cell r="BK75">
            <v>220</v>
          </cell>
          <cell r="BL75">
            <v>380</v>
          </cell>
          <cell r="BM75">
            <v>300</v>
          </cell>
          <cell r="BN75">
            <v>420</v>
          </cell>
          <cell r="BO75">
            <v>180</v>
          </cell>
          <cell r="BQ75">
            <v>280</v>
          </cell>
          <cell r="BR75">
            <v>260</v>
          </cell>
          <cell r="BS75">
            <v>315</v>
          </cell>
          <cell r="BT75">
            <v>320</v>
          </cell>
          <cell r="BU75">
            <v>525</v>
          </cell>
          <cell r="BV75">
            <v>120</v>
          </cell>
          <cell r="BW75">
            <v>380</v>
          </cell>
          <cell r="BZ75">
            <v>280</v>
          </cell>
          <cell r="CA75">
            <v>280</v>
          </cell>
          <cell r="CB75">
            <v>240</v>
          </cell>
          <cell r="CC75">
            <v>680</v>
          </cell>
          <cell r="CD75">
            <v>20</v>
          </cell>
          <cell r="CE75">
            <v>240</v>
          </cell>
          <cell r="CF75">
            <v>60</v>
          </cell>
          <cell r="CG75">
            <v>40</v>
          </cell>
          <cell r="CH75">
            <v>460</v>
          </cell>
          <cell r="CI75">
            <v>360</v>
          </cell>
          <cell r="CJ75">
            <v>200</v>
          </cell>
          <cell r="CK75">
            <v>1580</v>
          </cell>
          <cell r="CL75">
            <v>140</v>
          </cell>
          <cell r="CN75">
            <v>600</v>
          </cell>
          <cell r="CP75">
            <v>360</v>
          </cell>
          <cell r="CQ75">
            <v>840</v>
          </cell>
          <cell r="CR75">
            <v>40</v>
          </cell>
          <cell r="CS75">
            <v>380</v>
          </cell>
          <cell r="CT75">
            <v>20</v>
          </cell>
          <cell r="CV75">
            <v>340</v>
          </cell>
          <cell r="CW75">
            <v>38</v>
          </cell>
          <cell r="CX75">
            <v>442</v>
          </cell>
          <cell r="CY75">
            <v>220</v>
          </cell>
          <cell r="CZ75">
            <v>440</v>
          </cell>
          <cell r="DA75">
            <v>400</v>
          </cell>
          <cell r="DB75" t="str">
            <v>ACTIVO</v>
          </cell>
          <cell r="DC75" t="str">
            <v>B</v>
          </cell>
          <cell r="DE75">
            <v>387.14285714285717</v>
          </cell>
          <cell r="DF75">
            <v>64.523809523809533</v>
          </cell>
          <cell r="DG75">
            <v>171.74438696441146</v>
          </cell>
          <cell r="DH75">
            <v>260</v>
          </cell>
          <cell r="DI75">
            <v>774800</v>
          </cell>
          <cell r="DJ75">
            <v>0.67158671586715868</v>
          </cell>
          <cell r="DK75" t="str">
            <v>OK</v>
          </cell>
          <cell r="DL75">
            <v>193.57142857142861</v>
          </cell>
          <cell r="DM75">
            <v>129.04761904761907</v>
          </cell>
          <cell r="DN75">
            <v>322.61904761904771</v>
          </cell>
        </row>
        <row r="76">
          <cell r="B76">
            <v>405570</v>
          </cell>
          <cell r="C76" t="str">
            <v>PM CREAM VELVET BAKELS</v>
          </cell>
          <cell r="BH76">
            <v>70</v>
          </cell>
          <cell r="BJ76">
            <v>1430</v>
          </cell>
          <cell r="BM76">
            <v>810</v>
          </cell>
          <cell r="BN76">
            <v>540</v>
          </cell>
          <cell r="BO76">
            <v>860</v>
          </cell>
          <cell r="BP76">
            <v>300</v>
          </cell>
          <cell r="BQ76">
            <v>520</v>
          </cell>
          <cell r="BR76">
            <v>410</v>
          </cell>
          <cell r="BS76">
            <v>810</v>
          </cell>
          <cell r="BT76">
            <v>290</v>
          </cell>
          <cell r="BU76">
            <v>800</v>
          </cell>
          <cell r="BV76">
            <v>410</v>
          </cell>
          <cell r="BW76">
            <v>350</v>
          </cell>
          <cell r="BX76">
            <v>640</v>
          </cell>
          <cell r="BY76">
            <v>440</v>
          </cell>
          <cell r="BZ76">
            <v>360</v>
          </cell>
          <cell r="CA76">
            <v>650</v>
          </cell>
          <cell r="CB76">
            <v>220</v>
          </cell>
          <cell r="CC76">
            <v>440</v>
          </cell>
          <cell r="CD76">
            <v>680</v>
          </cell>
          <cell r="CE76">
            <v>490</v>
          </cell>
          <cell r="CG76">
            <v>610</v>
          </cell>
          <cell r="CH76">
            <v>520</v>
          </cell>
          <cell r="CI76">
            <v>440</v>
          </cell>
          <cell r="CJ76">
            <v>40</v>
          </cell>
          <cell r="CK76">
            <v>440</v>
          </cell>
          <cell r="CL76">
            <v>520</v>
          </cell>
          <cell r="CM76">
            <v>570</v>
          </cell>
          <cell r="CN76">
            <v>430</v>
          </cell>
          <cell r="CO76">
            <v>590</v>
          </cell>
          <cell r="CP76">
            <v>410</v>
          </cell>
          <cell r="CQ76">
            <v>380</v>
          </cell>
          <cell r="CR76">
            <v>410</v>
          </cell>
          <cell r="CS76">
            <v>440</v>
          </cell>
          <cell r="CT76">
            <v>700</v>
          </cell>
          <cell r="CU76">
            <v>1890</v>
          </cell>
          <cell r="CV76">
            <v>500</v>
          </cell>
          <cell r="CW76">
            <v>1020</v>
          </cell>
          <cell r="CX76">
            <v>170</v>
          </cell>
          <cell r="CY76">
            <v>300</v>
          </cell>
          <cell r="DA76">
            <v>720</v>
          </cell>
          <cell r="DB76" t="str">
            <v>ACTIVO</v>
          </cell>
          <cell r="DC76" t="str">
            <v>B</v>
          </cell>
          <cell r="DE76">
            <v>555.625</v>
          </cell>
          <cell r="DF76">
            <v>92.604166666666671</v>
          </cell>
          <cell r="DG76">
            <v>292.97245116709718</v>
          </cell>
          <cell r="DH76">
            <v>280</v>
          </cell>
          <cell r="DI76">
            <v>420000</v>
          </cell>
          <cell r="DJ76">
            <v>0.50393700787401574</v>
          </cell>
          <cell r="DK76" t="str">
            <v>COMPRAR</v>
          </cell>
          <cell r="DL76">
            <v>277.8125</v>
          </cell>
          <cell r="DM76">
            <v>185.20833333333334</v>
          </cell>
          <cell r="DN76">
            <v>463.02083333333337</v>
          </cell>
        </row>
        <row r="77">
          <cell r="B77">
            <v>405556</v>
          </cell>
          <cell r="C77" t="str">
            <v>RELLENO CHOCOLATE CREAM BAKELS</v>
          </cell>
          <cell r="CB77">
            <v>0</v>
          </cell>
          <cell r="CJ77">
            <v>207</v>
          </cell>
          <cell r="DB77" t="str">
            <v>ACTIVO</v>
          </cell>
          <cell r="DC77">
            <v>0</v>
          </cell>
          <cell r="DE77">
            <v>207</v>
          </cell>
          <cell r="DF77">
            <v>34.5</v>
          </cell>
          <cell r="DG77">
            <v>0</v>
          </cell>
          <cell r="DH77">
            <v>0</v>
          </cell>
          <cell r="DI77" t="str">
            <v>0</v>
          </cell>
          <cell r="DJ77">
            <v>0</v>
          </cell>
          <cell r="DK77" t="str">
            <v>COMPRAR</v>
          </cell>
          <cell r="DL77">
            <v>103.5</v>
          </cell>
          <cell r="DM77">
            <v>69</v>
          </cell>
          <cell r="DN77">
            <v>172.5</v>
          </cell>
        </row>
        <row r="78">
          <cell r="B78">
            <v>405161</v>
          </cell>
          <cell r="C78" t="str">
            <v>CREMA NATA RICH</v>
          </cell>
          <cell r="D78">
            <v>144</v>
          </cell>
          <cell r="E78">
            <v>200</v>
          </cell>
          <cell r="F78">
            <v>88</v>
          </cell>
          <cell r="G78">
            <v>148</v>
          </cell>
          <cell r="I78">
            <v>312</v>
          </cell>
          <cell r="J78">
            <v>136</v>
          </cell>
          <cell r="K78">
            <v>168</v>
          </cell>
          <cell r="L78">
            <v>140</v>
          </cell>
          <cell r="O78">
            <v>208</v>
          </cell>
          <cell r="Q78">
            <v>156</v>
          </cell>
          <cell r="R78">
            <v>144</v>
          </cell>
          <cell r="S78">
            <v>588</v>
          </cell>
          <cell r="T78">
            <v>72</v>
          </cell>
          <cell r="U78">
            <v>280</v>
          </cell>
          <cell r="X78">
            <v>312</v>
          </cell>
          <cell r="Z78">
            <v>356</v>
          </cell>
          <cell r="AB78">
            <v>344</v>
          </cell>
          <cell r="AI78">
            <v>300</v>
          </cell>
          <cell r="AJ78">
            <v>432</v>
          </cell>
          <cell r="AM78">
            <v>356</v>
          </cell>
          <cell r="AN78">
            <v>112</v>
          </cell>
          <cell r="AP78">
            <v>304</v>
          </cell>
          <cell r="AS78">
            <v>184</v>
          </cell>
          <cell r="AT78">
            <v>204</v>
          </cell>
          <cell r="AW78">
            <v>160</v>
          </cell>
          <cell r="AZ78">
            <v>164</v>
          </cell>
          <cell r="BA78">
            <v>176</v>
          </cell>
          <cell r="BB78">
            <v>428</v>
          </cell>
          <cell r="BC78">
            <v>348</v>
          </cell>
          <cell r="BE78">
            <v>156</v>
          </cell>
          <cell r="BI78">
            <v>156</v>
          </cell>
          <cell r="BJ78">
            <v>156</v>
          </cell>
          <cell r="BK78">
            <v>124</v>
          </cell>
          <cell r="BL78">
            <v>124</v>
          </cell>
          <cell r="BM78">
            <v>124</v>
          </cell>
          <cell r="BN78">
            <v>156</v>
          </cell>
          <cell r="BO78">
            <v>16</v>
          </cell>
          <cell r="BQ78">
            <v>140</v>
          </cell>
          <cell r="BS78">
            <v>136</v>
          </cell>
          <cell r="BT78">
            <v>276</v>
          </cell>
          <cell r="BY78">
            <v>136</v>
          </cell>
          <cell r="BZ78">
            <v>136</v>
          </cell>
          <cell r="CA78">
            <v>164</v>
          </cell>
          <cell r="CB78">
            <v>136</v>
          </cell>
          <cell r="CD78">
            <v>312</v>
          </cell>
          <cell r="CH78">
            <v>312</v>
          </cell>
          <cell r="CI78">
            <v>24</v>
          </cell>
          <cell r="CL78">
            <v>312</v>
          </cell>
          <cell r="CM78">
            <v>4</v>
          </cell>
          <cell r="CN78">
            <v>316</v>
          </cell>
          <cell r="CP78">
            <v>4</v>
          </cell>
          <cell r="CQ78">
            <v>16</v>
          </cell>
          <cell r="DA78">
            <v>600</v>
          </cell>
          <cell r="DB78" t="str">
            <v>ACTIVO</v>
          </cell>
          <cell r="DC78" t="str">
            <v>B</v>
          </cell>
          <cell r="DE78">
            <v>141.14285714285714</v>
          </cell>
          <cell r="DF78">
            <v>23.523809523809522</v>
          </cell>
          <cell r="DG78">
            <v>102.35574440498398</v>
          </cell>
          <cell r="DH78">
            <v>1080</v>
          </cell>
          <cell r="DI78">
            <v>2761624.8</v>
          </cell>
          <cell r="DJ78">
            <v>7.6518218623481786</v>
          </cell>
          <cell r="DK78" t="str">
            <v>OK</v>
          </cell>
          <cell r="DL78">
            <v>70.571428571428569</v>
          </cell>
          <cell r="DM78">
            <v>47.047619047619044</v>
          </cell>
          <cell r="DN78">
            <v>117.61904761904762</v>
          </cell>
        </row>
        <row r="79">
          <cell r="B79">
            <v>405533</v>
          </cell>
          <cell r="C79" t="str">
            <v>ULTRA RICH CLASICA UHT</v>
          </cell>
          <cell r="AU79">
            <v>84</v>
          </cell>
          <cell r="AV79">
            <v>138</v>
          </cell>
          <cell r="AW79">
            <v>396</v>
          </cell>
          <cell r="AX79">
            <v>292</v>
          </cell>
          <cell r="AY79">
            <v>218</v>
          </cell>
          <cell r="AZ79">
            <v>261</v>
          </cell>
          <cell r="BA79">
            <v>388</v>
          </cell>
          <cell r="BB79">
            <v>244</v>
          </cell>
          <cell r="BC79">
            <v>539</v>
          </cell>
          <cell r="BD79">
            <v>325</v>
          </cell>
          <cell r="BE79">
            <v>298</v>
          </cell>
          <cell r="BF79">
            <v>92</v>
          </cell>
          <cell r="BG79">
            <v>450</v>
          </cell>
          <cell r="BH79">
            <v>322</v>
          </cell>
          <cell r="BI79">
            <v>376</v>
          </cell>
          <cell r="BJ79">
            <v>315</v>
          </cell>
          <cell r="BK79">
            <v>331</v>
          </cell>
          <cell r="BL79">
            <v>264</v>
          </cell>
          <cell r="BM79">
            <v>328</v>
          </cell>
          <cell r="BN79">
            <v>428</v>
          </cell>
          <cell r="BO79">
            <v>278</v>
          </cell>
          <cell r="BP79">
            <v>149</v>
          </cell>
          <cell r="BQ79">
            <v>353</v>
          </cell>
          <cell r="BR79">
            <v>161</v>
          </cell>
          <cell r="BS79">
            <v>665</v>
          </cell>
          <cell r="BT79">
            <v>664</v>
          </cell>
          <cell r="BU79">
            <v>278</v>
          </cell>
          <cell r="BV79">
            <v>270</v>
          </cell>
          <cell r="BW79">
            <v>299</v>
          </cell>
          <cell r="BX79">
            <v>137</v>
          </cell>
          <cell r="BY79">
            <v>259</v>
          </cell>
          <cell r="BZ79">
            <v>477</v>
          </cell>
          <cell r="CA79">
            <v>289</v>
          </cell>
          <cell r="CB79">
            <v>205</v>
          </cell>
          <cell r="CC79">
            <v>313</v>
          </cell>
          <cell r="CD79">
            <v>338</v>
          </cell>
          <cell r="CE79">
            <v>127</v>
          </cell>
          <cell r="CF79">
            <v>90</v>
          </cell>
          <cell r="CG79">
            <v>290</v>
          </cell>
          <cell r="CH79">
            <v>318</v>
          </cell>
          <cell r="CI79">
            <v>357</v>
          </cell>
          <cell r="CJ79">
            <v>163</v>
          </cell>
          <cell r="CK79">
            <v>478</v>
          </cell>
          <cell r="CL79">
            <v>310</v>
          </cell>
          <cell r="CM79">
            <v>388</v>
          </cell>
          <cell r="CN79">
            <v>370</v>
          </cell>
          <cell r="CO79">
            <v>322</v>
          </cell>
          <cell r="CP79">
            <v>376</v>
          </cell>
          <cell r="CQ79">
            <v>193</v>
          </cell>
          <cell r="CR79">
            <v>295</v>
          </cell>
          <cell r="CS79">
            <v>174</v>
          </cell>
          <cell r="CT79">
            <v>342</v>
          </cell>
          <cell r="CU79">
            <v>280</v>
          </cell>
          <cell r="CV79">
            <v>160</v>
          </cell>
          <cell r="CX79">
            <v>564</v>
          </cell>
          <cell r="CY79">
            <v>405</v>
          </cell>
          <cell r="CZ79">
            <v>230</v>
          </cell>
          <cell r="DA79">
            <v>306</v>
          </cell>
          <cell r="DB79" t="str">
            <v>ACTIVO</v>
          </cell>
          <cell r="DC79" t="str">
            <v>B</v>
          </cell>
          <cell r="DE79">
            <v>288.58823529411762</v>
          </cell>
          <cell r="DF79">
            <v>48.098039215686271</v>
          </cell>
          <cell r="DG79">
            <v>135.58661338690382</v>
          </cell>
          <cell r="DH79">
            <v>717</v>
          </cell>
          <cell r="DI79">
            <v>1624714.83</v>
          </cell>
          <cell r="DJ79">
            <v>2.4845087647778232</v>
          </cell>
          <cell r="DK79" t="str">
            <v>OK</v>
          </cell>
          <cell r="DL79">
            <v>144.29411764705881</v>
          </cell>
          <cell r="DM79">
            <v>96.196078431372541</v>
          </cell>
          <cell r="DN79">
            <v>240.49019607843135</v>
          </cell>
        </row>
        <row r="80">
          <cell r="B80">
            <v>103612</v>
          </cell>
          <cell r="C80" t="str">
            <v>CREMA VEGETAL MASTER MARTINI</v>
          </cell>
          <cell r="D80">
            <v>6</v>
          </cell>
          <cell r="E80">
            <v>9</v>
          </cell>
          <cell r="F80">
            <v>51</v>
          </cell>
          <cell r="G80">
            <v>109</v>
          </cell>
          <cell r="H80">
            <v>70</v>
          </cell>
          <cell r="I80">
            <v>27</v>
          </cell>
          <cell r="J80">
            <v>59</v>
          </cell>
          <cell r="K80">
            <v>81</v>
          </cell>
          <cell r="L80">
            <v>75</v>
          </cell>
          <cell r="M80">
            <v>83</v>
          </cell>
          <cell r="N80">
            <v>65</v>
          </cell>
          <cell r="O80">
            <v>6</v>
          </cell>
          <cell r="P80">
            <v>53</v>
          </cell>
          <cell r="Q80">
            <v>87</v>
          </cell>
          <cell r="R80">
            <v>73</v>
          </cell>
          <cell r="S80">
            <v>60</v>
          </cell>
          <cell r="T80">
            <v>76</v>
          </cell>
          <cell r="U80">
            <v>65</v>
          </cell>
          <cell r="V80">
            <v>72</v>
          </cell>
          <cell r="W80">
            <v>64</v>
          </cell>
          <cell r="X80">
            <v>27</v>
          </cell>
          <cell r="Y80">
            <v>1</v>
          </cell>
          <cell r="Z80">
            <v>54</v>
          </cell>
          <cell r="AA80">
            <v>98</v>
          </cell>
          <cell r="AB80">
            <v>71</v>
          </cell>
          <cell r="AC80">
            <v>53</v>
          </cell>
          <cell r="AD80">
            <v>17</v>
          </cell>
          <cell r="AE80">
            <v>37</v>
          </cell>
          <cell r="AF80">
            <v>59</v>
          </cell>
          <cell r="AG80">
            <v>54</v>
          </cell>
          <cell r="AH80">
            <v>41</v>
          </cell>
          <cell r="AI80">
            <v>70</v>
          </cell>
          <cell r="AJ80">
            <v>57</v>
          </cell>
          <cell r="AK80">
            <v>55</v>
          </cell>
          <cell r="AL80">
            <v>58</v>
          </cell>
          <cell r="AM80">
            <v>25</v>
          </cell>
          <cell r="AN80">
            <v>9</v>
          </cell>
          <cell r="AO80">
            <v>60</v>
          </cell>
          <cell r="AP80">
            <v>62</v>
          </cell>
          <cell r="AQ80">
            <v>60</v>
          </cell>
          <cell r="AR80">
            <v>62</v>
          </cell>
          <cell r="AS80">
            <v>55</v>
          </cell>
          <cell r="AT80">
            <v>59</v>
          </cell>
          <cell r="AU80">
            <v>47</v>
          </cell>
          <cell r="AV80">
            <v>65</v>
          </cell>
          <cell r="AW80">
            <v>63</v>
          </cell>
          <cell r="AX80">
            <v>44</v>
          </cell>
          <cell r="AY80">
            <v>46</v>
          </cell>
          <cell r="AZ80">
            <v>45</v>
          </cell>
          <cell r="BA80">
            <v>57</v>
          </cell>
          <cell r="BB80">
            <v>52</v>
          </cell>
          <cell r="BC80">
            <v>58</v>
          </cell>
          <cell r="BD80">
            <v>64</v>
          </cell>
          <cell r="BE80">
            <v>54</v>
          </cell>
          <cell r="BF80">
            <v>43</v>
          </cell>
          <cell r="BG80">
            <v>55</v>
          </cell>
          <cell r="BH80">
            <v>49</v>
          </cell>
          <cell r="BI80">
            <v>52</v>
          </cell>
          <cell r="BJ80">
            <v>46</v>
          </cell>
          <cell r="BK80">
            <v>61</v>
          </cell>
          <cell r="BL80">
            <v>74</v>
          </cell>
          <cell r="BM80">
            <v>46</v>
          </cell>
          <cell r="BN80">
            <v>59</v>
          </cell>
          <cell r="BO80">
            <v>50</v>
          </cell>
          <cell r="BP80">
            <v>6</v>
          </cell>
          <cell r="BQ80">
            <v>53</v>
          </cell>
          <cell r="BR80">
            <v>39</v>
          </cell>
          <cell r="BS80">
            <v>55</v>
          </cell>
          <cell r="BT80">
            <v>46</v>
          </cell>
          <cell r="BU80">
            <v>59</v>
          </cell>
          <cell r="BV80">
            <v>52</v>
          </cell>
          <cell r="BW80">
            <v>49</v>
          </cell>
          <cell r="BX80">
            <v>46</v>
          </cell>
          <cell r="BY80">
            <v>52</v>
          </cell>
          <cell r="BZ80">
            <v>64</v>
          </cell>
          <cell r="CA80">
            <v>54</v>
          </cell>
          <cell r="CB80">
            <v>41</v>
          </cell>
          <cell r="CC80">
            <v>62</v>
          </cell>
          <cell r="CD80">
            <v>30</v>
          </cell>
          <cell r="CE80">
            <v>16</v>
          </cell>
          <cell r="CF80">
            <v>8</v>
          </cell>
          <cell r="CG80">
            <v>58</v>
          </cell>
          <cell r="CH80">
            <v>49</v>
          </cell>
          <cell r="CI80">
            <v>46</v>
          </cell>
          <cell r="CJ80">
            <v>42</v>
          </cell>
          <cell r="CK80">
            <v>39</v>
          </cell>
          <cell r="CL80">
            <v>34</v>
          </cell>
          <cell r="CM80">
            <v>38</v>
          </cell>
          <cell r="CN80">
            <v>41</v>
          </cell>
          <cell r="CO80">
            <v>54</v>
          </cell>
          <cell r="CP80">
            <v>41</v>
          </cell>
          <cell r="CQ80">
            <v>53</v>
          </cell>
          <cell r="CR80">
            <v>51</v>
          </cell>
          <cell r="CS80">
            <v>44</v>
          </cell>
          <cell r="CT80">
            <v>52</v>
          </cell>
          <cell r="CU80">
            <v>50</v>
          </cell>
          <cell r="CV80">
            <v>52</v>
          </cell>
          <cell r="CW80">
            <v>14</v>
          </cell>
          <cell r="CX80">
            <v>15</v>
          </cell>
          <cell r="CY80">
            <v>50</v>
          </cell>
          <cell r="CZ80">
            <v>48</v>
          </cell>
          <cell r="DA80">
            <v>59</v>
          </cell>
          <cell r="DB80" t="str">
            <v>ACTIVO</v>
          </cell>
          <cell r="DC80" t="str">
            <v>C</v>
          </cell>
          <cell r="DE80">
            <v>44.235294117647058</v>
          </cell>
          <cell r="DF80">
            <v>7.3725490196078427</v>
          </cell>
          <cell r="DG80">
            <v>13.640469540628876</v>
          </cell>
          <cell r="DH80">
            <v>796</v>
          </cell>
          <cell r="DI80">
            <v>2069600</v>
          </cell>
          <cell r="DJ80">
            <v>17.99468085106383</v>
          </cell>
          <cell r="DK80" t="str">
            <v>OK</v>
          </cell>
          <cell r="DL80">
            <v>14.745098039215685</v>
          </cell>
          <cell r="DM80">
            <v>14.745098039215685</v>
          </cell>
          <cell r="DN80">
            <v>29.490196078431371</v>
          </cell>
        </row>
        <row r="81">
          <cell r="B81">
            <v>107098</v>
          </cell>
          <cell r="C81" t="str">
            <v>CREMA PASTELERA ESPECIAL PURATOS</v>
          </cell>
          <cell r="D81">
            <v>1480</v>
          </cell>
          <cell r="E81">
            <v>1170</v>
          </cell>
          <cell r="F81">
            <v>1010</v>
          </cell>
          <cell r="G81">
            <v>1060</v>
          </cell>
          <cell r="H81">
            <v>1510</v>
          </cell>
          <cell r="I81">
            <v>1210</v>
          </cell>
          <cell r="J81">
            <v>1350</v>
          </cell>
          <cell r="K81">
            <v>1080</v>
          </cell>
          <cell r="L81">
            <v>1290</v>
          </cell>
          <cell r="M81">
            <v>1340</v>
          </cell>
          <cell r="N81">
            <v>1680</v>
          </cell>
          <cell r="O81">
            <v>800</v>
          </cell>
          <cell r="P81">
            <v>1170</v>
          </cell>
          <cell r="Q81">
            <v>1400</v>
          </cell>
          <cell r="R81">
            <v>1550</v>
          </cell>
          <cell r="S81">
            <v>1310</v>
          </cell>
          <cell r="T81">
            <v>1230</v>
          </cell>
          <cell r="U81">
            <v>1200</v>
          </cell>
          <cell r="V81">
            <v>1810</v>
          </cell>
          <cell r="W81">
            <v>1190</v>
          </cell>
          <cell r="X81">
            <v>1170</v>
          </cell>
          <cell r="Y81">
            <v>1280</v>
          </cell>
          <cell r="Z81">
            <v>1005</v>
          </cell>
          <cell r="AA81">
            <v>1225</v>
          </cell>
          <cell r="AB81">
            <v>1130</v>
          </cell>
          <cell r="AC81">
            <v>950</v>
          </cell>
          <cell r="AD81">
            <v>410</v>
          </cell>
          <cell r="AE81">
            <v>720</v>
          </cell>
          <cell r="AF81">
            <v>1381</v>
          </cell>
          <cell r="AG81">
            <v>1078</v>
          </cell>
          <cell r="AH81">
            <v>1120</v>
          </cell>
          <cell r="AI81">
            <v>1430</v>
          </cell>
          <cell r="AJ81">
            <v>1090</v>
          </cell>
          <cell r="AK81">
            <v>1180</v>
          </cell>
          <cell r="AL81">
            <v>1030</v>
          </cell>
          <cell r="AM81">
            <v>840</v>
          </cell>
          <cell r="AN81">
            <v>1140</v>
          </cell>
          <cell r="AO81">
            <v>1180</v>
          </cell>
          <cell r="AP81">
            <v>1230</v>
          </cell>
          <cell r="AQ81">
            <v>1560</v>
          </cell>
          <cell r="AR81">
            <v>1420</v>
          </cell>
          <cell r="AS81">
            <v>1292.5</v>
          </cell>
          <cell r="AT81">
            <v>1500</v>
          </cell>
          <cell r="AU81">
            <v>1460</v>
          </cell>
          <cell r="AV81">
            <v>2000</v>
          </cell>
          <cell r="AW81">
            <v>2030</v>
          </cell>
          <cell r="AX81">
            <v>1690</v>
          </cell>
          <cell r="AY81">
            <v>1275</v>
          </cell>
          <cell r="AZ81">
            <v>1506.5</v>
          </cell>
          <cell r="BA81">
            <v>1350</v>
          </cell>
          <cell r="BB81">
            <v>1110</v>
          </cell>
          <cell r="BC81">
            <v>1400</v>
          </cell>
          <cell r="BD81">
            <v>1810</v>
          </cell>
          <cell r="BE81">
            <v>1580</v>
          </cell>
          <cell r="BF81">
            <v>1350</v>
          </cell>
          <cell r="BG81">
            <v>971</v>
          </cell>
          <cell r="BH81">
            <v>1260</v>
          </cell>
          <cell r="BI81">
            <v>1390</v>
          </cell>
          <cell r="BJ81">
            <v>1440</v>
          </cell>
          <cell r="BK81">
            <v>1070</v>
          </cell>
          <cell r="BL81">
            <v>1290</v>
          </cell>
          <cell r="BM81">
            <v>1280</v>
          </cell>
          <cell r="BN81">
            <v>1081</v>
          </cell>
          <cell r="BO81">
            <v>1010</v>
          </cell>
          <cell r="BP81">
            <v>630</v>
          </cell>
          <cell r="BQ81">
            <v>1240</v>
          </cell>
          <cell r="BR81">
            <v>1010</v>
          </cell>
          <cell r="BS81">
            <v>1350</v>
          </cell>
          <cell r="BT81">
            <v>1950</v>
          </cell>
          <cell r="BU81">
            <v>1280</v>
          </cell>
          <cell r="BV81">
            <v>920</v>
          </cell>
          <cell r="BW81">
            <v>1130</v>
          </cell>
          <cell r="BX81">
            <v>1010</v>
          </cell>
          <cell r="BY81">
            <v>850</v>
          </cell>
          <cell r="BZ81">
            <v>1020</v>
          </cell>
          <cell r="CA81">
            <v>920</v>
          </cell>
          <cell r="CB81">
            <v>690</v>
          </cell>
          <cell r="CC81">
            <v>990</v>
          </cell>
          <cell r="CD81">
            <v>640</v>
          </cell>
          <cell r="CE81">
            <v>420</v>
          </cell>
          <cell r="CF81">
            <v>230</v>
          </cell>
          <cell r="CG81">
            <v>1091</v>
          </cell>
          <cell r="CH81">
            <v>1189</v>
          </cell>
          <cell r="CI81">
            <v>1120</v>
          </cell>
          <cell r="CJ81">
            <v>1070</v>
          </cell>
          <cell r="CK81">
            <v>1360</v>
          </cell>
          <cell r="CL81">
            <v>1150</v>
          </cell>
          <cell r="CM81">
            <v>1170</v>
          </cell>
          <cell r="CN81">
            <v>1270</v>
          </cell>
          <cell r="CO81">
            <v>1020</v>
          </cell>
          <cell r="CP81">
            <v>520</v>
          </cell>
          <cell r="CQ81">
            <v>600</v>
          </cell>
          <cell r="CR81">
            <v>810</v>
          </cell>
          <cell r="CS81">
            <v>710</v>
          </cell>
          <cell r="CT81">
            <v>1120</v>
          </cell>
          <cell r="CU81">
            <v>1250</v>
          </cell>
          <cell r="CV81">
            <v>980</v>
          </cell>
          <cell r="CW81">
            <v>900</v>
          </cell>
          <cell r="CX81">
            <v>820</v>
          </cell>
          <cell r="CY81">
            <v>620</v>
          </cell>
          <cell r="CZ81">
            <v>570</v>
          </cell>
          <cell r="DA81">
            <v>920</v>
          </cell>
          <cell r="DB81" t="str">
            <v>ACTIVO</v>
          </cell>
          <cell r="DC81" t="str">
            <v>A</v>
          </cell>
          <cell r="DE81">
            <v>980</v>
          </cell>
          <cell r="DF81">
            <v>163.33333333333334</v>
          </cell>
          <cell r="DG81">
            <v>336.30317088954564</v>
          </cell>
          <cell r="DH81">
            <v>570</v>
          </cell>
          <cell r="DI81">
            <v>1813118.7</v>
          </cell>
          <cell r="DJ81">
            <v>0.58163265306122447</v>
          </cell>
          <cell r="DK81" t="str">
            <v>OK</v>
          </cell>
          <cell r="DL81">
            <v>653.33333333333337</v>
          </cell>
          <cell r="DM81">
            <v>326.66666666666669</v>
          </cell>
          <cell r="DN81">
            <v>980</v>
          </cell>
        </row>
        <row r="82">
          <cell r="B82">
            <v>107104</v>
          </cell>
          <cell r="C82" t="str">
            <v>CREMA LACTEA DIWATTS</v>
          </cell>
          <cell r="D82">
            <v>263</v>
          </cell>
          <cell r="E82">
            <v>218</v>
          </cell>
          <cell r="F82">
            <v>215</v>
          </cell>
          <cell r="G82">
            <v>273</v>
          </cell>
          <cell r="H82">
            <v>204</v>
          </cell>
          <cell r="I82">
            <v>76</v>
          </cell>
          <cell r="J82">
            <v>176</v>
          </cell>
          <cell r="K82">
            <v>203</v>
          </cell>
          <cell r="L82">
            <v>226</v>
          </cell>
          <cell r="M82">
            <v>233</v>
          </cell>
          <cell r="N82">
            <v>182</v>
          </cell>
          <cell r="O82">
            <v>6</v>
          </cell>
          <cell r="P82">
            <v>141</v>
          </cell>
          <cell r="Q82">
            <v>78</v>
          </cell>
          <cell r="R82">
            <v>211</v>
          </cell>
          <cell r="S82">
            <v>159</v>
          </cell>
          <cell r="T82">
            <v>215</v>
          </cell>
          <cell r="U82">
            <v>197</v>
          </cell>
          <cell r="V82">
            <v>213</v>
          </cell>
          <cell r="W82">
            <v>160</v>
          </cell>
          <cell r="X82">
            <v>96</v>
          </cell>
          <cell r="Y82">
            <v>255</v>
          </cell>
          <cell r="Z82">
            <v>565</v>
          </cell>
          <cell r="AA82">
            <v>81</v>
          </cell>
          <cell r="AB82">
            <v>234</v>
          </cell>
          <cell r="AC82">
            <v>387</v>
          </cell>
          <cell r="AD82">
            <v>56</v>
          </cell>
          <cell r="AE82">
            <v>212</v>
          </cell>
          <cell r="AF82">
            <v>626</v>
          </cell>
          <cell r="AG82">
            <v>1386</v>
          </cell>
          <cell r="AH82">
            <v>1589</v>
          </cell>
          <cell r="AI82">
            <v>2140</v>
          </cell>
          <cell r="AJ82">
            <v>704</v>
          </cell>
          <cell r="AK82">
            <v>1399</v>
          </cell>
          <cell r="AL82">
            <v>915</v>
          </cell>
          <cell r="AM82">
            <v>927</v>
          </cell>
          <cell r="AN82">
            <v>1450</v>
          </cell>
          <cell r="AO82">
            <v>1246</v>
          </cell>
          <cell r="AP82">
            <v>1459</v>
          </cell>
          <cell r="AQ82">
            <v>1431</v>
          </cell>
          <cell r="AR82">
            <v>1948</v>
          </cell>
          <cell r="AS82">
            <v>914</v>
          </cell>
          <cell r="AT82">
            <v>2125</v>
          </cell>
          <cell r="AU82">
            <v>2067</v>
          </cell>
          <cell r="AV82">
            <v>1418</v>
          </cell>
          <cell r="AW82">
            <v>1528</v>
          </cell>
          <cell r="AX82">
            <v>1393</v>
          </cell>
          <cell r="AY82">
            <v>1399</v>
          </cell>
          <cell r="AZ82">
            <v>1453</v>
          </cell>
          <cell r="BA82">
            <v>921</v>
          </cell>
          <cell r="BB82">
            <v>1008</v>
          </cell>
          <cell r="BC82">
            <v>607</v>
          </cell>
          <cell r="BD82">
            <v>317</v>
          </cell>
          <cell r="BE82">
            <v>1427</v>
          </cell>
          <cell r="BF82">
            <v>1318</v>
          </cell>
          <cell r="BG82">
            <v>2285</v>
          </cell>
          <cell r="BH82">
            <v>1718</v>
          </cell>
          <cell r="BI82">
            <v>1401</v>
          </cell>
          <cell r="BJ82">
            <v>1472</v>
          </cell>
          <cell r="BK82">
            <v>1922</v>
          </cell>
          <cell r="BL82">
            <v>2066</v>
          </cell>
          <cell r="BM82">
            <v>392</v>
          </cell>
          <cell r="BN82">
            <v>1417</v>
          </cell>
          <cell r="BO82">
            <v>2274</v>
          </cell>
          <cell r="BP82">
            <v>439</v>
          </cell>
          <cell r="BQ82">
            <v>1315</v>
          </cell>
          <cell r="BR82">
            <v>785</v>
          </cell>
          <cell r="BS82">
            <v>1101</v>
          </cell>
          <cell r="BT82">
            <v>1566</v>
          </cell>
          <cell r="BU82">
            <v>2132</v>
          </cell>
          <cell r="BV82">
            <v>1951</v>
          </cell>
          <cell r="BW82">
            <v>622</v>
          </cell>
          <cell r="BX82">
            <v>1404</v>
          </cell>
          <cell r="BY82">
            <v>219</v>
          </cell>
          <cell r="BZ82">
            <v>171</v>
          </cell>
          <cell r="CA82">
            <v>1524</v>
          </cell>
          <cell r="CB82">
            <v>905</v>
          </cell>
          <cell r="CC82">
            <v>294</v>
          </cell>
          <cell r="CD82">
            <v>1193</v>
          </cell>
          <cell r="CE82">
            <v>1178</v>
          </cell>
          <cell r="CF82">
            <v>452</v>
          </cell>
          <cell r="CG82">
            <v>1381</v>
          </cell>
          <cell r="CH82">
            <v>475</v>
          </cell>
          <cell r="CI82">
            <v>904</v>
          </cell>
          <cell r="CJ82">
            <v>475</v>
          </cell>
          <cell r="CK82">
            <v>620</v>
          </cell>
          <cell r="CL82">
            <v>1214</v>
          </cell>
          <cell r="CM82">
            <v>908</v>
          </cell>
          <cell r="CN82">
            <v>985</v>
          </cell>
          <cell r="CO82">
            <v>1569</v>
          </cell>
          <cell r="CP82">
            <v>1328</v>
          </cell>
          <cell r="CQ82">
            <v>333</v>
          </cell>
          <cell r="CR82">
            <v>560</v>
          </cell>
          <cell r="CS82">
            <v>1024</v>
          </cell>
          <cell r="CT82">
            <v>1465</v>
          </cell>
          <cell r="CU82">
            <v>1527</v>
          </cell>
          <cell r="CV82">
            <v>1933</v>
          </cell>
          <cell r="CW82">
            <v>1543</v>
          </cell>
          <cell r="CX82">
            <v>768</v>
          </cell>
          <cell r="CY82">
            <v>1387</v>
          </cell>
          <cell r="CZ82">
            <v>473</v>
          </cell>
          <cell r="DA82">
            <v>1884</v>
          </cell>
          <cell r="DB82" t="str">
            <v>ACTIVO</v>
          </cell>
          <cell r="DC82" t="str">
            <v>A</v>
          </cell>
          <cell r="DE82">
            <v>1009</v>
          </cell>
          <cell r="DF82">
            <v>168.16666666666666</v>
          </cell>
          <cell r="DG82">
            <v>572.87888382253482</v>
          </cell>
          <cell r="DH82">
            <v>1003</v>
          </cell>
          <cell r="DI82">
            <v>3390119.94</v>
          </cell>
          <cell r="DJ82">
            <v>0.99405351833498512</v>
          </cell>
          <cell r="DK82" t="str">
            <v>OK</v>
          </cell>
          <cell r="DL82">
            <v>336.33333333333331</v>
          </cell>
          <cell r="DM82">
            <v>336.33333333333331</v>
          </cell>
          <cell r="DN82">
            <v>672.66666666666663</v>
          </cell>
        </row>
        <row r="83">
          <cell r="B83">
            <v>107142</v>
          </cell>
          <cell r="C83" t="str">
            <v>CREMA LACTEA SOPROLE</v>
          </cell>
          <cell r="D83">
            <v>66</v>
          </cell>
          <cell r="E83">
            <v>106</v>
          </cell>
          <cell r="F83">
            <v>52</v>
          </cell>
          <cell r="G83">
            <v>99</v>
          </cell>
          <cell r="H83">
            <v>51</v>
          </cell>
          <cell r="I83">
            <v>10</v>
          </cell>
          <cell r="J83">
            <v>47</v>
          </cell>
          <cell r="K83">
            <v>47</v>
          </cell>
          <cell r="L83">
            <v>41</v>
          </cell>
          <cell r="M83">
            <v>47</v>
          </cell>
          <cell r="N83">
            <v>76</v>
          </cell>
          <cell r="P83">
            <v>27</v>
          </cell>
          <cell r="Q83">
            <v>65</v>
          </cell>
          <cell r="R83">
            <v>81</v>
          </cell>
          <cell r="S83">
            <v>32</v>
          </cell>
          <cell r="T83">
            <v>37</v>
          </cell>
          <cell r="U83">
            <v>27</v>
          </cell>
          <cell r="V83">
            <v>28</v>
          </cell>
          <cell r="W83">
            <v>49</v>
          </cell>
          <cell r="X83">
            <v>18</v>
          </cell>
          <cell r="Y83">
            <v>156</v>
          </cell>
          <cell r="Z83">
            <v>121</v>
          </cell>
          <cell r="AA83">
            <v>108</v>
          </cell>
          <cell r="AB83">
            <v>125</v>
          </cell>
          <cell r="AC83">
            <v>104</v>
          </cell>
          <cell r="AD83">
            <v>39</v>
          </cell>
          <cell r="AE83">
            <v>114</v>
          </cell>
          <cell r="AF83">
            <v>27</v>
          </cell>
          <cell r="AG83">
            <v>34</v>
          </cell>
          <cell r="AH83">
            <v>25</v>
          </cell>
          <cell r="AI83">
            <v>52</v>
          </cell>
          <cell r="AJ83">
            <v>41</v>
          </cell>
          <cell r="AK83">
            <v>535</v>
          </cell>
          <cell r="AL83">
            <v>40</v>
          </cell>
          <cell r="AM83">
            <v>29</v>
          </cell>
          <cell r="AN83">
            <v>140</v>
          </cell>
          <cell r="AO83">
            <v>43</v>
          </cell>
          <cell r="AP83">
            <v>27</v>
          </cell>
          <cell r="AQ83">
            <v>29</v>
          </cell>
          <cell r="AR83">
            <v>39</v>
          </cell>
          <cell r="AS83">
            <v>34</v>
          </cell>
          <cell r="AT83">
            <v>44</v>
          </cell>
          <cell r="AU83">
            <v>33</v>
          </cell>
          <cell r="AV83">
            <v>342</v>
          </cell>
          <cell r="AW83">
            <v>176</v>
          </cell>
          <cell r="AX83">
            <v>507</v>
          </cell>
          <cell r="AY83">
            <v>30</v>
          </cell>
          <cell r="AZ83">
            <v>11</v>
          </cell>
          <cell r="BA83">
            <v>38</v>
          </cell>
          <cell r="BB83">
            <v>30</v>
          </cell>
          <cell r="BC83">
            <v>31</v>
          </cell>
          <cell r="BD83">
            <v>38</v>
          </cell>
          <cell r="BE83">
            <v>120</v>
          </cell>
          <cell r="BG83">
            <v>34</v>
          </cell>
          <cell r="BH83">
            <v>37</v>
          </cell>
          <cell r="BI83">
            <v>30</v>
          </cell>
          <cell r="BJ83">
            <v>27</v>
          </cell>
          <cell r="BK83">
            <v>42</v>
          </cell>
          <cell r="BL83">
            <v>138</v>
          </cell>
          <cell r="BM83">
            <v>46</v>
          </cell>
          <cell r="BN83">
            <v>138</v>
          </cell>
          <cell r="BO83">
            <v>58</v>
          </cell>
          <cell r="BP83">
            <v>4</v>
          </cell>
          <cell r="BQ83">
            <v>61</v>
          </cell>
          <cell r="BR83">
            <v>93</v>
          </cell>
          <cell r="BS83">
            <v>41</v>
          </cell>
          <cell r="BT83">
            <v>30</v>
          </cell>
          <cell r="BU83">
            <v>57</v>
          </cell>
          <cell r="BV83">
            <v>31</v>
          </cell>
          <cell r="BW83">
            <v>30</v>
          </cell>
          <cell r="BX83">
            <v>34</v>
          </cell>
          <cell r="BY83">
            <v>29</v>
          </cell>
          <cell r="BZ83">
            <v>41</v>
          </cell>
          <cell r="CA83">
            <v>32</v>
          </cell>
          <cell r="CB83">
            <v>23</v>
          </cell>
          <cell r="CC83">
            <v>7</v>
          </cell>
          <cell r="CD83">
            <v>16</v>
          </cell>
          <cell r="CE83">
            <v>12</v>
          </cell>
          <cell r="CF83">
            <v>7</v>
          </cell>
          <cell r="CG83">
            <v>24</v>
          </cell>
          <cell r="CH83">
            <v>27</v>
          </cell>
          <cell r="CI83">
            <v>149</v>
          </cell>
          <cell r="CJ83">
            <v>167</v>
          </cell>
          <cell r="CK83">
            <v>74</v>
          </cell>
          <cell r="CL83">
            <v>304</v>
          </cell>
          <cell r="CM83">
            <v>95</v>
          </cell>
          <cell r="CN83">
            <v>590</v>
          </cell>
          <cell r="CO83">
            <v>88</v>
          </cell>
          <cell r="CP83">
            <v>164</v>
          </cell>
          <cell r="CQ83">
            <v>98</v>
          </cell>
          <cell r="CR83">
            <v>614</v>
          </cell>
          <cell r="CS83">
            <v>217</v>
          </cell>
          <cell r="CT83">
            <v>947</v>
          </cell>
          <cell r="CU83">
            <v>927</v>
          </cell>
          <cell r="CV83">
            <v>1315</v>
          </cell>
          <cell r="CW83">
            <v>1130</v>
          </cell>
          <cell r="CX83">
            <v>297</v>
          </cell>
          <cell r="CY83">
            <v>928</v>
          </cell>
          <cell r="CZ83">
            <v>437</v>
          </cell>
          <cell r="DA83">
            <v>501</v>
          </cell>
          <cell r="DB83" t="str">
            <v>ACTIVO</v>
          </cell>
          <cell r="DC83" t="str">
            <v>B</v>
          </cell>
          <cell r="DE83">
            <v>341.58823529411762</v>
          </cell>
          <cell r="DF83">
            <v>56.931372549019606</v>
          </cell>
          <cell r="DG83">
            <v>106.12707599584023</v>
          </cell>
          <cell r="DH83">
            <v>408</v>
          </cell>
          <cell r="DI83">
            <v>1325779.68</v>
          </cell>
          <cell r="DJ83">
            <v>1.1944205269502326</v>
          </cell>
          <cell r="DK83" t="str">
            <v>OK</v>
          </cell>
          <cell r="DL83">
            <v>227.72549019607843</v>
          </cell>
          <cell r="DM83">
            <v>113.86274509803921</v>
          </cell>
          <cell r="DN83">
            <v>341.58823529411762</v>
          </cell>
        </row>
        <row r="84">
          <cell r="B84">
            <v>107209</v>
          </cell>
          <cell r="C84" t="str">
            <v>CREMA WHIP TOPPIN RICH</v>
          </cell>
          <cell r="D84">
            <v>5264</v>
          </cell>
          <cell r="E84">
            <v>6008</v>
          </cell>
          <cell r="F84">
            <v>5516</v>
          </cell>
          <cell r="G84">
            <v>6032</v>
          </cell>
          <cell r="H84">
            <v>7656</v>
          </cell>
          <cell r="I84">
            <v>5672</v>
          </cell>
          <cell r="J84">
            <v>6740</v>
          </cell>
          <cell r="K84">
            <v>5832</v>
          </cell>
          <cell r="L84">
            <v>6468</v>
          </cell>
          <cell r="M84">
            <v>5832</v>
          </cell>
          <cell r="N84">
            <v>3624</v>
          </cell>
          <cell r="O84">
            <v>3536</v>
          </cell>
          <cell r="P84">
            <v>4484</v>
          </cell>
          <cell r="Q84">
            <v>4912</v>
          </cell>
          <cell r="R84">
            <v>5328</v>
          </cell>
          <cell r="S84">
            <v>4288</v>
          </cell>
          <cell r="T84">
            <v>3936</v>
          </cell>
          <cell r="U84">
            <v>5986</v>
          </cell>
          <cell r="V84">
            <v>7404</v>
          </cell>
          <cell r="W84">
            <v>5496</v>
          </cell>
          <cell r="X84">
            <v>5508</v>
          </cell>
          <cell r="Y84">
            <v>8228</v>
          </cell>
          <cell r="Z84">
            <v>4360</v>
          </cell>
          <cell r="AA84">
            <v>5046</v>
          </cell>
          <cell r="AB84">
            <v>4296</v>
          </cell>
          <cell r="AC84">
            <v>3568</v>
          </cell>
          <cell r="AD84">
            <v>740</v>
          </cell>
          <cell r="AE84">
            <v>1040</v>
          </cell>
          <cell r="AF84">
            <v>4553</v>
          </cell>
          <cell r="AG84">
            <v>4659</v>
          </cell>
          <cell r="AH84">
            <v>5368</v>
          </cell>
          <cell r="AI84">
            <v>5944</v>
          </cell>
          <cell r="AJ84">
            <v>8868</v>
          </cell>
          <cell r="AK84">
            <v>3320</v>
          </cell>
          <cell r="AL84">
            <v>4036</v>
          </cell>
          <cell r="AM84">
            <v>3652</v>
          </cell>
          <cell r="AN84">
            <v>4840</v>
          </cell>
          <cell r="AO84">
            <v>10176</v>
          </cell>
          <cell r="AP84">
            <v>4668</v>
          </cell>
          <cell r="AQ84">
            <v>5676</v>
          </cell>
          <cell r="AR84">
            <v>6024</v>
          </cell>
          <cell r="AS84">
            <v>5280</v>
          </cell>
          <cell r="AT84">
            <v>8264</v>
          </cell>
          <cell r="AU84">
            <v>9224</v>
          </cell>
          <cell r="AV84">
            <v>7456</v>
          </cell>
          <cell r="AW84">
            <v>6304</v>
          </cell>
          <cell r="AX84">
            <v>1360</v>
          </cell>
          <cell r="AY84">
            <v>3688</v>
          </cell>
          <cell r="AZ84">
            <v>6358</v>
          </cell>
          <cell r="BA84">
            <v>9544</v>
          </cell>
          <cell r="BB84">
            <v>3240</v>
          </cell>
          <cell r="BC84">
            <v>4656</v>
          </cell>
          <cell r="BD84">
            <v>4474</v>
          </cell>
          <cell r="BE84">
            <v>4483</v>
          </cell>
          <cell r="BF84">
            <v>5432</v>
          </cell>
          <cell r="BG84">
            <v>4196</v>
          </cell>
          <cell r="BH84">
            <v>6188</v>
          </cell>
          <cell r="BI84">
            <v>4820</v>
          </cell>
          <cell r="BJ84">
            <v>3756</v>
          </cell>
          <cell r="BK84">
            <v>5300</v>
          </cell>
          <cell r="BL84">
            <v>5032</v>
          </cell>
          <cell r="BM84">
            <v>4664</v>
          </cell>
          <cell r="BN84">
            <v>5388</v>
          </cell>
          <cell r="BO84">
            <v>5116</v>
          </cell>
          <cell r="BP84">
            <v>1116</v>
          </cell>
          <cell r="BQ84">
            <v>4496</v>
          </cell>
          <cell r="BR84">
            <v>3916</v>
          </cell>
          <cell r="BS84">
            <v>6448</v>
          </cell>
          <cell r="BT84">
            <v>3204</v>
          </cell>
          <cell r="BU84">
            <v>3756</v>
          </cell>
          <cell r="BV84">
            <v>4116</v>
          </cell>
          <cell r="BW84">
            <v>4016</v>
          </cell>
          <cell r="BX84">
            <v>2800</v>
          </cell>
          <cell r="BY84">
            <v>3240</v>
          </cell>
          <cell r="BZ84">
            <v>3320</v>
          </cell>
          <cell r="CA84">
            <v>2952</v>
          </cell>
          <cell r="CB84">
            <v>2804</v>
          </cell>
          <cell r="CC84">
            <v>4924</v>
          </cell>
          <cell r="CD84">
            <v>3068</v>
          </cell>
          <cell r="CE84">
            <v>2256</v>
          </cell>
          <cell r="CF84">
            <v>1956</v>
          </cell>
          <cell r="CG84">
            <v>4684</v>
          </cell>
          <cell r="CH84">
            <v>3876</v>
          </cell>
          <cell r="CI84">
            <v>4444</v>
          </cell>
          <cell r="CJ84">
            <v>4676</v>
          </cell>
          <cell r="CK84">
            <v>3236</v>
          </cell>
          <cell r="CL84">
            <v>5424</v>
          </cell>
          <cell r="CM84">
            <v>4272</v>
          </cell>
          <cell r="CN84">
            <v>4500</v>
          </cell>
          <cell r="CO84">
            <v>3968</v>
          </cell>
          <cell r="CP84">
            <v>4680</v>
          </cell>
          <cell r="CQ84">
            <v>5340</v>
          </cell>
          <cell r="CR84">
            <v>5624</v>
          </cell>
          <cell r="CS84">
            <v>2828</v>
          </cell>
          <cell r="CT84">
            <v>6256</v>
          </cell>
          <cell r="CU84">
            <v>5660</v>
          </cell>
          <cell r="CV84">
            <v>8620</v>
          </cell>
          <cell r="CW84">
            <v>6524</v>
          </cell>
          <cell r="CX84">
            <v>2128</v>
          </cell>
          <cell r="CY84">
            <v>7952</v>
          </cell>
          <cell r="CZ84">
            <v>5220</v>
          </cell>
          <cell r="DA84">
            <v>5088</v>
          </cell>
          <cell r="DB84" t="str">
            <v>ACTIVO</v>
          </cell>
          <cell r="DC84" t="str">
            <v>A</v>
          </cell>
          <cell r="DE84">
            <v>4708.4705882352937</v>
          </cell>
          <cell r="DF84">
            <v>784.74509803921558</v>
          </cell>
          <cell r="DG84">
            <v>1967.9302992114392</v>
          </cell>
          <cell r="DH84">
            <v>3508</v>
          </cell>
          <cell r="DI84">
            <v>8427619.1999999993</v>
          </cell>
          <cell r="DJ84">
            <v>0.74504022787466895</v>
          </cell>
          <cell r="DK84" t="str">
            <v>OK</v>
          </cell>
          <cell r="DL84">
            <v>2354.2352941176468</v>
          </cell>
          <cell r="DM84">
            <v>1569.4901960784312</v>
          </cell>
          <cell r="DN84">
            <v>3923.7254901960778</v>
          </cell>
        </row>
        <row r="85">
          <cell r="B85">
            <v>107237</v>
          </cell>
          <cell r="C85" t="str">
            <v>CREMA CHOCOLATE RICHS</v>
          </cell>
          <cell r="D85">
            <v>236</v>
          </cell>
          <cell r="E85">
            <v>392</v>
          </cell>
          <cell r="F85">
            <v>304</v>
          </cell>
          <cell r="G85">
            <v>417</v>
          </cell>
          <cell r="H85">
            <v>529</v>
          </cell>
          <cell r="I85">
            <v>436</v>
          </cell>
          <cell r="J85">
            <v>524</v>
          </cell>
          <cell r="K85">
            <v>276</v>
          </cell>
          <cell r="L85">
            <v>372</v>
          </cell>
          <cell r="M85">
            <v>192</v>
          </cell>
          <cell r="N85">
            <v>440</v>
          </cell>
          <cell r="O85">
            <v>252</v>
          </cell>
          <cell r="P85">
            <v>424</v>
          </cell>
          <cell r="Q85">
            <v>392</v>
          </cell>
          <cell r="R85">
            <v>360</v>
          </cell>
          <cell r="S85">
            <v>380</v>
          </cell>
          <cell r="T85">
            <v>256</v>
          </cell>
          <cell r="U85">
            <v>624</v>
          </cell>
          <cell r="V85">
            <v>397</v>
          </cell>
          <cell r="X85">
            <v>536</v>
          </cell>
          <cell r="Y85">
            <v>880</v>
          </cell>
          <cell r="Z85">
            <v>504</v>
          </cell>
          <cell r="AA85">
            <v>328</v>
          </cell>
          <cell r="AB85">
            <v>252</v>
          </cell>
          <cell r="AC85">
            <v>224</v>
          </cell>
          <cell r="AF85">
            <v>421</v>
          </cell>
          <cell r="AG85">
            <v>304</v>
          </cell>
          <cell r="AH85">
            <v>167</v>
          </cell>
          <cell r="AI85">
            <v>12</v>
          </cell>
          <cell r="AJ85">
            <v>4</v>
          </cell>
          <cell r="AK85">
            <v>316</v>
          </cell>
          <cell r="AL85">
            <v>428</v>
          </cell>
          <cell r="AM85">
            <v>372</v>
          </cell>
          <cell r="AN85">
            <v>196</v>
          </cell>
          <cell r="AO85">
            <v>280</v>
          </cell>
          <cell r="AP85">
            <v>220</v>
          </cell>
          <cell r="AQ85">
            <v>456</v>
          </cell>
          <cell r="AR85">
            <v>348</v>
          </cell>
          <cell r="AS85">
            <v>520</v>
          </cell>
          <cell r="AT85">
            <v>14</v>
          </cell>
          <cell r="AU85">
            <v>304</v>
          </cell>
          <cell r="AV85">
            <v>104</v>
          </cell>
          <cell r="AW85">
            <v>152</v>
          </cell>
          <cell r="AX85">
            <v>260</v>
          </cell>
          <cell r="AY85">
            <v>268</v>
          </cell>
          <cell r="AZ85">
            <v>776</v>
          </cell>
          <cell r="BA85">
            <v>432</v>
          </cell>
          <cell r="BB85">
            <v>196</v>
          </cell>
          <cell r="BC85">
            <v>108</v>
          </cell>
          <cell r="BD85">
            <v>162</v>
          </cell>
          <cell r="BE85">
            <v>25</v>
          </cell>
          <cell r="BF85">
            <v>188</v>
          </cell>
          <cell r="BG85">
            <v>60</v>
          </cell>
          <cell r="BH85">
            <v>140</v>
          </cell>
          <cell r="BI85">
            <v>60</v>
          </cell>
          <cell r="BJ85">
            <v>144</v>
          </cell>
          <cell r="BK85">
            <v>136</v>
          </cell>
          <cell r="BL85">
            <v>348</v>
          </cell>
          <cell r="BM85">
            <v>24</v>
          </cell>
          <cell r="BN85">
            <v>216</v>
          </cell>
          <cell r="BO85">
            <v>12</v>
          </cell>
          <cell r="BP85">
            <v>8</v>
          </cell>
          <cell r="BQ85">
            <v>208</v>
          </cell>
          <cell r="BR85">
            <v>92</v>
          </cell>
          <cell r="BS85">
            <v>32</v>
          </cell>
          <cell r="BT85">
            <v>116</v>
          </cell>
          <cell r="BU85">
            <v>8</v>
          </cell>
          <cell r="BV85">
            <v>8</v>
          </cell>
          <cell r="BW85">
            <v>108</v>
          </cell>
          <cell r="BX85">
            <v>16</v>
          </cell>
          <cell r="BY85">
            <v>105</v>
          </cell>
          <cell r="BZ85">
            <v>108</v>
          </cell>
          <cell r="CA85">
            <v>16</v>
          </cell>
          <cell r="CB85">
            <v>104</v>
          </cell>
          <cell r="CC85">
            <v>220</v>
          </cell>
          <cell r="CD85">
            <v>12.5</v>
          </cell>
          <cell r="CE85">
            <v>12</v>
          </cell>
          <cell r="CG85">
            <v>88</v>
          </cell>
          <cell r="CH85">
            <v>268</v>
          </cell>
          <cell r="CI85">
            <v>478</v>
          </cell>
          <cell r="CJ85">
            <v>8</v>
          </cell>
          <cell r="CK85">
            <v>12</v>
          </cell>
          <cell r="CL85">
            <v>8</v>
          </cell>
          <cell r="CM85">
            <v>12</v>
          </cell>
          <cell r="CN85">
            <v>180</v>
          </cell>
          <cell r="CO85">
            <v>8</v>
          </cell>
          <cell r="CP85">
            <v>8</v>
          </cell>
          <cell r="CQ85">
            <v>12</v>
          </cell>
          <cell r="CR85">
            <v>224</v>
          </cell>
          <cell r="CS85">
            <v>8</v>
          </cell>
          <cell r="CT85">
            <v>16</v>
          </cell>
          <cell r="CU85">
            <v>196</v>
          </cell>
          <cell r="CV85">
            <v>16</v>
          </cell>
          <cell r="CX85">
            <v>4</v>
          </cell>
          <cell r="CY85">
            <v>116</v>
          </cell>
          <cell r="CZ85">
            <v>108</v>
          </cell>
          <cell r="DA85">
            <v>76</v>
          </cell>
          <cell r="DB85" t="str">
            <v>ACTIVO</v>
          </cell>
          <cell r="DC85" t="str">
            <v>B</v>
          </cell>
          <cell r="DE85">
            <v>96.375</v>
          </cell>
          <cell r="DF85">
            <v>16.0625</v>
          </cell>
          <cell r="DG85">
            <v>163.67020553613699</v>
          </cell>
          <cell r="DH85">
            <v>744</v>
          </cell>
          <cell r="DI85">
            <v>3034165.92</v>
          </cell>
          <cell r="DJ85">
            <v>7.7198443579766538</v>
          </cell>
          <cell r="DK85" t="str">
            <v>OK</v>
          </cell>
          <cell r="DL85">
            <v>48.1875</v>
          </cell>
          <cell r="DM85">
            <v>32.125</v>
          </cell>
          <cell r="DN85">
            <v>80.3125</v>
          </cell>
        </row>
        <row r="86">
          <cell r="B86">
            <v>107242</v>
          </cell>
          <cell r="C86" t="str">
            <v>CREMA RELLENO SABOR NARANJA ESP. QUINTA SC 1X5 Kg</v>
          </cell>
          <cell r="D86">
            <v>235</v>
          </cell>
          <cell r="E86">
            <v>200</v>
          </cell>
          <cell r="F86">
            <v>220</v>
          </cell>
          <cell r="G86">
            <v>190</v>
          </cell>
          <cell r="H86">
            <v>175</v>
          </cell>
          <cell r="I86">
            <v>55</v>
          </cell>
          <cell r="J86">
            <v>175</v>
          </cell>
          <cell r="K86">
            <v>165</v>
          </cell>
          <cell r="L86">
            <v>225</v>
          </cell>
          <cell r="M86">
            <v>180</v>
          </cell>
          <cell r="N86">
            <v>180</v>
          </cell>
          <cell r="O86">
            <v>15</v>
          </cell>
          <cell r="P86">
            <v>185</v>
          </cell>
          <cell r="Q86">
            <v>230</v>
          </cell>
          <cell r="R86">
            <v>250</v>
          </cell>
          <cell r="S86">
            <v>155</v>
          </cell>
          <cell r="T86">
            <v>155</v>
          </cell>
          <cell r="U86">
            <v>225</v>
          </cell>
          <cell r="V86">
            <v>245</v>
          </cell>
          <cell r="W86">
            <v>180</v>
          </cell>
          <cell r="X86">
            <v>90</v>
          </cell>
          <cell r="Z86">
            <v>175</v>
          </cell>
          <cell r="AA86">
            <v>215</v>
          </cell>
          <cell r="AB86">
            <v>190</v>
          </cell>
          <cell r="AC86">
            <v>125</v>
          </cell>
          <cell r="AD86">
            <v>65</v>
          </cell>
          <cell r="AE86">
            <v>75</v>
          </cell>
          <cell r="AF86">
            <v>181</v>
          </cell>
          <cell r="AG86">
            <v>154</v>
          </cell>
          <cell r="AH86">
            <v>145</v>
          </cell>
          <cell r="AI86">
            <v>180</v>
          </cell>
          <cell r="AJ86">
            <v>190</v>
          </cell>
          <cell r="AK86">
            <v>160</v>
          </cell>
          <cell r="AL86">
            <v>205</v>
          </cell>
          <cell r="AM86">
            <v>195</v>
          </cell>
          <cell r="AN86">
            <v>215</v>
          </cell>
          <cell r="AO86">
            <v>220</v>
          </cell>
          <cell r="AP86">
            <v>170</v>
          </cell>
          <cell r="AQ86">
            <v>205</v>
          </cell>
          <cell r="AR86">
            <v>220</v>
          </cell>
          <cell r="AS86">
            <v>205</v>
          </cell>
          <cell r="AT86">
            <v>225</v>
          </cell>
          <cell r="AU86">
            <v>325</v>
          </cell>
          <cell r="AV86">
            <v>185</v>
          </cell>
          <cell r="AW86">
            <v>195</v>
          </cell>
          <cell r="AX86">
            <v>220</v>
          </cell>
          <cell r="AY86">
            <v>185</v>
          </cell>
          <cell r="AZ86">
            <v>225</v>
          </cell>
          <cell r="BA86">
            <v>180</v>
          </cell>
          <cell r="BB86">
            <v>210</v>
          </cell>
          <cell r="BC86">
            <v>220</v>
          </cell>
          <cell r="BD86">
            <v>210</v>
          </cell>
          <cell r="BE86">
            <v>170</v>
          </cell>
          <cell r="BF86">
            <v>165</v>
          </cell>
          <cell r="BG86">
            <v>235</v>
          </cell>
          <cell r="BH86">
            <v>235</v>
          </cell>
          <cell r="BI86">
            <v>200</v>
          </cell>
          <cell r="BJ86">
            <v>185</v>
          </cell>
          <cell r="BK86">
            <v>180</v>
          </cell>
          <cell r="BL86">
            <v>255</v>
          </cell>
          <cell r="BM86">
            <v>235</v>
          </cell>
          <cell r="BN86">
            <v>195</v>
          </cell>
          <cell r="BO86">
            <v>175</v>
          </cell>
          <cell r="BP86">
            <v>15</v>
          </cell>
          <cell r="BQ86">
            <v>230</v>
          </cell>
          <cell r="BR86">
            <v>165</v>
          </cell>
          <cell r="BS86">
            <v>185</v>
          </cell>
          <cell r="BT86">
            <v>145</v>
          </cell>
          <cell r="BU86">
            <v>225</v>
          </cell>
          <cell r="BV86">
            <v>170</v>
          </cell>
          <cell r="BW86">
            <v>190</v>
          </cell>
          <cell r="BX86">
            <v>150</v>
          </cell>
          <cell r="BY86">
            <v>170</v>
          </cell>
          <cell r="BZ86">
            <v>200</v>
          </cell>
          <cell r="CA86">
            <v>290</v>
          </cell>
          <cell r="CB86">
            <v>130</v>
          </cell>
          <cell r="CC86">
            <v>205</v>
          </cell>
          <cell r="CD86">
            <v>115</v>
          </cell>
          <cell r="CE86">
            <v>65</v>
          </cell>
          <cell r="CF86">
            <v>70</v>
          </cell>
          <cell r="CG86">
            <v>160</v>
          </cell>
          <cell r="CH86">
            <v>145</v>
          </cell>
          <cell r="CI86">
            <v>155</v>
          </cell>
          <cell r="CJ86">
            <v>130</v>
          </cell>
          <cell r="CK86">
            <v>165</v>
          </cell>
          <cell r="CL86">
            <v>130</v>
          </cell>
          <cell r="CM86">
            <v>130</v>
          </cell>
          <cell r="CN86">
            <v>130</v>
          </cell>
          <cell r="CO86">
            <v>165</v>
          </cell>
          <cell r="CP86">
            <v>190</v>
          </cell>
          <cell r="CQ86">
            <v>180</v>
          </cell>
          <cell r="CR86">
            <v>170</v>
          </cell>
          <cell r="CS86">
            <v>165</v>
          </cell>
          <cell r="CT86">
            <v>205</v>
          </cell>
          <cell r="CU86">
            <v>205</v>
          </cell>
          <cell r="CV86">
            <v>220</v>
          </cell>
          <cell r="CW86">
            <v>210</v>
          </cell>
          <cell r="CX86">
            <v>190</v>
          </cell>
          <cell r="CY86">
            <v>270</v>
          </cell>
          <cell r="CZ86">
            <v>205</v>
          </cell>
          <cell r="DA86">
            <v>4235</v>
          </cell>
          <cell r="DB86" t="str">
            <v>ACTIVO</v>
          </cell>
          <cell r="DC86" t="str">
            <v>B</v>
          </cell>
          <cell r="DE86">
            <v>159.70588235294119</v>
          </cell>
          <cell r="DF86">
            <v>26.617647058823533</v>
          </cell>
          <cell r="DG86">
            <v>49.990224008015332</v>
          </cell>
          <cell r="DH86">
            <v>285</v>
          </cell>
          <cell r="DI86">
            <v>1217160.8999999999</v>
          </cell>
          <cell r="DJ86">
            <v>1.7845303867403313</v>
          </cell>
          <cell r="DK86" t="str">
            <v>OK</v>
          </cell>
          <cell r="DL86">
            <v>53.235294117647065</v>
          </cell>
          <cell r="DM86">
            <v>53.235294117647065</v>
          </cell>
          <cell r="DN86">
            <v>106.47058823529413</v>
          </cell>
        </row>
        <row r="87">
          <cell r="B87">
            <v>107342</v>
          </cell>
          <cell r="C87" t="str">
            <v>CREMA CHANTYPACK PURATOS</v>
          </cell>
          <cell r="D87">
            <v>78</v>
          </cell>
          <cell r="E87">
            <v>79</v>
          </cell>
          <cell r="F87">
            <v>21</v>
          </cell>
          <cell r="G87">
            <v>2</v>
          </cell>
          <cell r="AT87">
            <v>130</v>
          </cell>
          <cell r="CN87">
            <v>720</v>
          </cell>
          <cell r="DB87" t="str">
            <v>SIN USO</v>
          </cell>
          <cell r="DC87" t="str">
            <v>C</v>
          </cell>
          <cell r="DE87">
            <v>720</v>
          </cell>
          <cell r="DF87">
            <v>120</v>
          </cell>
          <cell r="DG87">
            <v>0</v>
          </cell>
          <cell r="DH87">
            <v>0</v>
          </cell>
          <cell r="DI87" t="str">
            <v>0</v>
          </cell>
          <cell r="DJ87">
            <v>0</v>
          </cell>
          <cell r="DK87" t="str">
            <v>INACTIVO</v>
          </cell>
          <cell r="DL87">
            <v>480</v>
          </cell>
          <cell r="DM87">
            <v>240</v>
          </cell>
          <cell r="DN87">
            <v>720</v>
          </cell>
        </row>
        <row r="88">
          <cell r="B88">
            <v>170179</v>
          </cell>
          <cell r="C88" t="str">
            <v>CREMA AMBIENTE ICING PURATOS</v>
          </cell>
          <cell r="H88">
            <v>166</v>
          </cell>
          <cell r="I88">
            <v>5</v>
          </cell>
          <cell r="M88">
            <v>1172</v>
          </cell>
          <cell r="N88">
            <v>1609</v>
          </cell>
          <cell r="O88">
            <v>203</v>
          </cell>
          <cell r="P88">
            <v>556</v>
          </cell>
          <cell r="Q88">
            <v>1221</v>
          </cell>
          <cell r="R88">
            <v>658</v>
          </cell>
          <cell r="S88">
            <v>1312</v>
          </cell>
          <cell r="T88">
            <v>1192</v>
          </cell>
          <cell r="U88">
            <v>84</v>
          </cell>
          <cell r="AO88">
            <v>204</v>
          </cell>
          <cell r="BC88">
            <v>271</v>
          </cell>
          <cell r="BD88">
            <v>129</v>
          </cell>
          <cell r="BP88">
            <v>400</v>
          </cell>
          <cell r="DB88" t="str">
            <v>SIN USO</v>
          </cell>
          <cell r="DC88" t="str">
            <v>C</v>
          </cell>
          <cell r="DE88">
            <v>0</v>
          </cell>
          <cell r="DF88">
            <v>0</v>
          </cell>
          <cell r="DG88">
            <v>115.02753293595987</v>
          </cell>
          <cell r="DH88">
            <v>0</v>
          </cell>
          <cell r="DI88" t="str">
            <v>0</v>
          </cell>
          <cell r="DJ88">
            <v>0</v>
          </cell>
          <cell r="DK88" t="str">
            <v>INACTIVO</v>
          </cell>
          <cell r="DL88">
            <v>0</v>
          </cell>
          <cell r="DM88">
            <v>0</v>
          </cell>
          <cell r="DN88">
            <v>0</v>
          </cell>
        </row>
        <row r="89">
          <cell r="B89">
            <v>107283</v>
          </cell>
          <cell r="C89" t="str">
            <v>CREMA CHANTIFESTA RICHS</v>
          </cell>
          <cell r="J89">
            <v>282</v>
          </cell>
          <cell r="K89">
            <v>34</v>
          </cell>
          <cell r="L89">
            <v>106</v>
          </cell>
          <cell r="M89">
            <v>499</v>
          </cell>
          <cell r="N89">
            <v>94</v>
          </cell>
          <cell r="O89">
            <v>120</v>
          </cell>
          <cell r="P89">
            <v>146</v>
          </cell>
          <cell r="Q89">
            <v>263</v>
          </cell>
          <cell r="R89">
            <v>184</v>
          </cell>
          <cell r="S89">
            <v>379</v>
          </cell>
          <cell r="T89">
            <v>143</v>
          </cell>
          <cell r="U89">
            <v>451</v>
          </cell>
          <cell r="V89">
            <v>331</v>
          </cell>
          <cell r="W89">
            <v>144</v>
          </cell>
          <cell r="X89">
            <v>315</v>
          </cell>
          <cell r="Y89">
            <v>560</v>
          </cell>
          <cell r="Z89">
            <v>286</v>
          </cell>
          <cell r="AA89">
            <v>166</v>
          </cell>
          <cell r="AB89">
            <v>486</v>
          </cell>
          <cell r="AC89">
            <v>190</v>
          </cell>
          <cell r="AD89">
            <v>128</v>
          </cell>
          <cell r="AE89">
            <v>241</v>
          </cell>
          <cell r="AF89">
            <v>374</v>
          </cell>
          <cell r="AG89">
            <v>460</v>
          </cell>
          <cell r="AH89">
            <v>118</v>
          </cell>
          <cell r="AI89">
            <v>535.5</v>
          </cell>
          <cell r="AJ89">
            <v>270</v>
          </cell>
          <cell r="AK89">
            <v>0</v>
          </cell>
          <cell r="AL89">
            <v>299</v>
          </cell>
          <cell r="AM89">
            <v>289</v>
          </cell>
          <cell r="AN89">
            <v>340</v>
          </cell>
          <cell r="AO89">
            <v>321</v>
          </cell>
          <cell r="AP89">
            <v>719</v>
          </cell>
          <cell r="AQ89">
            <v>246</v>
          </cell>
          <cell r="AR89">
            <v>403</v>
          </cell>
          <cell r="AS89">
            <v>288</v>
          </cell>
          <cell r="AT89">
            <v>348</v>
          </cell>
          <cell r="AU89">
            <v>247</v>
          </cell>
          <cell r="AV89">
            <v>377</v>
          </cell>
          <cell r="DB89" t="str">
            <v>SIN USO</v>
          </cell>
          <cell r="DC89" t="str">
            <v>B</v>
          </cell>
          <cell r="DE89">
            <v>0</v>
          </cell>
          <cell r="DF89">
            <v>0</v>
          </cell>
          <cell r="DG89">
            <v>154.14186074942174</v>
          </cell>
          <cell r="DH89">
            <v>0</v>
          </cell>
          <cell r="DI89" t="str">
            <v>0</v>
          </cell>
          <cell r="DJ89">
            <v>0</v>
          </cell>
          <cell r="DK89" t="str">
            <v>INACTIVO</v>
          </cell>
          <cell r="DL89">
            <v>0</v>
          </cell>
          <cell r="DM89">
            <v>0</v>
          </cell>
          <cell r="DN89">
            <v>0</v>
          </cell>
        </row>
        <row r="90">
          <cell r="D90">
            <v>8652</v>
          </cell>
          <cell r="E90">
            <v>9002</v>
          </cell>
          <cell r="F90">
            <v>8157</v>
          </cell>
          <cell r="G90">
            <v>8930</v>
          </cell>
          <cell r="H90">
            <v>11221</v>
          </cell>
          <cell r="I90">
            <v>8043</v>
          </cell>
          <cell r="J90">
            <v>10029</v>
          </cell>
          <cell r="K90">
            <v>8506</v>
          </cell>
          <cell r="L90">
            <v>9793</v>
          </cell>
          <cell r="M90">
            <v>10528</v>
          </cell>
          <cell r="N90">
            <v>8890</v>
          </cell>
          <cell r="O90">
            <v>5426</v>
          </cell>
          <cell r="P90">
            <v>7586</v>
          </cell>
          <cell r="Q90">
            <v>9304</v>
          </cell>
          <cell r="R90">
            <v>9779</v>
          </cell>
          <cell r="S90">
            <v>9183</v>
          </cell>
          <cell r="T90">
            <v>8452</v>
          </cell>
          <cell r="U90">
            <v>10859</v>
          </cell>
          <cell r="V90">
            <v>11600</v>
          </cell>
          <cell r="W90">
            <v>7283</v>
          </cell>
          <cell r="X90">
            <v>10112</v>
          </cell>
          <cell r="Y90">
            <v>12300</v>
          </cell>
          <cell r="Z90">
            <v>7426</v>
          </cell>
          <cell r="AA90">
            <v>8047</v>
          </cell>
          <cell r="AB90">
            <v>8328</v>
          </cell>
          <cell r="AC90">
            <v>5921</v>
          </cell>
          <cell r="AD90">
            <v>1935</v>
          </cell>
          <cell r="AE90">
            <v>2499</v>
          </cell>
          <cell r="AF90">
            <v>8162</v>
          </cell>
          <cell r="AG90">
            <v>9222</v>
          </cell>
          <cell r="AH90">
            <v>9640</v>
          </cell>
          <cell r="AI90">
            <v>12246</v>
          </cell>
          <cell r="AJ90">
            <v>12356</v>
          </cell>
          <cell r="AK90">
            <v>8305</v>
          </cell>
          <cell r="AL90">
            <v>7591</v>
          </cell>
          <cell r="AM90">
            <v>6725</v>
          </cell>
          <cell r="AN90">
            <v>9102</v>
          </cell>
          <cell r="AO90">
            <v>14690</v>
          </cell>
          <cell r="AP90">
            <v>9779</v>
          </cell>
          <cell r="AQ90">
            <v>10283</v>
          </cell>
          <cell r="AR90">
            <v>10664</v>
          </cell>
          <cell r="AS90">
            <v>8792.5</v>
          </cell>
          <cell r="AT90">
            <v>12913</v>
          </cell>
          <cell r="AU90">
            <v>14491</v>
          </cell>
          <cell r="AV90">
            <v>12845</v>
          </cell>
          <cell r="AW90">
            <v>12014</v>
          </cell>
          <cell r="AX90">
            <v>6186</v>
          </cell>
          <cell r="AY90">
            <v>8299</v>
          </cell>
          <cell r="AZ90">
            <v>11009.5</v>
          </cell>
          <cell r="BA90">
            <v>13426</v>
          </cell>
          <cell r="BB90">
            <v>7698</v>
          </cell>
          <cell r="BC90">
            <v>9058</v>
          </cell>
          <cell r="BD90">
            <v>8009</v>
          </cell>
          <cell r="BE90">
            <v>9078</v>
          </cell>
          <cell r="BF90">
            <v>9228</v>
          </cell>
          <cell r="BG90">
            <v>9311</v>
          </cell>
          <cell r="BH90">
            <v>10499</v>
          </cell>
          <cell r="BI90">
            <v>8965</v>
          </cell>
          <cell r="BJ90">
            <v>10031</v>
          </cell>
          <cell r="BK90">
            <v>10166</v>
          </cell>
          <cell r="BL90">
            <v>9971</v>
          </cell>
          <cell r="BM90">
            <v>9289</v>
          </cell>
          <cell r="BN90">
            <v>10038</v>
          </cell>
          <cell r="BO90">
            <v>10049</v>
          </cell>
          <cell r="BP90">
            <v>3627</v>
          </cell>
          <cell r="BQ90">
            <v>9256</v>
          </cell>
          <cell r="BR90">
            <v>7591</v>
          </cell>
          <cell r="BS90">
            <v>11538</v>
          </cell>
          <cell r="BT90">
            <v>9247</v>
          </cell>
          <cell r="BU90">
            <v>9380</v>
          </cell>
          <cell r="BV90">
            <v>8048</v>
          </cell>
          <cell r="BW90">
            <v>7954</v>
          </cell>
          <cell r="BX90">
            <v>6337</v>
          </cell>
          <cell r="BY90">
            <v>5960</v>
          </cell>
          <cell r="BZ90">
            <v>6617</v>
          </cell>
          <cell r="CA90">
            <v>8011</v>
          </cell>
          <cell r="CB90">
            <v>5798</v>
          </cell>
          <cell r="CC90">
            <v>8335</v>
          </cell>
          <cell r="CD90">
            <v>6764.5</v>
          </cell>
          <cell r="CE90">
            <v>4836</v>
          </cell>
          <cell r="CF90">
            <v>2993</v>
          </cell>
          <cell r="CG90">
            <v>8986</v>
          </cell>
          <cell r="CH90">
            <v>8039</v>
          </cell>
          <cell r="CI90">
            <v>9177</v>
          </cell>
          <cell r="CJ90">
            <v>7598</v>
          </cell>
          <cell r="CK90">
            <v>9344</v>
          </cell>
          <cell r="CL90">
            <v>9546</v>
          </cell>
          <cell r="CM90">
            <v>7587</v>
          </cell>
          <cell r="CN90">
            <v>10472</v>
          </cell>
          <cell r="CO90">
            <v>8529</v>
          </cell>
          <cell r="CP90">
            <v>8561</v>
          </cell>
          <cell r="CQ90">
            <v>8045</v>
          </cell>
          <cell r="CR90">
            <v>9158</v>
          </cell>
          <cell r="CS90">
            <v>6150</v>
          </cell>
          <cell r="CT90">
            <v>11843</v>
          </cell>
          <cell r="CU90">
            <v>13305</v>
          </cell>
          <cell r="CV90">
            <v>14976</v>
          </cell>
          <cell r="CW90">
            <v>11559</v>
          </cell>
          <cell r="CX90">
            <v>6378</v>
          </cell>
          <cell r="CY90">
            <v>13228</v>
          </cell>
          <cell r="CZ90">
            <v>8451</v>
          </cell>
          <cell r="DA90">
            <v>15589</v>
          </cell>
          <cell r="DB90" t="str">
            <v>ACTIVO</v>
          </cell>
          <cell r="DC90" t="str">
            <v/>
          </cell>
          <cell r="DE90">
            <v>9077</v>
          </cell>
          <cell r="DF90">
            <v>1512.8333333333333</v>
          </cell>
          <cell r="DG90">
            <v>2471.0929291170673</v>
          </cell>
          <cell r="DH90">
            <v>0</v>
          </cell>
          <cell r="DI90" t="str">
            <v>0</v>
          </cell>
          <cell r="DJ90">
            <v>0</v>
          </cell>
          <cell r="DK90" t="str">
            <v>INACTIVO</v>
          </cell>
          <cell r="DL90">
            <v>0</v>
          </cell>
          <cell r="DM90">
            <v>3025.6666666666665</v>
          </cell>
          <cell r="DN90">
            <v>3025.6666666666665</v>
          </cell>
        </row>
        <row r="91">
          <cell r="B91">
            <v>405380</v>
          </cell>
          <cell r="C91" t="str">
            <v>CUPULA TORTA ALTA  15PP (98-5) FPS</v>
          </cell>
          <cell r="J91">
            <v>1330</v>
          </cell>
          <cell r="K91">
            <v>3500</v>
          </cell>
          <cell r="M91">
            <v>1610</v>
          </cell>
          <cell r="N91">
            <v>1750</v>
          </cell>
          <cell r="P91">
            <v>350</v>
          </cell>
          <cell r="Q91">
            <v>1330</v>
          </cell>
          <cell r="DB91" t="str">
            <v>SIN USO</v>
          </cell>
          <cell r="DC91" t="str">
            <v/>
          </cell>
          <cell r="DE91">
            <v>0</v>
          </cell>
          <cell r="DF91">
            <v>0</v>
          </cell>
          <cell r="DG91">
            <v>0</v>
          </cell>
          <cell r="DH91">
            <v>0</v>
          </cell>
          <cell r="DI91" t="str">
            <v>0</v>
          </cell>
          <cell r="DJ91">
            <v>0</v>
          </cell>
          <cell r="DK91" t="str">
            <v>INACTIVO</v>
          </cell>
          <cell r="DL91">
            <v>0</v>
          </cell>
          <cell r="DM91">
            <v>0</v>
          </cell>
          <cell r="DN91">
            <v>0</v>
          </cell>
        </row>
        <row r="92">
          <cell r="B92">
            <v>405489</v>
          </cell>
          <cell r="C92" t="str">
            <v>CUPULA TARTA 1025-5 MOLDES PAC</v>
          </cell>
          <cell r="AF92">
            <v>1120</v>
          </cell>
          <cell r="AG92">
            <v>840</v>
          </cell>
          <cell r="AN92">
            <v>350</v>
          </cell>
          <cell r="AY92">
            <v>140</v>
          </cell>
          <cell r="BB92">
            <v>350</v>
          </cell>
          <cell r="BG92">
            <v>210</v>
          </cell>
          <cell r="BI92">
            <v>280</v>
          </cell>
          <cell r="BK92">
            <v>280</v>
          </cell>
          <cell r="BM92">
            <v>1400</v>
          </cell>
          <cell r="CD92">
            <v>490</v>
          </cell>
          <cell r="CU92">
            <v>1300</v>
          </cell>
          <cell r="CV92">
            <v>70</v>
          </cell>
          <cell r="DB92" t="str">
            <v>SIN USO</v>
          </cell>
          <cell r="DC92" t="str">
            <v>C</v>
          </cell>
          <cell r="DE92">
            <v>685</v>
          </cell>
          <cell r="DF92">
            <v>114.16666666666667</v>
          </cell>
          <cell r="DG92">
            <v>427.4524015087008</v>
          </cell>
          <cell r="DH92">
            <v>800</v>
          </cell>
          <cell r="DI92">
            <v>197600</v>
          </cell>
          <cell r="DJ92">
            <v>1.167883211678832</v>
          </cell>
          <cell r="DK92" t="str">
            <v>INACTIVO</v>
          </cell>
          <cell r="DL92">
            <v>228.33333333333334</v>
          </cell>
          <cell r="DM92">
            <v>228.33333333333334</v>
          </cell>
          <cell r="DN92">
            <v>456.66666666666669</v>
          </cell>
        </row>
        <row r="93">
          <cell r="B93">
            <v>403338</v>
          </cell>
          <cell r="C93" t="str">
            <v>BLISTER 7189 1 PASTEL DEANDES</v>
          </cell>
          <cell r="D93">
            <v>33000</v>
          </cell>
          <cell r="E93">
            <v>25800</v>
          </cell>
          <cell r="F93">
            <v>30600</v>
          </cell>
          <cell r="G93">
            <v>24600</v>
          </cell>
          <cell r="H93">
            <v>29400</v>
          </cell>
          <cell r="I93">
            <v>23400</v>
          </cell>
          <cell r="J93">
            <v>26400</v>
          </cell>
          <cell r="K93">
            <v>20400</v>
          </cell>
          <cell r="L93">
            <v>30600</v>
          </cell>
          <cell r="M93">
            <v>27000</v>
          </cell>
          <cell r="N93">
            <v>25800</v>
          </cell>
          <cell r="O93">
            <v>4200</v>
          </cell>
          <cell r="P93">
            <v>19800</v>
          </cell>
          <cell r="Q93">
            <v>31800</v>
          </cell>
          <cell r="R93">
            <v>24600</v>
          </cell>
          <cell r="S93">
            <v>25200</v>
          </cell>
          <cell r="T93">
            <v>19800</v>
          </cell>
          <cell r="U93">
            <v>26400</v>
          </cell>
          <cell r="V93">
            <v>29400</v>
          </cell>
          <cell r="W93">
            <v>19200</v>
          </cell>
          <cell r="X93">
            <v>15600</v>
          </cell>
          <cell r="Z93">
            <v>31800</v>
          </cell>
          <cell r="AA93">
            <v>25200</v>
          </cell>
          <cell r="AB93">
            <v>27600</v>
          </cell>
          <cell r="AC93">
            <v>18600</v>
          </cell>
          <cell r="AD93">
            <v>6600</v>
          </cell>
          <cell r="AE93">
            <v>6600</v>
          </cell>
          <cell r="AF93">
            <v>29400</v>
          </cell>
          <cell r="AG93">
            <v>24600</v>
          </cell>
          <cell r="AH93">
            <v>21000</v>
          </cell>
          <cell r="AI93">
            <v>29400</v>
          </cell>
          <cell r="AJ93">
            <v>27000</v>
          </cell>
          <cell r="AK93">
            <v>23400</v>
          </cell>
          <cell r="AL93">
            <v>25800</v>
          </cell>
          <cell r="AM93">
            <v>27600</v>
          </cell>
          <cell r="AN93">
            <v>29400</v>
          </cell>
          <cell r="AO93">
            <v>22200</v>
          </cell>
          <cell r="AP93">
            <v>21600</v>
          </cell>
          <cell r="AQ93">
            <v>24000</v>
          </cell>
          <cell r="AR93">
            <v>28800</v>
          </cell>
          <cell r="AS93">
            <v>27000</v>
          </cell>
          <cell r="AT93">
            <v>26400</v>
          </cell>
          <cell r="AU93">
            <v>19200</v>
          </cell>
          <cell r="AV93">
            <v>16200</v>
          </cell>
          <cell r="AW93">
            <v>19800</v>
          </cell>
          <cell r="AX93">
            <v>23400</v>
          </cell>
          <cell r="AY93">
            <v>19800</v>
          </cell>
          <cell r="AZ93">
            <v>23400</v>
          </cell>
          <cell r="BA93">
            <v>22800</v>
          </cell>
          <cell r="BB93">
            <v>20400</v>
          </cell>
          <cell r="BC93">
            <v>22800</v>
          </cell>
          <cell r="BD93">
            <v>27600</v>
          </cell>
          <cell r="BE93">
            <v>26400</v>
          </cell>
          <cell r="BF93">
            <v>21000</v>
          </cell>
          <cell r="BG93">
            <v>25800</v>
          </cell>
          <cell r="BH93">
            <v>30000</v>
          </cell>
          <cell r="BI93">
            <v>24600</v>
          </cell>
          <cell r="BJ93">
            <v>26400</v>
          </cell>
          <cell r="BK93">
            <v>22900</v>
          </cell>
          <cell r="BL93">
            <v>10100</v>
          </cell>
          <cell r="BM93">
            <v>9600</v>
          </cell>
          <cell r="BN93">
            <v>9600</v>
          </cell>
          <cell r="BO93">
            <v>8400</v>
          </cell>
          <cell r="BP93">
            <v>5600</v>
          </cell>
          <cell r="BQ93">
            <v>21400</v>
          </cell>
          <cell r="BS93">
            <v>7700</v>
          </cell>
          <cell r="BT93">
            <v>12300</v>
          </cell>
          <cell r="BU93">
            <v>9600</v>
          </cell>
          <cell r="BV93">
            <v>18200</v>
          </cell>
          <cell r="BW93">
            <v>8700</v>
          </cell>
          <cell r="BX93">
            <v>9100</v>
          </cell>
          <cell r="BY93">
            <v>16800</v>
          </cell>
          <cell r="BZ93">
            <v>24500</v>
          </cell>
          <cell r="CA93">
            <v>28000</v>
          </cell>
          <cell r="CB93">
            <v>18900</v>
          </cell>
          <cell r="CC93">
            <v>23100</v>
          </cell>
          <cell r="CD93">
            <v>16700</v>
          </cell>
          <cell r="CE93">
            <v>6300</v>
          </cell>
          <cell r="CF93">
            <v>7700</v>
          </cell>
          <cell r="CG93">
            <v>21700</v>
          </cell>
          <cell r="CH93">
            <v>20700</v>
          </cell>
          <cell r="CI93">
            <v>13800</v>
          </cell>
          <cell r="CJ93">
            <v>22400</v>
          </cell>
          <cell r="CK93">
            <v>22400</v>
          </cell>
          <cell r="CL93">
            <v>24000</v>
          </cell>
          <cell r="CM93">
            <v>25200</v>
          </cell>
          <cell r="CN93">
            <v>21300</v>
          </cell>
          <cell r="CO93">
            <v>21600</v>
          </cell>
          <cell r="CP93">
            <v>25200</v>
          </cell>
          <cell r="CQ93">
            <v>22200</v>
          </cell>
          <cell r="CR93">
            <v>25200</v>
          </cell>
          <cell r="CS93">
            <v>22200</v>
          </cell>
          <cell r="CT93">
            <v>27000</v>
          </cell>
          <cell r="CU93">
            <v>34800</v>
          </cell>
          <cell r="CV93">
            <v>33000</v>
          </cell>
          <cell r="CW93">
            <v>28200</v>
          </cell>
          <cell r="CX93">
            <v>21000</v>
          </cell>
          <cell r="CY93">
            <v>31200</v>
          </cell>
          <cell r="CZ93">
            <v>24600</v>
          </cell>
          <cell r="DA93">
            <v>25800</v>
          </cell>
          <cell r="DB93" t="str">
            <v>ACTIVO</v>
          </cell>
          <cell r="DC93" t="str">
            <v>A</v>
          </cell>
          <cell r="DE93">
            <v>22964.705882352941</v>
          </cell>
          <cell r="DF93">
            <v>3827.4509803921569</v>
          </cell>
          <cell r="DG93">
            <v>7270.2650153667137</v>
          </cell>
          <cell r="DH93">
            <v>11400</v>
          </cell>
          <cell r="DI93">
            <v>563616</v>
          </cell>
          <cell r="DJ93">
            <v>0.4964139344262295</v>
          </cell>
          <cell r="DK93" t="str">
            <v>OK</v>
          </cell>
          <cell r="DL93">
            <v>11482.35294117647</v>
          </cell>
          <cell r="DM93">
            <v>7654.9019607843138</v>
          </cell>
          <cell r="DN93">
            <v>19137.254901960783</v>
          </cell>
        </row>
        <row r="94">
          <cell r="B94">
            <v>107281</v>
          </cell>
          <cell r="C94" t="str">
            <v>BLISTER 7189 1 PASTEL BUENAVENTURA</v>
          </cell>
          <cell r="BH94">
            <v>4800</v>
          </cell>
          <cell r="BI94">
            <v>6000</v>
          </cell>
          <cell r="BK94">
            <v>5700</v>
          </cell>
          <cell r="BL94">
            <v>20700</v>
          </cell>
          <cell r="BM94">
            <v>17700</v>
          </cell>
          <cell r="BN94">
            <v>14900</v>
          </cell>
          <cell r="BO94">
            <v>16100</v>
          </cell>
          <cell r="BP94">
            <v>3500</v>
          </cell>
          <cell r="BQ94">
            <v>9400</v>
          </cell>
          <cell r="BR94">
            <v>21700</v>
          </cell>
          <cell r="BS94">
            <v>10100</v>
          </cell>
          <cell r="BT94">
            <v>15000</v>
          </cell>
          <cell r="BU94">
            <v>13500</v>
          </cell>
          <cell r="BV94">
            <v>2800</v>
          </cell>
          <cell r="BW94">
            <v>16500</v>
          </cell>
          <cell r="BX94">
            <v>8400</v>
          </cell>
          <cell r="BY94">
            <v>7000</v>
          </cell>
          <cell r="CC94">
            <v>1800</v>
          </cell>
          <cell r="CD94">
            <v>2900</v>
          </cell>
          <cell r="CE94">
            <v>2800</v>
          </cell>
          <cell r="CH94">
            <v>2400</v>
          </cell>
          <cell r="CI94">
            <v>7400</v>
          </cell>
          <cell r="DB94" t="str">
            <v>SIN USO</v>
          </cell>
          <cell r="DC94" t="str">
            <v>C</v>
          </cell>
          <cell r="DE94">
            <v>4900</v>
          </cell>
          <cell r="DF94">
            <v>816.66666666666663</v>
          </cell>
          <cell r="DG94">
            <v>6441.4181995157433</v>
          </cell>
          <cell r="DH94">
            <v>0</v>
          </cell>
          <cell r="DI94" t="str">
            <v>0</v>
          </cell>
          <cell r="DJ94">
            <v>0</v>
          </cell>
          <cell r="DK94" t="str">
            <v>INACTIVO</v>
          </cell>
          <cell r="DL94">
            <v>1633.3333333333333</v>
          </cell>
          <cell r="DM94">
            <v>1633.3333333333333</v>
          </cell>
          <cell r="DN94">
            <v>3266.6666666666665</v>
          </cell>
        </row>
        <row r="95">
          <cell r="B95">
            <v>403208</v>
          </cell>
          <cell r="C95" t="str">
            <v>BLISTER PARA BERLINES ART 401-A DEANDES</v>
          </cell>
          <cell r="G95">
            <v>3150</v>
          </cell>
          <cell r="DB95" t="str">
            <v>SIN USO</v>
          </cell>
          <cell r="DC95" t="str">
            <v/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 t="str">
            <v>0</v>
          </cell>
          <cell r="DJ95">
            <v>0</v>
          </cell>
          <cell r="DK95" t="str">
            <v>INACTIVO</v>
          </cell>
          <cell r="DL95">
            <v>0</v>
          </cell>
          <cell r="DM95">
            <v>0</v>
          </cell>
          <cell r="DN95">
            <v>0</v>
          </cell>
        </row>
        <row r="96">
          <cell r="B96">
            <v>405635</v>
          </cell>
          <cell r="C96" t="str">
            <v>CLAMSHELL 3-3 BAT RECT. ECOPLASTIC</v>
          </cell>
          <cell r="BU96">
            <v>2000</v>
          </cell>
          <cell r="BW96">
            <v>2000</v>
          </cell>
          <cell r="BX96">
            <v>800</v>
          </cell>
          <cell r="BY96">
            <v>1600</v>
          </cell>
          <cell r="DB96" t="str">
            <v>SIN USO</v>
          </cell>
          <cell r="DC96" t="str">
            <v>C</v>
          </cell>
          <cell r="DE96">
            <v>0</v>
          </cell>
          <cell r="DF96">
            <v>0</v>
          </cell>
          <cell r="DG96">
            <v>565.68542494923804</v>
          </cell>
          <cell r="DH96">
            <v>0</v>
          </cell>
          <cell r="DI96" t="str">
            <v>0</v>
          </cell>
          <cell r="DJ96">
            <v>0</v>
          </cell>
          <cell r="DK96" t="str">
            <v>INACTIVO</v>
          </cell>
          <cell r="DL96">
            <v>0</v>
          </cell>
          <cell r="DM96">
            <v>0</v>
          </cell>
          <cell r="DN96">
            <v>0</v>
          </cell>
        </row>
        <row r="97">
          <cell r="B97">
            <v>405594</v>
          </cell>
          <cell r="C97" t="str">
            <v>CUPULA TORTA 15PP OSKUPACK</v>
          </cell>
          <cell r="CB97">
            <v>0</v>
          </cell>
          <cell r="DB97" t="str">
            <v>SIN USO</v>
          </cell>
          <cell r="DC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2000</v>
          </cell>
          <cell r="DI97">
            <v>352000</v>
          </cell>
          <cell r="DJ97">
            <v>0</v>
          </cell>
          <cell r="DK97" t="str">
            <v>INACTIVO</v>
          </cell>
          <cell r="DL97">
            <v>0</v>
          </cell>
          <cell r="DM97">
            <v>0</v>
          </cell>
          <cell r="DN97">
            <v>0</v>
          </cell>
        </row>
        <row r="98">
          <cell r="B98">
            <v>107344</v>
          </cell>
          <cell r="C98" t="str">
            <v>CUPULA TORTA ALTA  15PP (98-5) MOLDESPAC</v>
          </cell>
          <cell r="F98">
            <v>1050</v>
          </cell>
          <cell r="G98">
            <v>1190</v>
          </cell>
          <cell r="Y98">
            <v>12110</v>
          </cell>
          <cell r="Z98">
            <v>2030</v>
          </cell>
          <cell r="AB98">
            <v>490</v>
          </cell>
          <cell r="AD98">
            <v>420</v>
          </cell>
          <cell r="AF98">
            <v>7140</v>
          </cell>
          <cell r="AG98">
            <v>2030</v>
          </cell>
          <cell r="AH98">
            <v>4050</v>
          </cell>
          <cell r="AI98">
            <v>3890</v>
          </cell>
          <cell r="AJ98">
            <v>2310</v>
          </cell>
          <cell r="AK98">
            <v>3010</v>
          </cell>
          <cell r="AL98">
            <v>7740</v>
          </cell>
          <cell r="AM98">
            <v>5670</v>
          </cell>
          <cell r="AN98">
            <v>700</v>
          </cell>
          <cell r="AO98">
            <v>8260</v>
          </cell>
          <cell r="AP98">
            <v>10500</v>
          </cell>
          <cell r="AQ98">
            <v>8960</v>
          </cell>
          <cell r="AR98">
            <v>280</v>
          </cell>
          <cell r="AS98">
            <v>1090</v>
          </cell>
          <cell r="AT98">
            <v>1190</v>
          </cell>
          <cell r="AU98">
            <v>210</v>
          </cell>
          <cell r="AV98">
            <v>2590</v>
          </cell>
          <cell r="AW98">
            <v>3640</v>
          </cell>
          <cell r="AX98">
            <v>700</v>
          </cell>
          <cell r="AY98">
            <v>1750</v>
          </cell>
          <cell r="AZ98">
            <v>280</v>
          </cell>
          <cell r="BA98">
            <v>1260</v>
          </cell>
          <cell r="BB98">
            <v>1400</v>
          </cell>
          <cell r="BC98">
            <v>2037</v>
          </cell>
          <cell r="BD98">
            <v>1610</v>
          </cell>
          <cell r="BE98">
            <v>350</v>
          </cell>
          <cell r="BF98">
            <v>420</v>
          </cell>
          <cell r="BG98">
            <v>1820</v>
          </cell>
          <cell r="BH98">
            <v>3360</v>
          </cell>
          <cell r="BI98">
            <v>2870</v>
          </cell>
          <cell r="BJ98">
            <v>630</v>
          </cell>
          <cell r="BK98">
            <v>770</v>
          </cell>
          <cell r="BL98">
            <v>910</v>
          </cell>
          <cell r="BM98">
            <v>1890</v>
          </cell>
          <cell r="BO98">
            <v>1400</v>
          </cell>
          <cell r="BQ98">
            <v>2030</v>
          </cell>
          <cell r="BR98">
            <v>4060</v>
          </cell>
          <cell r="BS98">
            <v>2940</v>
          </cell>
          <cell r="BT98">
            <v>2590</v>
          </cell>
          <cell r="BU98">
            <v>910</v>
          </cell>
          <cell r="BV98">
            <v>700</v>
          </cell>
          <cell r="BW98">
            <v>1190</v>
          </cell>
          <cell r="BX98">
            <v>1540</v>
          </cell>
          <cell r="BY98">
            <v>280</v>
          </cell>
          <cell r="BZ98">
            <v>770</v>
          </cell>
          <cell r="CB98">
            <v>840</v>
          </cell>
          <cell r="CC98">
            <v>700</v>
          </cell>
          <cell r="CE98">
            <v>420</v>
          </cell>
          <cell r="CG98">
            <v>3780</v>
          </cell>
          <cell r="CH98">
            <v>4360</v>
          </cell>
          <cell r="CI98">
            <v>1750</v>
          </cell>
          <cell r="CJ98">
            <v>8770</v>
          </cell>
          <cell r="CK98">
            <v>70</v>
          </cell>
          <cell r="CL98">
            <v>140</v>
          </cell>
          <cell r="CM98">
            <v>1750</v>
          </cell>
          <cell r="CN98">
            <v>2730</v>
          </cell>
          <cell r="CO98">
            <v>1890</v>
          </cell>
          <cell r="CP98">
            <v>1960</v>
          </cell>
          <cell r="CQ98">
            <v>3500</v>
          </cell>
          <cell r="CR98">
            <v>2730</v>
          </cell>
          <cell r="CS98">
            <v>1820</v>
          </cell>
          <cell r="CT98">
            <v>4270</v>
          </cell>
          <cell r="CU98">
            <v>4410</v>
          </cell>
          <cell r="CX98">
            <v>1540</v>
          </cell>
          <cell r="CY98">
            <v>4200</v>
          </cell>
          <cell r="CZ98">
            <v>1400</v>
          </cell>
          <cell r="DA98">
            <v>910</v>
          </cell>
          <cell r="DB98" t="str">
            <v>ACTIVO</v>
          </cell>
          <cell r="DC98" t="str">
            <v>B</v>
          </cell>
          <cell r="DE98">
            <v>2928.6666666666665</v>
          </cell>
          <cell r="DF98">
            <v>488.11111111111109</v>
          </cell>
          <cell r="DG98">
            <v>2456.9135108010491</v>
          </cell>
          <cell r="DH98">
            <v>11760</v>
          </cell>
          <cell r="DI98">
            <v>2764305.6</v>
          </cell>
          <cell r="DJ98">
            <v>4.0154791714090603</v>
          </cell>
          <cell r="DK98" t="str">
            <v>OK</v>
          </cell>
          <cell r="DL98">
            <v>976.22222222222217</v>
          </cell>
          <cell r="DM98">
            <v>976.22222222222217</v>
          </cell>
          <cell r="DN98">
            <v>1952.4444444444443</v>
          </cell>
        </row>
        <row r="99">
          <cell r="B99">
            <v>403231</v>
          </cell>
          <cell r="C99" t="str">
            <v>CUPULA TORTA ALTA  15PP (98-5) MONSALVE CENCOSUD</v>
          </cell>
          <cell r="D99">
            <v>8540</v>
          </cell>
          <cell r="E99">
            <v>12670</v>
          </cell>
          <cell r="F99">
            <v>12810</v>
          </cell>
          <cell r="G99">
            <v>10790</v>
          </cell>
          <cell r="H99">
            <v>6370</v>
          </cell>
          <cell r="J99">
            <v>5110</v>
          </cell>
          <cell r="K99">
            <v>13860</v>
          </cell>
          <cell r="L99">
            <v>13440</v>
          </cell>
          <cell r="M99">
            <v>9030</v>
          </cell>
          <cell r="N99">
            <v>7420</v>
          </cell>
          <cell r="O99">
            <v>9801.0499999999993</v>
          </cell>
          <cell r="P99">
            <v>9100</v>
          </cell>
          <cell r="Q99">
            <v>6720</v>
          </cell>
          <cell r="R99">
            <v>10080</v>
          </cell>
          <cell r="S99">
            <v>7000</v>
          </cell>
          <cell r="T99">
            <v>5350</v>
          </cell>
          <cell r="U99">
            <v>12530</v>
          </cell>
          <cell r="V99">
            <v>2380</v>
          </cell>
          <cell r="W99">
            <v>210</v>
          </cell>
          <cell r="X99">
            <v>6860</v>
          </cell>
          <cell r="Z99">
            <v>2940</v>
          </cell>
          <cell r="AA99">
            <v>2720</v>
          </cell>
          <cell r="AB99">
            <v>2520</v>
          </cell>
          <cell r="AC99">
            <v>8330</v>
          </cell>
          <cell r="AD99">
            <v>1260</v>
          </cell>
          <cell r="AE99">
            <v>3150</v>
          </cell>
          <cell r="AF99">
            <v>1120</v>
          </cell>
          <cell r="AR99">
            <v>1500</v>
          </cell>
          <cell r="AS99">
            <v>2450</v>
          </cell>
          <cell r="BJ99">
            <v>1330</v>
          </cell>
          <cell r="BK99">
            <v>980</v>
          </cell>
          <cell r="BL99">
            <v>910</v>
          </cell>
          <cell r="BM99">
            <v>14770</v>
          </cell>
          <cell r="BN99">
            <v>840</v>
          </cell>
          <cell r="BO99">
            <v>2100</v>
          </cell>
          <cell r="BP99">
            <v>1190</v>
          </cell>
          <cell r="BQ99">
            <v>2380</v>
          </cell>
          <cell r="BU99">
            <v>2310</v>
          </cell>
          <cell r="BV99">
            <v>2240</v>
          </cell>
          <cell r="BW99">
            <v>1890</v>
          </cell>
          <cell r="BX99">
            <v>1680</v>
          </cell>
          <cell r="BY99">
            <v>1890</v>
          </cell>
          <cell r="BZ99">
            <v>3570</v>
          </cell>
          <cell r="CA99">
            <v>3010</v>
          </cell>
          <cell r="CB99">
            <v>2170</v>
          </cell>
          <cell r="CC99">
            <v>2870</v>
          </cell>
          <cell r="CD99">
            <v>1680</v>
          </cell>
          <cell r="CF99">
            <v>1190</v>
          </cell>
          <cell r="CG99">
            <v>630</v>
          </cell>
          <cell r="CI99">
            <v>1750</v>
          </cell>
          <cell r="CJ99">
            <v>2030</v>
          </cell>
          <cell r="CK99">
            <v>2100</v>
          </cell>
          <cell r="CL99">
            <v>3080</v>
          </cell>
          <cell r="CM99">
            <v>3010</v>
          </cell>
          <cell r="DB99" t="str">
            <v>SIN USO</v>
          </cell>
          <cell r="DC99" t="str">
            <v>B</v>
          </cell>
          <cell r="DE99">
            <v>1970</v>
          </cell>
          <cell r="DF99">
            <v>328.33333333333331</v>
          </cell>
          <cell r="DG99">
            <v>2832.8941727391434</v>
          </cell>
          <cell r="DH99">
            <v>0</v>
          </cell>
          <cell r="DI99" t="str">
            <v>0</v>
          </cell>
          <cell r="DJ99">
            <v>0</v>
          </cell>
          <cell r="DK99" t="str">
            <v>INACTIVO</v>
          </cell>
          <cell r="DL99">
            <v>656.66666666666663</v>
          </cell>
          <cell r="DM99">
            <v>656.66666666666663</v>
          </cell>
          <cell r="DN99">
            <v>1313.3333333333333</v>
          </cell>
        </row>
        <row r="100">
          <cell r="B100">
            <v>405375</v>
          </cell>
          <cell r="C100" t="str">
            <v>CUPULA TORTA ALTA  15PP (98-5) FOOD PACK</v>
          </cell>
          <cell r="H100">
            <v>10880</v>
          </cell>
          <cell r="I100">
            <v>11760</v>
          </cell>
          <cell r="J100">
            <v>5950</v>
          </cell>
          <cell r="K100">
            <v>3640</v>
          </cell>
          <cell r="M100">
            <v>3290</v>
          </cell>
          <cell r="P100">
            <v>1260</v>
          </cell>
          <cell r="T100">
            <v>2240</v>
          </cell>
          <cell r="U100">
            <v>1120</v>
          </cell>
          <cell r="V100">
            <v>3710</v>
          </cell>
          <cell r="X100">
            <v>2940</v>
          </cell>
          <cell r="Y100">
            <v>3690</v>
          </cell>
          <cell r="AA100">
            <v>2590</v>
          </cell>
          <cell r="AB100">
            <v>1840</v>
          </cell>
          <cell r="DB100" t="str">
            <v>SIN USO</v>
          </cell>
          <cell r="DC100" t="str">
            <v/>
          </cell>
          <cell r="DE100">
            <v>0</v>
          </cell>
          <cell r="DF100">
            <v>0</v>
          </cell>
          <cell r="DG100">
            <v>0</v>
          </cell>
          <cell r="DH100">
            <v>0</v>
          </cell>
          <cell r="DI100" t="str">
            <v>0</v>
          </cell>
          <cell r="DJ100">
            <v>0</v>
          </cell>
          <cell r="DK100" t="str">
            <v>INACTIVO</v>
          </cell>
          <cell r="DL100">
            <v>0</v>
          </cell>
          <cell r="DM100">
            <v>0</v>
          </cell>
          <cell r="DN100">
            <v>0</v>
          </cell>
        </row>
        <row r="101">
          <cell r="B101">
            <v>405283</v>
          </cell>
          <cell r="C101" t="str">
            <v>CUPULA TORTA ALTA SISA FPS</v>
          </cell>
          <cell r="D101">
            <v>2800</v>
          </cell>
          <cell r="E101">
            <v>3500</v>
          </cell>
          <cell r="F101">
            <v>2400</v>
          </cell>
          <cell r="G101">
            <v>5700</v>
          </cell>
          <cell r="H101">
            <v>25200</v>
          </cell>
          <cell r="I101">
            <v>200</v>
          </cell>
          <cell r="K101">
            <v>3100</v>
          </cell>
          <cell r="L101">
            <v>5600</v>
          </cell>
          <cell r="M101">
            <v>1200</v>
          </cell>
          <cell r="N101">
            <v>1400</v>
          </cell>
          <cell r="O101">
            <v>1000</v>
          </cell>
          <cell r="P101">
            <v>7000</v>
          </cell>
          <cell r="Q101">
            <v>3000</v>
          </cell>
          <cell r="R101">
            <v>3800</v>
          </cell>
          <cell r="S101">
            <v>2600</v>
          </cell>
          <cell r="T101">
            <v>3400</v>
          </cell>
          <cell r="U101">
            <v>2400</v>
          </cell>
          <cell r="V101">
            <v>1800</v>
          </cell>
          <cell r="W101">
            <v>3000</v>
          </cell>
          <cell r="X101">
            <v>2400</v>
          </cell>
          <cell r="DB101" t="str">
            <v>SIN USO</v>
          </cell>
          <cell r="DC101" t="str">
            <v/>
          </cell>
          <cell r="DE101">
            <v>0</v>
          </cell>
          <cell r="DF101">
            <v>0</v>
          </cell>
          <cell r="DG101">
            <v>0</v>
          </cell>
          <cell r="DH101">
            <v>0</v>
          </cell>
          <cell r="DI101" t="str">
            <v>0</v>
          </cell>
          <cell r="DJ101">
            <v>0</v>
          </cell>
          <cell r="DK101" t="str">
            <v>INACTIVO</v>
          </cell>
          <cell r="DL101">
            <v>0</v>
          </cell>
          <cell r="DM101">
            <v>0</v>
          </cell>
          <cell r="DN101">
            <v>0</v>
          </cell>
        </row>
        <row r="102">
          <cell r="B102">
            <v>405284</v>
          </cell>
          <cell r="C102" t="str">
            <v>CUPULA TORTA ALTA CON TOPE WALMART FPS</v>
          </cell>
          <cell r="D102">
            <v>400</v>
          </cell>
          <cell r="E102">
            <v>8000</v>
          </cell>
          <cell r="F102">
            <v>27200</v>
          </cell>
          <cell r="G102">
            <v>19700</v>
          </cell>
          <cell r="H102">
            <v>23300</v>
          </cell>
          <cell r="I102">
            <v>7300</v>
          </cell>
          <cell r="J102">
            <v>8200</v>
          </cell>
          <cell r="K102">
            <v>1400</v>
          </cell>
          <cell r="P102">
            <v>2400</v>
          </cell>
          <cell r="DB102" t="str">
            <v>SIN USO</v>
          </cell>
          <cell r="DC102" t="str">
            <v/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 t="str">
            <v>0</v>
          </cell>
          <cell r="DJ102">
            <v>0</v>
          </cell>
          <cell r="DK102" t="str">
            <v>INACTIVO</v>
          </cell>
          <cell r="DL102">
            <v>0</v>
          </cell>
          <cell r="DM102">
            <v>0</v>
          </cell>
          <cell r="DN102">
            <v>0</v>
          </cell>
        </row>
        <row r="103">
          <cell r="B103">
            <v>405444</v>
          </cell>
          <cell r="C103" t="str">
            <v>CUPULA TORTA 15 PP ALTA COEXPAN</v>
          </cell>
          <cell r="V103">
            <v>1000</v>
          </cell>
          <cell r="W103">
            <v>1400</v>
          </cell>
          <cell r="Y103">
            <v>800</v>
          </cell>
          <cell r="Z103">
            <v>5100</v>
          </cell>
          <cell r="AA103">
            <v>600</v>
          </cell>
          <cell r="AK103">
            <v>6000</v>
          </cell>
          <cell r="AL103">
            <v>1000</v>
          </cell>
          <cell r="AM103">
            <v>4500</v>
          </cell>
          <cell r="AN103">
            <v>8600</v>
          </cell>
          <cell r="AO103">
            <v>6800</v>
          </cell>
          <cell r="AP103">
            <v>6200</v>
          </cell>
          <cell r="AQ103">
            <v>9900</v>
          </cell>
          <cell r="AR103">
            <v>10100</v>
          </cell>
          <cell r="AS103">
            <v>7600</v>
          </cell>
          <cell r="AT103">
            <v>17100</v>
          </cell>
          <cell r="AU103">
            <v>9200</v>
          </cell>
          <cell r="AV103">
            <v>13400</v>
          </cell>
          <cell r="AW103">
            <v>10400</v>
          </cell>
          <cell r="AX103">
            <v>11000</v>
          </cell>
          <cell r="AY103">
            <v>10200</v>
          </cell>
          <cell r="AZ103">
            <v>9800</v>
          </cell>
          <cell r="BA103">
            <v>10800</v>
          </cell>
          <cell r="BB103">
            <v>9700</v>
          </cell>
          <cell r="BC103">
            <v>9500</v>
          </cell>
          <cell r="BD103">
            <v>5700</v>
          </cell>
          <cell r="BE103">
            <v>15300</v>
          </cell>
          <cell r="BF103">
            <v>6900</v>
          </cell>
          <cell r="BG103">
            <v>3200</v>
          </cell>
          <cell r="BH103">
            <v>31100</v>
          </cell>
          <cell r="BI103">
            <v>6700</v>
          </cell>
          <cell r="BJ103">
            <v>2100</v>
          </cell>
          <cell r="BK103">
            <v>8200</v>
          </cell>
          <cell r="BL103">
            <v>7800</v>
          </cell>
          <cell r="BM103">
            <v>2100</v>
          </cell>
          <cell r="BN103">
            <v>10000</v>
          </cell>
          <cell r="BO103">
            <v>10900</v>
          </cell>
          <cell r="BP103">
            <v>2300</v>
          </cell>
          <cell r="BQ103">
            <v>14600</v>
          </cell>
          <cell r="BR103">
            <v>4200</v>
          </cell>
          <cell r="BS103">
            <v>6600</v>
          </cell>
          <cell r="BT103">
            <v>5300</v>
          </cell>
          <cell r="BU103">
            <v>7300</v>
          </cell>
          <cell r="BV103">
            <v>9900</v>
          </cell>
          <cell r="BW103">
            <v>2600</v>
          </cell>
          <cell r="BX103">
            <v>1500</v>
          </cell>
          <cell r="BY103">
            <v>400</v>
          </cell>
          <cell r="CA103">
            <v>3100</v>
          </cell>
          <cell r="CB103">
            <v>2100</v>
          </cell>
          <cell r="CC103">
            <v>1100</v>
          </cell>
          <cell r="CD103">
            <v>6600</v>
          </cell>
          <cell r="CE103">
            <v>5300</v>
          </cell>
          <cell r="CF103">
            <v>3000</v>
          </cell>
          <cell r="CG103">
            <v>7000</v>
          </cell>
          <cell r="CH103">
            <v>400</v>
          </cell>
          <cell r="CI103">
            <v>7600</v>
          </cell>
          <cell r="CJ103">
            <v>2700</v>
          </cell>
          <cell r="CK103">
            <v>5100</v>
          </cell>
          <cell r="CL103">
            <v>18000</v>
          </cell>
          <cell r="CM103">
            <v>20400</v>
          </cell>
          <cell r="CN103">
            <v>8800</v>
          </cell>
          <cell r="CO103">
            <v>17900</v>
          </cell>
          <cell r="CP103">
            <v>23100</v>
          </cell>
          <cell r="CQ103">
            <v>18200</v>
          </cell>
          <cell r="CR103">
            <v>25500</v>
          </cell>
          <cell r="CS103">
            <v>16800</v>
          </cell>
          <cell r="CT103">
            <v>37400</v>
          </cell>
          <cell r="CU103">
            <v>32500</v>
          </cell>
          <cell r="CV103">
            <v>38400</v>
          </cell>
          <cell r="CW103">
            <v>27900</v>
          </cell>
          <cell r="CX103">
            <v>17200</v>
          </cell>
          <cell r="CY103">
            <v>37000</v>
          </cell>
          <cell r="CZ103">
            <v>30900</v>
          </cell>
          <cell r="DA103">
            <v>24900</v>
          </cell>
          <cell r="DB103" t="str">
            <v>ACTIVO</v>
          </cell>
          <cell r="DC103" t="str">
            <v>A</v>
          </cell>
          <cell r="DE103">
            <v>16635.294117647059</v>
          </cell>
          <cell r="DF103">
            <v>2772.5490196078431</v>
          </cell>
          <cell r="DG103">
            <v>5318.2799333313933</v>
          </cell>
          <cell r="DH103">
            <v>14700</v>
          </cell>
          <cell r="DI103">
            <v>3702195</v>
          </cell>
          <cell r="DJ103">
            <v>0.88366336633663367</v>
          </cell>
          <cell r="DK103" t="str">
            <v>OK</v>
          </cell>
          <cell r="DL103">
            <v>5545.0980392156862</v>
          </cell>
          <cell r="DM103">
            <v>5545.0980392156862</v>
          </cell>
          <cell r="DN103">
            <v>11090.196078431372</v>
          </cell>
        </row>
        <row r="104">
          <cell r="B104">
            <v>405445</v>
          </cell>
          <cell r="C104" t="str">
            <v>BASE TORTA 15PP ALTA COEXPAN</v>
          </cell>
          <cell r="Y104">
            <v>3400</v>
          </cell>
          <cell r="Z104">
            <v>4100</v>
          </cell>
          <cell r="AA104">
            <v>900</v>
          </cell>
          <cell r="AN104">
            <v>2600</v>
          </cell>
          <cell r="AP104">
            <v>1600</v>
          </cell>
          <cell r="AQ104">
            <v>2500</v>
          </cell>
          <cell r="AR104">
            <v>6500</v>
          </cell>
          <cell r="AS104">
            <v>6400</v>
          </cell>
          <cell r="AT104">
            <v>15000</v>
          </cell>
          <cell r="AU104">
            <v>13700</v>
          </cell>
          <cell r="AV104">
            <v>10200</v>
          </cell>
          <cell r="AW104">
            <v>10400</v>
          </cell>
          <cell r="AX104">
            <v>1000</v>
          </cell>
          <cell r="AY104">
            <v>3200</v>
          </cell>
          <cell r="AZ104">
            <v>1600</v>
          </cell>
          <cell r="BA104">
            <v>8400</v>
          </cell>
          <cell r="BB104">
            <v>3900</v>
          </cell>
          <cell r="BC104">
            <v>8000</v>
          </cell>
          <cell r="BD104">
            <v>1200</v>
          </cell>
          <cell r="BE104">
            <v>14400</v>
          </cell>
          <cell r="BF104">
            <v>2000</v>
          </cell>
          <cell r="BG104">
            <v>3000</v>
          </cell>
          <cell r="BH104">
            <v>26000</v>
          </cell>
          <cell r="BI104">
            <v>6800</v>
          </cell>
          <cell r="BJ104">
            <v>2200</v>
          </cell>
          <cell r="BK104">
            <v>8200</v>
          </cell>
          <cell r="BL104">
            <v>7800</v>
          </cell>
          <cell r="BM104">
            <v>1800</v>
          </cell>
          <cell r="BN104">
            <v>7400</v>
          </cell>
          <cell r="BO104">
            <v>1600</v>
          </cell>
          <cell r="BR104">
            <v>3000</v>
          </cell>
          <cell r="BS104">
            <v>4400</v>
          </cell>
          <cell r="BT104">
            <v>2400</v>
          </cell>
          <cell r="BU104">
            <v>6800</v>
          </cell>
          <cell r="BV104">
            <v>9000</v>
          </cell>
          <cell r="BX104">
            <v>1200</v>
          </cell>
          <cell r="BY104">
            <v>400</v>
          </cell>
          <cell r="CA104">
            <v>3200</v>
          </cell>
          <cell r="CB104">
            <v>2000</v>
          </cell>
          <cell r="CC104">
            <v>2200</v>
          </cell>
          <cell r="CE104">
            <v>3200</v>
          </cell>
          <cell r="CG104">
            <v>5400</v>
          </cell>
          <cell r="CI104">
            <v>6400</v>
          </cell>
          <cell r="CJ104">
            <v>1800</v>
          </cell>
          <cell r="CK104">
            <v>4800</v>
          </cell>
          <cell r="CL104">
            <v>18800</v>
          </cell>
          <cell r="CM104">
            <v>16600</v>
          </cell>
          <cell r="CN104">
            <v>8800</v>
          </cell>
          <cell r="CO104">
            <v>16600</v>
          </cell>
          <cell r="CP104">
            <v>22800</v>
          </cell>
          <cell r="CQ104">
            <v>18200</v>
          </cell>
          <cell r="CR104">
            <v>25200</v>
          </cell>
          <cell r="CS104">
            <v>16600</v>
          </cell>
          <cell r="CT104">
            <v>34000</v>
          </cell>
          <cell r="CU104">
            <v>27400</v>
          </cell>
          <cell r="CV104">
            <v>38200</v>
          </cell>
          <cell r="CW104">
            <v>27600</v>
          </cell>
          <cell r="CX104">
            <v>17000</v>
          </cell>
          <cell r="CY104">
            <v>35000</v>
          </cell>
          <cell r="CZ104">
            <v>30400</v>
          </cell>
          <cell r="DA104">
            <v>26000</v>
          </cell>
          <cell r="DB104" t="str">
            <v>ACTIVO</v>
          </cell>
          <cell r="DC104" t="str">
            <v>B</v>
          </cell>
          <cell r="DE104">
            <v>17440</v>
          </cell>
          <cell r="DF104">
            <v>2906.6666666666665</v>
          </cell>
          <cell r="DG104">
            <v>5194.4055692291386</v>
          </cell>
          <cell r="DH104">
            <v>14600</v>
          </cell>
          <cell r="DI104">
            <v>1361596</v>
          </cell>
          <cell r="DJ104">
            <v>0.83715596330275233</v>
          </cell>
          <cell r="DK104" t="str">
            <v>OK</v>
          </cell>
          <cell r="DL104">
            <v>5813.333333333333</v>
          </cell>
          <cell r="DM104">
            <v>5813.333333333333</v>
          </cell>
          <cell r="DN104">
            <v>11626.666666666666</v>
          </cell>
        </row>
        <row r="105">
          <cell r="B105">
            <v>405501</v>
          </cell>
          <cell r="C105" t="str">
            <v>BASE TORTA CON TOPE COEXPAN</v>
          </cell>
          <cell r="AK105">
            <v>6000</v>
          </cell>
          <cell r="AL105">
            <v>1000</v>
          </cell>
          <cell r="AM105">
            <v>4000</v>
          </cell>
          <cell r="AN105">
            <v>5200</v>
          </cell>
          <cell r="AO105">
            <v>4400</v>
          </cell>
          <cell r="AP105">
            <v>9100</v>
          </cell>
          <cell r="AQ105">
            <v>7300</v>
          </cell>
          <cell r="AX105">
            <v>5000</v>
          </cell>
          <cell r="AY105">
            <v>5600</v>
          </cell>
          <cell r="AZ105">
            <v>1800</v>
          </cell>
          <cell r="BA105">
            <v>600</v>
          </cell>
          <cell r="BM105">
            <v>200</v>
          </cell>
          <cell r="BN105">
            <v>2400</v>
          </cell>
          <cell r="BO105">
            <v>9100</v>
          </cell>
          <cell r="BP105">
            <v>2800</v>
          </cell>
          <cell r="BQ105">
            <v>13400</v>
          </cell>
          <cell r="BS105">
            <v>2000</v>
          </cell>
          <cell r="BT105">
            <v>3000</v>
          </cell>
          <cell r="BU105">
            <v>400</v>
          </cell>
          <cell r="BV105">
            <v>600</v>
          </cell>
          <cell r="BW105">
            <v>1400</v>
          </cell>
          <cell r="BY105">
            <v>800</v>
          </cell>
          <cell r="CC105">
            <v>400</v>
          </cell>
          <cell r="CD105">
            <v>7000</v>
          </cell>
          <cell r="CE105">
            <v>2000</v>
          </cell>
          <cell r="CF105">
            <v>3000</v>
          </cell>
          <cell r="CG105">
            <v>1600</v>
          </cell>
          <cell r="CH105">
            <v>400</v>
          </cell>
          <cell r="CI105">
            <v>1200</v>
          </cell>
          <cell r="CM105">
            <v>3800</v>
          </cell>
          <cell r="CO105">
            <v>600</v>
          </cell>
          <cell r="CP105">
            <v>300</v>
          </cell>
          <cell r="CY105">
            <v>200</v>
          </cell>
          <cell r="DB105" t="str">
            <v>SIN USO</v>
          </cell>
          <cell r="DC105" t="str">
            <v>C</v>
          </cell>
          <cell r="DE105">
            <v>1557.1428571428571</v>
          </cell>
          <cell r="DF105">
            <v>259.52380952380952</v>
          </cell>
          <cell r="DG105">
            <v>3390.7963666371948</v>
          </cell>
          <cell r="DH105">
            <v>1000</v>
          </cell>
          <cell r="DI105">
            <v>65000</v>
          </cell>
          <cell r="DJ105">
            <v>0.64220183486238536</v>
          </cell>
          <cell r="DK105" t="str">
            <v>INACTIVO</v>
          </cell>
          <cell r="DL105">
            <v>519.04761904761904</v>
          </cell>
          <cell r="DM105">
            <v>519.04761904761904</v>
          </cell>
          <cell r="DN105">
            <v>1038.0952380952381</v>
          </cell>
        </row>
        <row r="106">
          <cell r="B106">
            <v>403219</v>
          </cell>
          <cell r="C106" t="str">
            <v>CAPSULA OVALADA N° 10 ARRIAZA</v>
          </cell>
          <cell r="D106">
            <v>16000</v>
          </cell>
          <cell r="E106">
            <v>31000</v>
          </cell>
          <cell r="F106">
            <v>21000</v>
          </cell>
          <cell r="G106">
            <v>29000</v>
          </cell>
          <cell r="H106">
            <v>24000</v>
          </cell>
          <cell r="I106">
            <v>24000</v>
          </cell>
          <cell r="J106">
            <v>23000</v>
          </cell>
          <cell r="K106">
            <v>17000</v>
          </cell>
          <cell r="L106">
            <v>32000</v>
          </cell>
          <cell r="M106">
            <v>15000</v>
          </cell>
          <cell r="N106">
            <v>17000</v>
          </cell>
          <cell r="P106">
            <v>33000</v>
          </cell>
          <cell r="Q106">
            <v>18000</v>
          </cell>
          <cell r="R106">
            <v>17000</v>
          </cell>
          <cell r="S106">
            <v>19000</v>
          </cell>
          <cell r="T106">
            <v>31000</v>
          </cell>
          <cell r="U106">
            <v>19000</v>
          </cell>
          <cell r="V106">
            <v>43000</v>
          </cell>
          <cell r="W106">
            <v>14000</v>
          </cell>
          <cell r="X106">
            <v>9000</v>
          </cell>
          <cell r="Z106">
            <v>17000</v>
          </cell>
          <cell r="AA106">
            <v>36000</v>
          </cell>
          <cell r="AB106">
            <v>19000</v>
          </cell>
          <cell r="AC106">
            <v>34000</v>
          </cell>
          <cell r="AF106">
            <v>35000</v>
          </cell>
          <cell r="AG106">
            <v>26000</v>
          </cell>
          <cell r="AH106">
            <v>38000</v>
          </cell>
          <cell r="AI106">
            <v>26000</v>
          </cell>
          <cell r="AJ106">
            <v>13000</v>
          </cell>
          <cell r="AK106">
            <v>22000</v>
          </cell>
          <cell r="AL106">
            <v>17000</v>
          </cell>
          <cell r="AM106">
            <v>19000</v>
          </cell>
          <cell r="AN106">
            <v>39000</v>
          </cell>
          <cell r="AO106">
            <v>35000</v>
          </cell>
          <cell r="AP106">
            <v>28000</v>
          </cell>
          <cell r="AQ106">
            <v>22000</v>
          </cell>
          <cell r="AR106">
            <v>34000</v>
          </cell>
          <cell r="AS106">
            <v>13500</v>
          </cell>
          <cell r="AT106">
            <v>33500</v>
          </cell>
          <cell r="AU106">
            <v>18000</v>
          </cell>
          <cell r="AV106">
            <v>19000</v>
          </cell>
          <cell r="AW106">
            <v>18000</v>
          </cell>
          <cell r="AX106">
            <v>34000</v>
          </cell>
          <cell r="AY106">
            <v>9000</v>
          </cell>
          <cell r="AZ106">
            <v>32000</v>
          </cell>
          <cell r="BA106">
            <v>31000</v>
          </cell>
          <cell r="BB106">
            <v>7000</v>
          </cell>
          <cell r="BC106">
            <v>18000</v>
          </cell>
          <cell r="BD106">
            <v>33000</v>
          </cell>
          <cell r="BE106">
            <v>24000</v>
          </cell>
          <cell r="BF106">
            <v>18000</v>
          </cell>
          <cell r="BG106">
            <v>28000</v>
          </cell>
          <cell r="BH106">
            <v>40000</v>
          </cell>
          <cell r="BI106">
            <v>8000</v>
          </cell>
          <cell r="BJ106">
            <v>37000</v>
          </cell>
          <cell r="BK106">
            <v>28000</v>
          </cell>
          <cell r="BL106">
            <v>52000</v>
          </cell>
          <cell r="BM106">
            <v>25000</v>
          </cell>
          <cell r="BN106">
            <v>39000</v>
          </cell>
          <cell r="BO106">
            <v>10000</v>
          </cell>
          <cell r="BP106">
            <v>16000</v>
          </cell>
          <cell r="BQ106">
            <v>22000</v>
          </cell>
          <cell r="BR106">
            <v>25000</v>
          </cell>
          <cell r="BS106">
            <v>25000</v>
          </cell>
          <cell r="BT106">
            <v>21000</v>
          </cell>
          <cell r="BU106">
            <v>25000</v>
          </cell>
          <cell r="BV106">
            <v>21000</v>
          </cell>
          <cell r="BW106">
            <v>22000</v>
          </cell>
          <cell r="BX106">
            <v>19000</v>
          </cell>
          <cell r="BY106">
            <v>17000</v>
          </cell>
          <cell r="BZ106">
            <v>26000</v>
          </cell>
          <cell r="CA106">
            <v>20000</v>
          </cell>
          <cell r="CB106">
            <v>19000</v>
          </cell>
          <cell r="CC106">
            <v>18000</v>
          </cell>
          <cell r="CD106">
            <v>26000</v>
          </cell>
          <cell r="CE106">
            <v>4000</v>
          </cell>
          <cell r="CF106">
            <v>4000</v>
          </cell>
          <cell r="CG106">
            <v>22000</v>
          </cell>
          <cell r="CH106">
            <v>27000</v>
          </cell>
          <cell r="CI106">
            <v>39000</v>
          </cell>
          <cell r="CJ106">
            <v>17000</v>
          </cell>
          <cell r="CK106">
            <v>27000</v>
          </cell>
          <cell r="CL106">
            <v>14000</v>
          </cell>
          <cell r="CM106">
            <v>22000</v>
          </cell>
          <cell r="CN106">
            <v>18000</v>
          </cell>
          <cell r="CO106">
            <v>20000</v>
          </cell>
          <cell r="CP106">
            <v>23000</v>
          </cell>
          <cell r="CQ106">
            <v>23000</v>
          </cell>
          <cell r="CR106">
            <v>30000</v>
          </cell>
          <cell r="CS106">
            <v>26000</v>
          </cell>
          <cell r="CT106">
            <v>18000</v>
          </cell>
          <cell r="CU106">
            <v>27000</v>
          </cell>
          <cell r="CV106">
            <v>35000</v>
          </cell>
          <cell r="CW106">
            <v>16000</v>
          </cell>
          <cell r="CX106">
            <v>15000</v>
          </cell>
          <cell r="CY106">
            <v>29000</v>
          </cell>
          <cell r="CZ106">
            <v>21000</v>
          </cell>
          <cell r="DA106">
            <v>22000</v>
          </cell>
          <cell r="DB106" t="str">
            <v>ACTIVO</v>
          </cell>
          <cell r="DC106" t="str">
            <v>C</v>
          </cell>
          <cell r="DE106">
            <v>23058.823529411766</v>
          </cell>
          <cell r="DF106">
            <v>3843.1372549019611</v>
          </cell>
          <cell r="DG106">
            <v>9638.1164178725594</v>
          </cell>
          <cell r="DH106">
            <v>17000</v>
          </cell>
          <cell r="DI106">
            <v>103700</v>
          </cell>
          <cell r="DJ106">
            <v>0.73724489795918369</v>
          </cell>
          <cell r="DK106" t="str">
            <v>COMPRAR</v>
          </cell>
          <cell r="DL106">
            <v>11529.411764705883</v>
          </cell>
          <cell r="DM106">
            <v>7686.2745098039222</v>
          </cell>
          <cell r="DN106">
            <v>19215.686274509804</v>
          </cell>
        </row>
        <row r="107">
          <cell r="B107">
            <v>403225</v>
          </cell>
          <cell r="C107" t="str">
            <v>CUPULA 170B DEANDES</v>
          </cell>
          <cell r="D107">
            <v>5160</v>
          </cell>
          <cell r="E107">
            <v>120</v>
          </cell>
          <cell r="F107">
            <v>960</v>
          </cell>
          <cell r="I107">
            <v>720</v>
          </cell>
          <cell r="J107">
            <v>720</v>
          </cell>
          <cell r="M107">
            <v>1200</v>
          </cell>
          <cell r="P107">
            <v>960</v>
          </cell>
          <cell r="DB107" t="str">
            <v>SIN USO</v>
          </cell>
          <cell r="DC107" t="str">
            <v/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 t="str">
            <v>0</v>
          </cell>
          <cell r="DJ107">
            <v>0</v>
          </cell>
          <cell r="DK107" t="str">
            <v>INACTIVO</v>
          </cell>
          <cell r="DL107">
            <v>0</v>
          </cell>
          <cell r="DM107">
            <v>0</v>
          </cell>
          <cell r="DN107">
            <v>0</v>
          </cell>
        </row>
        <row r="108">
          <cell r="B108">
            <v>107345</v>
          </cell>
          <cell r="C108" t="str">
            <v>CUPULA 170BX DEANDES</v>
          </cell>
          <cell r="D108">
            <v>2040</v>
          </cell>
          <cell r="E108">
            <v>5880</v>
          </cell>
          <cell r="F108">
            <v>4800</v>
          </cell>
          <cell r="G108">
            <v>7200</v>
          </cell>
          <cell r="H108">
            <v>7920</v>
          </cell>
          <cell r="I108">
            <v>7200</v>
          </cell>
          <cell r="J108">
            <v>6720</v>
          </cell>
          <cell r="K108">
            <v>5280</v>
          </cell>
          <cell r="L108">
            <v>7440</v>
          </cell>
          <cell r="M108">
            <v>5280</v>
          </cell>
          <cell r="N108">
            <v>5520</v>
          </cell>
          <cell r="O108">
            <v>1440</v>
          </cell>
          <cell r="P108">
            <v>4800</v>
          </cell>
          <cell r="Q108">
            <v>7920</v>
          </cell>
          <cell r="R108">
            <v>5760</v>
          </cell>
          <cell r="S108">
            <v>5520</v>
          </cell>
          <cell r="T108">
            <v>4800</v>
          </cell>
          <cell r="U108">
            <v>4320</v>
          </cell>
          <cell r="V108">
            <v>7200</v>
          </cell>
          <cell r="W108">
            <v>2880</v>
          </cell>
          <cell r="X108">
            <v>3090</v>
          </cell>
          <cell r="Y108">
            <v>4470</v>
          </cell>
          <cell r="Z108">
            <v>3720</v>
          </cell>
          <cell r="AP108">
            <v>1050</v>
          </cell>
          <cell r="AQ108">
            <v>2400</v>
          </cell>
          <cell r="AR108">
            <v>2100</v>
          </cell>
          <cell r="AS108">
            <v>1590</v>
          </cell>
          <cell r="AT108">
            <v>2250</v>
          </cell>
          <cell r="AU108">
            <v>2730</v>
          </cell>
          <cell r="AV108">
            <v>2310</v>
          </cell>
          <cell r="AW108">
            <v>1920</v>
          </cell>
          <cell r="AX108">
            <v>540</v>
          </cell>
          <cell r="BB108">
            <v>4380</v>
          </cell>
          <cell r="BC108">
            <v>2880</v>
          </cell>
          <cell r="BD108">
            <v>2340</v>
          </cell>
          <cell r="BH108">
            <v>750</v>
          </cell>
          <cell r="BI108">
            <v>740</v>
          </cell>
          <cell r="BJ108">
            <v>900</v>
          </cell>
          <cell r="BK108">
            <v>240</v>
          </cell>
          <cell r="BL108">
            <v>4410</v>
          </cell>
          <cell r="BM108">
            <v>4990</v>
          </cell>
          <cell r="BN108">
            <v>960</v>
          </cell>
          <cell r="BO108">
            <v>1740</v>
          </cell>
          <cell r="BP108">
            <v>720</v>
          </cell>
          <cell r="BQ108">
            <v>1920</v>
          </cell>
          <cell r="BW108">
            <v>480</v>
          </cell>
          <cell r="BX108">
            <v>1920</v>
          </cell>
          <cell r="BY108">
            <v>1440</v>
          </cell>
          <cell r="BZ108">
            <v>1680</v>
          </cell>
          <cell r="CA108">
            <v>1440</v>
          </cell>
          <cell r="CB108">
            <v>1200</v>
          </cell>
          <cell r="CC108">
            <v>1440</v>
          </cell>
          <cell r="CD108">
            <v>120</v>
          </cell>
          <cell r="CE108">
            <v>720</v>
          </cell>
          <cell r="CF108">
            <v>480</v>
          </cell>
          <cell r="CG108">
            <v>1440</v>
          </cell>
          <cell r="CH108">
            <v>720</v>
          </cell>
          <cell r="CI108">
            <v>1170</v>
          </cell>
          <cell r="CJ108">
            <v>1680</v>
          </cell>
          <cell r="CK108">
            <v>1440</v>
          </cell>
          <cell r="CL108">
            <v>1680</v>
          </cell>
          <cell r="CM108">
            <v>1680</v>
          </cell>
          <cell r="CN108">
            <v>1920</v>
          </cell>
          <cell r="CO108">
            <v>2400</v>
          </cell>
          <cell r="CP108">
            <v>2400</v>
          </cell>
          <cell r="CQ108">
            <v>3840</v>
          </cell>
          <cell r="CR108">
            <v>2340</v>
          </cell>
          <cell r="CS108">
            <v>3510</v>
          </cell>
          <cell r="CT108">
            <v>3360</v>
          </cell>
          <cell r="CU108">
            <v>2640</v>
          </cell>
          <cell r="CV108">
            <v>2400</v>
          </cell>
          <cell r="CW108">
            <v>2160</v>
          </cell>
          <cell r="CX108">
            <v>2880</v>
          </cell>
          <cell r="CY108">
            <v>2640</v>
          </cell>
          <cell r="CZ108">
            <v>2400</v>
          </cell>
          <cell r="DA108">
            <v>2370</v>
          </cell>
          <cell r="DB108" t="str">
            <v>ACTIVO</v>
          </cell>
          <cell r="DC108" t="str">
            <v>B</v>
          </cell>
          <cell r="DE108">
            <v>2064.705882352941</v>
          </cell>
          <cell r="DF108">
            <v>344.11764705882348</v>
          </cell>
          <cell r="DG108">
            <v>1195.6116893991782</v>
          </cell>
          <cell r="DH108">
            <v>4800</v>
          </cell>
          <cell r="DI108">
            <v>889920</v>
          </cell>
          <cell r="DJ108">
            <v>2.324786324786325</v>
          </cell>
          <cell r="DK108" t="str">
            <v>OK</v>
          </cell>
          <cell r="DL108">
            <v>1032.3529411764705</v>
          </cell>
          <cell r="DM108">
            <v>688.23529411764696</v>
          </cell>
          <cell r="DN108">
            <v>1720.5882352941176</v>
          </cell>
        </row>
        <row r="109">
          <cell r="B109">
            <v>405226</v>
          </cell>
          <cell r="C109" t="str">
            <v>CUPULA 170 BX BUENAVENTURA</v>
          </cell>
          <cell r="Z109">
            <v>210</v>
          </cell>
          <cell r="AA109">
            <v>2910</v>
          </cell>
          <cell r="AB109">
            <v>7730</v>
          </cell>
          <cell r="AC109">
            <v>4320</v>
          </cell>
          <cell r="AD109">
            <v>2760</v>
          </cell>
          <cell r="AE109">
            <v>960</v>
          </cell>
          <cell r="AF109">
            <v>7690</v>
          </cell>
          <cell r="AG109">
            <v>3420</v>
          </cell>
          <cell r="AH109">
            <v>5100</v>
          </cell>
          <cell r="AI109">
            <v>3480</v>
          </cell>
          <cell r="AJ109">
            <v>6090</v>
          </cell>
          <cell r="AK109">
            <v>2880</v>
          </cell>
          <cell r="AL109">
            <v>1950</v>
          </cell>
          <cell r="AM109">
            <v>2400</v>
          </cell>
          <cell r="AN109">
            <v>2700</v>
          </cell>
          <cell r="AO109">
            <v>2250</v>
          </cell>
          <cell r="AP109">
            <v>1230</v>
          </cell>
          <cell r="AQ109">
            <v>1920</v>
          </cell>
          <cell r="AR109">
            <v>300</v>
          </cell>
          <cell r="AS109">
            <v>450</v>
          </cell>
          <cell r="AX109">
            <v>1440</v>
          </cell>
          <cell r="AY109">
            <v>2850</v>
          </cell>
          <cell r="AZ109">
            <v>3840</v>
          </cell>
          <cell r="BA109">
            <v>4920</v>
          </cell>
          <cell r="BB109">
            <v>4200</v>
          </cell>
          <cell r="BC109">
            <v>990</v>
          </cell>
          <cell r="BD109">
            <v>170</v>
          </cell>
          <cell r="BE109">
            <v>4320</v>
          </cell>
          <cell r="BF109">
            <v>2790</v>
          </cell>
          <cell r="BG109">
            <v>5610</v>
          </cell>
          <cell r="BH109">
            <v>1200</v>
          </cell>
          <cell r="BK109">
            <v>3420</v>
          </cell>
          <cell r="BL109">
            <v>1380</v>
          </cell>
          <cell r="BM109">
            <v>600</v>
          </cell>
          <cell r="BN109">
            <v>1800</v>
          </cell>
          <cell r="BO109">
            <v>1650</v>
          </cell>
          <cell r="BP109">
            <v>450</v>
          </cell>
          <cell r="BQ109">
            <v>3060</v>
          </cell>
          <cell r="BR109">
            <v>3330</v>
          </cell>
          <cell r="BS109">
            <v>4080</v>
          </cell>
          <cell r="BT109">
            <v>2940</v>
          </cell>
          <cell r="BU109">
            <v>4650</v>
          </cell>
          <cell r="BV109">
            <v>2900</v>
          </cell>
          <cell r="BW109">
            <v>3220</v>
          </cell>
          <cell r="BX109">
            <v>720</v>
          </cell>
          <cell r="BY109">
            <v>240</v>
          </cell>
          <cell r="CC109">
            <v>690</v>
          </cell>
          <cell r="CD109">
            <v>2760</v>
          </cell>
          <cell r="CE109">
            <v>870</v>
          </cell>
          <cell r="CG109">
            <v>1830</v>
          </cell>
          <cell r="CH109">
            <v>390</v>
          </cell>
          <cell r="CI109">
            <v>390</v>
          </cell>
          <cell r="DB109" t="str">
            <v>ACTIVO</v>
          </cell>
          <cell r="DC109" t="str">
            <v>B</v>
          </cell>
          <cell r="DE109">
            <v>870</v>
          </cell>
          <cell r="DF109">
            <v>145</v>
          </cell>
          <cell r="DG109">
            <v>1742.8781541009353</v>
          </cell>
          <cell r="DH109">
            <v>0</v>
          </cell>
          <cell r="DI109" t="str">
            <v>0</v>
          </cell>
          <cell r="DJ109">
            <v>0</v>
          </cell>
          <cell r="DK109" t="str">
            <v>COMPRAR</v>
          </cell>
          <cell r="DL109">
            <v>290</v>
          </cell>
          <cell r="DM109">
            <v>290</v>
          </cell>
          <cell r="DN109">
            <v>580</v>
          </cell>
        </row>
        <row r="110">
          <cell r="B110">
            <v>403244</v>
          </cell>
          <cell r="C110" t="str">
            <v>CUPULA 271 BX DEANDES</v>
          </cell>
          <cell r="D110">
            <v>4500</v>
          </cell>
          <cell r="E110">
            <v>2700</v>
          </cell>
          <cell r="F110">
            <v>4500</v>
          </cell>
          <cell r="G110">
            <v>3600</v>
          </cell>
          <cell r="H110">
            <v>6150</v>
          </cell>
          <cell r="I110">
            <v>4750</v>
          </cell>
          <cell r="J110">
            <v>4800</v>
          </cell>
          <cell r="K110">
            <v>3450</v>
          </cell>
          <cell r="L110">
            <v>4650</v>
          </cell>
          <cell r="M110">
            <v>5700</v>
          </cell>
          <cell r="N110">
            <v>7650</v>
          </cell>
          <cell r="O110">
            <v>4650</v>
          </cell>
          <cell r="P110">
            <v>4350</v>
          </cell>
          <cell r="Q110">
            <v>5700</v>
          </cell>
          <cell r="R110">
            <v>3750</v>
          </cell>
          <cell r="S110">
            <v>4350</v>
          </cell>
          <cell r="T110">
            <v>4350</v>
          </cell>
          <cell r="U110">
            <v>4500</v>
          </cell>
          <cell r="V110">
            <v>6900</v>
          </cell>
          <cell r="W110">
            <v>4500</v>
          </cell>
          <cell r="X110">
            <v>6000</v>
          </cell>
          <cell r="Y110">
            <v>7200</v>
          </cell>
          <cell r="Z110">
            <v>2850</v>
          </cell>
          <cell r="AA110">
            <v>5700</v>
          </cell>
          <cell r="AB110">
            <v>4950</v>
          </cell>
          <cell r="AC110">
            <v>2250</v>
          </cell>
          <cell r="AD110">
            <v>900</v>
          </cell>
          <cell r="AE110">
            <v>1800</v>
          </cell>
          <cell r="AF110">
            <v>4200</v>
          </cell>
          <cell r="AG110">
            <v>3451</v>
          </cell>
          <cell r="AH110">
            <v>8248</v>
          </cell>
          <cell r="AI110">
            <v>4200</v>
          </cell>
          <cell r="AJ110">
            <v>3550</v>
          </cell>
          <cell r="AK110">
            <v>3350</v>
          </cell>
          <cell r="AL110">
            <v>4650</v>
          </cell>
          <cell r="AM110">
            <v>3150</v>
          </cell>
          <cell r="AN110">
            <v>4650</v>
          </cell>
          <cell r="AO110">
            <v>5700</v>
          </cell>
          <cell r="AP110">
            <v>6550</v>
          </cell>
          <cell r="AQ110">
            <v>6675</v>
          </cell>
          <cell r="AR110">
            <v>7050</v>
          </cell>
          <cell r="AS110">
            <v>7650</v>
          </cell>
          <cell r="AT110">
            <v>8850</v>
          </cell>
          <cell r="AU110">
            <v>6450</v>
          </cell>
          <cell r="AV110">
            <v>11850</v>
          </cell>
          <cell r="AW110">
            <v>8250</v>
          </cell>
          <cell r="AX110">
            <v>11550</v>
          </cell>
          <cell r="AY110">
            <v>4950</v>
          </cell>
          <cell r="AZ110">
            <v>8100</v>
          </cell>
          <cell r="BA110">
            <v>4950</v>
          </cell>
          <cell r="BB110">
            <v>1950</v>
          </cell>
          <cell r="BC110">
            <v>5400</v>
          </cell>
          <cell r="BD110">
            <v>5700</v>
          </cell>
          <cell r="BE110">
            <v>4500</v>
          </cell>
          <cell r="BF110">
            <v>6000</v>
          </cell>
          <cell r="BG110">
            <v>2400</v>
          </cell>
          <cell r="BH110">
            <v>5100</v>
          </cell>
          <cell r="BI110">
            <v>7950</v>
          </cell>
          <cell r="BJ110">
            <v>7500</v>
          </cell>
          <cell r="BK110">
            <v>4350</v>
          </cell>
          <cell r="BL110">
            <v>3900</v>
          </cell>
          <cell r="BM110">
            <v>5250</v>
          </cell>
          <cell r="BN110">
            <v>6000</v>
          </cell>
          <cell r="BO110">
            <v>5700</v>
          </cell>
          <cell r="BP110">
            <v>6150</v>
          </cell>
          <cell r="BQ110">
            <v>5250</v>
          </cell>
          <cell r="BR110">
            <v>4050</v>
          </cell>
          <cell r="BS110">
            <v>5250</v>
          </cell>
          <cell r="BT110">
            <v>6900</v>
          </cell>
          <cell r="BU110">
            <v>2700</v>
          </cell>
          <cell r="BV110">
            <v>2400</v>
          </cell>
          <cell r="BW110">
            <v>4800</v>
          </cell>
          <cell r="BX110">
            <v>5100</v>
          </cell>
          <cell r="BY110">
            <v>4500</v>
          </cell>
          <cell r="BZ110">
            <v>6300</v>
          </cell>
          <cell r="CA110">
            <v>4650</v>
          </cell>
          <cell r="CB110">
            <v>5400</v>
          </cell>
          <cell r="CC110">
            <v>2250</v>
          </cell>
          <cell r="CD110">
            <v>1200</v>
          </cell>
          <cell r="CE110">
            <v>1800</v>
          </cell>
          <cell r="CF110">
            <v>900</v>
          </cell>
          <cell r="CG110">
            <v>5250</v>
          </cell>
          <cell r="CH110">
            <v>7050</v>
          </cell>
          <cell r="CI110">
            <v>8100</v>
          </cell>
          <cell r="CJ110">
            <v>6450</v>
          </cell>
          <cell r="CK110">
            <v>7500</v>
          </cell>
          <cell r="CL110">
            <v>7290</v>
          </cell>
          <cell r="CM110">
            <v>7050</v>
          </cell>
          <cell r="CN110">
            <v>8250</v>
          </cell>
          <cell r="CO110">
            <v>6150</v>
          </cell>
          <cell r="CP110">
            <v>2400</v>
          </cell>
          <cell r="CQ110">
            <v>2400</v>
          </cell>
          <cell r="CR110">
            <v>2850</v>
          </cell>
          <cell r="CS110">
            <v>2700</v>
          </cell>
          <cell r="CT110">
            <v>1650</v>
          </cell>
          <cell r="CU110">
            <v>900</v>
          </cell>
          <cell r="CV110">
            <v>1050</v>
          </cell>
          <cell r="CW110">
            <v>1200</v>
          </cell>
          <cell r="CX110">
            <v>1050</v>
          </cell>
          <cell r="CY110">
            <v>1350</v>
          </cell>
          <cell r="CZ110">
            <v>1050</v>
          </cell>
          <cell r="DA110">
            <v>1200</v>
          </cell>
          <cell r="DB110" t="str">
            <v>ACTIVO</v>
          </cell>
          <cell r="DC110" t="str">
            <v>A</v>
          </cell>
          <cell r="DE110">
            <v>4584.7058823529414</v>
          </cell>
          <cell r="DF110">
            <v>764.11764705882354</v>
          </cell>
          <cell r="DG110">
            <v>2240.6815919205374</v>
          </cell>
          <cell r="DH110">
            <v>3900</v>
          </cell>
          <cell r="DI110">
            <v>903786</v>
          </cell>
          <cell r="DJ110">
            <v>0.85065434949961505</v>
          </cell>
          <cell r="DK110" t="str">
            <v>OK</v>
          </cell>
          <cell r="DL110">
            <v>2292.3529411764707</v>
          </cell>
          <cell r="DM110">
            <v>1528.2352941176471</v>
          </cell>
          <cell r="DN110">
            <v>3820.588235294118</v>
          </cell>
        </row>
        <row r="111">
          <cell r="B111">
            <v>405227</v>
          </cell>
          <cell r="C111" t="str">
            <v>CUPULA 271 BX BUENAVENTURA</v>
          </cell>
          <cell r="BT111">
            <v>600</v>
          </cell>
          <cell r="BU111">
            <v>3000</v>
          </cell>
          <cell r="BV111">
            <v>1350</v>
          </cell>
          <cell r="BW111">
            <v>600</v>
          </cell>
          <cell r="BX111">
            <v>300</v>
          </cell>
          <cell r="BY111">
            <v>150</v>
          </cell>
          <cell r="BZ111">
            <v>1050</v>
          </cell>
          <cell r="CA111">
            <v>300</v>
          </cell>
          <cell r="CC111">
            <v>3450</v>
          </cell>
          <cell r="CD111">
            <v>1350</v>
          </cell>
          <cell r="CE111">
            <v>1260</v>
          </cell>
          <cell r="CF111">
            <v>150</v>
          </cell>
          <cell r="CG111">
            <v>150</v>
          </cell>
          <cell r="CH111">
            <v>1650</v>
          </cell>
          <cell r="CI111">
            <v>450</v>
          </cell>
          <cell r="CJ111">
            <v>450</v>
          </cell>
          <cell r="CK111">
            <v>1200</v>
          </cell>
          <cell r="CL111">
            <v>1050</v>
          </cell>
          <cell r="CM111">
            <v>900</v>
          </cell>
          <cell r="DB111" t="str">
            <v>ACTIVO</v>
          </cell>
          <cell r="DC111" t="str">
            <v>C</v>
          </cell>
          <cell r="DE111">
            <v>750</v>
          </cell>
          <cell r="DF111">
            <v>125</v>
          </cell>
          <cell r="DG111">
            <v>1086.8344358314614</v>
          </cell>
          <cell r="DH111">
            <v>0</v>
          </cell>
          <cell r="DI111" t="str">
            <v>0</v>
          </cell>
          <cell r="DJ111">
            <v>0</v>
          </cell>
          <cell r="DK111" t="str">
            <v>COMPRAR</v>
          </cell>
          <cell r="DL111">
            <v>250</v>
          </cell>
          <cell r="DM111">
            <v>250</v>
          </cell>
          <cell r="DN111">
            <v>500</v>
          </cell>
        </row>
        <row r="112">
          <cell r="B112">
            <v>403248</v>
          </cell>
          <cell r="C112" t="str">
            <v>CUPULA 15 PP ALTA WALMART</v>
          </cell>
          <cell r="D112">
            <v>25200</v>
          </cell>
          <cell r="E112">
            <v>11200</v>
          </cell>
          <cell r="F112">
            <v>600</v>
          </cell>
          <cell r="H112">
            <v>12500</v>
          </cell>
          <cell r="I112">
            <v>20900</v>
          </cell>
          <cell r="J112">
            <v>16000</v>
          </cell>
          <cell r="K112">
            <v>13300</v>
          </cell>
          <cell r="L112">
            <v>27700</v>
          </cell>
          <cell r="M112">
            <v>24500</v>
          </cell>
          <cell r="N112">
            <v>39000</v>
          </cell>
          <cell r="O112">
            <v>7400</v>
          </cell>
          <cell r="P112">
            <v>25200</v>
          </cell>
          <cell r="Q112">
            <v>24100</v>
          </cell>
          <cell r="R112">
            <v>25200</v>
          </cell>
          <cell r="S112">
            <v>27300</v>
          </cell>
          <cell r="T112">
            <v>30400</v>
          </cell>
          <cell r="U112">
            <v>23600</v>
          </cell>
          <cell r="V112">
            <v>38300</v>
          </cell>
          <cell r="W112">
            <v>27800</v>
          </cell>
          <cell r="X112">
            <v>25700</v>
          </cell>
          <cell r="Y112">
            <v>40900</v>
          </cell>
          <cell r="Z112">
            <v>12700</v>
          </cell>
          <cell r="AA112">
            <v>22200</v>
          </cell>
          <cell r="AB112">
            <v>33100</v>
          </cell>
          <cell r="AC112">
            <v>13100</v>
          </cell>
          <cell r="AD112">
            <v>10400</v>
          </cell>
          <cell r="AE112">
            <v>6200</v>
          </cell>
          <cell r="AF112">
            <v>22800</v>
          </cell>
          <cell r="AG112">
            <v>22800</v>
          </cell>
          <cell r="AH112">
            <v>28701</v>
          </cell>
          <cell r="AI112">
            <v>33804</v>
          </cell>
          <cell r="AJ112">
            <v>25000</v>
          </cell>
          <cell r="AK112">
            <v>20000</v>
          </cell>
          <cell r="AL112">
            <v>13100</v>
          </cell>
          <cell r="AM112">
            <v>12700</v>
          </cell>
          <cell r="AN112">
            <v>9200</v>
          </cell>
          <cell r="AO112">
            <v>17300</v>
          </cell>
          <cell r="AP112">
            <v>7000</v>
          </cell>
          <cell r="AQ112">
            <v>20700</v>
          </cell>
          <cell r="AR112">
            <v>23100</v>
          </cell>
          <cell r="AS112">
            <v>37900</v>
          </cell>
          <cell r="AT112">
            <v>20900</v>
          </cell>
          <cell r="AU112">
            <v>31600</v>
          </cell>
          <cell r="AV112">
            <v>40000</v>
          </cell>
          <cell r="AW112">
            <v>22900</v>
          </cell>
          <cell r="AX112">
            <v>23800</v>
          </cell>
          <cell r="AY112">
            <v>20700</v>
          </cell>
          <cell r="AZ112">
            <v>31000</v>
          </cell>
          <cell r="BA112">
            <v>34900</v>
          </cell>
          <cell r="BB112">
            <v>16400</v>
          </cell>
          <cell r="BC112">
            <v>22200</v>
          </cell>
          <cell r="BD112">
            <v>27600</v>
          </cell>
          <cell r="BE112">
            <v>18000</v>
          </cell>
          <cell r="BF112">
            <v>18600</v>
          </cell>
          <cell r="BG112">
            <v>14700</v>
          </cell>
          <cell r="BH112">
            <v>36000</v>
          </cell>
          <cell r="BI112">
            <v>17500</v>
          </cell>
          <cell r="BJ112">
            <v>18100</v>
          </cell>
          <cell r="BK112">
            <v>14900</v>
          </cell>
          <cell r="BL112">
            <v>18700</v>
          </cell>
          <cell r="BM112">
            <v>23300</v>
          </cell>
          <cell r="BN112">
            <v>8700</v>
          </cell>
          <cell r="BO112">
            <v>17100</v>
          </cell>
          <cell r="BP112">
            <v>3700</v>
          </cell>
          <cell r="BQ112">
            <v>29000</v>
          </cell>
          <cell r="BR112">
            <v>18700</v>
          </cell>
          <cell r="BS112">
            <v>28400</v>
          </cell>
          <cell r="BT112">
            <v>15100</v>
          </cell>
          <cell r="BU112">
            <v>11900</v>
          </cell>
          <cell r="BV112">
            <v>14000</v>
          </cell>
          <cell r="BW112">
            <v>12400</v>
          </cell>
          <cell r="BX112">
            <v>10200</v>
          </cell>
          <cell r="BY112">
            <v>17000</v>
          </cell>
          <cell r="BZ112">
            <v>19000</v>
          </cell>
          <cell r="CA112">
            <v>12300</v>
          </cell>
          <cell r="CB112">
            <v>8900</v>
          </cell>
          <cell r="CC112">
            <v>18700</v>
          </cell>
          <cell r="CD112">
            <v>5200</v>
          </cell>
          <cell r="CE112">
            <v>6800</v>
          </cell>
          <cell r="CF112">
            <v>6800</v>
          </cell>
          <cell r="CG112">
            <v>16700</v>
          </cell>
          <cell r="CH112">
            <v>14600</v>
          </cell>
          <cell r="CI112">
            <v>14000</v>
          </cell>
          <cell r="CJ112">
            <v>11800</v>
          </cell>
          <cell r="CK112">
            <v>11600</v>
          </cell>
          <cell r="CL112">
            <v>5200</v>
          </cell>
          <cell r="CN112">
            <v>5600</v>
          </cell>
          <cell r="DB112" t="str">
            <v>SIN USO</v>
          </cell>
          <cell r="DC112" t="str">
            <v>A</v>
          </cell>
          <cell r="DE112">
            <v>10787.5</v>
          </cell>
          <cell r="DF112">
            <v>1797.9166666666667</v>
          </cell>
          <cell r="DG112">
            <v>8706.2474914950599</v>
          </cell>
          <cell r="DH112">
            <v>0</v>
          </cell>
          <cell r="DI112" t="str">
            <v>0</v>
          </cell>
          <cell r="DJ112">
            <v>0</v>
          </cell>
          <cell r="DK112" t="str">
            <v>INACTIVO</v>
          </cell>
          <cell r="DL112">
            <v>3595.8333333333335</v>
          </cell>
          <cell r="DM112">
            <v>3595.8333333333335</v>
          </cell>
          <cell r="DN112">
            <v>7191.666666666667</v>
          </cell>
        </row>
        <row r="113">
          <cell r="B113">
            <v>107300</v>
          </cell>
          <cell r="C113" t="str">
            <v>COMBO 88 ALTA 12 PP MOLDES PAC</v>
          </cell>
          <cell r="D113">
            <v>12110</v>
          </cell>
          <cell r="E113">
            <v>8050</v>
          </cell>
          <cell r="F113">
            <v>2730</v>
          </cell>
          <cell r="G113">
            <v>9240</v>
          </cell>
          <cell r="H113">
            <v>1960</v>
          </cell>
          <cell r="J113">
            <v>2730</v>
          </cell>
          <cell r="K113">
            <v>1750</v>
          </cell>
          <cell r="L113">
            <v>7280</v>
          </cell>
          <cell r="M113">
            <v>4900</v>
          </cell>
          <cell r="N113">
            <v>6650</v>
          </cell>
          <cell r="O113">
            <v>6020</v>
          </cell>
          <cell r="P113">
            <v>2940</v>
          </cell>
          <cell r="Q113">
            <v>13020</v>
          </cell>
          <cell r="R113">
            <v>7140</v>
          </cell>
          <cell r="S113">
            <v>9100</v>
          </cell>
          <cell r="T113">
            <v>6230</v>
          </cell>
          <cell r="U113">
            <v>11550</v>
          </cell>
          <cell r="V113">
            <v>3990</v>
          </cell>
          <cell r="W113">
            <v>5320</v>
          </cell>
          <cell r="X113">
            <v>10570</v>
          </cell>
          <cell r="Y113">
            <v>8540</v>
          </cell>
          <cell r="Z113">
            <v>9950</v>
          </cell>
          <cell r="AA113">
            <v>4970</v>
          </cell>
          <cell r="AB113">
            <v>5870</v>
          </cell>
          <cell r="AC113">
            <v>490</v>
          </cell>
          <cell r="AE113">
            <v>140</v>
          </cell>
          <cell r="AF113">
            <v>4300</v>
          </cell>
          <cell r="AG113">
            <v>4060</v>
          </cell>
          <cell r="AH113">
            <v>700</v>
          </cell>
          <cell r="AI113">
            <v>4740</v>
          </cell>
          <cell r="AJ113">
            <v>9450</v>
          </cell>
          <cell r="AK113">
            <v>1410</v>
          </cell>
          <cell r="AL113">
            <v>13170</v>
          </cell>
          <cell r="AM113">
            <v>8740</v>
          </cell>
          <cell r="AN113">
            <v>8880</v>
          </cell>
          <cell r="AO113">
            <v>760</v>
          </cell>
          <cell r="AP113">
            <v>6790</v>
          </cell>
          <cell r="AQ113">
            <v>8160</v>
          </cell>
          <cell r="AR113">
            <v>6180</v>
          </cell>
          <cell r="AS113">
            <v>14650</v>
          </cell>
          <cell r="AT113">
            <v>2720</v>
          </cell>
          <cell r="AU113">
            <v>4100</v>
          </cell>
          <cell r="AV113">
            <v>8610</v>
          </cell>
          <cell r="AW113">
            <v>10390</v>
          </cell>
          <cell r="AX113">
            <v>10280</v>
          </cell>
          <cell r="AY113">
            <v>5340</v>
          </cell>
          <cell r="AZ113">
            <v>5520</v>
          </cell>
          <cell r="BA113">
            <v>8880</v>
          </cell>
          <cell r="BB113">
            <v>12490</v>
          </cell>
          <cell r="BC113">
            <v>15370</v>
          </cell>
          <cell r="BD113">
            <v>4260</v>
          </cell>
          <cell r="BE113">
            <v>5330</v>
          </cell>
          <cell r="BF113">
            <v>3210</v>
          </cell>
          <cell r="BG113">
            <v>17800</v>
          </cell>
          <cell r="BH113">
            <v>4470</v>
          </cell>
          <cell r="BI113">
            <v>13080</v>
          </cell>
          <cell r="BJ113">
            <v>19780</v>
          </cell>
          <cell r="BK113">
            <v>15170</v>
          </cell>
          <cell r="BL113">
            <v>12660</v>
          </cell>
          <cell r="BM113">
            <v>4480</v>
          </cell>
          <cell r="BN113">
            <v>17570</v>
          </cell>
          <cell r="BO113">
            <v>9030</v>
          </cell>
          <cell r="BP113">
            <v>3990</v>
          </cell>
          <cell r="BQ113">
            <v>16240</v>
          </cell>
          <cell r="BR113">
            <v>7000</v>
          </cell>
          <cell r="BS113">
            <v>11480</v>
          </cell>
          <cell r="BT113">
            <v>13580</v>
          </cell>
          <cell r="BU113">
            <v>10220</v>
          </cell>
          <cell r="BV113">
            <v>2240</v>
          </cell>
          <cell r="BW113">
            <v>15120</v>
          </cell>
          <cell r="BX113">
            <v>10080</v>
          </cell>
          <cell r="BY113">
            <v>6720</v>
          </cell>
          <cell r="BZ113">
            <v>5110</v>
          </cell>
          <cell r="CA113">
            <v>9170</v>
          </cell>
          <cell r="CB113">
            <v>8540</v>
          </cell>
          <cell r="CC113">
            <v>12040</v>
          </cell>
          <cell r="CD113">
            <v>11970</v>
          </cell>
          <cell r="CE113">
            <v>3150</v>
          </cell>
          <cell r="CG113">
            <v>5600</v>
          </cell>
          <cell r="CH113">
            <v>16870</v>
          </cell>
          <cell r="CI113">
            <v>13230</v>
          </cell>
          <cell r="CJ113">
            <v>4690</v>
          </cell>
          <cell r="CK113">
            <v>6370</v>
          </cell>
          <cell r="CL113">
            <v>13930</v>
          </cell>
          <cell r="CM113">
            <v>3220</v>
          </cell>
          <cell r="CN113">
            <v>13980</v>
          </cell>
          <cell r="CO113">
            <v>12970</v>
          </cell>
          <cell r="CP113">
            <v>4340</v>
          </cell>
          <cell r="CQ113">
            <v>10500</v>
          </cell>
          <cell r="CR113">
            <v>9520</v>
          </cell>
          <cell r="CS113">
            <v>1890</v>
          </cell>
          <cell r="CT113">
            <v>6160</v>
          </cell>
          <cell r="CU113">
            <v>4200</v>
          </cell>
          <cell r="CV113">
            <v>1540</v>
          </cell>
          <cell r="CW113">
            <v>1540</v>
          </cell>
          <cell r="CX113">
            <v>1610</v>
          </cell>
          <cell r="CY113">
            <v>13230</v>
          </cell>
          <cell r="CZ113">
            <v>5840</v>
          </cell>
          <cell r="DA113">
            <v>12390</v>
          </cell>
          <cell r="DB113" t="str">
            <v>ACTIVO</v>
          </cell>
          <cell r="DC113" t="str">
            <v>A</v>
          </cell>
          <cell r="DE113">
            <v>8063.125</v>
          </cell>
          <cell r="DF113">
            <v>1343.8541666666667</v>
          </cell>
          <cell r="DG113">
            <v>4892.2838152423692</v>
          </cell>
          <cell r="DH113">
            <v>0</v>
          </cell>
          <cell r="DI113" t="str">
            <v>0</v>
          </cell>
          <cell r="DJ113">
            <v>0</v>
          </cell>
          <cell r="DK113" t="str">
            <v>COMPRAR</v>
          </cell>
          <cell r="DL113">
            <v>2687.7083333333335</v>
          </cell>
          <cell r="DM113">
            <v>2687.7083333333335</v>
          </cell>
          <cell r="DN113">
            <v>5375.416666666667</v>
          </cell>
        </row>
        <row r="114">
          <cell r="B114">
            <v>405374</v>
          </cell>
          <cell r="C114" t="str">
            <v>COMBO 88 ALTA 12 PP FOOD PACK</v>
          </cell>
          <cell r="H114">
            <v>2100</v>
          </cell>
          <cell r="I114">
            <v>9170</v>
          </cell>
          <cell r="J114">
            <v>4900</v>
          </cell>
          <cell r="K114">
            <v>8050</v>
          </cell>
          <cell r="L114">
            <v>5110</v>
          </cell>
          <cell r="M114">
            <v>420</v>
          </cell>
          <cell r="T114">
            <v>70</v>
          </cell>
          <cell r="V114">
            <v>2310</v>
          </cell>
          <cell r="X114">
            <v>700</v>
          </cell>
          <cell r="Y114">
            <v>140</v>
          </cell>
          <cell r="AA114">
            <v>980</v>
          </cell>
          <cell r="AE114">
            <v>3290</v>
          </cell>
          <cell r="AG114">
            <v>2460</v>
          </cell>
          <cell r="AH114">
            <v>1290</v>
          </cell>
          <cell r="DB114" t="str">
            <v>SIN USO</v>
          </cell>
          <cell r="DC114" t="str">
            <v>C</v>
          </cell>
          <cell r="DE114">
            <v>0</v>
          </cell>
          <cell r="DF114">
            <v>0</v>
          </cell>
          <cell r="DG114">
            <v>1004.8051220676241</v>
          </cell>
          <cell r="DH114">
            <v>0</v>
          </cell>
          <cell r="DI114" t="str">
            <v>0</v>
          </cell>
          <cell r="DJ114">
            <v>0</v>
          </cell>
          <cell r="DK114" t="str">
            <v>INACTIVO</v>
          </cell>
          <cell r="DL114">
            <v>0</v>
          </cell>
          <cell r="DM114">
            <v>0</v>
          </cell>
          <cell r="DN114">
            <v>0</v>
          </cell>
        </row>
        <row r="115">
          <cell r="B115">
            <v>107339</v>
          </cell>
          <cell r="C115" t="str">
            <v>CUPULA TARTA 1025-3 MOLDES PAC</v>
          </cell>
          <cell r="D115">
            <v>70</v>
          </cell>
          <cell r="F115">
            <v>210</v>
          </cell>
          <cell r="G115">
            <v>560</v>
          </cell>
          <cell r="H115">
            <v>770</v>
          </cell>
          <cell r="I115">
            <v>1260</v>
          </cell>
          <cell r="J115">
            <v>1680</v>
          </cell>
          <cell r="K115">
            <v>2450</v>
          </cell>
          <cell r="L115">
            <v>4830</v>
          </cell>
          <cell r="M115">
            <v>3430</v>
          </cell>
          <cell r="N115">
            <v>2450</v>
          </cell>
          <cell r="O115">
            <v>980</v>
          </cell>
          <cell r="P115">
            <v>3430</v>
          </cell>
          <cell r="Q115">
            <v>3780</v>
          </cell>
          <cell r="R115">
            <v>6440</v>
          </cell>
          <cell r="S115">
            <v>3430</v>
          </cell>
          <cell r="T115">
            <v>2900</v>
          </cell>
          <cell r="U115">
            <v>3500</v>
          </cell>
          <cell r="V115">
            <v>5040</v>
          </cell>
          <cell r="W115">
            <v>2730</v>
          </cell>
          <cell r="X115">
            <v>2660</v>
          </cell>
          <cell r="Y115">
            <v>3430</v>
          </cell>
          <cell r="Z115">
            <v>2240</v>
          </cell>
          <cell r="AA115">
            <v>2800</v>
          </cell>
          <cell r="AB115">
            <v>2660</v>
          </cell>
          <cell r="AC115">
            <v>3220</v>
          </cell>
          <cell r="AD115">
            <v>1260</v>
          </cell>
          <cell r="AE115">
            <v>1190</v>
          </cell>
          <cell r="AF115">
            <v>1610</v>
          </cell>
          <cell r="AG115">
            <v>2170</v>
          </cell>
          <cell r="AH115">
            <v>2310</v>
          </cell>
          <cell r="AI115">
            <v>2450</v>
          </cell>
          <cell r="AJ115">
            <v>3990</v>
          </cell>
          <cell r="AK115">
            <v>1750</v>
          </cell>
          <cell r="AL115">
            <v>2800</v>
          </cell>
          <cell r="AM115">
            <v>3430</v>
          </cell>
          <cell r="AN115">
            <v>2310</v>
          </cell>
          <cell r="AO115">
            <v>3920</v>
          </cell>
          <cell r="AP115">
            <v>2520</v>
          </cell>
          <cell r="AQ115">
            <v>3360</v>
          </cell>
          <cell r="AR115">
            <v>3010</v>
          </cell>
          <cell r="AS115">
            <v>3990</v>
          </cell>
          <cell r="AT115">
            <v>3780</v>
          </cell>
          <cell r="AU115">
            <v>2450</v>
          </cell>
          <cell r="AV115">
            <v>3640</v>
          </cell>
          <cell r="AW115">
            <v>2520</v>
          </cell>
          <cell r="AX115">
            <v>2520</v>
          </cell>
          <cell r="AY115">
            <v>3360</v>
          </cell>
          <cell r="AZ115">
            <v>3850</v>
          </cell>
          <cell r="BA115">
            <v>3290</v>
          </cell>
          <cell r="BB115">
            <v>4620</v>
          </cell>
          <cell r="BC115">
            <v>5110</v>
          </cell>
          <cell r="BD115">
            <v>3990</v>
          </cell>
          <cell r="BE115">
            <v>3430</v>
          </cell>
          <cell r="BF115">
            <v>3990</v>
          </cell>
          <cell r="BG115">
            <v>3780</v>
          </cell>
          <cell r="BH115">
            <v>4340</v>
          </cell>
          <cell r="BI115">
            <v>3570</v>
          </cell>
          <cell r="BJ115">
            <v>3220</v>
          </cell>
          <cell r="BK115">
            <v>3290</v>
          </cell>
          <cell r="BL115">
            <v>3640</v>
          </cell>
          <cell r="BM115">
            <v>3640</v>
          </cell>
          <cell r="BN115">
            <v>3360</v>
          </cell>
          <cell r="BO115">
            <v>3780</v>
          </cell>
          <cell r="BP115">
            <v>1400</v>
          </cell>
          <cell r="BQ115">
            <v>4270</v>
          </cell>
          <cell r="BR115">
            <v>4060</v>
          </cell>
          <cell r="BS115">
            <v>4550</v>
          </cell>
          <cell r="BT115">
            <v>3920</v>
          </cell>
          <cell r="BU115">
            <v>2660</v>
          </cell>
          <cell r="BV115">
            <v>2660</v>
          </cell>
          <cell r="BW115">
            <v>2870</v>
          </cell>
          <cell r="BX115">
            <v>1960</v>
          </cell>
          <cell r="BY115">
            <v>2170</v>
          </cell>
          <cell r="BZ115">
            <v>3360</v>
          </cell>
          <cell r="CA115">
            <v>4580</v>
          </cell>
          <cell r="CB115">
            <v>1890</v>
          </cell>
          <cell r="CC115">
            <v>2660</v>
          </cell>
          <cell r="CD115">
            <v>1890</v>
          </cell>
          <cell r="CE115">
            <v>1120</v>
          </cell>
          <cell r="CF115">
            <v>1050</v>
          </cell>
          <cell r="CG115">
            <v>2450</v>
          </cell>
          <cell r="CH115">
            <v>2660</v>
          </cell>
          <cell r="CI115">
            <v>2240</v>
          </cell>
          <cell r="CJ115">
            <v>2170</v>
          </cell>
          <cell r="CK115">
            <v>2590</v>
          </cell>
          <cell r="CL115">
            <v>2170</v>
          </cell>
          <cell r="CM115">
            <v>2240</v>
          </cell>
          <cell r="CN115">
            <v>2660</v>
          </cell>
          <cell r="CO115">
            <v>2520</v>
          </cell>
          <cell r="CP115">
            <v>2730</v>
          </cell>
          <cell r="CQ115">
            <v>2590</v>
          </cell>
          <cell r="CR115">
            <v>2800</v>
          </cell>
          <cell r="CS115">
            <v>2520</v>
          </cell>
          <cell r="CT115">
            <v>6130</v>
          </cell>
          <cell r="CU115">
            <v>12280</v>
          </cell>
          <cell r="CV115">
            <v>8400</v>
          </cell>
          <cell r="CW115">
            <v>5670</v>
          </cell>
          <cell r="CX115">
            <v>6230</v>
          </cell>
          <cell r="CY115">
            <v>3500</v>
          </cell>
          <cell r="CZ115">
            <v>3850</v>
          </cell>
          <cell r="DA115">
            <v>6860</v>
          </cell>
          <cell r="DB115" t="str">
            <v>ACTIVO</v>
          </cell>
          <cell r="DC115" t="str">
            <v>B</v>
          </cell>
          <cell r="DE115">
            <v>3541.1764705882351</v>
          </cell>
          <cell r="DF115">
            <v>590.19607843137248</v>
          </cell>
          <cell r="DG115">
            <v>949.12177724496371</v>
          </cell>
          <cell r="DH115">
            <v>5040</v>
          </cell>
          <cell r="DI115">
            <v>1302134.3999999999</v>
          </cell>
          <cell r="DJ115">
            <v>1.4232558139534885</v>
          </cell>
          <cell r="DK115" t="str">
            <v>OK</v>
          </cell>
          <cell r="DL115">
            <v>1180.392156862745</v>
          </cell>
          <cell r="DM115">
            <v>1180.392156862745</v>
          </cell>
          <cell r="DN115">
            <v>2360.7843137254899</v>
          </cell>
        </row>
        <row r="116">
          <cell r="B116">
            <v>403249</v>
          </cell>
          <cell r="C116" t="str">
            <v>CUPULA 15 PP BAJA WALMART</v>
          </cell>
          <cell r="J116">
            <v>700</v>
          </cell>
          <cell r="DB116" t="str">
            <v>SIN USO</v>
          </cell>
          <cell r="DC116" t="str">
            <v/>
          </cell>
          <cell r="DE116">
            <v>0</v>
          </cell>
          <cell r="DF116">
            <v>0</v>
          </cell>
          <cell r="DG116">
            <v>0</v>
          </cell>
          <cell r="DH116">
            <v>0</v>
          </cell>
          <cell r="DI116" t="str">
            <v>0</v>
          </cell>
          <cell r="DJ116">
            <v>0</v>
          </cell>
          <cell r="DK116" t="str">
            <v>INACTIVO</v>
          </cell>
          <cell r="DL116">
            <v>0</v>
          </cell>
          <cell r="DM116">
            <v>0</v>
          </cell>
          <cell r="DN116">
            <v>0</v>
          </cell>
        </row>
        <row r="117">
          <cell r="B117">
            <v>403210</v>
          </cell>
          <cell r="C117" t="str">
            <v>CUPULA TORTA 15PP (98-45) MONSALVE CENCOSUD</v>
          </cell>
          <cell r="J117">
            <v>770</v>
          </cell>
          <cell r="K117">
            <v>210</v>
          </cell>
          <cell r="L117">
            <v>240</v>
          </cell>
          <cell r="M117">
            <v>1190</v>
          </cell>
          <cell r="O117">
            <v>210</v>
          </cell>
          <cell r="P117">
            <v>280</v>
          </cell>
          <cell r="Q117">
            <v>490</v>
          </cell>
          <cell r="R117">
            <v>350</v>
          </cell>
          <cell r="S117">
            <v>5390</v>
          </cell>
          <cell r="T117">
            <v>350</v>
          </cell>
          <cell r="U117">
            <v>1190</v>
          </cell>
          <cell r="V117">
            <v>1150</v>
          </cell>
          <cell r="W117">
            <v>280</v>
          </cell>
          <cell r="X117">
            <v>1190</v>
          </cell>
          <cell r="Y117">
            <v>1530</v>
          </cell>
          <cell r="Z117">
            <v>490</v>
          </cell>
          <cell r="AA117">
            <v>630</v>
          </cell>
          <cell r="AB117">
            <v>1070</v>
          </cell>
          <cell r="AC117">
            <v>420</v>
          </cell>
          <cell r="AE117">
            <v>100</v>
          </cell>
          <cell r="AR117">
            <v>70</v>
          </cell>
          <cell r="AY117">
            <v>70</v>
          </cell>
          <cell r="AZ117">
            <v>420</v>
          </cell>
          <cell r="BA117">
            <v>560</v>
          </cell>
          <cell r="BB117">
            <v>560</v>
          </cell>
          <cell r="BD117">
            <v>210</v>
          </cell>
          <cell r="BG117">
            <v>70</v>
          </cell>
          <cell r="DB117" t="str">
            <v>ACTIVO</v>
          </cell>
          <cell r="DC117" t="str">
            <v>C</v>
          </cell>
          <cell r="DE117">
            <v>0</v>
          </cell>
          <cell r="DF117">
            <v>0</v>
          </cell>
          <cell r="DG117">
            <v>221.02036105300343</v>
          </cell>
          <cell r="DH117">
            <v>0</v>
          </cell>
          <cell r="DI117" t="str">
            <v>0</v>
          </cell>
          <cell r="DJ117">
            <v>0</v>
          </cell>
          <cell r="DK117" t="str">
            <v>COMPRAR</v>
          </cell>
          <cell r="DL117">
            <v>0</v>
          </cell>
          <cell r="DM117">
            <v>0</v>
          </cell>
          <cell r="DN117">
            <v>0</v>
          </cell>
        </row>
        <row r="118">
          <cell r="B118">
            <v>405278</v>
          </cell>
          <cell r="C118" t="str">
            <v>CUPULA TORTA 15PP (98-45) MOLDESPAC</v>
          </cell>
          <cell r="K118">
            <v>210</v>
          </cell>
          <cell r="N118">
            <v>350</v>
          </cell>
          <cell r="P118">
            <v>560</v>
          </cell>
          <cell r="R118">
            <v>210</v>
          </cell>
          <cell r="S118">
            <v>70</v>
          </cell>
          <cell r="V118">
            <v>270</v>
          </cell>
          <cell r="Y118">
            <v>10</v>
          </cell>
          <cell r="AC118">
            <v>140</v>
          </cell>
          <cell r="AD118">
            <v>280</v>
          </cell>
          <cell r="AE118">
            <v>140</v>
          </cell>
          <cell r="AF118">
            <v>950</v>
          </cell>
          <cell r="AG118">
            <v>1050</v>
          </cell>
          <cell r="AH118">
            <v>7640</v>
          </cell>
          <cell r="AI118">
            <v>7210</v>
          </cell>
          <cell r="AJ118">
            <v>910</v>
          </cell>
          <cell r="AK118">
            <v>330</v>
          </cell>
          <cell r="AL118">
            <v>720</v>
          </cell>
          <cell r="AM118">
            <v>560</v>
          </cell>
          <cell r="AN118">
            <v>5110</v>
          </cell>
          <cell r="AO118">
            <v>1330</v>
          </cell>
          <cell r="AP118">
            <v>3080</v>
          </cell>
          <cell r="AQ118">
            <v>420</v>
          </cell>
          <cell r="AR118">
            <v>980</v>
          </cell>
          <cell r="AS118">
            <v>980</v>
          </cell>
          <cell r="AT118">
            <v>1050</v>
          </cell>
          <cell r="AU118">
            <v>490</v>
          </cell>
          <cell r="AV118">
            <v>910</v>
          </cell>
          <cell r="AW118">
            <v>770</v>
          </cell>
          <cell r="AX118">
            <v>840</v>
          </cell>
          <cell r="AY118">
            <v>2240</v>
          </cell>
          <cell r="AZ118">
            <v>210</v>
          </cell>
          <cell r="BA118">
            <v>800</v>
          </cell>
          <cell r="BB118">
            <v>2530</v>
          </cell>
          <cell r="BC118">
            <v>2560</v>
          </cell>
          <cell r="BD118">
            <v>1110</v>
          </cell>
          <cell r="BE118">
            <v>1000</v>
          </cell>
          <cell r="BF118">
            <v>1300</v>
          </cell>
          <cell r="BG118">
            <v>3178</v>
          </cell>
          <cell r="BH118">
            <v>1570</v>
          </cell>
          <cell r="BI118">
            <v>1750</v>
          </cell>
          <cell r="BJ118">
            <v>2380</v>
          </cell>
          <cell r="BK118">
            <v>1400</v>
          </cell>
          <cell r="BL118">
            <v>1260</v>
          </cell>
          <cell r="BM118">
            <v>3080</v>
          </cell>
          <cell r="BN118">
            <v>2590</v>
          </cell>
          <cell r="BO118">
            <v>2170</v>
          </cell>
          <cell r="BP118">
            <v>350</v>
          </cell>
          <cell r="BQ118">
            <v>1750</v>
          </cell>
          <cell r="BR118">
            <v>1400</v>
          </cell>
          <cell r="BS118">
            <v>2030</v>
          </cell>
          <cell r="BT118">
            <v>1750</v>
          </cell>
          <cell r="BU118">
            <v>3360</v>
          </cell>
          <cell r="BV118">
            <v>770</v>
          </cell>
          <cell r="BW118">
            <v>1960</v>
          </cell>
          <cell r="BX118">
            <v>420</v>
          </cell>
          <cell r="BY118">
            <v>560</v>
          </cell>
          <cell r="BZ118">
            <v>2030</v>
          </cell>
          <cell r="CA118">
            <v>1540</v>
          </cell>
          <cell r="CB118">
            <v>1260</v>
          </cell>
          <cell r="CC118">
            <v>2590</v>
          </cell>
          <cell r="CD118">
            <v>770</v>
          </cell>
          <cell r="CE118">
            <v>1260</v>
          </cell>
          <cell r="CF118">
            <v>210</v>
          </cell>
          <cell r="CG118">
            <v>840</v>
          </cell>
          <cell r="CH118">
            <v>1330</v>
          </cell>
          <cell r="CI118">
            <v>770</v>
          </cell>
          <cell r="CJ118">
            <v>420</v>
          </cell>
          <cell r="CK118">
            <v>1190</v>
          </cell>
          <cell r="CL118">
            <v>770</v>
          </cell>
          <cell r="CM118">
            <v>980</v>
          </cell>
          <cell r="CN118">
            <v>1120</v>
          </cell>
          <cell r="CO118">
            <v>1120</v>
          </cell>
          <cell r="CP118">
            <v>3150</v>
          </cell>
          <cell r="CQ118">
            <v>700</v>
          </cell>
          <cell r="CR118">
            <v>840</v>
          </cell>
          <cell r="CS118">
            <v>560</v>
          </cell>
          <cell r="CT118">
            <v>770</v>
          </cell>
          <cell r="CU118">
            <v>560</v>
          </cell>
          <cell r="CV118">
            <v>490</v>
          </cell>
          <cell r="CX118">
            <v>1120</v>
          </cell>
          <cell r="CY118">
            <v>1050</v>
          </cell>
          <cell r="CZ118">
            <v>560</v>
          </cell>
          <cell r="DA118">
            <v>700</v>
          </cell>
          <cell r="DB118" t="str">
            <v>ACTIVO</v>
          </cell>
          <cell r="DC118" t="str">
            <v>B</v>
          </cell>
          <cell r="DE118">
            <v>930.58823529411768</v>
          </cell>
          <cell r="DF118">
            <v>155.09803921568627</v>
          </cell>
          <cell r="DG118">
            <v>1498.2567334998043</v>
          </cell>
          <cell r="DH118">
            <v>7350</v>
          </cell>
          <cell r="DI118">
            <v>1798839</v>
          </cell>
          <cell r="DJ118">
            <v>7.8982300884955752</v>
          </cell>
          <cell r="DK118" t="str">
            <v>OK</v>
          </cell>
          <cell r="DL118">
            <v>310.19607843137254</v>
          </cell>
          <cell r="DM118">
            <v>310.19607843137254</v>
          </cell>
          <cell r="DN118">
            <v>620.39215686274508</v>
          </cell>
        </row>
        <row r="119">
          <cell r="B119">
            <v>403251</v>
          </cell>
          <cell r="C119" t="str">
            <v>CUPULA 98-9 ALTA 12 PP MONSALVE</v>
          </cell>
          <cell r="N119">
            <v>980</v>
          </cell>
          <cell r="DB119" t="str">
            <v>SIN USO</v>
          </cell>
          <cell r="DC119" t="str">
            <v/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 t="str">
            <v>0</v>
          </cell>
          <cell r="DJ119">
            <v>0</v>
          </cell>
          <cell r="DK119" t="str">
            <v>INACTIVO</v>
          </cell>
          <cell r="DL119">
            <v>0</v>
          </cell>
          <cell r="DM119">
            <v>0</v>
          </cell>
          <cell r="DN119">
            <v>0</v>
          </cell>
        </row>
        <row r="120">
          <cell r="B120">
            <v>107402</v>
          </cell>
          <cell r="C120" t="str">
            <v>CUPULA MINI TORTA BASE NEGRA 15,5x7,5 FOOD PACK</v>
          </cell>
          <cell r="V120">
            <v>2000</v>
          </cell>
          <cell r="DB120" t="str">
            <v>SIN USO</v>
          </cell>
          <cell r="DC120" t="str">
            <v/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 t="str">
            <v>0</v>
          </cell>
          <cell r="DJ120">
            <v>0</v>
          </cell>
          <cell r="DK120" t="str">
            <v>INACTIVO</v>
          </cell>
          <cell r="DL120">
            <v>0</v>
          </cell>
          <cell r="DM120">
            <v>0</v>
          </cell>
          <cell r="DN120">
            <v>0</v>
          </cell>
        </row>
        <row r="121">
          <cell r="D121">
            <v>109820</v>
          </cell>
          <cell r="E121">
            <v>108920</v>
          </cell>
          <cell r="F121">
            <v>108860</v>
          </cell>
          <cell r="G121">
            <v>114730</v>
          </cell>
          <cell r="H121">
            <v>150550</v>
          </cell>
          <cell r="I121">
            <v>110660</v>
          </cell>
          <cell r="J121">
            <v>109010</v>
          </cell>
          <cell r="K121">
            <v>97600</v>
          </cell>
          <cell r="L121">
            <v>138890</v>
          </cell>
          <cell r="M121">
            <v>103750</v>
          </cell>
          <cell r="N121">
            <v>115970</v>
          </cell>
          <cell r="O121">
            <v>35701.050000000003</v>
          </cell>
          <cell r="P121">
            <v>115430</v>
          </cell>
          <cell r="Q121">
            <v>115860</v>
          </cell>
          <cell r="R121">
            <v>104330</v>
          </cell>
          <cell r="S121">
            <v>108960</v>
          </cell>
          <cell r="T121">
            <v>110890</v>
          </cell>
          <cell r="U121">
            <v>110110</v>
          </cell>
          <cell r="V121">
            <v>148450</v>
          </cell>
          <cell r="W121">
            <v>81320</v>
          </cell>
          <cell r="X121">
            <v>86710</v>
          </cell>
          <cell r="Y121">
            <v>86220</v>
          </cell>
          <cell r="Z121">
            <v>95130</v>
          </cell>
          <cell r="AA121">
            <v>108200</v>
          </cell>
          <cell r="AB121">
            <v>106830</v>
          </cell>
          <cell r="AC121">
            <v>84870</v>
          </cell>
          <cell r="AD121">
            <v>23880</v>
          </cell>
          <cell r="AE121">
            <v>23570</v>
          </cell>
          <cell r="AF121">
            <v>115330</v>
          </cell>
          <cell r="AG121">
            <v>92881</v>
          </cell>
          <cell r="AH121">
            <v>117039</v>
          </cell>
          <cell r="AI121">
            <v>115174</v>
          </cell>
          <cell r="AJ121">
            <v>91300</v>
          </cell>
          <cell r="AK121">
            <v>90130</v>
          </cell>
          <cell r="AL121">
            <v>88930</v>
          </cell>
          <cell r="AM121">
            <v>91750</v>
          </cell>
          <cell r="AN121">
            <v>118700</v>
          </cell>
          <cell r="AO121">
            <v>107920</v>
          </cell>
          <cell r="AP121">
            <v>105220</v>
          </cell>
          <cell r="AQ121">
            <v>118295</v>
          </cell>
          <cell r="AR121">
            <v>123970</v>
          </cell>
          <cell r="AS121">
            <v>125250</v>
          </cell>
          <cell r="AT121">
            <v>132740</v>
          </cell>
          <cell r="AU121">
            <v>108130</v>
          </cell>
          <cell r="AV121">
            <v>128710</v>
          </cell>
          <cell r="AW121">
            <v>108990</v>
          </cell>
          <cell r="AX121">
            <v>126070</v>
          </cell>
          <cell r="AY121">
            <v>89200</v>
          </cell>
          <cell r="AZ121">
            <v>121820</v>
          </cell>
          <cell r="BA121">
            <v>133160</v>
          </cell>
          <cell r="BB121">
            <v>89880</v>
          </cell>
          <cell r="BC121">
            <v>114847</v>
          </cell>
          <cell r="BD121">
            <v>114490</v>
          </cell>
          <cell r="BE121">
            <v>117030</v>
          </cell>
          <cell r="BF121">
            <v>84210</v>
          </cell>
          <cell r="BG121">
            <v>109568</v>
          </cell>
          <cell r="BH121">
            <v>188690</v>
          </cell>
          <cell r="BI121">
            <v>99840</v>
          </cell>
          <cell r="BJ121">
            <v>121540</v>
          </cell>
          <cell r="BK121">
            <v>117800</v>
          </cell>
          <cell r="BL121">
            <v>146170</v>
          </cell>
          <cell r="BM121">
            <v>119800</v>
          </cell>
          <cell r="BN121">
            <v>125120</v>
          </cell>
          <cell r="BO121">
            <v>100770</v>
          </cell>
          <cell r="BP121">
            <v>48150</v>
          </cell>
          <cell r="BQ121">
            <v>146700</v>
          </cell>
          <cell r="BR121">
            <v>96500</v>
          </cell>
          <cell r="BS121">
            <v>114530</v>
          </cell>
          <cell r="BT121">
            <v>106380</v>
          </cell>
          <cell r="BU121">
            <v>106310</v>
          </cell>
          <cell r="BV121">
            <v>90760</v>
          </cell>
          <cell r="BW121">
            <v>97730</v>
          </cell>
          <cell r="BX121">
            <v>73920</v>
          </cell>
          <cell r="BY121">
            <v>78950</v>
          </cell>
          <cell r="BZ121">
            <v>93370</v>
          </cell>
          <cell r="CA121">
            <v>91290</v>
          </cell>
          <cell r="CB121">
            <v>72200</v>
          </cell>
          <cell r="CC121">
            <v>93990</v>
          </cell>
          <cell r="CD121">
            <v>86630</v>
          </cell>
          <cell r="CE121">
            <v>41000</v>
          </cell>
          <cell r="CF121">
            <v>28480</v>
          </cell>
          <cell r="CG121">
            <v>96370</v>
          </cell>
          <cell r="CH121">
            <v>100530</v>
          </cell>
          <cell r="CI121">
            <v>119250</v>
          </cell>
          <cell r="CJ121">
            <v>82360</v>
          </cell>
          <cell r="CK121">
            <v>93360</v>
          </cell>
          <cell r="CL121">
            <v>110110</v>
          </cell>
          <cell r="CM121">
            <v>108830</v>
          </cell>
          <cell r="CN121">
            <v>93160</v>
          </cell>
          <cell r="CO121">
            <v>103750</v>
          </cell>
          <cell r="CP121">
            <v>111380</v>
          </cell>
          <cell r="CQ121">
            <v>105130</v>
          </cell>
          <cell r="CR121">
            <v>126980</v>
          </cell>
          <cell r="CS121">
            <v>94600</v>
          </cell>
          <cell r="CT121">
            <v>138740</v>
          </cell>
          <cell r="CU121">
            <v>147990</v>
          </cell>
          <cell r="CV121">
            <v>158550</v>
          </cell>
          <cell r="CW121">
            <v>110270</v>
          </cell>
          <cell r="CX121">
            <v>84630</v>
          </cell>
          <cell r="CY121">
            <v>158370</v>
          </cell>
          <cell r="CZ121">
            <v>122000</v>
          </cell>
          <cell r="DA121">
            <v>123130</v>
          </cell>
          <cell r="DB121" t="str">
            <v>ACTIVO</v>
          </cell>
          <cell r="DC121" t="str">
            <v/>
          </cell>
          <cell r="DE121">
            <v>107033.5294117647</v>
          </cell>
          <cell r="DF121">
            <v>17838.921568627451</v>
          </cell>
          <cell r="DG121">
            <v>26331.773710044297</v>
          </cell>
          <cell r="DH121">
            <v>0</v>
          </cell>
          <cell r="DI121" t="str">
            <v>0</v>
          </cell>
          <cell r="DJ121">
            <v>0</v>
          </cell>
          <cell r="DK121" t="str">
            <v>INACTIVO</v>
          </cell>
          <cell r="DL121">
            <v>0</v>
          </cell>
          <cell r="DM121">
            <v>35677.843137254902</v>
          </cell>
          <cell r="DN121">
            <v>35677.843137254902</v>
          </cell>
        </row>
        <row r="122">
          <cell r="B122">
            <v>404718</v>
          </cell>
          <cell r="C122" t="str">
            <v>ETIQUETA BLANCA 100x80 SISA</v>
          </cell>
          <cell r="D122">
            <v>25000</v>
          </cell>
          <cell r="E122">
            <v>22500</v>
          </cell>
          <cell r="F122">
            <v>22000</v>
          </cell>
          <cell r="G122">
            <v>38000</v>
          </cell>
          <cell r="H122">
            <v>4000</v>
          </cell>
          <cell r="I122">
            <v>8000</v>
          </cell>
          <cell r="J122">
            <v>24000</v>
          </cell>
          <cell r="K122">
            <v>24000</v>
          </cell>
          <cell r="L122">
            <v>22000</v>
          </cell>
          <cell r="M122">
            <v>20000</v>
          </cell>
          <cell r="N122">
            <v>12000</v>
          </cell>
          <cell r="O122">
            <v>34000</v>
          </cell>
          <cell r="Q122">
            <v>2000</v>
          </cell>
          <cell r="R122">
            <v>14000</v>
          </cell>
          <cell r="S122">
            <v>20000</v>
          </cell>
          <cell r="T122">
            <v>18000</v>
          </cell>
          <cell r="V122">
            <v>22000</v>
          </cell>
          <cell r="W122">
            <v>18000</v>
          </cell>
          <cell r="X122">
            <v>18000</v>
          </cell>
          <cell r="AB122">
            <v>16000</v>
          </cell>
          <cell r="AC122">
            <v>18000</v>
          </cell>
          <cell r="AD122">
            <v>16000</v>
          </cell>
          <cell r="AF122">
            <v>20000</v>
          </cell>
          <cell r="AG122">
            <v>12000</v>
          </cell>
          <cell r="AH122">
            <v>12000</v>
          </cell>
          <cell r="AI122">
            <v>12000</v>
          </cell>
          <cell r="AJ122">
            <v>16000</v>
          </cell>
          <cell r="AK122">
            <v>17000</v>
          </cell>
          <cell r="AL122">
            <v>15000</v>
          </cell>
          <cell r="AM122">
            <v>15000</v>
          </cell>
          <cell r="AO122">
            <v>23000</v>
          </cell>
          <cell r="AP122">
            <v>22000</v>
          </cell>
          <cell r="AQ122">
            <v>16000</v>
          </cell>
          <cell r="AR122">
            <v>35000</v>
          </cell>
          <cell r="AT122">
            <v>20500</v>
          </cell>
          <cell r="AU122">
            <v>42000</v>
          </cell>
          <cell r="AV122">
            <v>20000</v>
          </cell>
          <cell r="AW122">
            <v>54000</v>
          </cell>
          <cell r="AX122">
            <v>24000</v>
          </cell>
          <cell r="AY122">
            <v>7000</v>
          </cell>
          <cell r="BA122">
            <v>16000</v>
          </cell>
          <cell r="BB122">
            <v>20000</v>
          </cell>
          <cell r="BC122">
            <v>16000</v>
          </cell>
          <cell r="BD122">
            <v>31000</v>
          </cell>
          <cell r="BE122">
            <v>15000</v>
          </cell>
          <cell r="BG122">
            <v>16000</v>
          </cell>
          <cell r="BH122">
            <v>40000</v>
          </cell>
          <cell r="BJ122">
            <v>18000</v>
          </cell>
          <cell r="BK122">
            <v>18000</v>
          </cell>
          <cell r="BL122">
            <v>18000</v>
          </cell>
          <cell r="BM122">
            <v>16000</v>
          </cell>
          <cell r="BN122">
            <v>36000</v>
          </cell>
          <cell r="BQ122">
            <v>28000</v>
          </cell>
          <cell r="BR122">
            <v>10000</v>
          </cell>
          <cell r="BS122">
            <v>32000</v>
          </cell>
          <cell r="BU122">
            <v>16000</v>
          </cell>
          <cell r="BV122">
            <v>16000</v>
          </cell>
          <cell r="BW122">
            <v>32000</v>
          </cell>
          <cell r="BY122">
            <v>18000</v>
          </cell>
          <cell r="BZ122">
            <v>16000</v>
          </cell>
          <cell r="CA122">
            <v>30000</v>
          </cell>
          <cell r="CB122">
            <v>16000</v>
          </cell>
          <cell r="CC122">
            <v>2000</v>
          </cell>
          <cell r="CD122">
            <v>90000</v>
          </cell>
          <cell r="CF122">
            <v>14000</v>
          </cell>
          <cell r="CH122">
            <v>16000</v>
          </cell>
          <cell r="CI122">
            <v>26000</v>
          </cell>
          <cell r="CJ122">
            <v>4000</v>
          </cell>
          <cell r="CK122">
            <v>9000</v>
          </cell>
          <cell r="CL122">
            <v>14000</v>
          </cell>
          <cell r="CM122">
            <v>14000</v>
          </cell>
          <cell r="CN122">
            <v>14000</v>
          </cell>
          <cell r="CO122">
            <v>24000</v>
          </cell>
          <cell r="CQ122">
            <v>13000</v>
          </cell>
          <cell r="CR122">
            <v>14000</v>
          </cell>
          <cell r="CS122">
            <v>10000</v>
          </cell>
          <cell r="CT122">
            <v>18000</v>
          </cell>
          <cell r="CU122">
            <v>19000</v>
          </cell>
          <cell r="CV122">
            <v>23000</v>
          </cell>
          <cell r="CW122">
            <v>39000</v>
          </cell>
          <cell r="CY122">
            <v>17000</v>
          </cell>
          <cell r="CZ122">
            <v>35000</v>
          </cell>
          <cell r="DA122">
            <v>18000</v>
          </cell>
          <cell r="DB122" t="str">
            <v>ACTIVO</v>
          </cell>
          <cell r="DC122" t="str">
            <v>C</v>
          </cell>
          <cell r="DE122">
            <v>15466.666666666666</v>
          </cell>
          <cell r="DF122">
            <v>2577.7777777777778</v>
          </cell>
          <cell r="DG122">
            <v>14640.370458238805</v>
          </cell>
          <cell r="DH122">
            <v>95000</v>
          </cell>
          <cell r="DI122">
            <v>767600</v>
          </cell>
          <cell r="DJ122">
            <v>6.1422413793103452</v>
          </cell>
          <cell r="DK122" t="str">
            <v>OK</v>
          </cell>
          <cell r="DL122">
            <v>15466.666666666668</v>
          </cell>
          <cell r="DM122">
            <v>5155.5555555555557</v>
          </cell>
          <cell r="DN122">
            <v>20622.222222222223</v>
          </cell>
        </row>
        <row r="123">
          <cell r="B123">
            <v>404720</v>
          </cell>
          <cell r="C123" t="str">
            <v>ETIQUETA BLANCA 100x50</v>
          </cell>
          <cell r="D123">
            <v>45000</v>
          </cell>
          <cell r="E123">
            <v>30000</v>
          </cell>
          <cell r="F123">
            <v>37500</v>
          </cell>
          <cell r="G123">
            <v>65000</v>
          </cell>
          <cell r="H123">
            <v>7500</v>
          </cell>
          <cell r="I123">
            <v>40000</v>
          </cell>
          <cell r="J123">
            <v>52500</v>
          </cell>
          <cell r="K123">
            <v>42500</v>
          </cell>
          <cell r="L123">
            <v>27000</v>
          </cell>
          <cell r="M123">
            <v>30000</v>
          </cell>
          <cell r="N123">
            <v>30000</v>
          </cell>
          <cell r="O123">
            <v>50000</v>
          </cell>
          <cell r="Q123">
            <v>15000</v>
          </cell>
          <cell r="R123">
            <v>30500</v>
          </cell>
          <cell r="S123">
            <v>30000</v>
          </cell>
          <cell r="T123">
            <v>42500</v>
          </cell>
          <cell r="U123">
            <v>5000</v>
          </cell>
          <cell r="V123">
            <v>40000</v>
          </cell>
          <cell r="W123">
            <v>32500</v>
          </cell>
          <cell r="X123">
            <v>40000</v>
          </cell>
          <cell r="Y123">
            <v>45000</v>
          </cell>
          <cell r="AA123">
            <v>35000</v>
          </cell>
          <cell r="AB123">
            <v>25000</v>
          </cell>
          <cell r="AC123">
            <v>12500</v>
          </cell>
          <cell r="AD123">
            <v>20000</v>
          </cell>
          <cell r="AE123">
            <v>12500</v>
          </cell>
          <cell r="AF123">
            <v>27000</v>
          </cell>
          <cell r="AG123">
            <v>27500</v>
          </cell>
          <cell r="AH123">
            <v>30000</v>
          </cell>
          <cell r="AI123">
            <v>32500</v>
          </cell>
          <cell r="AJ123">
            <v>25000</v>
          </cell>
          <cell r="AK123">
            <v>30500</v>
          </cell>
          <cell r="AL123">
            <v>25000</v>
          </cell>
          <cell r="AM123">
            <v>25000</v>
          </cell>
          <cell r="AN123">
            <v>40500</v>
          </cell>
          <cell r="AO123">
            <v>22500</v>
          </cell>
          <cell r="AP123">
            <v>47500</v>
          </cell>
          <cell r="AQ123">
            <v>25000</v>
          </cell>
          <cell r="AR123">
            <v>58500</v>
          </cell>
          <cell r="AS123">
            <v>10000</v>
          </cell>
          <cell r="AT123">
            <v>42500</v>
          </cell>
          <cell r="AU123">
            <v>42500</v>
          </cell>
          <cell r="AV123">
            <v>37000</v>
          </cell>
          <cell r="AW123">
            <v>72500</v>
          </cell>
          <cell r="AX123">
            <v>37500</v>
          </cell>
          <cell r="AY123">
            <v>41000</v>
          </cell>
          <cell r="AZ123">
            <v>22500</v>
          </cell>
          <cell r="BA123">
            <v>30000</v>
          </cell>
          <cell r="BB123">
            <v>34500</v>
          </cell>
          <cell r="BC123">
            <v>37500</v>
          </cell>
          <cell r="BD123">
            <v>67500</v>
          </cell>
          <cell r="BE123">
            <v>31500</v>
          </cell>
          <cell r="BG123">
            <v>27500</v>
          </cell>
          <cell r="BH123">
            <v>47500</v>
          </cell>
          <cell r="BI123">
            <v>15000</v>
          </cell>
          <cell r="BJ123">
            <v>25000</v>
          </cell>
          <cell r="BK123">
            <v>40000</v>
          </cell>
          <cell r="BL123">
            <v>45000</v>
          </cell>
          <cell r="BM123">
            <v>32500</v>
          </cell>
          <cell r="BN123">
            <v>50000</v>
          </cell>
          <cell r="BO123">
            <v>12500</v>
          </cell>
          <cell r="BP123">
            <v>7500</v>
          </cell>
          <cell r="BQ123">
            <v>75000</v>
          </cell>
          <cell r="BR123">
            <v>7500</v>
          </cell>
          <cell r="BS123">
            <v>52500</v>
          </cell>
          <cell r="BT123">
            <v>7500</v>
          </cell>
          <cell r="BU123">
            <v>37500</v>
          </cell>
          <cell r="BV123">
            <v>20000</v>
          </cell>
          <cell r="BW123">
            <v>42500</v>
          </cell>
          <cell r="BX123">
            <v>25000</v>
          </cell>
          <cell r="BY123">
            <v>7500</v>
          </cell>
          <cell r="BZ123">
            <v>33000</v>
          </cell>
          <cell r="CA123">
            <v>30000</v>
          </cell>
          <cell r="CB123">
            <v>42500</v>
          </cell>
          <cell r="CC123">
            <v>15000</v>
          </cell>
          <cell r="CD123">
            <v>68500</v>
          </cell>
          <cell r="CE123">
            <v>5000</v>
          </cell>
          <cell r="CF123">
            <v>15000</v>
          </cell>
          <cell r="CG123">
            <v>17500</v>
          </cell>
          <cell r="CH123">
            <v>27500</v>
          </cell>
          <cell r="CI123">
            <v>50000</v>
          </cell>
          <cell r="CJ123">
            <v>18000</v>
          </cell>
          <cell r="CK123">
            <v>66500</v>
          </cell>
          <cell r="CL123">
            <v>31000</v>
          </cell>
          <cell r="CM123">
            <v>29500</v>
          </cell>
          <cell r="CN123">
            <v>34000</v>
          </cell>
          <cell r="CO123">
            <v>59000</v>
          </cell>
          <cell r="CP123">
            <v>7500</v>
          </cell>
          <cell r="CQ123">
            <v>26000</v>
          </cell>
          <cell r="CT123">
            <v>42500</v>
          </cell>
          <cell r="CU123">
            <v>34500</v>
          </cell>
          <cell r="CV123">
            <v>49500</v>
          </cell>
          <cell r="CW123">
            <v>55000</v>
          </cell>
          <cell r="CX123">
            <v>12500</v>
          </cell>
          <cell r="CY123">
            <v>37500</v>
          </cell>
          <cell r="CZ123">
            <v>54000</v>
          </cell>
          <cell r="DA123">
            <v>35000</v>
          </cell>
          <cell r="DB123" t="str">
            <v>ACTIVO</v>
          </cell>
          <cell r="DC123" t="str">
            <v>B</v>
          </cell>
          <cell r="DE123">
            <v>33866.666666666664</v>
          </cell>
          <cell r="DF123">
            <v>5644.4444444444443</v>
          </cell>
          <cell r="DG123">
            <v>16905.122966242237</v>
          </cell>
          <cell r="DH123">
            <v>261000</v>
          </cell>
          <cell r="DI123">
            <v>1712160</v>
          </cell>
          <cell r="DJ123">
            <v>7.7066929133858277</v>
          </cell>
          <cell r="DK123" t="str">
            <v>OK</v>
          </cell>
          <cell r="DL123">
            <v>33866.666666666664</v>
          </cell>
          <cell r="DM123">
            <v>11288.888888888889</v>
          </cell>
          <cell r="DN123">
            <v>45155.555555555555</v>
          </cell>
        </row>
        <row r="124">
          <cell r="B124">
            <v>405461</v>
          </cell>
          <cell r="C124" t="str">
            <v>ETIQUETA CIRCULAR 4cm IMPR. PASTEL SISA</v>
          </cell>
          <cell r="AR124">
            <v>5000</v>
          </cell>
          <cell r="AT124">
            <v>10000</v>
          </cell>
          <cell r="BF124">
            <v>5000</v>
          </cell>
          <cell r="BH124">
            <v>10000</v>
          </cell>
          <cell r="BJ124">
            <v>10000</v>
          </cell>
          <cell r="BK124">
            <v>10000</v>
          </cell>
          <cell r="BL124">
            <v>15000</v>
          </cell>
          <cell r="BM124">
            <v>10000</v>
          </cell>
          <cell r="BN124">
            <v>20000</v>
          </cell>
          <cell r="BQ124">
            <v>5001</v>
          </cell>
          <cell r="BS124">
            <v>20000</v>
          </cell>
          <cell r="BU124">
            <v>10000</v>
          </cell>
          <cell r="BV124">
            <v>10000</v>
          </cell>
          <cell r="BW124">
            <v>20000</v>
          </cell>
          <cell r="BY124">
            <v>5000</v>
          </cell>
          <cell r="BZ124">
            <v>10000</v>
          </cell>
          <cell r="CA124">
            <v>15000</v>
          </cell>
          <cell r="CB124">
            <v>7500</v>
          </cell>
          <cell r="CC124">
            <v>5000</v>
          </cell>
          <cell r="CD124">
            <v>10000</v>
          </cell>
          <cell r="CF124">
            <v>5000</v>
          </cell>
          <cell r="CH124">
            <v>10000</v>
          </cell>
          <cell r="CI124">
            <v>15000</v>
          </cell>
          <cell r="CO124">
            <v>10000</v>
          </cell>
          <cell r="CP124">
            <v>5000</v>
          </cell>
          <cell r="CT124">
            <v>13000</v>
          </cell>
          <cell r="CU124">
            <v>5000</v>
          </cell>
          <cell r="CW124">
            <v>10000</v>
          </cell>
          <cell r="CY124">
            <v>20000</v>
          </cell>
          <cell r="CZ124">
            <v>5000</v>
          </cell>
          <cell r="DA124">
            <v>5000</v>
          </cell>
          <cell r="DB124" t="str">
            <v>ACTIVO</v>
          </cell>
          <cell r="DC124" t="str">
            <v>C</v>
          </cell>
          <cell r="DE124">
            <v>9000</v>
          </cell>
          <cell r="DF124">
            <v>1500</v>
          </cell>
          <cell r="DG124">
            <v>4991.7102382481671</v>
          </cell>
          <cell r="DH124">
            <v>32000</v>
          </cell>
          <cell r="DI124">
            <v>160000</v>
          </cell>
          <cell r="DJ124">
            <v>3.5555555555555554</v>
          </cell>
          <cell r="DK124" t="str">
            <v>OK</v>
          </cell>
          <cell r="DL124">
            <v>9000</v>
          </cell>
          <cell r="DM124">
            <v>3000</v>
          </cell>
          <cell r="DN124">
            <v>12000</v>
          </cell>
        </row>
        <row r="125">
          <cell r="B125">
            <v>404733</v>
          </cell>
          <cell r="C125" t="str">
            <v>ETIQUETA CIRCULAR 9,8cm IMPR. KUCHEN  5 COL +UV</v>
          </cell>
          <cell r="D125">
            <v>4000</v>
          </cell>
          <cell r="E125">
            <v>5000</v>
          </cell>
          <cell r="F125">
            <v>7000</v>
          </cell>
          <cell r="G125">
            <v>15000</v>
          </cell>
          <cell r="I125">
            <v>7000</v>
          </cell>
          <cell r="J125">
            <v>8000</v>
          </cell>
          <cell r="K125">
            <v>6000</v>
          </cell>
          <cell r="L125">
            <v>8000</v>
          </cell>
          <cell r="M125">
            <v>8000</v>
          </cell>
          <cell r="N125">
            <v>1000</v>
          </cell>
          <cell r="O125">
            <v>12000</v>
          </cell>
          <cell r="R125">
            <v>4000</v>
          </cell>
          <cell r="S125">
            <v>7000</v>
          </cell>
          <cell r="T125">
            <v>6000</v>
          </cell>
          <cell r="V125">
            <v>8000</v>
          </cell>
          <cell r="W125">
            <v>8000</v>
          </cell>
          <cell r="X125">
            <v>7000</v>
          </cell>
          <cell r="Y125">
            <v>8000</v>
          </cell>
          <cell r="AB125">
            <v>3000</v>
          </cell>
          <cell r="AC125">
            <v>2000</v>
          </cell>
          <cell r="AD125">
            <v>3000</v>
          </cell>
          <cell r="AF125">
            <v>6000</v>
          </cell>
          <cell r="AH125">
            <v>5000</v>
          </cell>
          <cell r="AI125">
            <v>5000</v>
          </cell>
          <cell r="AJ125">
            <v>5000</v>
          </cell>
          <cell r="AK125">
            <v>4000</v>
          </cell>
          <cell r="AN125">
            <v>3000</v>
          </cell>
          <cell r="AO125">
            <v>1000</v>
          </cell>
          <cell r="AP125">
            <v>3000</v>
          </cell>
          <cell r="AQ125">
            <v>5000</v>
          </cell>
          <cell r="AR125">
            <v>8000</v>
          </cell>
          <cell r="AT125">
            <v>5000</v>
          </cell>
          <cell r="AU125">
            <v>11000</v>
          </cell>
          <cell r="AV125">
            <v>5000</v>
          </cell>
          <cell r="AW125">
            <v>10000</v>
          </cell>
          <cell r="AX125">
            <v>5000</v>
          </cell>
          <cell r="AY125">
            <v>5000</v>
          </cell>
          <cell r="AZ125">
            <v>4000</v>
          </cell>
          <cell r="BA125">
            <v>9000</v>
          </cell>
          <cell r="BB125">
            <v>4000</v>
          </cell>
          <cell r="BC125">
            <v>15000</v>
          </cell>
          <cell r="BE125">
            <v>2000</v>
          </cell>
          <cell r="BG125">
            <v>4000</v>
          </cell>
          <cell r="BH125">
            <v>14000</v>
          </cell>
          <cell r="BJ125">
            <v>5000</v>
          </cell>
          <cell r="BK125">
            <v>5000</v>
          </cell>
          <cell r="BL125">
            <v>5000</v>
          </cell>
          <cell r="BM125">
            <v>19000</v>
          </cell>
          <cell r="BN125">
            <v>8000</v>
          </cell>
          <cell r="BQ125">
            <v>8000</v>
          </cell>
          <cell r="BS125">
            <v>12000</v>
          </cell>
          <cell r="BU125">
            <v>4000</v>
          </cell>
          <cell r="BV125">
            <v>3000</v>
          </cell>
          <cell r="BW125">
            <v>8000</v>
          </cell>
          <cell r="BY125">
            <v>4000</v>
          </cell>
          <cell r="BZ125">
            <v>3000</v>
          </cell>
          <cell r="CA125">
            <v>5000</v>
          </cell>
          <cell r="CB125">
            <v>2000</v>
          </cell>
          <cell r="CD125">
            <v>13000</v>
          </cell>
          <cell r="CF125">
            <v>2000</v>
          </cell>
          <cell r="CH125">
            <v>2000</v>
          </cell>
          <cell r="CI125">
            <v>6000</v>
          </cell>
          <cell r="CM125">
            <v>2000</v>
          </cell>
          <cell r="CN125">
            <v>2000</v>
          </cell>
          <cell r="CO125">
            <v>1000</v>
          </cell>
          <cell r="CP125">
            <v>2000</v>
          </cell>
          <cell r="CQ125">
            <v>1000</v>
          </cell>
          <cell r="CR125">
            <v>8000</v>
          </cell>
          <cell r="CT125">
            <v>3000</v>
          </cell>
          <cell r="CU125">
            <v>1000</v>
          </cell>
          <cell r="CV125">
            <v>3000</v>
          </cell>
          <cell r="CW125">
            <v>6000</v>
          </cell>
          <cell r="CY125">
            <v>1000</v>
          </cell>
          <cell r="CZ125">
            <v>2000</v>
          </cell>
          <cell r="DA125">
            <v>3000</v>
          </cell>
          <cell r="DB125" t="str">
            <v>ACTIVO</v>
          </cell>
          <cell r="DC125" t="str">
            <v>C</v>
          </cell>
          <cell r="DE125">
            <v>2750</v>
          </cell>
          <cell r="DF125">
            <v>458.33333333333331</v>
          </cell>
          <cell r="DG125">
            <v>3989.3171713463521</v>
          </cell>
          <cell r="DH125">
            <v>0</v>
          </cell>
          <cell r="DI125" t="str">
            <v>0</v>
          </cell>
          <cell r="DJ125">
            <v>0</v>
          </cell>
          <cell r="DK125" t="str">
            <v>OK</v>
          </cell>
          <cell r="DL125">
            <v>2750</v>
          </cell>
          <cell r="DM125">
            <v>916.66666666666663</v>
          </cell>
          <cell r="DN125">
            <v>3666.6666666666665</v>
          </cell>
        </row>
        <row r="126">
          <cell r="B126">
            <v>404748</v>
          </cell>
          <cell r="C126" t="str">
            <v>ETIQUETA BLANCA 40x200 SISA</v>
          </cell>
          <cell r="D126">
            <v>6000</v>
          </cell>
          <cell r="E126">
            <v>6000</v>
          </cell>
          <cell r="F126">
            <v>9000</v>
          </cell>
          <cell r="G126">
            <v>21000</v>
          </cell>
          <cell r="I126">
            <v>16000</v>
          </cell>
          <cell r="J126">
            <v>12000</v>
          </cell>
          <cell r="K126">
            <v>12000</v>
          </cell>
          <cell r="L126">
            <v>10000</v>
          </cell>
          <cell r="M126">
            <v>9000</v>
          </cell>
          <cell r="O126">
            <v>15000</v>
          </cell>
          <cell r="Q126">
            <v>3000</v>
          </cell>
          <cell r="R126">
            <v>4000</v>
          </cell>
          <cell r="S126">
            <v>9000</v>
          </cell>
          <cell r="T126">
            <v>8000</v>
          </cell>
          <cell r="V126">
            <v>8000</v>
          </cell>
          <cell r="W126">
            <v>8000</v>
          </cell>
          <cell r="X126">
            <v>6000</v>
          </cell>
          <cell r="Y126">
            <v>4000</v>
          </cell>
          <cell r="AB126">
            <v>4000</v>
          </cell>
          <cell r="AC126">
            <v>4000</v>
          </cell>
          <cell r="AD126">
            <v>5000</v>
          </cell>
          <cell r="AF126">
            <v>6000</v>
          </cell>
          <cell r="AG126">
            <v>4000</v>
          </cell>
          <cell r="AH126">
            <v>5000</v>
          </cell>
          <cell r="AI126">
            <v>5000</v>
          </cell>
          <cell r="AJ126">
            <v>5000</v>
          </cell>
          <cell r="AK126">
            <v>2000</v>
          </cell>
          <cell r="AL126">
            <v>3000</v>
          </cell>
          <cell r="AM126">
            <v>2000</v>
          </cell>
          <cell r="AN126">
            <v>3000</v>
          </cell>
          <cell r="AO126">
            <v>3000</v>
          </cell>
          <cell r="AP126">
            <v>3000</v>
          </cell>
          <cell r="AQ126">
            <v>3000</v>
          </cell>
          <cell r="AR126">
            <v>6000</v>
          </cell>
          <cell r="AT126">
            <v>3000</v>
          </cell>
          <cell r="AU126">
            <v>1000</v>
          </cell>
          <cell r="AV126">
            <v>4000</v>
          </cell>
          <cell r="AW126">
            <v>8000</v>
          </cell>
          <cell r="AX126">
            <v>1000</v>
          </cell>
          <cell r="AY126">
            <v>2000</v>
          </cell>
          <cell r="BA126">
            <v>7000</v>
          </cell>
          <cell r="BB126">
            <v>7000</v>
          </cell>
          <cell r="BC126">
            <v>5000</v>
          </cell>
          <cell r="BD126">
            <v>6000</v>
          </cell>
          <cell r="BE126">
            <v>2000</v>
          </cell>
          <cell r="BF126">
            <v>2000</v>
          </cell>
          <cell r="BG126">
            <v>8000</v>
          </cell>
          <cell r="BH126">
            <v>14000</v>
          </cell>
          <cell r="BJ126">
            <v>5000</v>
          </cell>
          <cell r="BK126">
            <v>5000</v>
          </cell>
          <cell r="BL126">
            <v>5000</v>
          </cell>
          <cell r="BM126">
            <v>4000</v>
          </cell>
          <cell r="BN126">
            <v>8000</v>
          </cell>
          <cell r="BQ126">
            <v>10000</v>
          </cell>
          <cell r="BS126">
            <v>8000</v>
          </cell>
          <cell r="BU126">
            <v>8000</v>
          </cell>
          <cell r="BV126">
            <v>3000</v>
          </cell>
          <cell r="BW126">
            <v>13000</v>
          </cell>
          <cell r="BX126">
            <v>2000</v>
          </cell>
          <cell r="BY126">
            <v>4000</v>
          </cell>
          <cell r="BZ126">
            <v>3000</v>
          </cell>
          <cell r="CA126">
            <v>5000</v>
          </cell>
          <cell r="CB126">
            <v>2000</v>
          </cell>
          <cell r="CC126">
            <v>2000</v>
          </cell>
          <cell r="CD126">
            <v>12000</v>
          </cell>
          <cell r="CF126">
            <v>2000</v>
          </cell>
          <cell r="CG126">
            <v>2000</v>
          </cell>
          <cell r="CH126">
            <v>4000</v>
          </cell>
          <cell r="CI126">
            <v>6000</v>
          </cell>
          <cell r="CK126">
            <v>3000</v>
          </cell>
          <cell r="CL126">
            <v>3000</v>
          </cell>
          <cell r="CM126">
            <v>3000</v>
          </cell>
          <cell r="CN126">
            <v>4000</v>
          </cell>
          <cell r="CO126">
            <v>5000</v>
          </cell>
          <cell r="CP126">
            <v>2000</v>
          </cell>
          <cell r="CQ126">
            <v>3000</v>
          </cell>
          <cell r="CR126">
            <v>6000</v>
          </cell>
          <cell r="CS126">
            <v>4000</v>
          </cell>
          <cell r="CT126">
            <v>6000</v>
          </cell>
          <cell r="CU126">
            <v>7000</v>
          </cell>
          <cell r="CV126">
            <v>3000</v>
          </cell>
          <cell r="CW126">
            <v>8000</v>
          </cell>
          <cell r="CY126">
            <v>3000</v>
          </cell>
          <cell r="CZ126">
            <v>6000</v>
          </cell>
          <cell r="DA126">
            <v>5000</v>
          </cell>
          <cell r="DB126" t="str">
            <v>ACTIVO</v>
          </cell>
          <cell r="DC126" t="str">
            <v>C</v>
          </cell>
          <cell r="DE126">
            <v>3937.5</v>
          </cell>
          <cell r="DF126">
            <v>656.25</v>
          </cell>
          <cell r="DG126">
            <v>3106.5469977889375</v>
          </cell>
          <cell r="DH126">
            <v>19000</v>
          </cell>
          <cell r="DI126">
            <v>259730</v>
          </cell>
          <cell r="DJ126">
            <v>4.8253968253968251</v>
          </cell>
          <cell r="DK126" t="str">
            <v>OK</v>
          </cell>
          <cell r="DL126">
            <v>3937.5</v>
          </cell>
          <cell r="DM126">
            <v>1312.5</v>
          </cell>
          <cell r="DN126">
            <v>5250</v>
          </cell>
        </row>
        <row r="127">
          <cell r="B127">
            <v>405103</v>
          </cell>
          <cell r="C127" t="str">
            <v>ETIQUETA BLANCA 200X50 SISA OPP</v>
          </cell>
          <cell r="D127">
            <v>15000</v>
          </cell>
          <cell r="E127">
            <v>4000</v>
          </cell>
          <cell r="G127">
            <v>3000</v>
          </cell>
          <cell r="I127">
            <v>2000</v>
          </cell>
          <cell r="J127">
            <v>3000</v>
          </cell>
          <cell r="K127">
            <v>14000</v>
          </cell>
          <cell r="L127">
            <v>15000</v>
          </cell>
          <cell r="M127">
            <v>14000</v>
          </cell>
          <cell r="N127">
            <v>19000</v>
          </cell>
          <cell r="O127">
            <v>24000</v>
          </cell>
          <cell r="P127">
            <v>4000</v>
          </cell>
          <cell r="Q127">
            <v>6000</v>
          </cell>
          <cell r="R127">
            <v>17000</v>
          </cell>
          <cell r="S127">
            <v>14000</v>
          </cell>
          <cell r="T127">
            <v>9000</v>
          </cell>
          <cell r="V127">
            <v>10000</v>
          </cell>
          <cell r="W127">
            <v>6000</v>
          </cell>
          <cell r="X127">
            <v>12000</v>
          </cell>
          <cell r="Y127">
            <v>50000</v>
          </cell>
          <cell r="AA127">
            <v>30000</v>
          </cell>
          <cell r="AB127">
            <v>8000</v>
          </cell>
          <cell r="AC127">
            <v>11000</v>
          </cell>
          <cell r="AD127">
            <v>5000</v>
          </cell>
          <cell r="AF127">
            <v>12000</v>
          </cell>
          <cell r="AH127">
            <v>8000</v>
          </cell>
          <cell r="AI127">
            <v>30000</v>
          </cell>
          <cell r="AJ127">
            <v>3000</v>
          </cell>
          <cell r="AL127">
            <v>7000</v>
          </cell>
          <cell r="AM127">
            <v>8000</v>
          </cell>
          <cell r="AN127">
            <v>7000</v>
          </cell>
          <cell r="AO127">
            <v>14000</v>
          </cell>
          <cell r="AP127">
            <v>12000</v>
          </cell>
          <cell r="AR127">
            <v>10000</v>
          </cell>
          <cell r="AT127">
            <v>8000</v>
          </cell>
          <cell r="AU127">
            <v>7000</v>
          </cell>
          <cell r="AV127">
            <v>8000</v>
          </cell>
          <cell r="AW127">
            <v>10000</v>
          </cell>
          <cell r="AX127">
            <v>7000</v>
          </cell>
          <cell r="AY127">
            <v>3000</v>
          </cell>
          <cell r="BA127">
            <v>5000</v>
          </cell>
          <cell r="BB127">
            <v>9000</v>
          </cell>
          <cell r="BC127">
            <v>4000</v>
          </cell>
          <cell r="BD127">
            <v>12000</v>
          </cell>
          <cell r="BE127">
            <v>3000</v>
          </cell>
          <cell r="BF127">
            <v>3000</v>
          </cell>
          <cell r="BG127">
            <v>4000</v>
          </cell>
          <cell r="BH127">
            <v>9000</v>
          </cell>
          <cell r="BJ127">
            <v>4000</v>
          </cell>
          <cell r="BK127">
            <v>4000</v>
          </cell>
          <cell r="BL127">
            <v>4000</v>
          </cell>
          <cell r="BM127">
            <v>13000</v>
          </cell>
          <cell r="BN127">
            <v>18000</v>
          </cell>
          <cell r="BO127">
            <v>2000</v>
          </cell>
          <cell r="BP127">
            <v>1000</v>
          </cell>
          <cell r="BQ127">
            <v>12000</v>
          </cell>
          <cell r="BS127">
            <v>11000</v>
          </cell>
          <cell r="BT127">
            <v>2000</v>
          </cell>
          <cell r="BU127">
            <v>7000</v>
          </cell>
          <cell r="BV127">
            <v>6000</v>
          </cell>
          <cell r="BW127">
            <v>13000</v>
          </cell>
          <cell r="BY127">
            <v>6000</v>
          </cell>
          <cell r="BZ127">
            <v>4000</v>
          </cell>
          <cell r="CA127">
            <v>9000</v>
          </cell>
          <cell r="CB127">
            <v>4000</v>
          </cell>
          <cell r="CD127">
            <v>180000</v>
          </cell>
          <cell r="CF127">
            <v>4000</v>
          </cell>
          <cell r="CH127">
            <v>4000</v>
          </cell>
          <cell r="CI127">
            <v>13000</v>
          </cell>
          <cell r="CJ127">
            <v>500</v>
          </cell>
          <cell r="CL127">
            <v>11000</v>
          </cell>
          <cell r="CM127">
            <v>9000</v>
          </cell>
          <cell r="CN127">
            <v>9000</v>
          </cell>
          <cell r="CO127">
            <v>10000</v>
          </cell>
          <cell r="CQ127">
            <v>6000</v>
          </cell>
          <cell r="CR127">
            <v>15000</v>
          </cell>
          <cell r="CT127">
            <v>1000</v>
          </cell>
          <cell r="CU127">
            <v>6000</v>
          </cell>
          <cell r="CV127">
            <v>6000</v>
          </cell>
          <cell r="CW127">
            <v>12000</v>
          </cell>
          <cell r="CY127">
            <v>4000</v>
          </cell>
          <cell r="CZ127">
            <v>10000</v>
          </cell>
          <cell r="DA127">
            <v>4000</v>
          </cell>
          <cell r="DB127" t="str">
            <v>ACTIVO</v>
          </cell>
          <cell r="DC127" t="str">
            <v>B</v>
          </cell>
          <cell r="DE127">
            <v>7269.2307692307695</v>
          </cell>
          <cell r="DF127">
            <v>1211.5384615384617</v>
          </cell>
          <cell r="DG127">
            <v>27063.149362671164</v>
          </cell>
          <cell r="DH127">
            <v>104000</v>
          </cell>
          <cell r="DI127">
            <v>1796080</v>
          </cell>
          <cell r="DJ127">
            <v>14.306878306878307</v>
          </cell>
          <cell r="DK127" t="str">
            <v>OK</v>
          </cell>
          <cell r="DL127">
            <v>7269.2307692307695</v>
          </cell>
          <cell r="DM127">
            <v>2423.0769230769233</v>
          </cell>
          <cell r="DN127">
            <v>9692.3076923076933</v>
          </cell>
        </row>
        <row r="128">
          <cell r="B128">
            <v>405159</v>
          </cell>
          <cell r="C128" t="str">
            <v>ETIQUETA BLANCA 120X100 OPP</v>
          </cell>
          <cell r="D128">
            <v>16000</v>
          </cell>
          <cell r="E128">
            <v>12000</v>
          </cell>
          <cell r="F128">
            <v>14000</v>
          </cell>
          <cell r="G128">
            <v>20000</v>
          </cell>
          <cell r="H128">
            <v>3000</v>
          </cell>
          <cell r="I128">
            <v>21000</v>
          </cell>
          <cell r="J128">
            <v>20000</v>
          </cell>
          <cell r="K128">
            <v>15000</v>
          </cell>
          <cell r="L128">
            <v>12000</v>
          </cell>
          <cell r="M128">
            <v>12000</v>
          </cell>
          <cell r="N128">
            <v>20000</v>
          </cell>
          <cell r="O128">
            <v>16000</v>
          </cell>
          <cell r="Q128">
            <v>5000</v>
          </cell>
          <cell r="R128">
            <v>13000</v>
          </cell>
          <cell r="S128">
            <v>12000</v>
          </cell>
          <cell r="T128">
            <v>15000</v>
          </cell>
          <cell r="U128">
            <v>15000</v>
          </cell>
          <cell r="V128">
            <v>13000</v>
          </cell>
          <cell r="W128">
            <v>15000</v>
          </cell>
          <cell r="X128">
            <v>19000</v>
          </cell>
          <cell r="Y128">
            <v>17000</v>
          </cell>
          <cell r="Z128">
            <v>3000</v>
          </cell>
          <cell r="AA128">
            <v>20000</v>
          </cell>
          <cell r="AB128">
            <v>11000</v>
          </cell>
          <cell r="AC128">
            <v>7000</v>
          </cell>
          <cell r="AD128">
            <v>1000</v>
          </cell>
          <cell r="AF128">
            <v>9000</v>
          </cell>
          <cell r="AG128">
            <v>16000</v>
          </cell>
          <cell r="AH128">
            <v>24000</v>
          </cell>
          <cell r="AI128">
            <v>18200</v>
          </cell>
          <cell r="AJ128">
            <v>18000</v>
          </cell>
          <cell r="AK128">
            <v>12000</v>
          </cell>
          <cell r="AL128">
            <v>20000</v>
          </cell>
          <cell r="AM128">
            <v>13000</v>
          </cell>
          <cell r="AN128">
            <v>12000</v>
          </cell>
          <cell r="AO128">
            <v>14001</v>
          </cell>
          <cell r="AP128">
            <v>12000</v>
          </cell>
          <cell r="AQ128">
            <v>13999</v>
          </cell>
          <cell r="AR128">
            <v>25000</v>
          </cell>
          <cell r="AS128">
            <v>5000</v>
          </cell>
          <cell r="AT128">
            <v>7000</v>
          </cell>
          <cell r="AU128">
            <v>15000</v>
          </cell>
          <cell r="AV128">
            <v>3000</v>
          </cell>
          <cell r="AW128">
            <v>15000</v>
          </cell>
          <cell r="AX128">
            <v>12000</v>
          </cell>
          <cell r="AY128">
            <v>15000</v>
          </cell>
          <cell r="AZ128">
            <v>6000</v>
          </cell>
          <cell r="BA128">
            <v>11000</v>
          </cell>
          <cell r="BB128">
            <v>20000</v>
          </cell>
          <cell r="BC128">
            <v>6000</v>
          </cell>
          <cell r="BD128">
            <v>28000</v>
          </cell>
          <cell r="BE128">
            <v>13000</v>
          </cell>
          <cell r="BF128">
            <v>3000</v>
          </cell>
          <cell r="BG128">
            <v>10000</v>
          </cell>
          <cell r="BH128">
            <v>26000</v>
          </cell>
          <cell r="BI128">
            <v>3000</v>
          </cell>
          <cell r="BJ128">
            <v>18000</v>
          </cell>
          <cell r="BK128">
            <v>12000</v>
          </cell>
          <cell r="BL128">
            <v>12000</v>
          </cell>
          <cell r="BM128">
            <v>12000</v>
          </cell>
          <cell r="BN128">
            <v>23000</v>
          </cell>
          <cell r="BO128">
            <v>3000</v>
          </cell>
          <cell r="BQ128">
            <v>32000</v>
          </cell>
          <cell r="BR128">
            <v>2000</v>
          </cell>
          <cell r="BS128">
            <v>32000</v>
          </cell>
          <cell r="BT128">
            <v>3000</v>
          </cell>
          <cell r="BU128">
            <v>18000</v>
          </cell>
          <cell r="BV128">
            <v>9000</v>
          </cell>
          <cell r="BW128">
            <v>22000</v>
          </cell>
          <cell r="BX128">
            <v>2000</v>
          </cell>
          <cell r="BY128">
            <v>12000</v>
          </cell>
          <cell r="BZ128">
            <v>8000</v>
          </cell>
          <cell r="CA128">
            <v>21000</v>
          </cell>
          <cell r="CB128">
            <v>11000</v>
          </cell>
          <cell r="CD128">
            <v>52000</v>
          </cell>
          <cell r="CF128">
            <v>11000</v>
          </cell>
          <cell r="CG128">
            <v>3000</v>
          </cell>
          <cell r="CH128">
            <v>22000</v>
          </cell>
          <cell r="CI128">
            <v>27000</v>
          </cell>
          <cell r="CJ128">
            <v>5000</v>
          </cell>
          <cell r="CK128">
            <v>13000</v>
          </cell>
          <cell r="CL128">
            <v>20000</v>
          </cell>
          <cell r="CM128">
            <v>10000</v>
          </cell>
          <cell r="CN128">
            <v>17000</v>
          </cell>
          <cell r="CO128">
            <v>25000</v>
          </cell>
          <cell r="CP128">
            <v>6000</v>
          </cell>
          <cell r="CQ128">
            <v>17000</v>
          </cell>
          <cell r="CR128">
            <v>23000</v>
          </cell>
          <cell r="CS128">
            <v>3000</v>
          </cell>
          <cell r="CT128">
            <v>10000</v>
          </cell>
          <cell r="CU128">
            <v>18000</v>
          </cell>
          <cell r="CV128">
            <v>19000</v>
          </cell>
          <cell r="CW128">
            <v>40000</v>
          </cell>
          <cell r="CX128">
            <v>6000</v>
          </cell>
          <cell r="CY128">
            <v>9000</v>
          </cell>
          <cell r="CZ128">
            <v>12000</v>
          </cell>
          <cell r="DA128">
            <v>20000</v>
          </cell>
          <cell r="DB128" t="str">
            <v>ACTIVO</v>
          </cell>
          <cell r="DC128" t="str">
            <v>B</v>
          </cell>
          <cell r="DE128">
            <v>14647.058823529413</v>
          </cell>
          <cell r="DF128">
            <v>2441.1764705882356</v>
          </cell>
          <cell r="DG128">
            <v>9449.0470333036792</v>
          </cell>
          <cell r="DH128">
            <v>23000</v>
          </cell>
          <cell r="DI128">
            <v>333500</v>
          </cell>
          <cell r="DJ128">
            <v>1.570281124497992</v>
          </cell>
          <cell r="DK128" t="str">
            <v>OK</v>
          </cell>
          <cell r="DL128">
            <v>14647.058823529413</v>
          </cell>
          <cell r="DM128">
            <v>4882.3529411764712</v>
          </cell>
          <cell r="DN128">
            <v>19529.411764705885</v>
          </cell>
        </row>
        <row r="129">
          <cell r="B129">
            <v>405160</v>
          </cell>
          <cell r="C129" t="str">
            <v>ETIQUETA 200X50 POLIPROPILENO IMPR. QUINTA</v>
          </cell>
          <cell r="D129">
            <v>8000</v>
          </cell>
          <cell r="E129">
            <v>21000</v>
          </cell>
          <cell r="F129">
            <v>18000</v>
          </cell>
          <cell r="G129">
            <v>32000</v>
          </cell>
          <cell r="H129">
            <v>2000</v>
          </cell>
          <cell r="I129">
            <v>19000</v>
          </cell>
          <cell r="J129">
            <v>15000</v>
          </cell>
          <cell r="K129">
            <v>16000</v>
          </cell>
          <cell r="L129">
            <v>8000</v>
          </cell>
          <cell r="M129">
            <v>9000</v>
          </cell>
          <cell r="N129">
            <v>4000</v>
          </cell>
          <cell r="O129">
            <v>6000</v>
          </cell>
          <cell r="Q129">
            <v>3000</v>
          </cell>
          <cell r="R129">
            <v>4000</v>
          </cell>
          <cell r="S129">
            <v>3000</v>
          </cell>
          <cell r="T129">
            <v>5000</v>
          </cell>
          <cell r="V129">
            <v>6000</v>
          </cell>
          <cell r="W129">
            <v>3000</v>
          </cell>
          <cell r="X129">
            <v>7000</v>
          </cell>
          <cell r="Y129">
            <v>22000</v>
          </cell>
          <cell r="Z129">
            <v>3000</v>
          </cell>
          <cell r="AA129">
            <v>2000</v>
          </cell>
          <cell r="AB129">
            <v>2000</v>
          </cell>
          <cell r="AC129">
            <v>2000</v>
          </cell>
          <cell r="AD129">
            <v>2000</v>
          </cell>
          <cell r="AF129">
            <v>3500</v>
          </cell>
          <cell r="AG129">
            <v>7000</v>
          </cell>
          <cell r="AH129">
            <v>7000</v>
          </cell>
          <cell r="AI129">
            <v>2000</v>
          </cell>
          <cell r="AJ129">
            <v>3000</v>
          </cell>
          <cell r="AK129">
            <v>6000</v>
          </cell>
          <cell r="AL129">
            <v>2000</v>
          </cell>
          <cell r="AM129">
            <v>1000</v>
          </cell>
          <cell r="AN129">
            <v>5000</v>
          </cell>
          <cell r="AO129">
            <v>3000</v>
          </cell>
          <cell r="AP129">
            <v>5000</v>
          </cell>
          <cell r="AQ129">
            <v>6000</v>
          </cell>
          <cell r="AR129">
            <v>5000</v>
          </cell>
          <cell r="AS129">
            <v>4000</v>
          </cell>
          <cell r="AT129">
            <v>2000</v>
          </cell>
          <cell r="AU129">
            <v>7000</v>
          </cell>
          <cell r="AV129">
            <v>9000</v>
          </cell>
          <cell r="AW129">
            <v>11000</v>
          </cell>
          <cell r="AX129">
            <v>5000</v>
          </cell>
          <cell r="AY129">
            <v>4000</v>
          </cell>
          <cell r="AZ129">
            <v>2000</v>
          </cell>
          <cell r="BA129">
            <v>12000</v>
          </cell>
          <cell r="BB129">
            <v>6000</v>
          </cell>
          <cell r="BC129">
            <v>4000</v>
          </cell>
          <cell r="BD129">
            <v>4000</v>
          </cell>
          <cell r="BE129">
            <v>2000</v>
          </cell>
          <cell r="BG129">
            <v>7000</v>
          </cell>
          <cell r="BH129">
            <v>9000</v>
          </cell>
          <cell r="BI129">
            <v>4000</v>
          </cell>
          <cell r="BJ129">
            <v>10000</v>
          </cell>
          <cell r="BK129">
            <v>4000</v>
          </cell>
          <cell r="BL129">
            <v>4000</v>
          </cell>
          <cell r="BM129">
            <v>9000</v>
          </cell>
          <cell r="BN129">
            <v>15000</v>
          </cell>
          <cell r="BQ129">
            <v>10000</v>
          </cell>
          <cell r="BR129">
            <v>6000</v>
          </cell>
          <cell r="BS129">
            <v>9000</v>
          </cell>
          <cell r="BT129">
            <v>1000</v>
          </cell>
          <cell r="BU129">
            <v>11000</v>
          </cell>
          <cell r="BV129">
            <v>7000</v>
          </cell>
          <cell r="BW129">
            <v>9000</v>
          </cell>
          <cell r="BX129">
            <v>4000</v>
          </cell>
          <cell r="BY129">
            <v>6000</v>
          </cell>
          <cell r="BZ129">
            <v>10000</v>
          </cell>
          <cell r="CA129">
            <v>12000</v>
          </cell>
          <cell r="CB129">
            <v>6000</v>
          </cell>
          <cell r="CC129">
            <v>2000</v>
          </cell>
          <cell r="CD129">
            <v>52000</v>
          </cell>
          <cell r="CF129">
            <v>6000</v>
          </cell>
          <cell r="CH129">
            <v>7000</v>
          </cell>
          <cell r="CI129">
            <v>13000</v>
          </cell>
          <cell r="CJ129">
            <v>7000</v>
          </cell>
          <cell r="CK129">
            <v>9000</v>
          </cell>
          <cell r="CL129">
            <v>5000</v>
          </cell>
          <cell r="CM129">
            <v>6000</v>
          </cell>
          <cell r="CN129">
            <v>7000</v>
          </cell>
          <cell r="CO129">
            <v>10000</v>
          </cell>
          <cell r="CQ129">
            <v>7000</v>
          </cell>
          <cell r="CR129">
            <v>11000</v>
          </cell>
          <cell r="CT129">
            <v>6000</v>
          </cell>
          <cell r="CU129">
            <v>4000</v>
          </cell>
          <cell r="CV129">
            <v>4000</v>
          </cell>
          <cell r="CW129">
            <v>36000</v>
          </cell>
          <cell r="CX129">
            <v>2000</v>
          </cell>
          <cell r="CY129">
            <v>1000</v>
          </cell>
          <cell r="DA129">
            <v>3000</v>
          </cell>
          <cell r="DB129" t="str">
            <v>ACTIVO</v>
          </cell>
          <cell r="DC129" t="str">
            <v>C</v>
          </cell>
          <cell r="DE129">
            <v>7285.7142857142853</v>
          </cell>
          <cell r="DF129">
            <v>1214.2857142857142</v>
          </cell>
          <cell r="DG129">
            <v>7406.4421714003729</v>
          </cell>
          <cell r="DH129">
            <v>0</v>
          </cell>
          <cell r="DI129" t="str">
            <v>0</v>
          </cell>
          <cell r="DJ129">
            <v>0</v>
          </cell>
          <cell r="DK129" t="str">
            <v>COMPRAR</v>
          </cell>
          <cell r="DL129">
            <v>7285.7142857142853</v>
          </cell>
          <cell r="DM129">
            <v>2428.5714285714284</v>
          </cell>
          <cell r="DN129">
            <v>9714.2857142857138</v>
          </cell>
        </row>
        <row r="130">
          <cell r="B130">
            <v>404735</v>
          </cell>
          <cell r="C130" t="str">
            <v>ETIQUETA CIRCULAR 9,8cm IMPR. TARTA  5 COL +UV</v>
          </cell>
          <cell r="D130">
            <v>1000</v>
          </cell>
          <cell r="E130">
            <v>1000</v>
          </cell>
          <cell r="F130">
            <v>1000</v>
          </cell>
          <cell r="G130">
            <v>2000</v>
          </cell>
          <cell r="I130">
            <v>1000</v>
          </cell>
          <cell r="J130">
            <v>1000</v>
          </cell>
          <cell r="K130">
            <v>3500</v>
          </cell>
          <cell r="L130">
            <v>1000</v>
          </cell>
          <cell r="M130">
            <v>500</v>
          </cell>
          <cell r="N130">
            <v>1000</v>
          </cell>
          <cell r="O130">
            <v>2000</v>
          </cell>
          <cell r="R130">
            <v>1000</v>
          </cell>
          <cell r="AK130">
            <v>19000</v>
          </cell>
          <cell r="BO130">
            <v>19000</v>
          </cell>
          <cell r="BR130">
            <v>100</v>
          </cell>
          <cell r="BS130">
            <v>1900</v>
          </cell>
          <cell r="BU130">
            <v>3000</v>
          </cell>
          <cell r="BV130">
            <v>5000</v>
          </cell>
          <cell r="BW130">
            <v>4000</v>
          </cell>
          <cell r="BY130">
            <v>2000</v>
          </cell>
          <cell r="BZ130">
            <v>2000</v>
          </cell>
          <cell r="CA130">
            <v>2000</v>
          </cell>
          <cell r="CB130">
            <v>1000</v>
          </cell>
          <cell r="CD130">
            <v>6000</v>
          </cell>
          <cell r="CF130">
            <v>1000</v>
          </cell>
          <cell r="CH130">
            <v>1000</v>
          </cell>
          <cell r="CI130">
            <v>2000</v>
          </cell>
          <cell r="CQ130">
            <v>1000</v>
          </cell>
          <cell r="CR130">
            <v>1000</v>
          </cell>
          <cell r="CS130">
            <v>2000</v>
          </cell>
          <cell r="CT130">
            <v>3000</v>
          </cell>
          <cell r="CW130">
            <v>2000</v>
          </cell>
          <cell r="CY130">
            <v>1000</v>
          </cell>
          <cell r="CZ130">
            <v>1000</v>
          </cell>
          <cell r="DA130">
            <v>3000</v>
          </cell>
          <cell r="DB130" t="str">
            <v>ACTIVO</v>
          </cell>
          <cell r="DC130" t="str">
            <v>C</v>
          </cell>
          <cell r="DE130">
            <v>1571.4285714285713</v>
          </cell>
          <cell r="DF130">
            <v>261.90476190476187</v>
          </cell>
          <cell r="DG130">
            <v>6554.226025083266</v>
          </cell>
          <cell r="DH130">
            <v>3000</v>
          </cell>
          <cell r="DI130">
            <v>51510</v>
          </cell>
          <cell r="DJ130">
            <v>1.9090909090909092</v>
          </cell>
          <cell r="DK130" t="str">
            <v>OK</v>
          </cell>
          <cell r="DL130">
            <v>1571.4285714285711</v>
          </cell>
          <cell r="DM130">
            <v>523.80952380952374</v>
          </cell>
          <cell r="DN130">
            <v>2095.238095238095</v>
          </cell>
        </row>
        <row r="131">
          <cell r="B131">
            <v>405199</v>
          </cell>
          <cell r="C131" t="str">
            <v>ETIQUETA CONSUMO IMPRESO COLOR MOSTAZA</v>
          </cell>
          <cell r="D131">
            <v>6000</v>
          </cell>
          <cell r="E131">
            <v>6000</v>
          </cell>
          <cell r="F131">
            <v>10000</v>
          </cell>
          <cell r="G131">
            <v>10000</v>
          </cell>
          <cell r="H131">
            <v>10000</v>
          </cell>
          <cell r="I131">
            <v>8000</v>
          </cell>
          <cell r="J131">
            <v>14000</v>
          </cell>
          <cell r="K131">
            <v>20000</v>
          </cell>
          <cell r="L131">
            <v>10000</v>
          </cell>
          <cell r="M131">
            <v>4000</v>
          </cell>
          <cell r="N131">
            <v>20000</v>
          </cell>
          <cell r="P131">
            <v>8000</v>
          </cell>
          <cell r="Q131">
            <v>6000</v>
          </cell>
          <cell r="R131">
            <v>14000</v>
          </cell>
          <cell r="T131">
            <v>12000</v>
          </cell>
          <cell r="U131">
            <v>6000</v>
          </cell>
          <cell r="V131">
            <v>24000</v>
          </cell>
          <cell r="W131">
            <v>6000</v>
          </cell>
          <cell r="X131">
            <v>18000</v>
          </cell>
          <cell r="AA131">
            <v>4000</v>
          </cell>
          <cell r="AB131">
            <v>12000</v>
          </cell>
          <cell r="AC131">
            <v>8000</v>
          </cell>
          <cell r="AD131">
            <v>10000</v>
          </cell>
          <cell r="AF131">
            <v>16000</v>
          </cell>
          <cell r="AG131">
            <v>8000</v>
          </cell>
          <cell r="AH131">
            <v>44000</v>
          </cell>
          <cell r="AI131">
            <v>4000</v>
          </cell>
          <cell r="AJ131">
            <v>7500</v>
          </cell>
          <cell r="AK131">
            <v>6000</v>
          </cell>
          <cell r="AL131">
            <v>6000</v>
          </cell>
          <cell r="AM131">
            <v>20000</v>
          </cell>
          <cell r="AN131">
            <v>20000</v>
          </cell>
          <cell r="AO131">
            <v>12000</v>
          </cell>
          <cell r="AP131">
            <v>12000</v>
          </cell>
          <cell r="AQ131">
            <v>14000</v>
          </cell>
          <cell r="AR131">
            <v>12000</v>
          </cell>
          <cell r="AS131">
            <v>12000</v>
          </cell>
          <cell r="AT131">
            <v>18000</v>
          </cell>
          <cell r="AU131">
            <v>30000</v>
          </cell>
          <cell r="AV131">
            <v>16000</v>
          </cell>
          <cell r="AW131">
            <v>16000</v>
          </cell>
          <cell r="AX131">
            <v>4000</v>
          </cell>
          <cell r="AY131">
            <v>22000</v>
          </cell>
          <cell r="AZ131">
            <v>34000</v>
          </cell>
          <cell r="BA131">
            <v>6000</v>
          </cell>
          <cell r="BB131">
            <v>6000</v>
          </cell>
          <cell r="BC131">
            <v>20000</v>
          </cell>
          <cell r="BD131">
            <v>10000</v>
          </cell>
          <cell r="BE131">
            <v>20000</v>
          </cell>
          <cell r="BF131">
            <v>6000</v>
          </cell>
          <cell r="BG131">
            <v>25000</v>
          </cell>
          <cell r="BH131">
            <v>18000</v>
          </cell>
          <cell r="BI131">
            <v>22000</v>
          </cell>
          <cell r="BJ131">
            <v>14000</v>
          </cell>
          <cell r="BK131">
            <v>20000</v>
          </cell>
          <cell r="BL131">
            <v>12000</v>
          </cell>
          <cell r="BM131">
            <v>12000</v>
          </cell>
          <cell r="BN131">
            <v>12000</v>
          </cell>
          <cell r="BO131">
            <v>10000</v>
          </cell>
          <cell r="BP131">
            <v>6000</v>
          </cell>
          <cell r="BQ131">
            <v>18000</v>
          </cell>
          <cell r="BR131">
            <v>6000</v>
          </cell>
          <cell r="BS131">
            <v>26000</v>
          </cell>
          <cell r="BT131">
            <v>6000</v>
          </cell>
          <cell r="BU131">
            <v>24000</v>
          </cell>
          <cell r="BW131">
            <v>20000</v>
          </cell>
          <cell r="BX131">
            <v>16000</v>
          </cell>
          <cell r="BY131">
            <v>6000</v>
          </cell>
          <cell r="BZ131">
            <v>18000</v>
          </cell>
          <cell r="CA131">
            <v>18000</v>
          </cell>
          <cell r="CB131">
            <v>6000</v>
          </cell>
          <cell r="CC131">
            <v>14000</v>
          </cell>
          <cell r="CD131">
            <v>20000</v>
          </cell>
          <cell r="CE131">
            <v>8000</v>
          </cell>
          <cell r="CG131">
            <v>22000</v>
          </cell>
          <cell r="CH131">
            <v>8000</v>
          </cell>
          <cell r="CI131">
            <v>14000</v>
          </cell>
          <cell r="CJ131">
            <v>16000</v>
          </cell>
          <cell r="CK131">
            <v>16000</v>
          </cell>
          <cell r="CL131">
            <v>8000</v>
          </cell>
          <cell r="CM131">
            <v>14000</v>
          </cell>
          <cell r="CN131">
            <v>16000</v>
          </cell>
          <cell r="CO131">
            <v>14000</v>
          </cell>
          <cell r="CP131">
            <v>16000</v>
          </cell>
          <cell r="CQ131">
            <v>12000</v>
          </cell>
          <cell r="DB131" t="str">
            <v>ACTIVO</v>
          </cell>
          <cell r="DC131" t="str">
            <v>C</v>
          </cell>
          <cell r="DE131">
            <v>14181.818181818182</v>
          </cell>
          <cell r="DF131">
            <v>2363.6363636363635</v>
          </cell>
          <cell r="DG131">
            <v>8212.6993962124907</v>
          </cell>
          <cell r="DH131">
            <v>32000</v>
          </cell>
          <cell r="DI131">
            <v>315840</v>
          </cell>
          <cell r="DJ131">
            <v>2.2564102564102564</v>
          </cell>
          <cell r="DK131" t="str">
            <v>OK</v>
          </cell>
          <cell r="DL131">
            <v>14181.81818181818</v>
          </cell>
          <cell r="DM131">
            <v>4727.272727272727</v>
          </cell>
          <cell r="DN131">
            <v>18909.090909090908</v>
          </cell>
        </row>
        <row r="132">
          <cell r="B132">
            <v>405354</v>
          </cell>
          <cell r="C132" t="str">
            <v>ETIQ. CIRCULAR 90cm IMPR. JUMBO KUCHEN DE DURAZNO</v>
          </cell>
          <cell r="J132">
            <v>3000</v>
          </cell>
          <cell r="M132">
            <v>1000</v>
          </cell>
          <cell r="N132">
            <v>2000</v>
          </cell>
          <cell r="O132">
            <v>2000</v>
          </cell>
          <cell r="Q132">
            <v>1000</v>
          </cell>
          <cell r="R132">
            <v>2000</v>
          </cell>
          <cell r="T132">
            <v>1000</v>
          </cell>
          <cell r="V132">
            <v>1000</v>
          </cell>
          <cell r="W132">
            <v>2000</v>
          </cell>
          <cell r="X132">
            <v>2000</v>
          </cell>
          <cell r="AF132">
            <v>1000</v>
          </cell>
          <cell r="AH132">
            <v>1000</v>
          </cell>
          <cell r="AI132">
            <v>1000</v>
          </cell>
          <cell r="AJ132">
            <v>1000</v>
          </cell>
          <cell r="AK132">
            <v>1000</v>
          </cell>
          <cell r="AM132">
            <v>1000</v>
          </cell>
          <cell r="AN132">
            <v>3000</v>
          </cell>
          <cell r="AO132">
            <v>1000</v>
          </cell>
          <cell r="AP132">
            <v>1000</v>
          </cell>
          <cell r="AR132">
            <v>2000</v>
          </cell>
          <cell r="AT132">
            <v>1000</v>
          </cell>
          <cell r="AU132">
            <v>1000</v>
          </cell>
          <cell r="AV132">
            <v>3000</v>
          </cell>
          <cell r="AW132">
            <v>2000</v>
          </cell>
          <cell r="AY132">
            <v>2000</v>
          </cell>
          <cell r="BB132">
            <v>1000</v>
          </cell>
          <cell r="BC132">
            <v>1000</v>
          </cell>
          <cell r="BD132">
            <v>2000</v>
          </cell>
          <cell r="BE132">
            <v>3000</v>
          </cell>
          <cell r="BG132">
            <v>1000</v>
          </cell>
          <cell r="BH132">
            <v>3000</v>
          </cell>
          <cell r="BJ132">
            <v>2000</v>
          </cell>
          <cell r="BK132">
            <v>2000</v>
          </cell>
          <cell r="BL132">
            <v>2000</v>
          </cell>
          <cell r="BM132">
            <v>1000</v>
          </cell>
          <cell r="BN132">
            <v>2000</v>
          </cell>
          <cell r="BQ132">
            <v>2000</v>
          </cell>
          <cell r="BS132">
            <v>2000</v>
          </cell>
          <cell r="BU132">
            <v>3000</v>
          </cell>
          <cell r="BV132">
            <v>2000</v>
          </cell>
          <cell r="BW132">
            <v>3000</v>
          </cell>
          <cell r="BY132">
            <v>1000</v>
          </cell>
          <cell r="BZ132">
            <v>1000</v>
          </cell>
          <cell r="CA132">
            <v>2000</v>
          </cell>
          <cell r="CB132">
            <v>1000</v>
          </cell>
          <cell r="CD132">
            <v>8000</v>
          </cell>
          <cell r="CF132">
            <v>1000</v>
          </cell>
          <cell r="CH132">
            <v>1000</v>
          </cell>
          <cell r="CI132">
            <v>2000</v>
          </cell>
          <cell r="CM132">
            <v>2000</v>
          </cell>
          <cell r="CQ132">
            <v>1000</v>
          </cell>
          <cell r="CR132">
            <v>2000</v>
          </cell>
          <cell r="CS132">
            <v>1000</v>
          </cell>
          <cell r="CT132">
            <v>1000</v>
          </cell>
          <cell r="CU132">
            <v>1000</v>
          </cell>
          <cell r="CV132">
            <v>500</v>
          </cell>
          <cell r="CW132">
            <v>2000</v>
          </cell>
          <cell r="CZ132">
            <v>2000</v>
          </cell>
          <cell r="DA132">
            <v>1000</v>
          </cell>
          <cell r="DB132" t="str">
            <v>ACTIVO</v>
          </cell>
          <cell r="DC132" t="str">
            <v>C</v>
          </cell>
          <cell r="DE132">
            <v>1250</v>
          </cell>
          <cell r="DF132">
            <v>208.33333333333334</v>
          </cell>
          <cell r="DG132">
            <v>1290.6870325036259</v>
          </cell>
          <cell r="DH132">
            <v>5000</v>
          </cell>
          <cell r="DI132">
            <v>85850</v>
          </cell>
          <cell r="DJ132">
            <v>4</v>
          </cell>
          <cell r="DK132" t="str">
            <v>OK</v>
          </cell>
          <cell r="DL132">
            <v>1250</v>
          </cell>
          <cell r="DM132">
            <v>416.66666666666669</v>
          </cell>
          <cell r="DN132">
            <v>1666.6666666666667</v>
          </cell>
        </row>
        <row r="133">
          <cell r="B133">
            <v>405360</v>
          </cell>
          <cell r="C133" t="str">
            <v>ETIQ. CIRCULAR 90cm IMPR. JUMBO KUCHEN DE FRAMBUESA</v>
          </cell>
          <cell r="J133">
            <v>2000</v>
          </cell>
          <cell r="K133">
            <v>2000</v>
          </cell>
          <cell r="M133">
            <v>1000</v>
          </cell>
          <cell r="N133">
            <v>2000</v>
          </cell>
          <cell r="O133">
            <v>2000</v>
          </cell>
          <cell r="R133">
            <v>2000</v>
          </cell>
          <cell r="X133">
            <v>2000</v>
          </cell>
          <cell r="Y133">
            <v>1000</v>
          </cell>
          <cell r="AJ133">
            <v>1000</v>
          </cell>
          <cell r="AK133">
            <v>1000</v>
          </cell>
          <cell r="AL133">
            <v>1000</v>
          </cell>
          <cell r="AM133">
            <v>1000</v>
          </cell>
          <cell r="AO133">
            <v>1</v>
          </cell>
          <cell r="AP133">
            <v>1000</v>
          </cell>
          <cell r="AQ133">
            <v>1000</v>
          </cell>
          <cell r="AR133">
            <v>1000</v>
          </cell>
          <cell r="AT133">
            <v>1000</v>
          </cell>
          <cell r="AU133">
            <v>1000</v>
          </cell>
          <cell r="AV133">
            <v>2000</v>
          </cell>
          <cell r="AW133">
            <v>6000</v>
          </cell>
          <cell r="AY133">
            <v>2000</v>
          </cell>
          <cell r="BA133">
            <v>1000</v>
          </cell>
          <cell r="BB133">
            <v>3000</v>
          </cell>
          <cell r="BE133">
            <v>1000</v>
          </cell>
          <cell r="BG133">
            <v>1000</v>
          </cell>
          <cell r="BH133">
            <v>4000</v>
          </cell>
          <cell r="BJ133">
            <v>2000</v>
          </cell>
          <cell r="BK133">
            <v>2000</v>
          </cell>
          <cell r="BL133">
            <v>2000</v>
          </cell>
          <cell r="BM133">
            <v>2000</v>
          </cell>
          <cell r="BN133">
            <v>4000</v>
          </cell>
          <cell r="BQ133">
            <v>3000</v>
          </cell>
          <cell r="BR133">
            <v>2000</v>
          </cell>
          <cell r="BS133">
            <v>2000</v>
          </cell>
          <cell r="BU133">
            <v>2000</v>
          </cell>
          <cell r="BV133">
            <v>2000</v>
          </cell>
          <cell r="BW133">
            <v>4000</v>
          </cell>
          <cell r="BY133">
            <v>1000</v>
          </cell>
          <cell r="BZ133">
            <v>1000</v>
          </cell>
          <cell r="CA133">
            <v>2000</v>
          </cell>
          <cell r="CB133">
            <v>1000</v>
          </cell>
          <cell r="CD133">
            <v>5000</v>
          </cell>
          <cell r="CF133">
            <v>1000</v>
          </cell>
          <cell r="CH133">
            <v>1000</v>
          </cell>
          <cell r="CI133">
            <v>2000</v>
          </cell>
          <cell r="CL133">
            <v>3000</v>
          </cell>
          <cell r="CN133">
            <v>2000</v>
          </cell>
          <cell r="CQ133">
            <v>2000</v>
          </cell>
          <cell r="CR133">
            <v>3000</v>
          </cell>
          <cell r="CS133">
            <v>1000</v>
          </cell>
          <cell r="CT133">
            <v>2000</v>
          </cell>
          <cell r="CY133">
            <v>1000</v>
          </cell>
          <cell r="DB133" t="str">
            <v>ACTIVO</v>
          </cell>
          <cell r="DC133" t="str">
            <v>C</v>
          </cell>
          <cell r="DE133">
            <v>1888.8888888888889</v>
          </cell>
          <cell r="DF133">
            <v>314.81481481481484</v>
          </cell>
          <cell r="DG133">
            <v>1324.3462830921928</v>
          </cell>
          <cell r="DH133">
            <v>0</v>
          </cell>
          <cell r="DI133" t="str">
            <v>0</v>
          </cell>
          <cell r="DJ133">
            <v>0</v>
          </cell>
          <cell r="DK133" t="str">
            <v>OK</v>
          </cell>
          <cell r="DL133">
            <v>1888.8888888888891</v>
          </cell>
          <cell r="DM133">
            <v>629.62962962962968</v>
          </cell>
          <cell r="DN133">
            <v>2518.5185185185187</v>
          </cell>
        </row>
        <row r="134">
          <cell r="B134">
            <v>405356</v>
          </cell>
          <cell r="C134" t="str">
            <v>ETIQ. CIRCULAR 90cm IMPR. JUMBO KUCHEN DE MANZANA TRENZADO</v>
          </cell>
          <cell r="J134">
            <v>2000</v>
          </cell>
          <cell r="M134">
            <v>1000</v>
          </cell>
          <cell r="N134">
            <v>1000</v>
          </cell>
          <cell r="O134">
            <v>2000</v>
          </cell>
          <cell r="Q134">
            <v>1000</v>
          </cell>
          <cell r="R134">
            <v>1000</v>
          </cell>
          <cell r="S134">
            <v>1000</v>
          </cell>
          <cell r="T134">
            <v>1000</v>
          </cell>
          <cell r="V134">
            <v>2000</v>
          </cell>
          <cell r="W134">
            <v>2000</v>
          </cell>
          <cell r="X134">
            <v>2000</v>
          </cell>
          <cell r="Y134">
            <v>1000</v>
          </cell>
          <cell r="AA134">
            <v>3000</v>
          </cell>
          <cell r="AB134">
            <v>3000</v>
          </cell>
          <cell r="AC134">
            <v>1000</v>
          </cell>
          <cell r="AD134">
            <v>1000</v>
          </cell>
          <cell r="AF134">
            <v>2000</v>
          </cell>
          <cell r="AG134">
            <v>1000</v>
          </cell>
          <cell r="AH134">
            <v>1000</v>
          </cell>
          <cell r="AI134">
            <v>1000</v>
          </cell>
          <cell r="AK134">
            <v>1000</v>
          </cell>
          <cell r="AM134">
            <v>1000</v>
          </cell>
          <cell r="AO134">
            <v>1000</v>
          </cell>
          <cell r="AV134">
            <v>2000</v>
          </cell>
          <cell r="AY134">
            <v>1000</v>
          </cell>
          <cell r="AZ134">
            <v>1000</v>
          </cell>
          <cell r="BA134">
            <v>1000</v>
          </cell>
          <cell r="BB134">
            <v>2000</v>
          </cell>
          <cell r="BE134">
            <v>2000</v>
          </cell>
          <cell r="BG134">
            <v>1000</v>
          </cell>
          <cell r="BH134">
            <v>2000</v>
          </cell>
          <cell r="BJ134">
            <v>3000</v>
          </cell>
          <cell r="BK134">
            <v>1000</v>
          </cell>
          <cell r="BL134">
            <v>1000</v>
          </cell>
          <cell r="BM134">
            <v>1000</v>
          </cell>
          <cell r="BN134">
            <v>2000</v>
          </cell>
          <cell r="BQ134">
            <v>4000</v>
          </cell>
          <cell r="BS134">
            <v>2000</v>
          </cell>
          <cell r="BU134">
            <v>1000</v>
          </cell>
          <cell r="BV134">
            <v>1000</v>
          </cell>
          <cell r="BW134">
            <v>2000</v>
          </cell>
          <cell r="BY134">
            <v>1000</v>
          </cell>
          <cell r="BZ134">
            <v>1000</v>
          </cell>
          <cell r="CA134">
            <v>2000</v>
          </cell>
          <cell r="CB134">
            <v>1000</v>
          </cell>
          <cell r="CD134">
            <v>4000</v>
          </cell>
          <cell r="CF134">
            <v>1000</v>
          </cell>
          <cell r="CH134">
            <v>1000</v>
          </cell>
          <cell r="CI134">
            <v>2000</v>
          </cell>
          <cell r="CM134">
            <v>4000</v>
          </cell>
          <cell r="CQ134">
            <v>1000</v>
          </cell>
          <cell r="CR134">
            <v>1000</v>
          </cell>
          <cell r="CS134">
            <v>1000</v>
          </cell>
          <cell r="CT134">
            <v>1000</v>
          </cell>
          <cell r="CU134">
            <v>1000</v>
          </cell>
          <cell r="CV134">
            <v>500</v>
          </cell>
          <cell r="CW134">
            <v>2000</v>
          </cell>
          <cell r="CZ134">
            <v>1000</v>
          </cell>
          <cell r="DA134">
            <v>1000</v>
          </cell>
          <cell r="DB134" t="str">
            <v>ACTIVO</v>
          </cell>
          <cell r="DC134" t="str">
            <v>C</v>
          </cell>
          <cell r="DE134">
            <v>1350</v>
          </cell>
          <cell r="DF134">
            <v>225</v>
          </cell>
          <cell r="DG134">
            <v>858.35983666257505</v>
          </cell>
          <cell r="DH134">
            <v>7000</v>
          </cell>
          <cell r="DI134">
            <v>135660</v>
          </cell>
          <cell r="DJ134">
            <v>5.1851851851851851</v>
          </cell>
          <cell r="DK134" t="str">
            <v>OK</v>
          </cell>
          <cell r="DL134">
            <v>1350</v>
          </cell>
          <cell r="DM134">
            <v>450</v>
          </cell>
          <cell r="DN134">
            <v>1800</v>
          </cell>
        </row>
        <row r="135">
          <cell r="B135">
            <v>405357</v>
          </cell>
          <cell r="C135" t="str">
            <v>ETIQ. CIRCULAR 90cm IMPR. JUMBO KUCHEN DE STROISSEL MANZANA</v>
          </cell>
          <cell r="J135">
            <v>1000</v>
          </cell>
          <cell r="P135">
            <v>2000</v>
          </cell>
          <cell r="Q135">
            <v>1000</v>
          </cell>
          <cell r="R135">
            <v>1000</v>
          </cell>
          <cell r="S135">
            <v>1000</v>
          </cell>
          <cell r="T135">
            <v>1000</v>
          </cell>
          <cell r="W135">
            <v>1000</v>
          </cell>
          <cell r="AB135">
            <v>1000</v>
          </cell>
          <cell r="AD135">
            <v>1000</v>
          </cell>
          <cell r="AF135">
            <v>1000</v>
          </cell>
          <cell r="AH135">
            <v>1000</v>
          </cell>
          <cell r="AI135">
            <v>1000</v>
          </cell>
          <cell r="AJ135">
            <v>1000</v>
          </cell>
          <cell r="AK135">
            <v>1000</v>
          </cell>
          <cell r="AR135">
            <v>2000</v>
          </cell>
          <cell r="AT135">
            <v>1000</v>
          </cell>
          <cell r="AV135">
            <v>2000</v>
          </cell>
          <cell r="AW135">
            <v>2000</v>
          </cell>
          <cell r="AY135">
            <v>1000</v>
          </cell>
          <cell r="BD135">
            <v>2000</v>
          </cell>
          <cell r="BG135">
            <v>1000</v>
          </cell>
          <cell r="BH135">
            <v>2000</v>
          </cell>
          <cell r="BJ135">
            <v>1000</v>
          </cell>
          <cell r="BK135">
            <v>1000</v>
          </cell>
          <cell r="BL135">
            <v>1000</v>
          </cell>
          <cell r="BM135">
            <v>1000</v>
          </cell>
          <cell r="BN135">
            <v>2000</v>
          </cell>
          <cell r="BQ135">
            <v>2000</v>
          </cell>
          <cell r="BS135">
            <v>2000</v>
          </cell>
          <cell r="BU135">
            <v>1000</v>
          </cell>
          <cell r="BV135">
            <v>1000</v>
          </cell>
          <cell r="BW135">
            <v>2000</v>
          </cell>
          <cell r="BY135">
            <v>1000</v>
          </cell>
          <cell r="BZ135">
            <v>1000</v>
          </cell>
          <cell r="CA135">
            <v>2000</v>
          </cell>
          <cell r="CB135">
            <v>1000</v>
          </cell>
          <cell r="CD135">
            <v>5000</v>
          </cell>
          <cell r="CF135">
            <v>1000</v>
          </cell>
          <cell r="CH135">
            <v>1000</v>
          </cell>
          <cell r="CI135">
            <v>1000</v>
          </cell>
          <cell r="CM135">
            <v>2000</v>
          </cell>
          <cell r="CQ135">
            <v>1000</v>
          </cell>
          <cell r="CT135">
            <v>1000</v>
          </cell>
          <cell r="CU135">
            <v>1000</v>
          </cell>
          <cell r="CV135">
            <v>500</v>
          </cell>
          <cell r="CW135">
            <v>2000</v>
          </cell>
          <cell r="DB135" t="str">
            <v>ACTIVO</v>
          </cell>
          <cell r="DC135" t="str">
            <v>C</v>
          </cell>
          <cell r="DE135">
            <v>1062.5</v>
          </cell>
          <cell r="DF135">
            <v>177.08333333333334</v>
          </cell>
          <cell r="DG135">
            <v>838.87049280786107</v>
          </cell>
          <cell r="DH135">
            <v>6500</v>
          </cell>
          <cell r="DI135">
            <v>133185</v>
          </cell>
          <cell r="DJ135">
            <v>6.117647058823529</v>
          </cell>
          <cell r="DK135" t="str">
            <v>OK</v>
          </cell>
          <cell r="DL135">
            <v>1062.5</v>
          </cell>
          <cell r="DM135">
            <v>354.16666666666669</v>
          </cell>
          <cell r="DN135">
            <v>1416.6666666666667</v>
          </cell>
        </row>
        <row r="136">
          <cell r="B136">
            <v>405479</v>
          </cell>
          <cell r="C136" t="str">
            <v>ETIQUETA BLANCA 180X50 PAPEL SEMIBRILLO CRISME</v>
          </cell>
          <cell r="AB136">
            <v>2000</v>
          </cell>
          <cell r="AC136">
            <v>2000</v>
          </cell>
          <cell r="AG136">
            <v>4000</v>
          </cell>
          <cell r="AH136">
            <v>11000</v>
          </cell>
          <cell r="AI136">
            <v>4000</v>
          </cell>
          <cell r="AJ136">
            <v>9000</v>
          </cell>
          <cell r="AK136">
            <v>3000</v>
          </cell>
          <cell r="AL136">
            <v>5000</v>
          </cell>
          <cell r="AO136">
            <v>2500</v>
          </cell>
          <cell r="AQ136">
            <v>2500</v>
          </cell>
          <cell r="AS136">
            <v>4800</v>
          </cell>
          <cell r="AZ136">
            <v>4800</v>
          </cell>
          <cell r="BA136">
            <v>3200</v>
          </cell>
          <cell r="BB136">
            <v>2000</v>
          </cell>
          <cell r="BC136">
            <v>2000</v>
          </cell>
          <cell r="BD136">
            <v>4800</v>
          </cell>
          <cell r="BE136">
            <v>3200</v>
          </cell>
          <cell r="BG136">
            <v>2000</v>
          </cell>
          <cell r="BH136">
            <v>8000</v>
          </cell>
          <cell r="BK136">
            <v>2000</v>
          </cell>
          <cell r="BR136">
            <v>7500</v>
          </cell>
          <cell r="BS136">
            <v>6000</v>
          </cell>
          <cell r="BT136">
            <v>3000</v>
          </cell>
          <cell r="BU136">
            <v>4100</v>
          </cell>
          <cell r="BV136">
            <v>4000</v>
          </cell>
          <cell r="BW136">
            <v>4000</v>
          </cell>
          <cell r="BY136">
            <v>2000</v>
          </cell>
          <cell r="DB136" t="str">
            <v>ACTIVO</v>
          </cell>
          <cell r="DC136" t="str">
            <v>C</v>
          </cell>
          <cell r="DE136">
            <v>0</v>
          </cell>
          <cell r="DF136">
            <v>0</v>
          </cell>
          <cell r="DG136">
            <v>2364.1206962984497</v>
          </cell>
          <cell r="DH136">
            <v>32400</v>
          </cell>
          <cell r="DI136">
            <v>354780</v>
          </cell>
          <cell r="DJ136">
            <v>0</v>
          </cell>
          <cell r="DK136" t="str">
            <v>OK</v>
          </cell>
          <cell r="DL136">
            <v>0</v>
          </cell>
          <cell r="DM136">
            <v>0</v>
          </cell>
          <cell r="DN136">
            <v>0</v>
          </cell>
        </row>
        <row r="137">
          <cell r="B137">
            <v>405049</v>
          </cell>
          <cell r="C137" t="str">
            <v>ETIQUETA AUTOADHESIVA 22X32 POLIPROPILENO (OPP)</v>
          </cell>
          <cell r="BF137">
            <v>10000</v>
          </cell>
          <cell r="BO137">
            <v>50000</v>
          </cell>
          <cell r="BV137">
            <v>70000</v>
          </cell>
          <cell r="BW137">
            <v>80000</v>
          </cell>
          <cell r="BX137">
            <v>20000</v>
          </cell>
          <cell r="BY137">
            <v>90000</v>
          </cell>
          <cell r="BZ137">
            <v>80000</v>
          </cell>
          <cell r="CA137">
            <v>50000</v>
          </cell>
          <cell r="CG137">
            <v>100000</v>
          </cell>
          <cell r="CH137">
            <v>120000</v>
          </cell>
          <cell r="CI137">
            <v>150000</v>
          </cell>
          <cell r="CJ137">
            <v>60000</v>
          </cell>
          <cell r="CK137">
            <v>80000</v>
          </cell>
          <cell r="CL137">
            <v>100000</v>
          </cell>
          <cell r="CM137">
            <v>60000</v>
          </cell>
          <cell r="CN137">
            <v>110000</v>
          </cell>
          <cell r="CO137">
            <v>130000</v>
          </cell>
          <cell r="CP137">
            <v>30000</v>
          </cell>
          <cell r="CQ137">
            <v>30000</v>
          </cell>
          <cell r="CR137">
            <v>20000</v>
          </cell>
          <cell r="CS137">
            <v>70000</v>
          </cell>
          <cell r="CT137">
            <v>20000</v>
          </cell>
          <cell r="CU137">
            <v>10000</v>
          </cell>
          <cell r="CV137">
            <v>90000</v>
          </cell>
          <cell r="CW137">
            <v>15000</v>
          </cell>
          <cell r="CZ137">
            <v>50000</v>
          </cell>
          <cell r="DA137">
            <v>10000</v>
          </cell>
          <cell r="DB137" t="str">
            <v>ACTIVO</v>
          </cell>
          <cell r="DC137" t="str">
            <v>C</v>
          </cell>
          <cell r="DE137">
            <v>73750</v>
          </cell>
          <cell r="DF137">
            <v>12291.666666666666</v>
          </cell>
          <cell r="DG137">
            <v>29246.489410818915</v>
          </cell>
          <cell r="DH137">
            <v>185000</v>
          </cell>
          <cell r="DI137">
            <v>284900</v>
          </cell>
          <cell r="DJ137">
            <v>2.5084745762711864</v>
          </cell>
          <cell r="DK137" t="str">
            <v>OK</v>
          </cell>
          <cell r="DL137">
            <v>73750</v>
          </cell>
          <cell r="DM137">
            <v>24583.333333333332</v>
          </cell>
          <cell r="DN137">
            <v>98333.333333333328</v>
          </cell>
        </row>
        <row r="138">
          <cell r="B138">
            <v>405493</v>
          </cell>
          <cell r="C138" t="str">
            <v>ETIQUETA DECORATIVA PASTEL MIL HOJAS PASTELERA JUMBO</v>
          </cell>
          <cell r="BI138">
            <v>2500</v>
          </cell>
          <cell r="BJ138">
            <v>2500</v>
          </cell>
          <cell r="BN138">
            <v>2500</v>
          </cell>
          <cell r="BQ138">
            <v>2500</v>
          </cell>
          <cell r="DB138" t="str">
            <v>ACTIVO</v>
          </cell>
          <cell r="DC138" t="str">
            <v>C</v>
          </cell>
          <cell r="DE138">
            <v>0</v>
          </cell>
          <cell r="DF138">
            <v>0</v>
          </cell>
          <cell r="DG138">
            <v>0</v>
          </cell>
          <cell r="DH138">
            <v>5000</v>
          </cell>
          <cell r="DI138">
            <v>38700</v>
          </cell>
          <cell r="DJ138">
            <v>0</v>
          </cell>
          <cell r="DK138" t="str">
            <v>OK</v>
          </cell>
          <cell r="DL138">
            <v>0</v>
          </cell>
          <cell r="DM138">
            <v>0</v>
          </cell>
          <cell r="DN138">
            <v>0</v>
          </cell>
        </row>
        <row r="139">
          <cell r="B139">
            <v>405494</v>
          </cell>
          <cell r="C139" t="str">
            <v>ETIQUETA DECORATIVA PASTEL PIÑA JUMBO</v>
          </cell>
          <cell r="BI139">
            <v>2500</v>
          </cell>
          <cell r="BJ139">
            <v>2500</v>
          </cell>
          <cell r="BN139">
            <v>2500</v>
          </cell>
          <cell r="BQ139">
            <v>2500</v>
          </cell>
          <cell r="DB139" t="str">
            <v>ACTIVO</v>
          </cell>
          <cell r="DC139" t="str">
            <v>C</v>
          </cell>
          <cell r="DE139">
            <v>0</v>
          </cell>
          <cell r="DF139">
            <v>0</v>
          </cell>
          <cell r="DG139">
            <v>0</v>
          </cell>
          <cell r="DH139">
            <v>17500</v>
          </cell>
          <cell r="DI139">
            <v>135450</v>
          </cell>
          <cell r="DJ139">
            <v>0</v>
          </cell>
          <cell r="DK139" t="str">
            <v>OK</v>
          </cell>
          <cell r="DL139">
            <v>0</v>
          </cell>
          <cell r="DM139">
            <v>0</v>
          </cell>
          <cell r="DN139">
            <v>0</v>
          </cell>
        </row>
        <row r="140">
          <cell r="B140">
            <v>405495</v>
          </cell>
          <cell r="C140" t="str">
            <v>ETIQUETA DECORATIVA PASTEL TRES LECHES JUMBO</v>
          </cell>
          <cell r="BI140">
            <v>2500</v>
          </cell>
          <cell r="BJ140">
            <v>2500</v>
          </cell>
          <cell r="BN140">
            <v>2500</v>
          </cell>
          <cell r="BQ140">
            <v>2500</v>
          </cell>
          <cell r="DB140" t="str">
            <v>ACTIVO</v>
          </cell>
          <cell r="DC140" t="str">
            <v>C</v>
          </cell>
          <cell r="DE140">
            <v>0</v>
          </cell>
          <cell r="DF140">
            <v>0</v>
          </cell>
          <cell r="DG140">
            <v>0</v>
          </cell>
          <cell r="DH140">
            <v>17500</v>
          </cell>
          <cell r="DI140">
            <v>135450</v>
          </cell>
          <cell r="DJ140">
            <v>0</v>
          </cell>
          <cell r="DK140" t="str">
            <v>OK</v>
          </cell>
          <cell r="DL140">
            <v>0</v>
          </cell>
          <cell r="DM140">
            <v>0</v>
          </cell>
          <cell r="DN140">
            <v>0</v>
          </cell>
        </row>
        <row r="141">
          <cell r="B141">
            <v>405497</v>
          </cell>
          <cell r="C141" t="str">
            <v>ETIQUETA DECORATIVA PASTEL SELVA NEGRA JUMBO</v>
          </cell>
          <cell r="BI141">
            <v>2500</v>
          </cell>
          <cell r="BJ141">
            <v>2500</v>
          </cell>
          <cell r="BN141">
            <v>2500</v>
          </cell>
          <cell r="BQ141">
            <v>2500</v>
          </cell>
          <cell r="DB141" t="str">
            <v>ACTIVO</v>
          </cell>
          <cell r="DC141" t="str">
            <v>C</v>
          </cell>
          <cell r="DE141">
            <v>0</v>
          </cell>
          <cell r="DF141">
            <v>0</v>
          </cell>
          <cell r="DG141">
            <v>0</v>
          </cell>
          <cell r="DH141">
            <v>20000</v>
          </cell>
          <cell r="DI141">
            <v>154800</v>
          </cell>
          <cell r="DJ141">
            <v>0</v>
          </cell>
          <cell r="DK141" t="str">
            <v>OK</v>
          </cell>
          <cell r="DL141">
            <v>0</v>
          </cell>
          <cell r="DM141">
            <v>0</v>
          </cell>
          <cell r="DN141">
            <v>0</v>
          </cell>
        </row>
        <row r="142">
          <cell r="B142">
            <v>405498</v>
          </cell>
          <cell r="C142" t="str">
            <v>ETIQUETA DECORATIVA PASTEL TRUFA JUMBO</v>
          </cell>
          <cell r="BI142">
            <v>2500</v>
          </cell>
          <cell r="BJ142">
            <v>2500</v>
          </cell>
          <cell r="BN142">
            <v>2500</v>
          </cell>
          <cell r="BQ142">
            <v>2500</v>
          </cell>
          <cell r="DB142" t="str">
            <v>ACTIVO</v>
          </cell>
          <cell r="DC142" t="str">
            <v>C</v>
          </cell>
          <cell r="DE142">
            <v>0</v>
          </cell>
          <cell r="DF142">
            <v>0</v>
          </cell>
          <cell r="DG142">
            <v>0</v>
          </cell>
          <cell r="DH142">
            <v>20000</v>
          </cell>
          <cell r="DI142">
            <v>154800</v>
          </cell>
          <cell r="DJ142">
            <v>0</v>
          </cell>
          <cell r="DK142" t="str">
            <v>OK</v>
          </cell>
          <cell r="DL142">
            <v>0</v>
          </cell>
          <cell r="DM142">
            <v>0</v>
          </cell>
          <cell r="DN142">
            <v>0</v>
          </cell>
        </row>
        <row r="143">
          <cell r="B143">
            <v>405721</v>
          </cell>
          <cell r="C143" t="str">
            <v>ETIQUETA COLOR CREMA 245X40 OPP</v>
          </cell>
          <cell r="CR143">
            <v>39000</v>
          </cell>
          <cell r="CS143">
            <v>41000</v>
          </cell>
          <cell r="CT143">
            <v>71000</v>
          </cell>
          <cell r="CU143">
            <v>82000</v>
          </cell>
          <cell r="CV143">
            <v>65000</v>
          </cell>
          <cell r="CW143">
            <v>80000</v>
          </cell>
          <cell r="CX143">
            <v>11000</v>
          </cell>
          <cell r="CY143">
            <v>42000</v>
          </cell>
          <cell r="CZ143">
            <v>46000</v>
          </cell>
          <cell r="DA143">
            <v>38000</v>
          </cell>
          <cell r="DB143" t="str">
            <v>ACTIVO</v>
          </cell>
          <cell r="DC143" t="str">
            <v/>
          </cell>
          <cell r="DE143">
            <v>59600</v>
          </cell>
          <cell r="DF143">
            <v>9933.3333333333339</v>
          </cell>
          <cell r="DG143">
            <v>0</v>
          </cell>
          <cell r="DH143">
            <v>145000</v>
          </cell>
          <cell r="DI143">
            <v>3001500</v>
          </cell>
          <cell r="DJ143">
            <v>2.4328859060402683</v>
          </cell>
          <cell r="DK143" t="str">
            <v>OK</v>
          </cell>
          <cell r="DL143">
            <v>59600</v>
          </cell>
          <cell r="DM143">
            <v>19866.666666666668</v>
          </cell>
          <cell r="DN143">
            <v>79466.666666666672</v>
          </cell>
        </row>
        <row r="144">
          <cell r="B144">
            <v>405717</v>
          </cell>
          <cell r="C144" t="str">
            <v>ETIQ. CIRCULAR 90cm IMPR. OPP TORTA SELVA NEGRA WALMART</v>
          </cell>
          <cell r="CR144">
            <v>10000</v>
          </cell>
          <cell r="CT144">
            <v>5000</v>
          </cell>
          <cell r="CU144">
            <v>5000</v>
          </cell>
          <cell r="CW144">
            <v>7000</v>
          </cell>
          <cell r="CZ144">
            <v>7000</v>
          </cell>
          <cell r="DA144">
            <v>3000</v>
          </cell>
          <cell r="DB144" t="str">
            <v>ACTIVO</v>
          </cell>
          <cell r="DC144" t="str">
            <v/>
          </cell>
          <cell r="DE144">
            <v>6666.666666666667</v>
          </cell>
          <cell r="DF144">
            <v>1111.1111111111111</v>
          </cell>
          <cell r="DG144">
            <v>0</v>
          </cell>
          <cell r="DH144">
            <v>18000</v>
          </cell>
          <cell r="DI144">
            <v>408600</v>
          </cell>
          <cell r="DJ144">
            <v>2.6999999999999997</v>
          </cell>
          <cell r="DK144" t="str">
            <v>OK</v>
          </cell>
          <cell r="DL144">
            <v>6666.6666666666661</v>
          </cell>
          <cell r="DM144">
            <v>2222.2222222222222</v>
          </cell>
          <cell r="DN144">
            <v>8888.8888888888887</v>
          </cell>
        </row>
        <row r="145">
          <cell r="B145">
            <v>405709</v>
          </cell>
          <cell r="C145" t="str">
            <v>ETIQ. CIRCULAR 90cm IMPR. OPP TORTA PIÑA WALMART</v>
          </cell>
          <cell r="CR145">
            <v>7000</v>
          </cell>
          <cell r="CU145">
            <v>2000</v>
          </cell>
          <cell r="CV145">
            <v>2000</v>
          </cell>
          <cell r="CY145">
            <v>3000</v>
          </cell>
          <cell r="CZ145">
            <v>2000</v>
          </cell>
          <cell r="DA145">
            <v>3000</v>
          </cell>
          <cell r="DB145" t="str">
            <v>ACTIVO</v>
          </cell>
          <cell r="DC145" t="str">
            <v/>
          </cell>
          <cell r="DE145">
            <v>3666.6666666666665</v>
          </cell>
          <cell r="DF145">
            <v>611.11111111111109</v>
          </cell>
          <cell r="DG145">
            <v>0</v>
          </cell>
          <cell r="DH145">
            <v>21000</v>
          </cell>
          <cell r="DI145">
            <v>476700</v>
          </cell>
          <cell r="DJ145">
            <v>5.7272727272727275</v>
          </cell>
          <cell r="DK145" t="str">
            <v>OK</v>
          </cell>
          <cell r="DL145">
            <v>3666.6666666666665</v>
          </cell>
          <cell r="DM145">
            <v>1222.2222222222222</v>
          </cell>
          <cell r="DN145">
            <v>4888.8888888888887</v>
          </cell>
        </row>
        <row r="146">
          <cell r="B146">
            <v>405720</v>
          </cell>
          <cell r="C146" t="str">
            <v>ETIQ. CIRCULAR 80cm IMPR. OPP TORTA CHOCOLATE WALMART</v>
          </cell>
          <cell r="CR146">
            <v>5000</v>
          </cell>
          <cell r="CU146">
            <v>4000</v>
          </cell>
          <cell r="CY146">
            <v>3000</v>
          </cell>
          <cell r="CZ146">
            <v>4000</v>
          </cell>
          <cell r="DA146">
            <v>3000</v>
          </cell>
          <cell r="DB146" t="str">
            <v>ACTIVO</v>
          </cell>
          <cell r="DC146" t="str">
            <v/>
          </cell>
          <cell r="DE146">
            <v>4500</v>
          </cell>
          <cell r="DF146">
            <v>750</v>
          </cell>
          <cell r="DG146">
            <v>0</v>
          </cell>
          <cell r="DH146">
            <v>18000</v>
          </cell>
          <cell r="DI146">
            <v>330120</v>
          </cell>
          <cell r="DJ146">
            <v>4</v>
          </cell>
          <cell r="DK146" t="str">
            <v>OK</v>
          </cell>
          <cell r="DL146">
            <v>4500</v>
          </cell>
          <cell r="DM146">
            <v>1500</v>
          </cell>
          <cell r="DN146">
            <v>6000</v>
          </cell>
        </row>
        <row r="147">
          <cell r="B147">
            <v>405714</v>
          </cell>
          <cell r="C147" t="str">
            <v>ETIQ. CIRCULAR 90cm IMPR. OPP TORTA TRES LECHES WALMART</v>
          </cell>
          <cell r="CR147">
            <v>8000</v>
          </cell>
          <cell r="CS147">
            <v>2000</v>
          </cell>
          <cell r="CT147">
            <v>7000</v>
          </cell>
          <cell r="CU147">
            <v>5000</v>
          </cell>
          <cell r="CV147">
            <v>10000</v>
          </cell>
          <cell r="CW147">
            <v>12000</v>
          </cell>
          <cell r="CY147">
            <v>5000</v>
          </cell>
          <cell r="CZ147">
            <v>5000</v>
          </cell>
          <cell r="DA147">
            <v>6000</v>
          </cell>
          <cell r="DB147" t="str">
            <v>ACTIVO</v>
          </cell>
          <cell r="DC147" t="str">
            <v/>
          </cell>
          <cell r="DE147">
            <v>6400</v>
          </cell>
          <cell r="DF147">
            <v>1066.6666666666667</v>
          </cell>
          <cell r="DG147">
            <v>0</v>
          </cell>
          <cell r="DH147">
            <v>5000</v>
          </cell>
          <cell r="DI147">
            <v>113500</v>
          </cell>
          <cell r="DJ147">
            <v>0.78125</v>
          </cell>
          <cell r="DK147" t="str">
            <v>OK</v>
          </cell>
          <cell r="DL147">
            <v>6400</v>
          </cell>
          <cell r="DM147">
            <v>2133.3333333333335</v>
          </cell>
          <cell r="DN147">
            <v>8533.3333333333339</v>
          </cell>
        </row>
        <row r="148">
          <cell r="B148">
            <v>405713</v>
          </cell>
          <cell r="C148" t="str">
            <v>ETIQ. CIRCULAR 90cm IMPR. OPP TORTA PANQUEQUE NARANJA WALMART</v>
          </cell>
          <cell r="CR148">
            <v>4000</v>
          </cell>
          <cell r="CS148">
            <v>2000</v>
          </cell>
          <cell r="CT148">
            <v>2500</v>
          </cell>
          <cell r="CU148">
            <v>2000</v>
          </cell>
          <cell r="CV148">
            <v>3000</v>
          </cell>
          <cell r="CW148">
            <v>4500</v>
          </cell>
          <cell r="CY148">
            <v>6000</v>
          </cell>
          <cell r="CZ148">
            <v>4000</v>
          </cell>
          <cell r="DA148">
            <v>2000</v>
          </cell>
          <cell r="DB148" t="str">
            <v>ACTIVO</v>
          </cell>
          <cell r="DC148" t="str">
            <v/>
          </cell>
          <cell r="DE148">
            <v>2700</v>
          </cell>
          <cell r="DF148">
            <v>450</v>
          </cell>
          <cell r="DG148">
            <v>0</v>
          </cell>
          <cell r="DH148">
            <v>13000</v>
          </cell>
          <cell r="DI148">
            <v>295100</v>
          </cell>
          <cell r="DJ148">
            <v>4.8148148148148149</v>
          </cell>
          <cell r="DK148" t="str">
            <v>OK</v>
          </cell>
          <cell r="DL148">
            <v>2700</v>
          </cell>
          <cell r="DM148">
            <v>900</v>
          </cell>
          <cell r="DN148">
            <v>3600</v>
          </cell>
        </row>
        <row r="149">
          <cell r="B149">
            <v>405718</v>
          </cell>
          <cell r="C149" t="str">
            <v>ETIQ. CIRCULAR 90cm IMPR. OPP KUCHEN FRAMBUESA TRADICIONAL WALMART</v>
          </cell>
          <cell r="CR149">
            <v>2000</v>
          </cell>
          <cell r="CT149">
            <v>9000</v>
          </cell>
          <cell r="CU149">
            <v>7000</v>
          </cell>
          <cell r="CV149">
            <v>5500</v>
          </cell>
          <cell r="CW149">
            <v>9000</v>
          </cell>
          <cell r="CY149">
            <v>3000</v>
          </cell>
          <cell r="CZ149">
            <v>4000</v>
          </cell>
          <cell r="DB149" t="str">
            <v>ACTIVO</v>
          </cell>
          <cell r="DC149" t="str">
            <v/>
          </cell>
          <cell r="DE149">
            <v>5875</v>
          </cell>
          <cell r="DF149">
            <v>979.16666666666663</v>
          </cell>
          <cell r="DG149">
            <v>0</v>
          </cell>
          <cell r="DH149">
            <v>6500</v>
          </cell>
          <cell r="DI149">
            <v>147550</v>
          </cell>
          <cell r="DJ149">
            <v>1.1063829787234043</v>
          </cell>
          <cell r="DK149" t="str">
            <v>OK</v>
          </cell>
          <cell r="DL149">
            <v>5875</v>
          </cell>
          <cell r="DM149">
            <v>1958.3333333333333</v>
          </cell>
          <cell r="DN149">
            <v>7833.333333333333</v>
          </cell>
        </row>
        <row r="150">
          <cell r="B150">
            <v>405722</v>
          </cell>
          <cell r="C150" t="str">
            <v>ETIQUETA CONSUMO</v>
          </cell>
          <cell r="CR150">
            <v>10000</v>
          </cell>
          <cell r="CS150">
            <v>16000</v>
          </cell>
          <cell r="CT150">
            <v>44000</v>
          </cell>
          <cell r="CU150">
            <v>48000</v>
          </cell>
          <cell r="CV150">
            <v>22000</v>
          </cell>
          <cell r="CW150">
            <v>27000</v>
          </cell>
          <cell r="CX150">
            <v>10000</v>
          </cell>
          <cell r="CY150">
            <v>25000</v>
          </cell>
          <cell r="CZ150">
            <v>21000</v>
          </cell>
          <cell r="DA150">
            <v>14000</v>
          </cell>
          <cell r="DB150" t="str">
            <v>ACTIVO</v>
          </cell>
          <cell r="DC150" t="str">
            <v/>
          </cell>
          <cell r="DE150">
            <v>28000</v>
          </cell>
          <cell r="DF150">
            <v>4666.666666666667</v>
          </cell>
          <cell r="DG150">
            <v>0</v>
          </cell>
          <cell r="DH150">
            <v>17000</v>
          </cell>
          <cell r="DI150">
            <v>241400</v>
          </cell>
          <cell r="DJ150">
            <v>0.6071428571428571</v>
          </cell>
          <cell r="DK150" t="str">
            <v>OK</v>
          </cell>
          <cell r="DL150">
            <v>28000</v>
          </cell>
          <cell r="DM150">
            <v>9333.3333333333339</v>
          </cell>
          <cell r="DN150">
            <v>37333.333333333336</v>
          </cell>
        </row>
        <row r="151">
          <cell r="B151">
            <v>405712</v>
          </cell>
          <cell r="C151" t="str">
            <v>ETIQ. CIRCULAR 90cm IMPR. OPP TORTA MIL HOJAS MANJAR ARTESANAL WALMART</v>
          </cell>
          <cell r="CR151">
            <v>10000</v>
          </cell>
          <cell r="CT151">
            <v>30000</v>
          </cell>
          <cell r="CU151">
            <v>20000</v>
          </cell>
          <cell r="DB151" t="str">
            <v>ACTIVO</v>
          </cell>
          <cell r="DC151" t="str">
            <v/>
          </cell>
          <cell r="DE151">
            <v>20000</v>
          </cell>
          <cell r="DF151">
            <v>3333.3333333333335</v>
          </cell>
          <cell r="DG151">
            <v>0</v>
          </cell>
          <cell r="DH151">
            <v>10000</v>
          </cell>
          <cell r="DI151">
            <v>227000</v>
          </cell>
          <cell r="DJ151">
            <v>0.5</v>
          </cell>
          <cell r="DK151" t="str">
            <v>COMPRAR</v>
          </cell>
          <cell r="DL151">
            <v>20000</v>
          </cell>
          <cell r="DM151">
            <v>6666.666666666667</v>
          </cell>
          <cell r="DN151">
            <v>26666.666666666668</v>
          </cell>
        </row>
        <row r="152">
          <cell r="B152">
            <v>405719</v>
          </cell>
          <cell r="C152" t="str">
            <v>ETIQ. CIRCULAR 80cm IMPR. OPP TORTA FRUTOS DEL BOSQUE WALMART</v>
          </cell>
          <cell r="CR152">
            <v>5000</v>
          </cell>
          <cell r="CT152">
            <v>5000</v>
          </cell>
          <cell r="CU152">
            <v>5000</v>
          </cell>
          <cell r="CY152">
            <v>3000</v>
          </cell>
          <cell r="CZ152">
            <v>1000</v>
          </cell>
          <cell r="DA152">
            <v>5000</v>
          </cell>
          <cell r="DB152" t="str">
            <v>ACTIVO</v>
          </cell>
          <cell r="DC152" t="str">
            <v/>
          </cell>
          <cell r="DE152">
            <v>5000</v>
          </cell>
          <cell r="DF152">
            <v>833.33333333333337</v>
          </cell>
          <cell r="DG152">
            <v>0</v>
          </cell>
          <cell r="DH152">
            <v>27000</v>
          </cell>
          <cell r="DI152">
            <v>495180</v>
          </cell>
          <cell r="DJ152">
            <v>5.4</v>
          </cell>
          <cell r="DK152" t="str">
            <v>OK</v>
          </cell>
          <cell r="DL152">
            <v>5000</v>
          </cell>
          <cell r="DM152">
            <v>1666.6666666666667</v>
          </cell>
          <cell r="DN152">
            <v>6666.666666666667</v>
          </cell>
        </row>
        <row r="153">
          <cell r="B153">
            <v>405733</v>
          </cell>
          <cell r="C153" t="str">
            <v>ETIQ. CIRCULAR 90cm IMPR. OPP TORTA PIÑA MARKETSIDE</v>
          </cell>
          <cell r="CS153">
            <v>3000</v>
          </cell>
          <cell r="CT153">
            <v>6000</v>
          </cell>
          <cell r="CU153">
            <v>3000</v>
          </cell>
          <cell r="CV153">
            <v>5000</v>
          </cell>
          <cell r="CW153">
            <v>14000</v>
          </cell>
          <cell r="CX153">
            <v>2000</v>
          </cell>
          <cell r="CZ153">
            <v>3000</v>
          </cell>
          <cell r="DA153">
            <v>5000</v>
          </cell>
          <cell r="DB153" t="str">
            <v>ACTIVO</v>
          </cell>
          <cell r="DC153" t="str">
            <v/>
          </cell>
          <cell r="DE153">
            <v>4250</v>
          </cell>
          <cell r="DF153">
            <v>708.33333333333337</v>
          </cell>
          <cell r="DG153">
            <v>0</v>
          </cell>
          <cell r="DH153">
            <v>11000</v>
          </cell>
          <cell r="DI153">
            <v>249700</v>
          </cell>
          <cell r="DJ153">
            <v>2.5882352941176472</v>
          </cell>
          <cell r="DK153" t="str">
            <v>OK</v>
          </cell>
          <cell r="DL153">
            <v>4250</v>
          </cell>
          <cell r="DM153">
            <v>1416.6666666666667</v>
          </cell>
          <cell r="DN153">
            <v>5666.666666666667</v>
          </cell>
        </row>
        <row r="154">
          <cell r="B154">
            <v>405734</v>
          </cell>
          <cell r="C154" t="str">
            <v>ETIQ. CIRCULAR 90cm IMPR. OPP TORTA SELVA NEGRA MARKETSIDE</v>
          </cell>
          <cell r="CS154">
            <v>4000</v>
          </cell>
          <cell r="CU154">
            <v>9000</v>
          </cell>
          <cell r="CV154">
            <v>5000</v>
          </cell>
          <cell r="CW154">
            <v>16000</v>
          </cell>
          <cell r="CY154">
            <v>3000</v>
          </cell>
          <cell r="CZ154">
            <v>1000</v>
          </cell>
          <cell r="DA154">
            <v>5000</v>
          </cell>
          <cell r="DB154" t="str">
            <v>ACTIVO</v>
          </cell>
          <cell r="DC154" t="str">
            <v/>
          </cell>
          <cell r="DE154">
            <v>6000</v>
          </cell>
          <cell r="DF154">
            <v>1000</v>
          </cell>
          <cell r="DG154">
            <v>0</v>
          </cell>
          <cell r="DH154">
            <v>16000</v>
          </cell>
          <cell r="DI154">
            <v>363200</v>
          </cell>
          <cell r="DJ154">
            <v>2.6666666666666665</v>
          </cell>
          <cell r="DK154" t="str">
            <v>OK</v>
          </cell>
          <cell r="DL154">
            <v>6000</v>
          </cell>
          <cell r="DM154">
            <v>2000</v>
          </cell>
          <cell r="DN154">
            <v>8000</v>
          </cell>
        </row>
        <row r="155">
          <cell r="B155">
            <v>405736</v>
          </cell>
          <cell r="C155" t="str">
            <v>ETIQ. CIRCULAR 90cm IMPR. OPP TORTA AMOR MARKETSIDE</v>
          </cell>
          <cell r="CS155">
            <v>1000</v>
          </cell>
          <cell r="CT155">
            <v>5000</v>
          </cell>
          <cell r="CV155">
            <v>5000</v>
          </cell>
          <cell r="CW155">
            <v>4000</v>
          </cell>
          <cell r="CX155">
            <v>6000</v>
          </cell>
          <cell r="DB155" t="str">
            <v>ACTIVO</v>
          </cell>
          <cell r="DC155" t="str">
            <v/>
          </cell>
          <cell r="DE155">
            <v>3666.6666666666665</v>
          </cell>
          <cell r="DF155">
            <v>611.11111111111109</v>
          </cell>
          <cell r="DG155">
            <v>0</v>
          </cell>
          <cell r="DH155">
            <v>19000</v>
          </cell>
          <cell r="DI155">
            <v>431300</v>
          </cell>
          <cell r="DJ155">
            <v>5.1818181818181817</v>
          </cell>
          <cell r="DK155" t="str">
            <v>OK</v>
          </cell>
          <cell r="DL155">
            <v>3666.6666666666665</v>
          </cell>
          <cell r="DM155">
            <v>1222.2222222222222</v>
          </cell>
          <cell r="DN155">
            <v>4888.8888888888887</v>
          </cell>
        </row>
        <row r="156">
          <cell r="B156">
            <v>405737</v>
          </cell>
          <cell r="C156" t="str">
            <v>ETIQ. CIRCULAR 90cm IMPR. OPP TORTA SAN JORGE MARKETSIDE</v>
          </cell>
          <cell r="CS156">
            <v>1000</v>
          </cell>
          <cell r="CT156">
            <v>13000</v>
          </cell>
          <cell r="CU156">
            <v>3000</v>
          </cell>
          <cell r="CV156">
            <v>7000</v>
          </cell>
          <cell r="CW156">
            <v>2000</v>
          </cell>
          <cell r="CY156">
            <v>1000</v>
          </cell>
          <cell r="CZ156">
            <v>3000</v>
          </cell>
          <cell r="DB156" t="str">
            <v>ACTIVO</v>
          </cell>
          <cell r="DC156" t="str">
            <v/>
          </cell>
          <cell r="DE156">
            <v>6000</v>
          </cell>
          <cell r="DF156">
            <v>1000</v>
          </cell>
          <cell r="DG156">
            <v>0</v>
          </cell>
          <cell r="DH156">
            <v>15000</v>
          </cell>
          <cell r="DI156">
            <v>340500</v>
          </cell>
          <cell r="DJ156">
            <v>2.5</v>
          </cell>
          <cell r="DK156" t="str">
            <v>OK</v>
          </cell>
          <cell r="DL156">
            <v>6000</v>
          </cell>
          <cell r="DM156">
            <v>2000</v>
          </cell>
          <cell r="DN156">
            <v>8000</v>
          </cell>
        </row>
        <row r="157">
          <cell r="B157">
            <v>405735</v>
          </cell>
          <cell r="C157" t="str">
            <v>ETIQ. CIRCULAR 90cm IMPR. OPP TORTA VIENA MARKETSIDE</v>
          </cell>
          <cell r="CS157">
            <v>3000</v>
          </cell>
          <cell r="CT157">
            <v>5000</v>
          </cell>
          <cell r="CU157">
            <v>4000</v>
          </cell>
          <cell r="CV157">
            <v>3000</v>
          </cell>
          <cell r="CW157">
            <v>6000</v>
          </cell>
          <cell r="CZ157">
            <v>1000</v>
          </cell>
          <cell r="DA157">
            <v>6000</v>
          </cell>
          <cell r="DB157" t="str">
            <v>ACTIVO</v>
          </cell>
          <cell r="DC157" t="str">
            <v/>
          </cell>
          <cell r="DE157">
            <v>3750</v>
          </cell>
          <cell r="DF157">
            <v>625</v>
          </cell>
          <cell r="DG157">
            <v>0</v>
          </cell>
          <cell r="DH157">
            <v>12000</v>
          </cell>
          <cell r="DI157">
            <v>272400</v>
          </cell>
          <cell r="DJ157">
            <v>3.2</v>
          </cell>
          <cell r="DK157" t="str">
            <v>OK</v>
          </cell>
          <cell r="DL157">
            <v>3750</v>
          </cell>
          <cell r="DM157">
            <v>1250</v>
          </cell>
          <cell r="DN157">
            <v>5000</v>
          </cell>
        </row>
        <row r="158">
          <cell r="B158">
            <v>405738</v>
          </cell>
          <cell r="C158" t="str">
            <v>ETIQUETA CONSUMO MARKETSIDE</v>
          </cell>
          <cell r="CS158">
            <v>18000</v>
          </cell>
          <cell r="CT158">
            <v>54000</v>
          </cell>
          <cell r="CU158">
            <v>30000</v>
          </cell>
          <cell r="CV158">
            <v>18000</v>
          </cell>
          <cell r="CW158">
            <v>16000</v>
          </cell>
          <cell r="CX158">
            <v>6000</v>
          </cell>
          <cell r="CY158">
            <v>12000</v>
          </cell>
          <cell r="CZ158">
            <v>6000</v>
          </cell>
          <cell r="DA158">
            <v>1000</v>
          </cell>
          <cell r="DB158" t="str">
            <v>ACTIVO</v>
          </cell>
          <cell r="DC158" t="str">
            <v/>
          </cell>
          <cell r="DE158">
            <v>30000</v>
          </cell>
          <cell r="DF158">
            <v>5000</v>
          </cell>
          <cell r="DG158">
            <v>0</v>
          </cell>
          <cell r="DH158">
            <v>45000</v>
          </cell>
          <cell r="DI158">
            <v>639000</v>
          </cell>
          <cell r="DJ158">
            <v>1.5</v>
          </cell>
          <cell r="DK158" t="str">
            <v>OK</v>
          </cell>
          <cell r="DL158">
            <v>30000</v>
          </cell>
          <cell r="DM158">
            <v>10000</v>
          </cell>
          <cell r="DN158">
            <v>40000</v>
          </cell>
        </row>
        <row r="159">
          <cell r="B159">
            <v>405711</v>
          </cell>
          <cell r="C159" t="str">
            <v>ETIQ. CIRCULAR 90cm IMPR. OPP TORTA HOJA MANJAR MERENGUE WALMART</v>
          </cell>
          <cell r="CS159">
            <v>1000</v>
          </cell>
          <cell r="CU159">
            <v>1000</v>
          </cell>
          <cell r="CV159">
            <v>1500</v>
          </cell>
          <cell r="CX159">
            <v>1000</v>
          </cell>
          <cell r="CY159">
            <v>1000</v>
          </cell>
          <cell r="DA159">
            <v>1000</v>
          </cell>
          <cell r="DB159" t="str">
            <v>ACTIVO</v>
          </cell>
          <cell r="DC159" t="str">
            <v/>
          </cell>
          <cell r="DE159">
            <v>1166.6666666666667</v>
          </cell>
          <cell r="DF159">
            <v>194.44444444444446</v>
          </cell>
          <cell r="DG159">
            <v>0</v>
          </cell>
          <cell r="DH159">
            <v>24500</v>
          </cell>
          <cell r="DI159">
            <v>556150</v>
          </cell>
          <cell r="DJ159">
            <v>21</v>
          </cell>
          <cell r="DK159" t="str">
            <v>OK</v>
          </cell>
          <cell r="DL159">
            <v>1166.6666666666667</v>
          </cell>
          <cell r="DM159">
            <v>388.88888888888891</v>
          </cell>
          <cell r="DN159">
            <v>1555.5555555555557</v>
          </cell>
        </row>
        <row r="160">
          <cell r="B160">
            <v>405710</v>
          </cell>
          <cell r="C160" t="str">
            <v>ETIQ. CIRCULAR 90cm IMPR. OPP TORTA AMOR WALMART</v>
          </cell>
          <cell r="CU160">
            <v>3000</v>
          </cell>
          <cell r="DB160" t="str">
            <v>ACTIVO</v>
          </cell>
          <cell r="DC160" t="str">
            <v/>
          </cell>
          <cell r="DE160">
            <v>3000</v>
          </cell>
          <cell r="DF160">
            <v>500</v>
          </cell>
          <cell r="DG160">
            <v>0</v>
          </cell>
          <cell r="DH160">
            <v>17000</v>
          </cell>
          <cell r="DI160">
            <v>385900</v>
          </cell>
          <cell r="DJ160">
            <v>5.666666666666667</v>
          </cell>
          <cell r="DK160" t="str">
            <v>OK</v>
          </cell>
          <cell r="DL160">
            <v>3000</v>
          </cell>
          <cell r="DM160">
            <v>1000</v>
          </cell>
          <cell r="DN160">
            <v>4000</v>
          </cell>
        </row>
        <row r="161">
          <cell r="B161">
            <v>405704</v>
          </cell>
          <cell r="C161" t="str">
            <v>ETIQ. CIRCULAR 90cm IMPR. JUMBO KUCHEN DE MANZANA</v>
          </cell>
          <cell r="CW161">
            <v>1000</v>
          </cell>
          <cell r="DB161" t="str">
            <v>ACTIVO</v>
          </cell>
          <cell r="DC161" t="str">
            <v/>
          </cell>
          <cell r="DE161">
            <v>0</v>
          </cell>
          <cell r="DF161">
            <v>0</v>
          </cell>
          <cell r="DG161">
            <v>0</v>
          </cell>
          <cell r="DH161">
            <v>6000</v>
          </cell>
          <cell r="DI161">
            <v>124200</v>
          </cell>
          <cell r="DJ161">
            <v>0</v>
          </cell>
          <cell r="DK161" t="str">
            <v>OK</v>
          </cell>
          <cell r="DL161">
            <v>0</v>
          </cell>
          <cell r="DM161">
            <v>0</v>
          </cell>
          <cell r="DN161">
            <v>0</v>
          </cell>
        </row>
        <row r="162">
          <cell r="B162">
            <v>405773</v>
          </cell>
          <cell r="C162" t="str">
            <v>ETIQ. CIRCULAR 80cm IMPR. OPP TORTA SAN JORGE SMU</v>
          </cell>
          <cell r="CY162">
            <v>1000</v>
          </cell>
          <cell r="DB162" t="str">
            <v>ACTIVO</v>
          </cell>
          <cell r="DC162" t="str">
            <v/>
          </cell>
          <cell r="DE162">
            <v>0</v>
          </cell>
          <cell r="DF162">
            <v>0</v>
          </cell>
          <cell r="DG162">
            <v>0</v>
          </cell>
          <cell r="DH162">
            <v>10000</v>
          </cell>
          <cell r="DI162">
            <v>204000</v>
          </cell>
          <cell r="DJ162">
            <v>0</v>
          </cell>
          <cell r="DK162" t="str">
            <v>OK</v>
          </cell>
          <cell r="DL162">
            <v>0</v>
          </cell>
          <cell r="DM162">
            <v>0</v>
          </cell>
          <cell r="DN162">
            <v>0</v>
          </cell>
        </row>
        <row r="163">
          <cell r="B163">
            <v>404755</v>
          </cell>
          <cell r="C163" t="str">
            <v>ETIQUETA KUCHEN MANZANA WALMART</v>
          </cell>
          <cell r="E163">
            <v>1500</v>
          </cell>
          <cell r="F163">
            <v>1500</v>
          </cell>
          <cell r="G163">
            <v>4000</v>
          </cell>
          <cell r="I163">
            <v>1500</v>
          </cell>
          <cell r="J163">
            <v>1500</v>
          </cell>
          <cell r="K163">
            <v>2000</v>
          </cell>
          <cell r="L163">
            <v>2000</v>
          </cell>
          <cell r="M163">
            <v>2000</v>
          </cell>
          <cell r="N163">
            <v>1000</v>
          </cell>
          <cell r="O163">
            <v>3500</v>
          </cell>
          <cell r="R163">
            <v>1000</v>
          </cell>
          <cell r="T163">
            <v>1000</v>
          </cell>
          <cell r="V163">
            <v>2000</v>
          </cell>
          <cell r="W163">
            <v>1000</v>
          </cell>
          <cell r="X163">
            <v>2000</v>
          </cell>
          <cell r="Y163">
            <v>3500</v>
          </cell>
          <cell r="AA163">
            <v>2000</v>
          </cell>
          <cell r="AB163">
            <v>1000</v>
          </cell>
          <cell r="AC163">
            <v>2000</v>
          </cell>
          <cell r="AD163">
            <v>500</v>
          </cell>
          <cell r="AF163">
            <v>2000</v>
          </cell>
          <cell r="AI163">
            <v>2000</v>
          </cell>
          <cell r="AJ163">
            <v>2000</v>
          </cell>
          <cell r="AK163">
            <v>2000</v>
          </cell>
          <cell r="AN163">
            <v>2000</v>
          </cell>
          <cell r="AO163">
            <v>500</v>
          </cell>
          <cell r="AP163">
            <v>4000</v>
          </cell>
          <cell r="AQ163">
            <v>2000</v>
          </cell>
          <cell r="AR163">
            <v>3500</v>
          </cell>
          <cell r="AT163">
            <v>4000</v>
          </cell>
          <cell r="AU163">
            <v>5000</v>
          </cell>
          <cell r="AV163">
            <v>2000</v>
          </cell>
          <cell r="AW163">
            <v>5000</v>
          </cell>
          <cell r="AX163">
            <v>4500</v>
          </cell>
          <cell r="AY163">
            <v>2500</v>
          </cell>
          <cell r="BA163">
            <v>2500</v>
          </cell>
          <cell r="BB163">
            <v>1000</v>
          </cell>
          <cell r="BD163">
            <v>1000</v>
          </cell>
          <cell r="BE163">
            <v>2000</v>
          </cell>
          <cell r="BG163">
            <v>1500</v>
          </cell>
          <cell r="BH163">
            <v>3000</v>
          </cell>
          <cell r="BJ163">
            <v>4000</v>
          </cell>
          <cell r="BK163">
            <v>2500</v>
          </cell>
          <cell r="BL163">
            <v>1500</v>
          </cell>
          <cell r="BM163">
            <v>1500</v>
          </cell>
          <cell r="BN163">
            <v>3000</v>
          </cell>
          <cell r="BQ163">
            <v>5000</v>
          </cell>
          <cell r="BS163">
            <v>5000</v>
          </cell>
          <cell r="BU163">
            <v>2000</v>
          </cell>
          <cell r="BV163">
            <v>1000</v>
          </cell>
          <cell r="BW163">
            <v>3000</v>
          </cell>
          <cell r="BY163">
            <v>1500</v>
          </cell>
          <cell r="BZ163">
            <v>3000</v>
          </cell>
          <cell r="CA163">
            <v>2500</v>
          </cell>
          <cell r="CB163">
            <v>1500</v>
          </cell>
          <cell r="CD163">
            <v>10000</v>
          </cell>
          <cell r="CF163">
            <v>1500</v>
          </cell>
          <cell r="CH163">
            <v>1500</v>
          </cell>
          <cell r="CI163">
            <v>6000</v>
          </cell>
          <cell r="CL163">
            <v>2500</v>
          </cell>
          <cell r="CM163">
            <v>2500</v>
          </cell>
          <cell r="CN163">
            <v>2500</v>
          </cell>
          <cell r="CO163">
            <v>4000</v>
          </cell>
          <cell r="CV163">
            <v>6500</v>
          </cell>
          <cell r="DB163" t="str">
            <v>SIN USO</v>
          </cell>
          <cell r="DC163" t="str">
            <v>C</v>
          </cell>
          <cell r="DE163">
            <v>3375</v>
          </cell>
          <cell r="DF163">
            <v>562.5</v>
          </cell>
          <cell r="DG163">
            <v>1761.8082341640518</v>
          </cell>
          <cell r="DH163">
            <v>0</v>
          </cell>
          <cell r="DI163" t="str">
            <v>0</v>
          </cell>
          <cell r="DJ163">
            <v>0</v>
          </cell>
          <cell r="DK163" t="str">
            <v>INACTIVO</v>
          </cell>
          <cell r="DL163">
            <v>3375</v>
          </cell>
          <cell r="DM163">
            <v>1125</v>
          </cell>
          <cell r="DN163">
            <v>4500</v>
          </cell>
        </row>
        <row r="164">
          <cell r="B164">
            <v>405496</v>
          </cell>
          <cell r="C164" t="str">
            <v>ETIQUETA DECORATIVA PANQUEQUE NARANJA JUMBO</v>
          </cell>
          <cell r="BJ164">
            <v>2500</v>
          </cell>
          <cell r="BN164">
            <v>2500</v>
          </cell>
          <cell r="BQ164">
            <v>2500</v>
          </cell>
          <cell r="DB164" t="str">
            <v>SIN USO</v>
          </cell>
          <cell r="DC164" t="str">
            <v>C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 t="str">
            <v>0</v>
          </cell>
          <cell r="DJ164">
            <v>0</v>
          </cell>
          <cell r="DK164" t="str">
            <v>INACTIVO</v>
          </cell>
          <cell r="DL164">
            <v>0</v>
          </cell>
          <cell r="DM164">
            <v>0</v>
          </cell>
          <cell r="DN164">
            <v>0</v>
          </cell>
        </row>
        <row r="165">
          <cell r="B165">
            <v>107418</v>
          </cell>
          <cell r="C165" t="str">
            <v>ETIQUETA GENERICA TORTA SELVA NEGRA ESPECIAL WALMART</v>
          </cell>
          <cell r="AH165">
            <v>11000</v>
          </cell>
          <cell r="AI165">
            <v>6000</v>
          </cell>
          <cell r="AK165">
            <v>3500</v>
          </cell>
          <cell r="AL165">
            <v>1000</v>
          </cell>
          <cell r="AN165">
            <v>7500</v>
          </cell>
          <cell r="AO165">
            <v>2000</v>
          </cell>
          <cell r="AP165">
            <v>8500</v>
          </cell>
          <cell r="AQ165">
            <v>3500</v>
          </cell>
          <cell r="AR165">
            <v>8500</v>
          </cell>
          <cell r="AS165">
            <v>3500</v>
          </cell>
          <cell r="AT165">
            <v>3000</v>
          </cell>
          <cell r="AU165">
            <v>5000</v>
          </cell>
          <cell r="AV165">
            <v>7000</v>
          </cell>
          <cell r="AW165">
            <v>4000</v>
          </cell>
          <cell r="AX165">
            <v>3500</v>
          </cell>
          <cell r="AY165">
            <v>3500</v>
          </cell>
          <cell r="BB165">
            <v>2500</v>
          </cell>
          <cell r="BC165">
            <v>3000</v>
          </cell>
          <cell r="BD165">
            <v>1500</v>
          </cell>
          <cell r="BE165">
            <v>4500</v>
          </cell>
          <cell r="BF165">
            <v>500</v>
          </cell>
          <cell r="BG165">
            <v>2000</v>
          </cell>
          <cell r="BH165">
            <v>6000</v>
          </cell>
          <cell r="BJ165">
            <v>4000</v>
          </cell>
          <cell r="BK165">
            <v>4000</v>
          </cell>
          <cell r="BL165">
            <v>9000</v>
          </cell>
          <cell r="BM165">
            <v>2000</v>
          </cell>
          <cell r="BN165">
            <v>4000</v>
          </cell>
          <cell r="BP165">
            <v>1000</v>
          </cell>
          <cell r="BQ165">
            <v>7000</v>
          </cell>
          <cell r="BR165">
            <v>2000</v>
          </cell>
          <cell r="BS165">
            <v>4000</v>
          </cell>
          <cell r="BU165">
            <v>3000</v>
          </cell>
          <cell r="BV165">
            <v>8500</v>
          </cell>
          <cell r="BW165">
            <v>1000</v>
          </cell>
          <cell r="CD165">
            <v>15500</v>
          </cell>
          <cell r="CF165">
            <v>2000</v>
          </cell>
          <cell r="CK165">
            <v>4000</v>
          </cell>
          <cell r="CN165">
            <v>4000</v>
          </cell>
          <cell r="CP165">
            <v>1000</v>
          </cell>
          <cell r="CV165">
            <v>7500</v>
          </cell>
          <cell r="DB165" t="str">
            <v>SIN USO</v>
          </cell>
          <cell r="DC165" t="str">
            <v>C</v>
          </cell>
          <cell r="DE165">
            <v>3700</v>
          </cell>
          <cell r="DF165">
            <v>616.66666666666663</v>
          </cell>
          <cell r="DG165">
            <v>3211.833279588624</v>
          </cell>
          <cell r="DH165">
            <v>0</v>
          </cell>
          <cell r="DI165" t="str">
            <v>0</v>
          </cell>
          <cell r="DJ165">
            <v>0</v>
          </cell>
          <cell r="DK165" t="str">
            <v>INACTIVO</v>
          </cell>
          <cell r="DL165">
            <v>3700</v>
          </cell>
          <cell r="DM165">
            <v>1233.3333333333333</v>
          </cell>
          <cell r="DN165">
            <v>4933.333333333333</v>
          </cell>
        </row>
        <row r="166">
          <cell r="B166">
            <v>107419</v>
          </cell>
          <cell r="C166" t="str">
            <v>ETIQUETA GENERICA TORTA CREMA PIÑA ESPECIAL WALMART</v>
          </cell>
          <cell r="AH166">
            <v>7000</v>
          </cell>
          <cell r="AI166">
            <v>1500</v>
          </cell>
          <cell r="AJ166">
            <v>2000</v>
          </cell>
          <cell r="AL166">
            <v>3000</v>
          </cell>
          <cell r="AM166">
            <v>2000</v>
          </cell>
          <cell r="AN166">
            <v>1500</v>
          </cell>
          <cell r="AO166">
            <v>3000</v>
          </cell>
          <cell r="AP166">
            <v>1000</v>
          </cell>
          <cell r="AQ166">
            <v>3500</v>
          </cell>
          <cell r="AR166">
            <v>3500</v>
          </cell>
          <cell r="AS166">
            <v>1500</v>
          </cell>
          <cell r="AT166">
            <v>5000</v>
          </cell>
          <cell r="AU166">
            <v>3500</v>
          </cell>
          <cell r="AV166">
            <v>3500</v>
          </cell>
          <cell r="AW166">
            <v>7000</v>
          </cell>
          <cell r="AX166">
            <v>5500</v>
          </cell>
          <cell r="AY166">
            <v>1500</v>
          </cell>
          <cell r="BA166">
            <v>500</v>
          </cell>
          <cell r="BB166">
            <v>3500</v>
          </cell>
          <cell r="BC166">
            <v>3000</v>
          </cell>
          <cell r="BE166">
            <v>4000</v>
          </cell>
          <cell r="BF166">
            <v>4000</v>
          </cell>
          <cell r="BG166">
            <v>1500</v>
          </cell>
          <cell r="BH166">
            <v>6000</v>
          </cell>
          <cell r="BJ166">
            <v>3500</v>
          </cell>
          <cell r="BK166">
            <v>3500</v>
          </cell>
          <cell r="BL166">
            <v>3500</v>
          </cell>
          <cell r="BM166">
            <v>2500</v>
          </cell>
          <cell r="BN166">
            <v>3000</v>
          </cell>
          <cell r="BQ166">
            <v>9000</v>
          </cell>
          <cell r="BS166">
            <v>3000</v>
          </cell>
          <cell r="BU166">
            <v>5000</v>
          </cell>
          <cell r="BV166">
            <v>7000</v>
          </cell>
          <cell r="BW166">
            <v>2500</v>
          </cell>
          <cell r="BY166">
            <v>1500</v>
          </cell>
          <cell r="CA166">
            <v>5000</v>
          </cell>
          <cell r="CB166">
            <v>3000</v>
          </cell>
          <cell r="CD166">
            <v>15000</v>
          </cell>
          <cell r="CE166">
            <v>2500</v>
          </cell>
          <cell r="CF166">
            <v>2000</v>
          </cell>
          <cell r="CI166">
            <v>3500</v>
          </cell>
          <cell r="CL166">
            <v>3000</v>
          </cell>
          <cell r="CM166">
            <v>5000</v>
          </cell>
          <cell r="CN166">
            <v>3000</v>
          </cell>
          <cell r="CO166">
            <v>7000</v>
          </cell>
          <cell r="CQ166">
            <v>2000</v>
          </cell>
          <cell r="CV166">
            <v>6000</v>
          </cell>
          <cell r="DB166" t="str">
            <v>SIN USO</v>
          </cell>
          <cell r="DC166" t="str">
            <v>C</v>
          </cell>
          <cell r="DE166">
            <v>3937.5</v>
          </cell>
          <cell r="DF166">
            <v>656.25</v>
          </cell>
          <cell r="DG166">
            <v>2625.2690884506733</v>
          </cell>
          <cell r="DH166">
            <v>0</v>
          </cell>
          <cell r="DI166" t="str">
            <v>0</v>
          </cell>
          <cell r="DJ166">
            <v>0</v>
          </cell>
          <cell r="DK166" t="str">
            <v>INACTIVO</v>
          </cell>
          <cell r="DL166">
            <v>3937.5</v>
          </cell>
          <cell r="DM166">
            <v>1312.5</v>
          </cell>
          <cell r="DN166">
            <v>5250</v>
          </cell>
        </row>
        <row r="167">
          <cell r="B167">
            <v>405492</v>
          </cell>
          <cell r="C167" t="str">
            <v>ETIQUETA GENERICA TORTA MIL HOJAS MANJAR ESPECIAL WALMART</v>
          </cell>
          <cell r="AI167">
            <v>1500</v>
          </cell>
          <cell r="AO167">
            <v>500</v>
          </cell>
          <cell r="AP167">
            <v>500</v>
          </cell>
          <cell r="AQ167">
            <v>1000</v>
          </cell>
          <cell r="AR167">
            <v>1000</v>
          </cell>
          <cell r="AS167">
            <v>2500</v>
          </cell>
          <cell r="AT167">
            <v>500</v>
          </cell>
          <cell r="AW167">
            <v>3500</v>
          </cell>
          <cell r="AX167">
            <v>2000</v>
          </cell>
          <cell r="AY167">
            <v>3000</v>
          </cell>
          <cell r="AZ167">
            <v>2500</v>
          </cell>
          <cell r="BA167">
            <v>7000</v>
          </cell>
          <cell r="BB167">
            <v>2000</v>
          </cell>
          <cell r="BC167">
            <v>6000</v>
          </cell>
          <cell r="BD167">
            <v>7500</v>
          </cell>
          <cell r="BE167">
            <v>6000</v>
          </cell>
          <cell r="BF167">
            <v>4000</v>
          </cell>
          <cell r="BG167">
            <v>1500</v>
          </cell>
          <cell r="BO167">
            <v>1000</v>
          </cell>
          <cell r="BQ167">
            <v>4500</v>
          </cell>
          <cell r="BU167">
            <v>500</v>
          </cell>
          <cell r="BV167">
            <v>1000</v>
          </cell>
          <cell r="CD167">
            <v>2000</v>
          </cell>
          <cell r="CO167">
            <v>500</v>
          </cell>
          <cell r="CR167">
            <v>11500</v>
          </cell>
          <cell r="CV167">
            <v>21500</v>
          </cell>
          <cell r="DB167" t="str">
            <v>SIN USO</v>
          </cell>
          <cell r="DC167" t="str">
            <v>C</v>
          </cell>
          <cell r="DE167">
            <v>11166.666666666666</v>
          </cell>
          <cell r="DF167">
            <v>1861.1111111111111</v>
          </cell>
          <cell r="DG167">
            <v>2177.4082573940032</v>
          </cell>
          <cell r="DH167">
            <v>0</v>
          </cell>
          <cell r="DI167" t="str">
            <v>0</v>
          </cell>
          <cell r="DJ167">
            <v>0</v>
          </cell>
          <cell r="DK167" t="str">
            <v>INACTIVO</v>
          </cell>
          <cell r="DL167">
            <v>11166.666666666666</v>
          </cell>
          <cell r="DM167">
            <v>3722.2222222222222</v>
          </cell>
          <cell r="DN167">
            <v>14888.888888888889</v>
          </cell>
        </row>
        <row r="168">
          <cell r="B168">
            <v>404756</v>
          </cell>
          <cell r="C168" t="str">
            <v>ETIQUETA KUCHEN 4 SABORES WALMART</v>
          </cell>
          <cell r="D168">
            <v>1500</v>
          </cell>
          <cell r="E168">
            <v>1500</v>
          </cell>
          <cell r="F168">
            <v>1500</v>
          </cell>
          <cell r="G168">
            <v>4000</v>
          </cell>
          <cell r="I168">
            <v>2500</v>
          </cell>
          <cell r="J168">
            <v>2000</v>
          </cell>
          <cell r="K168">
            <v>1500</v>
          </cell>
          <cell r="L168">
            <v>2000</v>
          </cell>
          <cell r="M168">
            <v>2000</v>
          </cell>
          <cell r="N168">
            <v>1000</v>
          </cell>
          <cell r="O168">
            <v>3500</v>
          </cell>
          <cell r="Q168">
            <v>2000</v>
          </cell>
          <cell r="R168">
            <v>2000</v>
          </cell>
          <cell r="S168">
            <v>2000</v>
          </cell>
          <cell r="V168">
            <v>2000</v>
          </cell>
          <cell r="W168">
            <v>1000</v>
          </cell>
          <cell r="Y168">
            <v>3500</v>
          </cell>
          <cell r="AA168">
            <v>3000</v>
          </cell>
          <cell r="AB168">
            <v>2000</v>
          </cell>
          <cell r="AC168">
            <v>2000</v>
          </cell>
          <cell r="AG168">
            <v>1000</v>
          </cell>
          <cell r="AH168">
            <v>1500</v>
          </cell>
          <cell r="AI168">
            <v>1500</v>
          </cell>
          <cell r="AJ168">
            <v>3000</v>
          </cell>
          <cell r="AL168">
            <v>2000</v>
          </cell>
          <cell r="AN168">
            <v>2000</v>
          </cell>
          <cell r="AO168">
            <v>500</v>
          </cell>
          <cell r="AP168">
            <v>2000</v>
          </cell>
          <cell r="AQ168">
            <v>3000</v>
          </cell>
          <cell r="AR168">
            <v>4000</v>
          </cell>
          <cell r="AT168">
            <v>500</v>
          </cell>
          <cell r="AU168">
            <v>1000</v>
          </cell>
          <cell r="AV168">
            <v>2000</v>
          </cell>
          <cell r="AW168">
            <v>5000</v>
          </cell>
          <cell r="AX168">
            <v>4500</v>
          </cell>
          <cell r="AY168">
            <v>2000</v>
          </cell>
          <cell r="AZ168">
            <v>1000</v>
          </cell>
          <cell r="BA168">
            <v>2500</v>
          </cell>
          <cell r="BC168">
            <v>500</v>
          </cell>
          <cell r="BD168">
            <v>2000</v>
          </cell>
          <cell r="BE168">
            <v>1000</v>
          </cell>
          <cell r="BG168">
            <v>1500</v>
          </cell>
          <cell r="BH168">
            <v>5000</v>
          </cell>
          <cell r="BJ168">
            <v>4000</v>
          </cell>
          <cell r="BK168">
            <v>2500</v>
          </cell>
          <cell r="BL168">
            <v>2500</v>
          </cell>
          <cell r="BM168">
            <v>2500</v>
          </cell>
          <cell r="BN168">
            <v>5000</v>
          </cell>
          <cell r="BQ168">
            <v>4500</v>
          </cell>
          <cell r="BS168">
            <v>4000</v>
          </cell>
          <cell r="BU168">
            <v>4500</v>
          </cell>
          <cell r="BV168">
            <v>1000</v>
          </cell>
          <cell r="BW168">
            <v>3000</v>
          </cell>
          <cell r="BY168">
            <v>1500</v>
          </cell>
          <cell r="BZ168">
            <v>1500</v>
          </cell>
          <cell r="CA168">
            <v>2500</v>
          </cell>
          <cell r="CB168">
            <v>1500</v>
          </cell>
          <cell r="CD168">
            <v>3000</v>
          </cell>
          <cell r="CF168">
            <v>2500</v>
          </cell>
          <cell r="CH168">
            <v>2500</v>
          </cell>
          <cell r="CI168">
            <v>3000</v>
          </cell>
          <cell r="CL168">
            <v>2500</v>
          </cell>
          <cell r="CM168">
            <v>2000</v>
          </cell>
          <cell r="CN168">
            <v>1000</v>
          </cell>
          <cell r="CO168">
            <v>6000</v>
          </cell>
          <cell r="CV168">
            <v>4500</v>
          </cell>
          <cell r="DB168" t="str">
            <v>SIN USO</v>
          </cell>
          <cell r="DC168" t="str">
            <v>C</v>
          </cell>
          <cell r="DE168">
            <v>3000</v>
          </cell>
          <cell r="DF168">
            <v>500</v>
          </cell>
          <cell r="DG168">
            <v>1366.4466279051037</v>
          </cell>
          <cell r="DH168">
            <v>0</v>
          </cell>
          <cell r="DI168" t="str">
            <v>0</v>
          </cell>
          <cell r="DJ168">
            <v>0</v>
          </cell>
          <cell r="DK168" t="str">
            <v>INACTIVO</v>
          </cell>
          <cell r="DL168">
            <v>3000</v>
          </cell>
          <cell r="DM168">
            <v>1000</v>
          </cell>
          <cell r="DN168">
            <v>4000</v>
          </cell>
        </row>
        <row r="169">
          <cell r="B169">
            <v>404757</v>
          </cell>
          <cell r="C169" t="str">
            <v>ETIQUETA KUCHEN FRAMBUESA WALMART</v>
          </cell>
          <cell r="D169">
            <v>2000</v>
          </cell>
          <cell r="E169">
            <v>2000</v>
          </cell>
          <cell r="F169">
            <v>500</v>
          </cell>
          <cell r="G169">
            <v>4500</v>
          </cell>
          <cell r="I169">
            <v>2500</v>
          </cell>
          <cell r="J169">
            <v>2000</v>
          </cell>
          <cell r="K169">
            <v>2000</v>
          </cell>
          <cell r="L169">
            <v>3000</v>
          </cell>
          <cell r="M169">
            <v>2500</v>
          </cell>
          <cell r="N169">
            <v>1500</v>
          </cell>
          <cell r="O169">
            <v>3500</v>
          </cell>
          <cell r="Q169">
            <v>1500</v>
          </cell>
          <cell r="R169">
            <v>1500</v>
          </cell>
          <cell r="S169">
            <v>2500</v>
          </cell>
          <cell r="T169">
            <v>1500</v>
          </cell>
          <cell r="W169">
            <v>6000</v>
          </cell>
          <cell r="X169">
            <v>5000</v>
          </cell>
          <cell r="Y169">
            <v>1000</v>
          </cell>
          <cell r="AA169">
            <v>2000</v>
          </cell>
          <cell r="AB169">
            <v>2000</v>
          </cell>
          <cell r="AC169">
            <v>2000</v>
          </cell>
          <cell r="AD169">
            <v>1500</v>
          </cell>
          <cell r="AF169">
            <v>2000</v>
          </cell>
          <cell r="AH169">
            <v>2000</v>
          </cell>
          <cell r="AI169">
            <v>2000</v>
          </cell>
          <cell r="AJ169">
            <v>1500</v>
          </cell>
          <cell r="AK169">
            <v>2000</v>
          </cell>
          <cell r="AL169">
            <v>2000</v>
          </cell>
          <cell r="AM169">
            <v>1000</v>
          </cell>
          <cell r="AN169">
            <v>2000</v>
          </cell>
          <cell r="AO169">
            <v>1500</v>
          </cell>
          <cell r="AP169">
            <v>2000</v>
          </cell>
          <cell r="AQ169">
            <v>2000</v>
          </cell>
          <cell r="AR169">
            <v>5500</v>
          </cell>
          <cell r="AS169">
            <v>500</v>
          </cell>
          <cell r="AT169">
            <v>1500</v>
          </cell>
          <cell r="AU169">
            <v>7000</v>
          </cell>
          <cell r="AV169">
            <v>3000</v>
          </cell>
          <cell r="AW169">
            <v>6000</v>
          </cell>
          <cell r="AX169">
            <v>4500</v>
          </cell>
          <cell r="AY169">
            <v>4000</v>
          </cell>
          <cell r="BA169">
            <v>2500</v>
          </cell>
          <cell r="BB169">
            <v>2000</v>
          </cell>
          <cell r="BD169">
            <v>5000</v>
          </cell>
          <cell r="BE169">
            <v>2000</v>
          </cell>
          <cell r="BG169">
            <v>2500</v>
          </cell>
          <cell r="BH169">
            <v>5000</v>
          </cell>
          <cell r="BJ169">
            <v>3500</v>
          </cell>
          <cell r="BK169">
            <v>3000</v>
          </cell>
          <cell r="BL169">
            <v>3000</v>
          </cell>
          <cell r="BM169">
            <v>3000</v>
          </cell>
          <cell r="BN169">
            <v>6000</v>
          </cell>
          <cell r="BO169">
            <v>2000</v>
          </cell>
          <cell r="BQ169">
            <v>7000</v>
          </cell>
          <cell r="BS169">
            <v>9500</v>
          </cell>
          <cell r="BU169">
            <v>2500</v>
          </cell>
          <cell r="BV169">
            <v>2000</v>
          </cell>
          <cell r="BW169">
            <v>4000</v>
          </cell>
          <cell r="BY169">
            <v>2000</v>
          </cell>
          <cell r="BZ169">
            <v>2000</v>
          </cell>
          <cell r="CA169">
            <v>4000</v>
          </cell>
          <cell r="CB169">
            <v>2000</v>
          </cell>
          <cell r="CD169">
            <v>13500</v>
          </cell>
          <cell r="CF169">
            <v>2500</v>
          </cell>
          <cell r="CH169">
            <v>3500</v>
          </cell>
          <cell r="CI169">
            <v>6500</v>
          </cell>
          <cell r="CL169">
            <v>3000</v>
          </cell>
          <cell r="CM169">
            <v>3000</v>
          </cell>
          <cell r="CN169">
            <v>3000</v>
          </cell>
          <cell r="CO169">
            <v>4500</v>
          </cell>
          <cell r="CP169">
            <v>1000</v>
          </cell>
          <cell r="CR169">
            <v>0</v>
          </cell>
          <cell r="CV169">
            <v>2000</v>
          </cell>
          <cell r="DB169" t="str">
            <v>SIN USO</v>
          </cell>
          <cell r="DC169" t="str">
            <v>C</v>
          </cell>
          <cell r="DE169">
            <v>3222.2222222222222</v>
          </cell>
          <cell r="DF169">
            <v>537.03703703703707</v>
          </cell>
          <cell r="DG169">
            <v>2489.73502361293</v>
          </cell>
          <cell r="DH169">
            <v>0</v>
          </cell>
          <cell r="DI169" t="str">
            <v>0</v>
          </cell>
          <cell r="DJ169">
            <v>0</v>
          </cell>
          <cell r="DK169" t="str">
            <v>INACTIVO</v>
          </cell>
          <cell r="DL169">
            <v>3222.2222222222226</v>
          </cell>
          <cell r="DM169">
            <v>1074.0740740740741</v>
          </cell>
          <cell r="DN169">
            <v>4296.2962962962965</v>
          </cell>
        </row>
        <row r="170">
          <cell r="B170">
            <v>404719</v>
          </cell>
          <cell r="C170" t="str">
            <v>ETIQUETA BLANCA 100x120 SISA</v>
          </cell>
          <cell r="G170">
            <v>1000</v>
          </cell>
          <cell r="AQ170">
            <v>5000</v>
          </cell>
          <cell r="BC170">
            <v>14000</v>
          </cell>
          <cell r="BT170">
            <v>3000</v>
          </cell>
          <cell r="DB170" t="str">
            <v>SIN USO</v>
          </cell>
          <cell r="DC170" t="str">
            <v>C</v>
          </cell>
          <cell r="DE170">
            <v>0</v>
          </cell>
          <cell r="DF170">
            <v>0</v>
          </cell>
          <cell r="DG170">
            <v>5859.465277082315</v>
          </cell>
          <cell r="DH170">
            <v>0</v>
          </cell>
          <cell r="DI170" t="str">
            <v>0</v>
          </cell>
          <cell r="DJ170">
            <v>0</v>
          </cell>
          <cell r="DK170" t="str">
            <v>INACTIVO</v>
          </cell>
          <cell r="DL170">
            <v>0</v>
          </cell>
          <cell r="DM170">
            <v>0</v>
          </cell>
          <cell r="DN170">
            <v>0</v>
          </cell>
        </row>
        <row r="171">
          <cell r="B171">
            <v>404731</v>
          </cell>
          <cell r="C171" t="str">
            <v>ETIQUETA  4,2X6cm IMPR.PASTEL 5 COLOR + BARNIZ UV</v>
          </cell>
          <cell r="D171">
            <v>12500</v>
          </cell>
          <cell r="E171">
            <v>10000</v>
          </cell>
          <cell r="F171">
            <v>12500</v>
          </cell>
          <cell r="G171">
            <v>20000</v>
          </cell>
          <cell r="I171">
            <v>2000</v>
          </cell>
          <cell r="J171">
            <v>10000</v>
          </cell>
          <cell r="K171">
            <v>12500</v>
          </cell>
          <cell r="L171">
            <v>10000</v>
          </cell>
          <cell r="M171">
            <v>10000</v>
          </cell>
          <cell r="N171">
            <v>7500</v>
          </cell>
          <cell r="O171">
            <v>11000</v>
          </cell>
          <cell r="R171">
            <v>7500</v>
          </cell>
          <cell r="S171">
            <v>10000</v>
          </cell>
          <cell r="T171">
            <v>7500</v>
          </cell>
          <cell r="V171">
            <v>10000</v>
          </cell>
          <cell r="W171">
            <v>10000</v>
          </cell>
          <cell r="X171">
            <v>5000</v>
          </cell>
          <cell r="Y171">
            <v>7500</v>
          </cell>
          <cell r="AB171">
            <v>2500</v>
          </cell>
          <cell r="AC171">
            <v>2500</v>
          </cell>
          <cell r="AD171">
            <v>7500</v>
          </cell>
          <cell r="AE171">
            <v>3000</v>
          </cell>
          <cell r="AF171">
            <v>10000</v>
          </cell>
          <cell r="AH171">
            <v>15000</v>
          </cell>
          <cell r="AI171">
            <v>10000</v>
          </cell>
          <cell r="AJ171">
            <v>7500</v>
          </cell>
          <cell r="AK171">
            <v>7500</v>
          </cell>
          <cell r="AL171">
            <v>4500</v>
          </cell>
          <cell r="AM171">
            <v>4000</v>
          </cell>
          <cell r="AR171">
            <v>10000</v>
          </cell>
          <cell r="AT171">
            <v>5000</v>
          </cell>
          <cell r="AU171">
            <v>5000</v>
          </cell>
          <cell r="AV171">
            <v>5000</v>
          </cell>
          <cell r="AW171">
            <v>20000</v>
          </cell>
          <cell r="AX171">
            <v>5000</v>
          </cell>
          <cell r="AY171">
            <v>10000</v>
          </cell>
          <cell r="BA171">
            <v>5000</v>
          </cell>
          <cell r="BB171">
            <v>15000</v>
          </cell>
          <cell r="BC171">
            <v>5000</v>
          </cell>
          <cell r="BD171">
            <v>5000</v>
          </cell>
          <cell r="BE171">
            <v>5000</v>
          </cell>
          <cell r="BG171">
            <v>7500</v>
          </cell>
          <cell r="BH171">
            <v>12500</v>
          </cell>
          <cell r="DB171" t="str">
            <v>SIN USO</v>
          </cell>
          <cell r="DC171" t="str">
            <v>C</v>
          </cell>
          <cell r="DE171">
            <v>0</v>
          </cell>
          <cell r="DF171">
            <v>0</v>
          </cell>
          <cell r="DG171">
            <v>4387.4205262840796</v>
          </cell>
          <cell r="DH171">
            <v>0</v>
          </cell>
          <cell r="DI171" t="str">
            <v>0</v>
          </cell>
          <cell r="DJ171">
            <v>0</v>
          </cell>
          <cell r="DK171" t="str">
            <v>INACTIVO</v>
          </cell>
          <cell r="DL171">
            <v>0</v>
          </cell>
          <cell r="DM171">
            <v>0</v>
          </cell>
          <cell r="DN171">
            <v>0</v>
          </cell>
        </row>
        <row r="172">
          <cell r="B172">
            <v>405572</v>
          </cell>
          <cell r="C172" t="str">
            <v>ETIQUETA GENÉRICA TORTA SELVA NEGRA MEDIANA WALMART</v>
          </cell>
          <cell r="BG172">
            <v>8500</v>
          </cell>
          <cell r="BH172">
            <v>4500</v>
          </cell>
          <cell r="BJ172">
            <v>3000</v>
          </cell>
          <cell r="BN172">
            <v>3500</v>
          </cell>
          <cell r="BQ172">
            <v>5000</v>
          </cell>
          <cell r="BS172">
            <v>8000</v>
          </cell>
          <cell r="BU172">
            <v>1000</v>
          </cell>
          <cell r="BV172">
            <v>1500</v>
          </cell>
          <cell r="BW172">
            <v>8500</v>
          </cell>
          <cell r="BX172">
            <v>1000</v>
          </cell>
          <cell r="CA172">
            <v>5500</v>
          </cell>
          <cell r="CB172">
            <v>3000</v>
          </cell>
          <cell r="CD172">
            <v>7000</v>
          </cell>
          <cell r="CI172">
            <v>4000</v>
          </cell>
          <cell r="CM172">
            <v>2000</v>
          </cell>
          <cell r="CN172">
            <v>4000</v>
          </cell>
          <cell r="CO172">
            <v>8000</v>
          </cell>
          <cell r="CQ172">
            <v>500</v>
          </cell>
          <cell r="CV172">
            <v>4000</v>
          </cell>
          <cell r="DB172" t="str">
            <v>SIN USO</v>
          </cell>
          <cell r="DC172" t="str">
            <v>C</v>
          </cell>
          <cell r="DE172">
            <v>3750</v>
          </cell>
          <cell r="DF172">
            <v>625</v>
          </cell>
          <cell r="DG172">
            <v>2747.3763708449055</v>
          </cell>
          <cell r="DH172">
            <v>0</v>
          </cell>
          <cell r="DI172" t="str">
            <v>0</v>
          </cell>
          <cell r="DJ172">
            <v>0</v>
          </cell>
          <cell r="DK172" t="str">
            <v>INACTIVO</v>
          </cell>
          <cell r="DL172">
            <v>3750</v>
          </cell>
          <cell r="DM172">
            <v>1250</v>
          </cell>
          <cell r="DN172">
            <v>5000</v>
          </cell>
        </row>
        <row r="173">
          <cell r="B173">
            <v>405571</v>
          </cell>
          <cell r="C173" t="str">
            <v>ETIQUETA GENÉRICA TORTA CREMA PIÑA MEDIANA WALMART</v>
          </cell>
          <cell r="BG173">
            <v>8000</v>
          </cell>
          <cell r="BH173">
            <v>5000</v>
          </cell>
          <cell r="BJ173">
            <v>4000</v>
          </cell>
          <cell r="BK173">
            <v>2000</v>
          </cell>
          <cell r="BL173">
            <v>5000</v>
          </cell>
          <cell r="BM173">
            <v>3500</v>
          </cell>
          <cell r="BN173">
            <v>4000</v>
          </cell>
          <cell r="BP173">
            <v>3000</v>
          </cell>
          <cell r="BQ173">
            <v>2500</v>
          </cell>
          <cell r="BS173">
            <v>3500</v>
          </cell>
          <cell r="BT173">
            <v>2000</v>
          </cell>
          <cell r="BU173">
            <v>1500</v>
          </cell>
          <cell r="BV173">
            <v>1500</v>
          </cell>
          <cell r="BW173">
            <v>11000</v>
          </cell>
          <cell r="BX173">
            <v>500</v>
          </cell>
          <cell r="CA173">
            <v>5000</v>
          </cell>
          <cell r="CB173">
            <v>1500</v>
          </cell>
          <cell r="CD173">
            <v>34500</v>
          </cell>
          <cell r="CF173">
            <v>2000</v>
          </cell>
          <cell r="CH173">
            <v>3500</v>
          </cell>
          <cell r="CI173">
            <v>4000</v>
          </cell>
          <cell r="CO173">
            <v>6000</v>
          </cell>
          <cell r="CQ173">
            <v>3500</v>
          </cell>
          <cell r="CV173">
            <v>500</v>
          </cell>
          <cell r="DB173" t="str">
            <v>SIN USO</v>
          </cell>
          <cell r="DC173" t="str">
            <v>C</v>
          </cell>
          <cell r="DE173">
            <v>3250</v>
          </cell>
          <cell r="DF173">
            <v>541.66666666666663</v>
          </cell>
          <cell r="DG173">
            <v>7682.8473752151076</v>
          </cell>
          <cell r="DH173">
            <v>0</v>
          </cell>
          <cell r="DI173" t="str">
            <v>0</v>
          </cell>
          <cell r="DJ173">
            <v>0</v>
          </cell>
          <cell r="DK173" t="str">
            <v>INACTIVO</v>
          </cell>
          <cell r="DL173">
            <v>3250</v>
          </cell>
          <cell r="DM173">
            <v>1083.3333333333333</v>
          </cell>
          <cell r="DN173">
            <v>4333.333333333333</v>
          </cell>
        </row>
        <row r="174">
          <cell r="B174">
            <v>404744</v>
          </cell>
          <cell r="C174" t="str">
            <v>ETIQUETA CIRCULAR 9cm IMPR. TORTA TRS LECHES</v>
          </cell>
          <cell r="E174">
            <v>2000</v>
          </cell>
          <cell r="DB174" t="str">
            <v>SIN USO</v>
          </cell>
          <cell r="DC174" t="str">
            <v/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 t="str">
            <v>0</v>
          </cell>
          <cell r="DJ174">
            <v>0</v>
          </cell>
          <cell r="DK174" t="str">
            <v>INACTIVO</v>
          </cell>
          <cell r="DL174">
            <v>0</v>
          </cell>
          <cell r="DM174">
            <v>0</v>
          </cell>
          <cell r="DN174">
            <v>0</v>
          </cell>
        </row>
        <row r="175">
          <cell r="B175">
            <v>404722</v>
          </cell>
          <cell r="C175" t="str">
            <v>ETIQUETA BLANCA 30X40</v>
          </cell>
          <cell r="D175">
            <v>130000</v>
          </cell>
          <cell r="E175">
            <v>70000</v>
          </cell>
          <cell r="F175">
            <v>90000</v>
          </cell>
          <cell r="G175">
            <v>150000</v>
          </cell>
          <cell r="H175">
            <v>20000</v>
          </cell>
          <cell r="I175">
            <v>90000</v>
          </cell>
          <cell r="J175">
            <v>80000</v>
          </cell>
          <cell r="K175">
            <v>110000</v>
          </cell>
          <cell r="L175">
            <v>80000</v>
          </cell>
          <cell r="M175">
            <v>70000</v>
          </cell>
          <cell r="N175">
            <v>60000</v>
          </cell>
          <cell r="O175">
            <v>60000</v>
          </cell>
          <cell r="Q175">
            <v>90000</v>
          </cell>
          <cell r="R175">
            <v>32000</v>
          </cell>
          <cell r="S175">
            <v>50000</v>
          </cell>
          <cell r="T175">
            <v>73000</v>
          </cell>
          <cell r="U175">
            <v>20000</v>
          </cell>
          <cell r="V175">
            <v>60000</v>
          </cell>
          <cell r="W175">
            <v>70000</v>
          </cell>
          <cell r="X175">
            <v>80000</v>
          </cell>
          <cell r="Y175">
            <v>150000</v>
          </cell>
          <cell r="Z175">
            <v>40000</v>
          </cell>
          <cell r="AA175">
            <v>70000</v>
          </cell>
          <cell r="AB175">
            <v>40000</v>
          </cell>
          <cell r="AC175">
            <v>40000</v>
          </cell>
          <cell r="AF175">
            <v>10000</v>
          </cell>
          <cell r="AG175">
            <v>40000</v>
          </cell>
          <cell r="AH175">
            <v>30000</v>
          </cell>
          <cell r="AI175">
            <v>50000</v>
          </cell>
          <cell r="AJ175">
            <v>60000</v>
          </cell>
          <cell r="AK175">
            <v>40000</v>
          </cell>
          <cell r="AL175">
            <v>70000</v>
          </cell>
          <cell r="AM175">
            <v>40000</v>
          </cell>
          <cell r="AN175">
            <v>80000</v>
          </cell>
          <cell r="AO175">
            <v>60000</v>
          </cell>
          <cell r="AP175">
            <v>110000</v>
          </cell>
          <cell r="AQ175">
            <v>40000</v>
          </cell>
          <cell r="AR175">
            <v>120000</v>
          </cell>
          <cell r="AS175">
            <v>20000</v>
          </cell>
          <cell r="AT175">
            <v>70000</v>
          </cell>
          <cell r="AU175">
            <v>160000</v>
          </cell>
          <cell r="AV175">
            <v>70000</v>
          </cell>
          <cell r="AW175">
            <v>100000</v>
          </cell>
          <cell r="AX175">
            <v>80000</v>
          </cell>
          <cell r="AY175">
            <v>110000</v>
          </cell>
          <cell r="BA175">
            <v>60000</v>
          </cell>
          <cell r="BB175">
            <v>90000</v>
          </cell>
          <cell r="BC175">
            <v>80000</v>
          </cell>
          <cell r="BD175">
            <v>100000</v>
          </cell>
          <cell r="BE175">
            <v>70000</v>
          </cell>
          <cell r="BG175">
            <v>60000</v>
          </cell>
          <cell r="BH175">
            <v>130000</v>
          </cell>
          <cell r="BI175">
            <v>60000</v>
          </cell>
          <cell r="BJ175">
            <v>50000</v>
          </cell>
          <cell r="BK175">
            <v>70000</v>
          </cell>
          <cell r="BL175">
            <v>70000</v>
          </cell>
          <cell r="BM175">
            <v>60000</v>
          </cell>
          <cell r="BN175">
            <v>150000</v>
          </cell>
          <cell r="BP175">
            <v>10000</v>
          </cell>
          <cell r="BQ175">
            <v>90000</v>
          </cell>
          <cell r="BS175">
            <v>130000</v>
          </cell>
          <cell r="BT175">
            <v>100000</v>
          </cell>
          <cell r="BU175">
            <v>20000</v>
          </cell>
          <cell r="DB175" t="str">
            <v>SIN USO</v>
          </cell>
          <cell r="DC175" t="str">
            <v>C</v>
          </cell>
          <cell r="DE175">
            <v>0</v>
          </cell>
          <cell r="DF175">
            <v>0</v>
          </cell>
          <cell r="DG175">
            <v>36663.864714701354</v>
          </cell>
          <cell r="DH175">
            <v>0</v>
          </cell>
          <cell r="DI175" t="str">
            <v>0</v>
          </cell>
          <cell r="DJ175">
            <v>0</v>
          </cell>
          <cell r="DK175" t="str">
            <v>INACTIVO</v>
          </cell>
          <cell r="DL175">
            <v>0</v>
          </cell>
          <cell r="DM175">
            <v>0</v>
          </cell>
          <cell r="DN175">
            <v>0</v>
          </cell>
        </row>
        <row r="176">
          <cell r="B176">
            <v>405172</v>
          </cell>
          <cell r="C176" t="str">
            <v>ETIQUETA GENERICA TORTA CHOCOLATE 8 PP</v>
          </cell>
          <cell r="D176">
            <v>2500</v>
          </cell>
          <cell r="F176">
            <v>3000</v>
          </cell>
          <cell r="G176">
            <v>6500</v>
          </cell>
          <cell r="H176">
            <v>500</v>
          </cell>
          <cell r="I176">
            <v>6000</v>
          </cell>
          <cell r="J176">
            <v>5500</v>
          </cell>
          <cell r="K176">
            <v>1500</v>
          </cell>
          <cell r="M176">
            <v>3000</v>
          </cell>
          <cell r="N176">
            <v>4000</v>
          </cell>
          <cell r="O176">
            <v>3000</v>
          </cell>
          <cell r="P176">
            <v>3000</v>
          </cell>
          <cell r="Q176">
            <v>3000</v>
          </cell>
          <cell r="R176">
            <v>4000</v>
          </cell>
          <cell r="S176">
            <v>3000</v>
          </cell>
          <cell r="T176">
            <v>5000</v>
          </cell>
          <cell r="W176">
            <v>2500</v>
          </cell>
          <cell r="X176">
            <v>6000</v>
          </cell>
          <cell r="Y176">
            <v>3000</v>
          </cell>
          <cell r="AA176">
            <v>4000</v>
          </cell>
          <cell r="AD176">
            <v>3500</v>
          </cell>
          <cell r="AF176">
            <v>5500</v>
          </cell>
          <cell r="AK176">
            <v>5000</v>
          </cell>
          <cell r="AM176">
            <v>1000</v>
          </cell>
          <cell r="AN176">
            <v>5000</v>
          </cell>
          <cell r="AQ176">
            <v>4500</v>
          </cell>
          <cell r="AR176">
            <v>5000</v>
          </cell>
          <cell r="AS176">
            <v>4000</v>
          </cell>
          <cell r="AU176">
            <v>4000</v>
          </cell>
          <cell r="AW176">
            <v>5000</v>
          </cell>
          <cell r="AX176">
            <v>4500</v>
          </cell>
          <cell r="AY176">
            <v>5000</v>
          </cell>
          <cell r="BA176">
            <v>2500</v>
          </cell>
          <cell r="BB176">
            <v>5000</v>
          </cell>
          <cell r="BD176">
            <v>5000</v>
          </cell>
          <cell r="BE176">
            <v>4500</v>
          </cell>
          <cell r="BG176">
            <v>2500</v>
          </cell>
          <cell r="BH176">
            <v>2500</v>
          </cell>
          <cell r="BJ176">
            <v>2500</v>
          </cell>
          <cell r="BK176">
            <v>2500</v>
          </cell>
          <cell r="BL176">
            <v>5500</v>
          </cell>
          <cell r="BM176">
            <v>1000</v>
          </cell>
          <cell r="BN176">
            <v>5000</v>
          </cell>
          <cell r="BQ176">
            <v>9500</v>
          </cell>
          <cell r="BU176">
            <v>2500</v>
          </cell>
          <cell r="BW176">
            <v>1500</v>
          </cell>
          <cell r="BY176">
            <v>2500</v>
          </cell>
          <cell r="BZ176">
            <v>2500</v>
          </cell>
          <cell r="CA176">
            <v>5000</v>
          </cell>
          <cell r="CD176">
            <v>14500</v>
          </cell>
          <cell r="CI176">
            <v>5000</v>
          </cell>
          <cell r="CN176">
            <v>4000</v>
          </cell>
          <cell r="CS176">
            <v>1000</v>
          </cell>
          <cell r="CV176">
            <v>22500</v>
          </cell>
          <cell r="DB176" t="str">
            <v>SIN USO</v>
          </cell>
          <cell r="DC176" t="str">
            <v>C</v>
          </cell>
          <cell r="DE176">
            <v>8125</v>
          </cell>
          <cell r="DF176">
            <v>1354.1666666666667</v>
          </cell>
          <cell r="DG176">
            <v>2633.6211935532806</v>
          </cell>
          <cell r="DH176">
            <v>0</v>
          </cell>
          <cell r="DI176" t="str">
            <v>0</v>
          </cell>
          <cell r="DJ176">
            <v>0</v>
          </cell>
          <cell r="DK176" t="str">
            <v>INACTIVO</v>
          </cell>
          <cell r="DL176">
            <v>8125</v>
          </cell>
          <cell r="DM176">
            <v>2708.3333333333335</v>
          </cell>
          <cell r="DN176">
            <v>10833.333333333334</v>
          </cell>
        </row>
        <row r="177">
          <cell r="B177">
            <v>405182</v>
          </cell>
          <cell r="C177" t="str">
            <v>ETIQUETA GENERICA TORTA CREMA PIÑA</v>
          </cell>
          <cell r="D177">
            <v>3000</v>
          </cell>
          <cell r="G177">
            <v>5000</v>
          </cell>
          <cell r="I177">
            <v>1000</v>
          </cell>
          <cell r="J177">
            <v>2500</v>
          </cell>
          <cell r="K177">
            <v>5000</v>
          </cell>
          <cell r="L177">
            <v>3000</v>
          </cell>
          <cell r="O177">
            <v>2500</v>
          </cell>
          <cell r="S177">
            <v>500</v>
          </cell>
          <cell r="T177">
            <v>3000</v>
          </cell>
          <cell r="V177">
            <v>3000</v>
          </cell>
          <cell r="W177">
            <v>3000</v>
          </cell>
          <cell r="X177">
            <v>3000</v>
          </cell>
          <cell r="Z177">
            <v>500</v>
          </cell>
          <cell r="AA177">
            <v>5000</v>
          </cell>
          <cell r="AB177">
            <v>5000</v>
          </cell>
          <cell r="AC177">
            <v>5500</v>
          </cell>
          <cell r="AF177">
            <v>4000</v>
          </cell>
          <cell r="AG177">
            <v>2000</v>
          </cell>
          <cell r="AJ177">
            <v>5500</v>
          </cell>
          <cell r="AL177">
            <v>500</v>
          </cell>
          <cell r="AS177">
            <v>3000</v>
          </cell>
          <cell r="AV177">
            <v>5000</v>
          </cell>
          <cell r="AW177">
            <v>6000</v>
          </cell>
          <cell r="AX177">
            <v>2500</v>
          </cell>
          <cell r="AY177">
            <v>3000</v>
          </cell>
          <cell r="BA177">
            <v>2500</v>
          </cell>
          <cell r="BB177">
            <v>3500</v>
          </cell>
          <cell r="BD177">
            <v>4500</v>
          </cell>
          <cell r="BE177">
            <v>2500</v>
          </cell>
          <cell r="BF177">
            <v>2000</v>
          </cell>
          <cell r="BH177">
            <v>5500</v>
          </cell>
          <cell r="BJ177">
            <v>2500</v>
          </cell>
          <cell r="BM177">
            <v>5000</v>
          </cell>
          <cell r="BQ177">
            <v>2500</v>
          </cell>
          <cell r="BU177">
            <v>4500</v>
          </cell>
          <cell r="BW177">
            <v>3000</v>
          </cell>
          <cell r="BY177">
            <v>3000</v>
          </cell>
          <cell r="BZ177">
            <v>2500</v>
          </cell>
          <cell r="CA177">
            <v>4500</v>
          </cell>
          <cell r="CB177">
            <v>2500</v>
          </cell>
          <cell r="CG177">
            <v>5000</v>
          </cell>
          <cell r="CI177">
            <v>4500</v>
          </cell>
          <cell r="CJ177">
            <v>2500</v>
          </cell>
          <cell r="CV177">
            <v>36000</v>
          </cell>
          <cell r="DB177" t="str">
            <v>SIN USO</v>
          </cell>
          <cell r="DC177" t="str">
            <v>C</v>
          </cell>
          <cell r="DE177">
            <v>12000</v>
          </cell>
          <cell r="DF177">
            <v>2000</v>
          </cell>
          <cell r="DG177">
            <v>1372.6099121798925</v>
          </cell>
          <cell r="DH177">
            <v>0</v>
          </cell>
          <cell r="DI177" t="str">
            <v>0</v>
          </cell>
          <cell r="DJ177">
            <v>0</v>
          </cell>
          <cell r="DK177" t="str">
            <v>INACTIVO</v>
          </cell>
          <cell r="DL177">
            <v>12000</v>
          </cell>
          <cell r="DM177">
            <v>4000</v>
          </cell>
          <cell r="DN177">
            <v>16000</v>
          </cell>
        </row>
        <row r="178">
          <cell r="B178">
            <v>405186</v>
          </cell>
          <cell r="C178" t="str">
            <v>ETIQUETA GENERICA TORTA HOLANDESA</v>
          </cell>
          <cell r="D178">
            <v>3000</v>
          </cell>
          <cell r="E178">
            <v>2500</v>
          </cell>
          <cell r="F178">
            <v>2000</v>
          </cell>
          <cell r="G178">
            <v>4500</v>
          </cell>
          <cell r="H178">
            <v>1500</v>
          </cell>
          <cell r="I178">
            <v>2000</v>
          </cell>
          <cell r="J178">
            <v>2500</v>
          </cell>
          <cell r="K178">
            <v>2500</v>
          </cell>
          <cell r="L178">
            <v>3000</v>
          </cell>
          <cell r="M178">
            <v>3000</v>
          </cell>
          <cell r="N178">
            <v>3000</v>
          </cell>
          <cell r="O178">
            <v>5000</v>
          </cell>
          <cell r="Q178">
            <v>3000</v>
          </cell>
          <cell r="R178">
            <v>3000</v>
          </cell>
          <cell r="S178">
            <v>3000</v>
          </cell>
          <cell r="T178">
            <v>4500</v>
          </cell>
          <cell r="V178">
            <v>5000</v>
          </cell>
          <cell r="W178">
            <v>7000</v>
          </cell>
          <cell r="X178">
            <v>7000</v>
          </cell>
          <cell r="Y178">
            <v>11500</v>
          </cell>
          <cell r="AA178">
            <v>4000</v>
          </cell>
          <cell r="AG178">
            <v>2000</v>
          </cell>
          <cell r="AH178">
            <v>3500</v>
          </cell>
          <cell r="AI178">
            <v>5000</v>
          </cell>
          <cell r="AJ178">
            <v>4000</v>
          </cell>
          <cell r="AK178">
            <v>3500</v>
          </cell>
          <cell r="AL178">
            <v>5000</v>
          </cell>
          <cell r="AM178">
            <v>1500</v>
          </cell>
          <cell r="AQ178">
            <v>1500</v>
          </cell>
          <cell r="AR178">
            <v>1000</v>
          </cell>
          <cell r="AS178">
            <v>1500</v>
          </cell>
          <cell r="AT178">
            <v>2500</v>
          </cell>
          <cell r="AU178">
            <v>3500</v>
          </cell>
          <cell r="AV178">
            <v>8500</v>
          </cell>
          <cell r="AW178">
            <v>7000</v>
          </cell>
          <cell r="AX178">
            <v>1000</v>
          </cell>
          <cell r="BA178">
            <v>4500</v>
          </cell>
          <cell r="BB178">
            <v>5000</v>
          </cell>
          <cell r="BC178">
            <v>3000</v>
          </cell>
          <cell r="BD178">
            <v>2000</v>
          </cell>
          <cell r="BE178">
            <v>3000</v>
          </cell>
          <cell r="BG178">
            <v>3500</v>
          </cell>
          <cell r="BH178">
            <v>6000</v>
          </cell>
          <cell r="BJ178">
            <v>3500</v>
          </cell>
          <cell r="BK178">
            <v>3000</v>
          </cell>
          <cell r="BL178">
            <v>3500</v>
          </cell>
          <cell r="BM178">
            <v>3000</v>
          </cell>
          <cell r="BN178">
            <v>6000</v>
          </cell>
          <cell r="BQ178">
            <v>5000</v>
          </cell>
          <cell r="BR178">
            <v>1000</v>
          </cell>
          <cell r="BS178">
            <v>7000</v>
          </cell>
          <cell r="BU178">
            <v>9500</v>
          </cell>
          <cell r="BV178">
            <v>2500</v>
          </cell>
          <cell r="BW178">
            <v>6500</v>
          </cell>
          <cell r="BY178">
            <v>4500</v>
          </cell>
          <cell r="BZ178">
            <v>4000</v>
          </cell>
          <cell r="CA178">
            <v>5000</v>
          </cell>
          <cell r="CB178">
            <v>2500</v>
          </cell>
          <cell r="CD178">
            <v>1500</v>
          </cell>
          <cell r="CF178">
            <v>2500</v>
          </cell>
          <cell r="CH178">
            <v>2500</v>
          </cell>
          <cell r="CI178">
            <v>5015</v>
          </cell>
          <cell r="CK178">
            <v>500</v>
          </cell>
          <cell r="CL178">
            <v>2000</v>
          </cell>
          <cell r="CM178">
            <v>2500</v>
          </cell>
          <cell r="CN178">
            <v>2000</v>
          </cell>
          <cell r="CO178">
            <v>5000</v>
          </cell>
          <cell r="CP178">
            <v>2000</v>
          </cell>
          <cell r="CQ178">
            <v>2000</v>
          </cell>
          <cell r="CR178">
            <v>1000</v>
          </cell>
          <cell r="CV178">
            <v>2000</v>
          </cell>
          <cell r="DB178" t="str">
            <v>SIN USO</v>
          </cell>
          <cell r="DC178" t="str">
            <v>C</v>
          </cell>
          <cell r="DE178">
            <v>2417.9166666666665</v>
          </cell>
          <cell r="DF178">
            <v>402.98611111111109</v>
          </cell>
          <cell r="DG178">
            <v>2076.5917475318779</v>
          </cell>
          <cell r="DH178">
            <v>0</v>
          </cell>
          <cell r="DI178" t="str">
            <v>0</v>
          </cell>
          <cell r="DJ178">
            <v>0</v>
          </cell>
          <cell r="DK178" t="str">
            <v>INACTIVO</v>
          </cell>
          <cell r="DL178">
            <v>2417.9166666666665</v>
          </cell>
          <cell r="DM178">
            <v>805.97222222222217</v>
          </cell>
          <cell r="DN178">
            <v>3223.8888888888887</v>
          </cell>
        </row>
        <row r="179">
          <cell r="B179">
            <v>405671</v>
          </cell>
          <cell r="C179" t="str">
            <v>ETIQUETA TORTA SAN JORGE LÚCUMA SMU</v>
          </cell>
          <cell r="CI179">
            <v>1000</v>
          </cell>
          <cell r="CJ179">
            <v>4500</v>
          </cell>
          <cell r="CK179">
            <v>1000</v>
          </cell>
          <cell r="CL179">
            <v>4000</v>
          </cell>
          <cell r="CM179">
            <v>500</v>
          </cell>
          <cell r="CO179">
            <v>4000</v>
          </cell>
          <cell r="CP179">
            <v>500</v>
          </cell>
          <cell r="CQ179">
            <v>500</v>
          </cell>
          <cell r="DB179" t="str">
            <v>SIN USO</v>
          </cell>
          <cell r="DC179" t="str">
            <v/>
          </cell>
          <cell r="DE179">
            <v>2000</v>
          </cell>
          <cell r="DF179">
            <v>333.33333333333331</v>
          </cell>
          <cell r="DG179">
            <v>0</v>
          </cell>
          <cell r="DH179">
            <v>0</v>
          </cell>
          <cell r="DI179" t="str">
            <v>0</v>
          </cell>
          <cell r="DJ179">
            <v>0</v>
          </cell>
          <cell r="DK179" t="str">
            <v>INACTIVO</v>
          </cell>
          <cell r="DL179">
            <v>2000</v>
          </cell>
          <cell r="DM179">
            <v>666.66666666666663</v>
          </cell>
          <cell r="DN179">
            <v>2666.6666666666665</v>
          </cell>
        </row>
        <row r="180">
          <cell r="B180">
            <v>405189</v>
          </cell>
          <cell r="C180" t="str">
            <v>ETIQUETA GENERICA TORTA SELVA NEGRA</v>
          </cell>
          <cell r="E180">
            <v>3000</v>
          </cell>
          <cell r="G180">
            <v>9000</v>
          </cell>
          <cell r="H180">
            <v>2000</v>
          </cell>
          <cell r="I180">
            <v>3000</v>
          </cell>
          <cell r="J180">
            <v>3500</v>
          </cell>
          <cell r="K180">
            <v>6000</v>
          </cell>
          <cell r="L180">
            <v>3000</v>
          </cell>
          <cell r="M180">
            <v>3000</v>
          </cell>
          <cell r="N180">
            <v>3000</v>
          </cell>
          <cell r="O180">
            <v>4000</v>
          </cell>
          <cell r="Q180">
            <v>6000</v>
          </cell>
          <cell r="R180">
            <v>3000</v>
          </cell>
          <cell r="S180">
            <v>3000</v>
          </cell>
          <cell r="T180">
            <v>3500</v>
          </cell>
          <cell r="V180">
            <v>2000</v>
          </cell>
          <cell r="W180">
            <v>6500</v>
          </cell>
          <cell r="Y180">
            <v>11000</v>
          </cell>
          <cell r="AA180">
            <v>7500</v>
          </cell>
          <cell r="AC180">
            <v>3000</v>
          </cell>
          <cell r="AF180">
            <v>8500</v>
          </cell>
          <cell r="AG180">
            <v>7000</v>
          </cell>
          <cell r="AI180">
            <v>1000</v>
          </cell>
          <cell r="AJ180">
            <v>2000</v>
          </cell>
          <cell r="AK180">
            <v>1500</v>
          </cell>
          <cell r="AS180">
            <v>12000</v>
          </cell>
          <cell r="AT180">
            <v>4500</v>
          </cell>
          <cell r="AU180">
            <v>11500</v>
          </cell>
          <cell r="AV180">
            <v>6000</v>
          </cell>
          <cell r="AW180">
            <v>3000</v>
          </cell>
          <cell r="AX180">
            <v>2500</v>
          </cell>
          <cell r="AY180">
            <v>2000</v>
          </cell>
          <cell r="AZ180">
            <v>5000</v>
          </cell>
          <cell r="BA180">
            <v>8500</v>
          </cell>
          <cell r="BB180">
            <v>5000</v>
          </cell>
          <cell r="BC180">
            <v>2500</v>
          </cell>
          <cell r="BD180">
            <v>5000</v>
          </cell>
          <cell r="BE180">
            <v>2500</v>
          </cell>
          <cell r="BF180">
            <v>2000</v>
          </cell>
          <cell r="BG180">
            <v>2000</v>
          </cell>
          <cell r="BH180">
            <v>14000</v>
          </cell>
          <cell r="BL180">
            <v>2001</v>
          </cell>
          <cell r="BO180">
            <v>1000</v>
          </cell>
          <cell r="BQ180">
            <v>5000</v>
          </cell>
          <cell r="BS180">
            <v>15500</v>
          </cell>
          <cell r="BU180">
            <v>2000</v>
          </cell>
          <cell r="BV180">
            <v>500</v>
          </cell>
          <cell r="BW180">
            <v>3500</v>
          </cell>
          <cell r="BX180">
            <v>500</v>
          </cell>
          <cell r="CA180">
            <v>3500</v>
          </cell>
          <cell r="CB180">
            <v>4500</v>
          </cell>
          <cell r="CC180">
            <v>2000</v>
          </cell>
          <cell r="CF180">
            <v>7000</v>
          </cell>
          <cell r="CH180">
            <v>5500</v>
          </cell>
          <cell r="CI180">
            <v>9500</v>
          </cell>
          <cell r="CK180">
            <v>2000</v>
          </cell>
          <cell r="CL180">
            <v>5000</v>
          </cell>
          <cell r="CM180">
            <v>5000</v>
          </cell>
          <cell r="CN180">
            <v>5000</v>
          </cell>
          <cell r="CQ180">
            <v>5000</v>
          </cell>
          <cell r="CV180">
            <v>23000</v>
          </cell>
          <cell r="DB180" t="str">
            <v>SIN USO</v>
          </cell>
          <cell r="DC180" t="str">
            <v>C</v>
          </cell>
          <cell r="DE180">
            <v>7444.4444444444443</v>
          </cell>
          <cell r="DF180">
            <v>1240.7407407407406</v>
          </cell>
          <cell r="DG180">
            <v>3947.2111468353974</v>
          </cell>
          <cell r="DH180">
            <v>0</v>
          </cell>
          <cell r="DI180" t="str">
            <v>0</v>
          </cell>
          <cell r="DJ180">
            <v>0</v>
          </cell>
          <cell r="DK180" t="str">
            <v>INACTIVO</v>
          </cell>
          <cell r="DL180">
            <v>7444.4444444444434</v>
          </cell>
          <cell r="DM180">
            <v>2481.4814814814813</v>
          </cell>
          <cell r="DN180">
            <v>9925.9259259259252</v>
          </cell>
        </row>
        <row r="181">
          <cell r="B181">
            <v>405355</v>
          </cell>
          <cell r="C181" t="str">
            <v>ETIQ. CIRCULAR 90cm IMPR. JUMBO KUCHEN DE FRUTILLA</v>
          </cell>
          <cell r="J181">
            <v>3000</v>
          </cell>
          <cell r="L181">
            <v>1000</v>
          </cell>
          <cell r="M181">
            <v>500</v>
          </cell>
          <cell r="N181">
            <v>1000</v>
          </cell>
          <cell r="O181">
            <v>2000</v>
          </cell>
          <cell r="R181">
            <v>1000</v>
          </cell>
          <cell r="DB181" t="str">
            <v>SIN USO</v>
          </cell>
          <cell r="DC181" t="str">
            <v/>
          </cell>
          <cell r="DE181">
            <v>0</v>
          </cell>
          <cell r="DF181">
            <v>0</v>
          </cell>
          <cell r="DG181">
            <v>0</v>
          </cell>
          <cell r="DH181">
            <v>0</v>
          </cell>
          <cell r="DI181" t="str">
            <v>0</v>
          </cell>
          <cell r="DJ181">
            <v>0</v>
          </cell>
          <cell r="DK181" t="str">
            <v>INACTIVO</v>
          </cell>
          <cell r="DL181">
            <v>0</v>
          </cell>
          <cell r="DM181">
            <v>0</v>
          </cell>
          <cell r="DN181">
            <v>0</v>
          </cell>
        </row>
        <row r="182">
          <cell r="B182">
            <v>405216</v>
          </cell>
          <cell r="C182" t="str">
            <v>ETIQUETA GENERICA TORTA PANQUEQUE NARANJA</v>
          </cell>
          <cell r="D182">
            <v>2000</v>
          </cell>
          <cell r="E182">
            <v>2000</v>
          </cell>
          <cell r="F182">
            <v>1500</v>
          </cell>
          <cell r="G182">
            <v>3000</v>
          </cell>
          <cell r="I182">
            <v>1500</v>
          </cell>
          <cell r="J182">
            <v>1500</v>
          </cell>
          <cell r="K182">
            <v>1500</v>
          </cell>
          <cell r="L182">
            <v>2500</v>
          </cell>
          <cell r="M182">
            <v>1500</v>
          </cell>
          <cell r="N182">
            <v>1500</v>
          </cell>
          <cell r="O182">
            <v>3000</v>
          </cell>
          <cell r="Q182">
            <v>1500</v>
          </cell>
          <cell r="R182">
            <v>1500</v>
          </cell>
          <cell r="S182">
            <v>2000</v>
          </cell>
          <cell r="T182">
            <v>5000</v>
          </cell>
          <cell r="U182">
            <v>3000</v>
          </cell>
          <cell r="V182">
            <v>6000</v>
          </cell>
          <cell r="W182">
            <v>3000</v>
          </cell>
          <cell r="X182">
            <v>2000</v>
          </cell>
          <cell r="Y182">
            <v>7500</v>
          </cell>
          <cell r="AC182">
            <v>1000</v>
          </cell>
          <cell r="AD182">
            <v>2500</v>
          </cell>
          <cell r="AF182">
            <v>2500</v>
          </cell>
          <cell r="AG182">
            <v>1000</v>
          </cell>
          <cell r="AH182">
            <v>2500</v>
          </cell>
          <cell r="AI182">
            <v>2500</v>
          </cell>
          <cell r="AJ182">
            <v>2500</v>
          </cell>
          <cell r="AK182">
            <v>2000</v>
          </cell>
          <cell r="AL182">
            <v>2000</v>
          </cell>
          <cell r="AM182">
            <v>2000</v>
          </cell>
          <cell r="AO182">
            <v>500</v>
          </cell>
          <cell r="AP182">
            <v>4000</v>
          </cell>
          <cell r="AQ182">
            <v>2000</v>
          </cell>
          <cell r="AR182">
            <v>3500</v>
          </cell>
          <cell r="AT182">
            <v>1500</v>
          </cell>
          <cell r="AU182">
            <v>2500</v>
          </cell>
          <cell r="AW182">
            <v>3000</v>
          </cell>
          <cell r="AX182">
            <v>1000</v>
          </cell>
          <cell r="AY182">
            <v>500</v>
          </cell>
          <cell r="BA182">
            <v>1500</v>
          </cell>
          <cell r="BB182">
            <v>1500</v>
          </cell>
          <cell r="BC182">
            <v>1500</v>
          </cell>
          <cell r="BD182">
            <v>4000</v>
          </cell>
          <cell r="BE182">
            <v>1500</v>
          </cell>
          <cell r="BG182">
            <v>2000</v>
          </cell>
          <cell r="BH182">
            <v>4500</v>
          </cell>
          <cell r="BJ182">
            <v>2000</v>
          </cell>
          <cell r="BK182">
            <v>2000</v>
          </cell>
          <cell r="BL182">
            <v>2000</v>
          </cell>
          <cell r="BM182">
            <v>1500</v>
          </cell>
          <cell r="BN182">
            <v>5000</v>
          </cell>
          <cell r="BQ182">
            <v>4500</v>
          </cell>
          <cell r="BS182">
            <v>4500</v>
          </cell>
          <cell r="BT182">
            <v>1000</v>
          </cell>
          <cell r="BU182">
            <v>2000</v>
          </cell>
          <cell r="BV182">
            <v>2000</v>
          </cell>
          <cell r="BW182">
            <v>3000</v>
          </cell>
          <cell r="BX182">
            <v>500</v>
          </cell>
          <cell r="BY182">
            <v>2000</v>
          </cell>
          <cell r="BZ182">
            <v>2000</v>
          </cell>
          <cell r="CA182">
            <v>3500</v>
          </cell>
          <cell r="CB182">
            <v>1500</v>
          </cell>
          <cell r="CD182">
            <v>16000</v>
          </cell>
          <cell r="CF182">
            <v>2000</v>
          </cell>
          <cell r="CH182">
            <v>2000</v>
          </cell>
          <cell r="CI182">
            <v>5000</v>
          </cell>
          <cell r="CK182">
            <v>5000</v>
          </cell>
          <cell r="CN182">
            <v>1000</v>
          </cell>
          <cell r="CO182">
            <v>4000</v>
          </cell>
          <cell r="CP182">
            <v>1500</v>
          </cell>
          <cell r="CQ182">
            <v>1000</v>
          </cell>
          <cell r="DB182" t="str">
            <v>SIN USO</v>
          </cell>
          <cell r="DC182" t="str">
            <v>C</v>
          </cell>
          <cell r="DE182">
            <v>2687.5</v>
          </cell>
          <cell r="DF182">
            <v>447.91666666666669</v>
          </cell>
          <cell r="DG182">
            <v>2427.7360727691121</v>
          </cell>
          <cell r="DH182">
            <v>0</v>
          </cell>
          <cell r="DI182" t="str">
            <v>0</v>
          </cell>
          <cell r="DJ182">
            <v>0</v>
          </cell>
          <cell r="DK182" t="str">
            <v>INACTIVO</v>
          </cell>
          <cell r="DL182">
            <v>2687.5</v>
          </cell>
          <cell r="DM182">
            <v>895.83333333333337</v>
          </cell>
          <cell r="DN182">
            <v>3583.3333333333335</v>
          </cell>
        </row>
        <row r="183">
          <cell r="B183">
            <v>405312</v>
          </cell>
          <cell r="C183" t="str">
            <v>ETIQUETA GENERICA TORTA FRUTOS DEL BOSQUE</v>
          </cell>
          <cell r="D183">
            <v>5000</v>
          </cell>
          <cell r="E183">
            <v>2500</v>
          </cell>
          <cell r="G183">
            <v>5000</v>
          </cell>
          <cell r="I183">
            <v>1000</v>
          </cell>
          <cell r="J183">
            <v>1000</v>
          </cell>
          <cell r="K183">
            <v>1500</v>
          </cell>
          <cell r="L183">
            <v>3000</v>
          </cell>
          <cell r="P183">
            <v>2500</v>
          </cell>
          <cell r="Q183">
            <v>2000</v>
          </cell>
          <cell r="S183">
            <v>3500</v>
          </cell>
          <cell r="T183">
            <v>1000</v>
          </cell>
          <cell r="V183">
            <v>1500</v>
          </cell>
          <cell r="W183">
            <v>1000</v>
          </cell>
          <cell r="X183">
            <v>5000</v>
          </cell>
          <cell r="AB183">
            <v>4000</v>
          </cell>
          <cell r="AI183">
            <v>2000</v>
          </cell>
          <cell r="AJ183">
            <v>4000</v>
          </cell>
          <cell r="AK183">
            <v>5000</v>
          </cell>
          <cell r="AL183">
            <v>2500</v>
          </cell>
          <cell r="AM183">
            <v>1000</v>
          </cell>
          <cell r="AN183">
            <v>2000</v>
          </cell>
          <cell r="AP183">
            <v>5000</v>
          </cell>
          <cell r="AR183">
            <v>3500</v>
          </cell>
          <cell r="BA183">
            <v>3500</v>
          </cell>
          <cell r="BB183">
            <v>1500</v>
          </cell>
          <cell r="BC183">
            <v>2500</v>
          </cell>
          <cell r="BD183">
            <v>3000</v>
          </cell>
          <cell r="BE183">
            <v>3000</v>
          </cell>
          <cell r="BH183">
            <v>2500</v>
          </cell>
          <cell r="BI183">
            <v>2500</v>
          </cell>
          <cell r="BJ183">
            <v>2500</v>
          </cell>
          <cell r="BK183">
            <v>2500</v>
          </cell>
          <cell r="BL183">
            <v>2500</v>
          </cell>
          <cell r="BM183">
            <v>5000</v>
          </cell>
          <cell r="BQ183">
            <v>2000</v>
          </cell>
          <cell r="BS183">
            <v>5000</v>
          </cell>
          <cell r="BT183">
            <v>1500</v>
          </cell>
          <cell r="BY183">
            <v>2500</v>
          </cell>
          <cell r="BZ183">
            <v>2500</v>
          </cell>
          <cell r="CA183">
            <v>2500</v>
          </cell>
          <cell r="CB183">
            <v>1500</v>
          </cell>
          <cell r="CD183">
            <v>10500</v>
          </cell>
          <cell r="CI183">
            <v>5000</v>
          </cell>
          <cell r="CL183">
            <v>5000</v>
          </cell>
          <cell r="CM183">
            <v>2500</v>
          </cell>
          <cell r="CN183">
            <v>5000</v>
          </cell>
          <cell r="CO183">
            <v>10000</v>
          </cell>
          <cell r="CR183">
            <v>0</v>
          </cell>
          <cell r="CT183">
            <v>500</v>
          </cell>
          <cell r="CV183">
            <v>9500</v>
          </cell>
          <cell r="DB183" t="str">
            <v>SIN USO</v>
          </cell>
          <cell r="DC183" t="str">
            <v>C</v>
          </cell>
          <cell r="DE183">
            <v>5357.1428571428569</v>
          </cell>
          <cell r="DF183">
            <v>892.85714285714278</v>
          </cell>
          <cell r="DG183">
            <v>1857.0724134287141</v>
          </cell>
          <cell r="DH183">
            <v>0</v>
          </cell>
          <cell r="DI183" t="str">
            <v>0</v>
          </cell>
          <cell r="DJ183">
            <v>0</v>
          </cell>
          <cell r="DK183" t="str">
            <v>INACTIVO</v>
          </cell>
          <cell r="DL183">
            <v>5357.1428571428569</v>
          </cell>
          <cell r="DM183">
            <v>1785.7142857142856</v>
          </cell>
          <cell r="DN183">
            <v>7142.8571428571422</v>
          </cell>
        </row>
        <row r="184">
          <cell r="B184">
            <v>405191</v>
          </cell>
          <cell r="C184" t="str">
            <v>ETIQUETA GENERICA TORTA TRES LECHES</v>
          </cell>
          <cell r="D184">
            <v>7500</v>
          </cell>
          <cell r="E184">
            <v>6000</v>
          </cell>
          <cell r="F184">
            <v>6000</v>
          </cell>
          <cell r="G184">
            <v>11000</v>
          </cell>
          <cell r="I184">
            <v>6500</v>
          </cell>
          <cell r="J184">
            <v>5500</v>
          </cell>
          <cell r="K184">
            <v>7000</v>
          </cell>
          <cell r="L184">
            <v>7500</v>
          </cell>
          <cell r="M184">
            <v>5500</v>
          </cell>
          <cell r="N184">
            <v>5000</v>
          </cell>
          <cell r="O184">
            <v>7500</v>
          </cell>
          <cell r="Q184">
            <v>2000</v>
          </cell>
          <cell r="R184">
            <v>5000</v>
          </cell>
          <cell r="S184">
            <v>7000</v>
          </cell>
          <cell r="T184">
            <v>5000</v>
          </cell>
          <cell r="V184">
            <v>6500</v>
          </cell>
          <cell r="W184">
            <v>6000</v>
          </cell>
          <cell r="Y184">
            <v>11000</v>
          </cell>
          <cell r="AA184">
            <v>2000</v>
          </cell>
          <cell r="AB184">
            <v>7000</v>
          </cell>
          <cell r="AC184">
            <v>5000</v>
          </cell>
          <cell r="AD184">
            <v>10000</v>
          </cell>
          <cell r="AG184">
            <v>4500</v>
          </cell>
          <cell r="AH184">
            <v>4000</v>
          </cell>
          <cell r="AI184">
            <v>4000</v>
          </cell>
          <cell r="AK184">
            <v>1500</v>
          </cell>
          <cell r="AN184">
            <v>3000</v>
          </cell>
          <cell r="AP184">
            <v>2000</v>
          </cell>
          <cell r="AQ184">
            <v>6000</v>
          </cell>
          <cell r="AR184">
            <v>10500</v>
          </cell>
          <cell r="AT184">
            <v>4500</v>
          </cell>
          <cell r="AU184">
            <v>9000</v>
          </cell>
          <cell r="AV184">
            <v>5000</v>
          </cell>
          <cell r="AW184">
            <v>12000</v>
          </cell>
          <cell r="AX184">
            <v>5000</v>
          </cell>
          <cell r="AY184">
            <v>5500</v>
          </cell>
          <cell r="BA184">
            <v>5500</v>
          </cell>
          <cell r="BB184">
            <v>2000</v>
          </cell>
          <cell r="BC184">
            <v>5500</v>
          </cell>
          <cell r="BD184">
            <v>9500</v>
          </cell>
          <cell r="BE184">
            <v>6000</v>
          </cell>
          <cell r="BG184">
            <v>6000</v>
          </cell>
          <cell r="BH184">
            <v>14500</v>
          </cell>
          <cell r="BJ184">
            <v>11500</v>
          </cell>
          <cell r="BK184">
            <v>8500</v>
          </cell>
          <cell r="BL184">
            <v>8500</v>
          </cell>
          <cell r="BM184">
            <v>8000</v>
          </cell>
          <cell r="BN184">
            <v>13000</v>
          </cell>
          <cell r="BP184">
            <v>1000</v>
          </cell>
          <cell r="BQ184">
            <v>11000</v>
          </cell>
          <cell r="BS184">
            <v>7000</v>
          </cell>
          <cell r="BU184">
            <v>9500</v>
          </cell>
          <cell r="BV184">
            <v>2000</v>
          </cell>
          <cell r="BW184">
            <v>9000</v>
          </cell>
          <cell r="BY184">
            <v>5000</v>
          </cell>
          <cell r="BZ184">
            <v>5500</v>
          </cell>
          <cell r="CA184">
            <v>9000</v>
          </cell>
          <cell r="CB184">
            <v>4000</v>
          </cell>
          <cell r="CD184">
            <v>8000</v>
          </cell>
          <cell r="CF184">
            <v>4500</v>
          </cell>
          <cell r="CH184">
            <v>5000</v>
          </cell>
          <cell r="CI184">
            <v>10000</v>
          </cell>
          <cell r="CK184">
            <v>1000</v>
          </cell>
          <cell r="CL184">
            <v>5000</v>
          </cell>
          <cell r="CM184">
            <v>5000</v>
          </cell>
          <cell r="CN184">
            <v>5000</v>
          </cell>
          <cell r="CO184">
            <v>5000</v>
          </cell>
          <cell r="CQ184">
            <v>3600</v>
          </cell>
          <cell r="CR184">
            <v>0</v>
          </cell>
          <cell r="CU184">
            <v>2500</v>
          </cell>
          <cell r="CV184">
            <v>18900</v>
          </cell>
          <cell r="DB184" t="str">
            <v>SIN USO</v>
          </cell>
          <cell r="DC184" t="str">
            <v>C</v>
          </cell>
          <cell r="DE184">
            <v>5954.545454545455</v>
          </cell>
          <cell r="DF184">
            <v>992.42424242424249</v>
          </cell>
          <cell r="DG184">
            <v>3386.7898289302429</v>
          </cell>
          <cell r="DH184">
            <v>0</v>
          </cell>
          <cell r="DI184" t="str">
            <v>0</v>
          </cell>
          <cell r="DJ184">
            <v>0</v>
          </cell>
          <cell r="DK184" t="str">
            <v>INACTIVO</v>
          </cell>
          <cell r="DL184">
            <v>5954.545454545455</v>
          </cell>
          <cell r="DM184">
            <v>1984.848484848485</v>
          </cell>
          <cell r="DN184">
            <v>7939.3939393939399</v>
          </cell>
        </row>
        <row r="185">
          <cell r="B185">
            <v>405193</v>
          </cell>
          <cell r="C185" t="str">
            <v>ETIQUETA GENERICA TORTA SAN JORGE</v>
          </cell>
          <cell r="D185">
            <v>2000</v>
          </cell>
          <cell r="E185">
            <v>2000</v>
          </cell>
          <cell r="F185">
            <v>2000</v>
          </cell>
          <cell r="G185">
            <v>3500</v>
          </cell>
          <cell r="I185">
            <v>1500</v>
          </cell>
          <cell r="J185">
            <v>1500</v>
          </cell>
          <cell r="K185">
            <v>1500</v>
          </cell>
          <cell r="L185">
            <v>2000</v>
          </cell>
          <cell r="M185">
            <v>2000</v>
          </cell>
          <cell r="N185">
            <v>2000</v>
          </cell>
          <cell r="O185">
            <v>3500</v>
          </cell>
          <cell r="Q185">
            <v>1500</v>
          </cell>
          <cell r="R185">
            <v>2000</v>
          </cell>
          <cell r="S185">
            <v>2000</v>
          </cell>
          <cell r="T185">
            <v>1000</v>
          </cell>
          <cell r="V185">
            <v>2000</v>
          </cell>
          <cell r="W185">
            <v>1000</v>
          </cell>
          <cell r="X185">
            <v>3000</v>
          </cell>
          <cell r="Y185">
            <v>1500</v>
          </cell>
          <cell r="AA185">
            <v>2000</v>
          </cell>
          <cell r="AB185">
            <v>2000</v>
          </cell>
          <cell r="AC185">
            <v>1000</v>
          </cell>
          <cell r="AD185">
            <v>2000</v>
          </cell>
          <cell r="AF185">
            <v>1500</v>
          </cell>
          <cell r="AG185">
            <v>2000</v>
          </cell>
          <cell r="AH185">
            <v>1500</v>
          </cell>
          <cell r="AI185">
            <v>1500</v>
          </cell>
          <cell r="AJ185">
            <v>3000</v>
          </cell>
          <cell r="AK185">
            <v>2000</v>
          </cell>
          <cell r="AL185">
            <v>2000</v>
          </cell>
          <cell r="AM185">
            <v>2500</v>
          </cell>
          <cell r="AN185">
            <v>2000</v>
          </cell>
          <cell r="AO185">
            <v>1000</v>
          </cell>
          <cell r="AP185">
            <v>2000</v>
          </cell>
          <cell r="AQ185">
            <v>2500</v>
          </cell>
          <cell r="AR185">
            <v>5000</v>
          </cell>
          <cell r="AS185">
            <v>500</v>
          </cell>
          <cell r="AT185">
            <v>3000</v>
          </cell>
          <cell r="AU185">
            <v>3000</v>
          </cell>
          <cell r="AV185">
            <v>2500</v>
          </cell>
          <cell r="AW185">
            <v>4000</v>
          </cell>
          <cell r="AX185">
            <v>3000</v>
          </cell>
          <cell r="AY185">
            <v>3500</v>
          </cell>
          <cell r="BA185">
            <v>3000</v>
          </cell>
          <cell r="BB185">
            <v>2000</v>
          </cell>
          <cell r="BC185">
            <v>1000</v>
          </cell>
          <cell r="BD185">
            <v>4000</v>
          </cell>
          <cell r="BE185">
            <v>3000</v>
          </cell>
          <cell r="BF185">
            <v>1500</v>
          </cell>
          <cell r="BG185">
            <v>3000</v>
          </cell>
          <cell r="BH185">
            <v>6000</v>
          </cell>
          <cell r="BJ185">
            <v>3500</v>
          </cell>
          <cell r="BK185">
            <v>3000</v>
          </cell>
          <cell r="BL185">
            <v>2000</v>
          </cell>
          <cell r="BM185">
            <v>2500</v>
          </cell>
          <cell r="BN185">
            <v>6000</v>
          </cell>
          <cell r="BO185">
            <v>3500</v>
          </cell>
          <cell r="BQ185">
            <v>10500</v>
          </cell>
          <cell r="BS185">
            <v>5500</v>
          </cell>
          <cell r="BT185">
            <v>1500</v>
          </cell>
          <cell r="BU185">
            <v>12000</v>
          </cell>
          <cell r="BV185">
            <v>4000</v>
          </cell>
          <cell r="BW185">
            <v>5000</v>
          </cell>
          <cell r="BY185">
            <v>3000</v>
          </cell>
          <cell r="BZ185">
            <v>2500</v>
          </cell>
          <cell r="CA185">
            <v>5000</v>
          </cell>
          <cell r="CB185">
            <v>2500</v>
          </cell>
          <cell r="CD185">
            <v>12000</v>
          </cell>
          <cell r="CF185">
            <v>2500</v>
          </cell>
          <cell r="CH185">
            <v>3000</v>
          </cell>
          <cell r="CI185">
            <v>4000</v>
          </cell>
          <cell r="CK185">
            <v>2000</v>
          </cell>
          <cell r="CL185">
            <v>2500</v>
          </cell>
          <cell r="CM185">
            <v>2500</v>
          </cell>
          <cell r="CN185">
            <v>3500</v>
          </cell>
          <cell r="CO185">
            <v>1500</v>
          </cell>
          <cell r="CR185">
            <v>4500</v>
          </cell>
          <cell r="DB185" t="str">
            <v>SIN USO</v>
          </cell>
          <cell r="DC185" t="str">
            <v>C</v>
          </cell>
          <cell r="DE185">
            <v>2888.8888888888887</v>
          </cell>
          <cell r="DF185">
            <v>481.48148148148147</v>
          </cell>
          <cell r="DG185">
            <v>2535.7046318130156</v>
          </cell>
          <cell r="DH185">
            <v>0</v>
          </cell>
          <cell r="DI185" t="str">
            <v>0</v>
          </cell>
          <cell r="DJ185">
            <v>0</v>
          </cell>
          <cell r="DK185" t="str">
            <v>INACTIVO</v>
          </cell>
          <cell r="DL185">
            <v>2888.8888888888887</v>
          </cell>
          <cell r="DM185">
            <v>962.96296296296293</v>
          </cell>
          <cell r="DN185">
            <v>3851.8518518518517</v>
          </cell>
        </row>
        <row r="186">
          <cell r="B186">
            <v>405198</v>
          </cell>
          <cell r="C186" t="str">
            <v>ETIQUETA CONSUMO IMPRESO COLOR CAFÉ</v>
          </cell>
          <cell r="D186">
            <v>12000</v>
          </cell>
          <cell r="E186">
            <v>6000</v>
          </cell>
          <cell r="F186">
            <v>10000</v>
          </cell>
          <cell r="G186">
            <v>20000</v>
          </cell>
          <cell r="H186">
            <v>10000</v>
          </cell>
          <cell r="I186">
            <v>16000</v>
          </cell>
          <cell r="J186">
            <v>22000</v>
          </cell>
          <cell r="K186">
            <v>20000</v>
          </cell>
          <cell r="L186">
            <v>10000</v>
          </cell>
          <cell r="M186">
            <v>6000</v>
          </cell>
          <cell r="N186">
            <v>20000</v>
          </cell>
          <cell r="O186">
            <v>10000</v>
          </cell>
          <cell r="P186">
            <v>6000</v>
          </cell>
          <cell r="Q186">
            <v>48000</v>
          </cell>
          <cell r="R186">
            <v>8000</v>
          </cell>
          <cell r="S186">
            <v>16000</v>
          </cell>
          <cell r="T186">
            <v>12000</v>
          </cell>
          <cell r="U186">
            <v>16000</v>
          </cell>
          <cell r="V186">
            <v>22000</v>
          </cell>
          <cell r="W186">
            <v>6000</v>
          </cell>
          <cell r="X186">
            <v>20000</v>
          </cell>
          <cell r="Y186">
            <v>8000</v>
          </cell>
          <cell r="Z186">
            <v>8000</v>
          </cell>
          <cell r="AA186">
            <v>10000</v>
          </cell>
          <cell r="AB186">
            <v>16000</v>
          </cell>
          <cell r="AC186">
            <v>16000</v>
          </cell>
          <cell r="AD186">
            <v>10000</v>
          </cell>
          <cell r="AF186">
            <v>16000</v>
          </cell>
          <cell r="AG186">
            <v>14000</v>
          </cell>
          <cell r="AH186">
            <v>36000</v>
          </cell>
          <cell r="AI186">
            <v>26000</v>
          </cell>
          <cell r="AJ186">
            <v>6000</v>
          </cell>
          <cell r="AK186">
            <v>6000</v>
          </cell>
          <cell r="AL186">
            <v>12000</v>
          </cell>
          <cell r="AM186">
            <v>20000</v>
          </cell>
          <cell r="AN186">
            <v>28000</v>
          </cell>
          <cell r="AO186">
            <v>6000</v>
          </cell>
          <cell r="AP186">
            <v>22000</v>
          </cell>
          <cell r="AQ186">
            <v>14000</v>
          </cell>
          <cell r="AR186">
            <v>18000</v>
          </cell>
          <cell r="AS186">
            <v>20000</v>
          </cell>
          <cell r="AT186">
            <v>20000</v>
          </cell>
          <cell r="AU186">
            <v>30000</v>
          </cell>
          <cell r="AV186">
            <v>16000</v>
          </cell>
          <cell r="AW186">
            <v>36000</v>
          </cell>
          <cell r="AX186">
            <v>4000</v>
          </cell>
          <cell r="AY186">
            <v>22000</v>
          </cell>
          <cell r="AZ186">
            <v>38000</v>
          </cell>
          <cell r="BA186">
            <v>12000</v>
          </cell>
          <cell r="BB186">
            <v>12000</v>
          </cell>
          <cell r="BC186">
            <v>18000</v>
          </cell>
          <cell r="BD186">
            <v>10000</v>
          </cell>
          <cell r="BE186">
            <v>32000</v>
          </cell>
          <cell r="BF186">
            <v>6000</v>
          </cell>
          <cell r="BG186">
            <v>17000</v>
          </cell>
          <cell r="BH186">
            <v>26000</v>
          </cell>
          <cell r="BI186">
            <v>16000</v>
          </cell>
          <cell r="BJ186">
            <v>28000</v>
          </cell>
          <cell r="BK186">
            <v>16000</v>
          </cell>
          <cell r="BL186">
            <v>22000</v>
          </cell>
          <cell r="BM186">
            <v>12000</v>
          </cell>
          <cell r="BN186">
            <v>12000</v>
          </cell>
          <cell r="BO186">
            <v>16000</v>
          </cell>
          <cell r="BP186">
            <v>6000</v>
          </cell>
          <cell r="BQ186">
            <v>18000</v>
          </cell>
          <cell r="BR186">
            <v>6000</v>
          </cell>
          <cell r="BS186">
            <v>26000</v>
          </cell>
          <cell r="BT186">
            <v>6000</v>
          </cell>
          <cell r="BU186">
            <v>16000</v>
          </cell>
          <cell r="BV186">
            <v>28000</v>
          </cell>
          <cell r="BW186">
            <v>10000</v>
          </cell>
          <cell r="BX186">
            <v>16000</v>
          </cell>
          <cell r="BZ186">
            <v>8000</v>
          </cell>
          <cell r="CA186">
            <v>18000</v>
          </cell>
          <cell r="CB186">
            <v>6000</v>
          </cell>
          <cell r="CC186">
            <v>10000</v>
          </cell>
          <cell r="CD186">
            <v>10000</v>
          </cell>
          <cell r="CE186">
            <v>16000</v>
          </cell>
          <cell r="CG186">
            <v>12000</v>
          </cell>
          <cell r="CH186">
            <v>8000</v>
          </cell>
          <cell r="CI186">
            <v>8000</v>
          </cell>
          <cell r="CJ186">
            <v>16000</v>
          </cell>
          <cell r="CK186">
            <v>8000</v>
          </cell>
          <cell r="CL186">
            <v>8000</v>
          </cell>
          <cell r="CM186">
            <v>14000</v>
          </cell>
          <cell r="CN186">
            <v>14000</v>
          </cell>
          <cell r="CO186">
            <v>18000</v>
          </cell>
          <cell r="CP186">
            <v>10000</v>
          </cell>
          <cell r="CQ186">
            <v>4000</v>
          </cell>
          <cell r="CR186">
            <v>12000</v>
          </cell>
          <cell r="CV186">
            <v>2000</v>
          </cell>
          <cell r="DB186" t="str">
            <v>SIN USO</v>
          </cell>
          <cell r="DC186" t="str">
            <v>C</v>
          </cell>
          <cell r="DE186">
            <v>10307.692307692309</v>
          </cell>
          <cell r="DF186">
            <v>1717.948717948718</v>
          </cell>
          <cell r="DG186">
            <v>8756.6221439861729</v>
          </cell>
          <cell r="DH186">
            <v>0</v>
          </cell>
          <cell r="DI186" t="str">
            <v>0</v>
          </cell>
          <cell r="DJ186">
            <v>0</v>
          </cell>
          <cell r="DK186" t="str">
            <v>INACTIVO</v>
          </cell>
          <cell r="DL186">
            <v>10307.692307692309</v>
          </cell>
          <cell r="DM186">
            <v>3435.897435897436</v>
          </cell>
          <cell r="DN186">
            <v>13743.589743589744</v>
          </cell>
        </row>
        <row r="187">
          <cell r="B187">
            <v>405111</v>
          </cell>
          <cell r="C187" t="str">
            <v>ETIQUETA CIRCULAR TORTA AMOR</v>
          </cell>
          <cell r="E187">
            <v>2000</v>
          </cell>
          <cell r="Z187">
            <v>2000</v>
          </cell>
          <cell r="AA187">
            <v>1000</v>
          </cell>
          <cell r="AW187">
            <v>6000</v>
          </cell>
          <cell r="DB187" t="str">
            <v>SIN USO</v>
          </cell>
          <cell r="DC187" t="str">
            <v>C</v>
          </cell>
          <cell r="DE187">
            <v>0</v>
          </cell>
          <cell r="DF187">
            <v>0</v>
          </cell>
          <cell r="DG187">
            <v>0</v>
          </cell>
          <cell r="DH187">
            <v>0</v>
          </cell>
          <cell r="DI187" t="str">
            <v>0</v>
          </cell>
          <cell r="DJ187">
            <v>0</v>
          </cell>
          <cell r="DK187" t="str">
            <v>INACTIVO</v>
          </cell>
          <cell r="DL187">
            <v>0</v>
          </cell>
          <cell r="DM187">
            <v>0</v>
          </cell>
          <cell r="DN187">
            <v>0</v>
          </cell>
        </row>
        <row r="188">
          <cell r="B188">
            <v>404749</v>
          </cell>
          <cell r="C188" t="str">
            <v>ETIQUETA BLANCA 100x80 JUMBO</v>
          </cell>
          <cell r="AX188">
            <v>5000</v>
          </cell>
          <cell r="DB188" t="str">
            <v>SIN USO</v>
          </cell>
          <cell r="DC188" t="str">
            <v>C</v>
          </cell>
          <cell r="DE188">
            <v>0</v>
          </cell>
          <cell r="DF188">
            <v>0</v>
          </cell>
          <cell r="DG188">
            <v>0</v>
          </cell>
          <cell r="DH188">
            <v>0</v>
          </cell>
          <cell r="DI188" t="str">
            <v>0</v>
          </cell>
          <cell r="DJ188">
            <v>0</v>
          </cell>
          <cell r="DK188" t="str">
            <v>INACTIVO</v>
          </cell>
          <cell r="DL188">
            <v>0</v>
          </cell>
          <cell r="DM188">
            <v>0</v>
          </cell>
          <cell r="DN188">
            <v>0</v>
          </cell>
        </row>
        <row r="189">
          <cell r="B189">
            <v>405174</v>
          </cell>
          <cell r="C189" t="str">
            <v>ETIQUETA GENERICA TORTA CHOCOLATE MANJAR</v>
          </cell>
          <cell r="D189">
            <v>2000</v>
          </cell>
          <cell r="E189">
            <v>3000</v>
          </cell>
          <cell r="F189">
            <v>2500</v>
          </cell>
          <cell r="G189">
            <v>4500</v>
          </cell>
          <cell r="I189">
            <v>5000</v>
          </cell>
          <cell r="J189">
            <v>4500</v>
          </cell>
          <cell r="K189">
            <v>5000</v>
          </cell>
          <cell r="L189">
            <v>2500</v>
          </cell>
          <cell r="M189">
            <v>4500</v>
          </cell>
          <cell r="N189">
            <v>5500</v>
          </cell>
          <cell r="O189">
            <v>2500</v>
          </cell>
          <cell r="Q189">
            <v>500</v>
          </cell>
          <cell r="R189">
            <v>5500</v>
          </cell>
          <cell r="S189">
            <v>3000</v>
          </cell>
          <cell r="V189">
            <v>5000</v>
          </cell>
          <cell r="W189">
            <v>4000</v>
          </cell>
          <cell r="X189">
            <v>3500</v>
          </cell>
          <cell r="AA189">
            <v>9500</v>
          </cell>
          <cell r="AB189">
            <v>1500</v>
          </cell>
          <cell r="AD189">
            <v>3000</v>
          </cell>
          <cell r="AI189">
            <v>3500</v>
          </cell>
          <cell r="AL189">
            <v>5000</v>
          </cell>
          <cell r="AQ189">
            <v>4000</v>
          </cell>
          <cell r="AR189">
            <v>5500</v>
          </cell>
          <cell r="AU189">
            <v>4000</v>
          </cell>
          <cell r="AW189">
            <v>4000</v>
          </cell>
          <cell r="BA189">
            <v>3000</v>
          </cell>
          <cell r="BC189">
            <v>4500</v>
          </cell>
          <cell r="BD189">
            <v>6000</v>
          </cell>
          <cell r="BE189">
            <v>4000</v>
          </cell>
          <cell r="BG189">
            <v>4000</v>
          </cell>
          <cell r="BH189">
            <v>5000</v>
          </cell>
          <cell r="BJ189">
            <v>8500</v>
          </cell>
          <cell r="BK189">
            <v>2000</v>
          </cell>
          <cell r="BM189">
            <v>4000</v>
          </cell>
          <cell r="BN189">
            <v>8000</v>
          </cell>
          <cell r="BQ189">
            <v>1500</v>
          </cell>
          <cell r="CV189">
            <v>22000</v>
          </cell>
          <cell r="DB189" t="str">
            <v>SIN USO</v>
          </cell>
          <cell r="DC189" t="str">
            <v>C</v>
          </cell>
          <cell r="DE189">
            <v>22000</v>
          </cell>
          <cell r="DF189">
            <v>3666.6666666666665</v>
          </cell>
          <cell r="DG189">
            <v>1802.7756377319947</v>
          </cell>
          <cell r="DH189">
            <v>0</v>
          </cell>
          <cell r="DI189" t="str">
            <v>0</v>
          </cell>
          <cell r="DJ189">
            <v>0</v>
          </cell>
          <cell r="DK189" t="str">
            <v>INACTIVO</v>
          </cell>
          <cell r="DL189">
            <v>22000</v>
          </cell>
          <cell r="DM189">
            <v>7333.333333333333</v>
          </cell>
          <cell r="DN189">
            <v>29333.333333333332</v>
          </cell>
        </row>
        <row r="190">
          <cell r="B190">
            <v>405176</v>
          </cell>
          <cell r="C190" t="str">
            <v>ETIQUETA GENERICA TORTA CHOCOQUINDA</v>
          </cell>
          <cell r="D190">
            <v>3000</v>
          </cell>
          <cell r="E190">
            <v>3500</v>
          </cell>
          <cell r="F190">
            <v>3000</v>
          </cell>
          <cell r="G190">
            <v>3000</v>
          </cell>
          <cell r="I190">
            <v>1500</v>
          </cell>
          <cell r="J190">
            <v>1500</v>
          </cell>
          <cell r="K190">
            <v>3000</v>
          </cell>
          <cell r="L190">
            <v>3000</v>
          </cell>
          <cell r="M190">
            <v>3000</v>
          </cell>
          <cell r="O190">
            <v>3000</v>
          </cell>
          <cell r="T190">
            <v>2500</v>
          </cell>
          <cell r="Y190">
            <v>4000</v>
          </cell>
          <cell r="AB190">
            <v>4000</v>
          </cell>
          <cell r="AH190">
            <v>500</v>
          </cell>
          <cell r="AJ190">
            <v>4500</v>
          </cell>
          <cell r="AK190">
            <v>2000</v>
          </cell>
          <cell r="AO190">
            <v>2000</v>
          </cell>
          <cell r="AP190">
            <v>2500</v>
          </cell>
          <cell r="AQ190">
            <v>3500</v>
          </cell>
          <cell r="AR190">
            <v>1500</v>
          </cell>
          <cell r="AU190">
            <v>4500</v>
          </cell>
          <cell r="AW190">
            <v>5000</v>
          </cell>
          <cell r="BA190">
            <v>1500</v>
          </cell>
          <cell r="BB190">
            <v>1000</v>
          </cell>
          <cell r="BU190">
            <v>24000</v>
          </cell>
          <cell r="CV190">
            <v>24000</v>
          </cell>
          <cell r="DB190" t="str">
            <v>SIN USO</v>
          </cell>
          <cell r="DC190" t="str">
            <v>C</v>
          </cell>
          <cell r="DE190">
            <v>24000</v>
          </cell>
          <cell r="DF190">
            <v>4000</v>
          </cell>
          <cell r="DG190">
            <v>6353.6854015459548</v>
          </cell>
          <cell r="DH190">
            <v>0</v>
          </cell>
          <cell r="DI190" t="str">
            <v>0</v>
          </cell>
          <cell r="DJ190">
            <v>0</v>
          </cell>
          <cell r="DK190" t="str">
            <v>INACTIVO</v>
          </cell>
          <cell r="DL190">
            <v>24000</v>
          </cell>
          <cell r="DM190">
            <v>8000</v>
          </cell>
          <cell r="DN190">
            <v>32000</v>
          </cell>
        </row>
        <row r="191">
          <cell r="B191">
            <v>405178</v>
          </cell>
          <cell r="C191" t="str">
            <v>ETIQUETA GENERICA TORTA CREMA MARACUYA</v>
          </cell>
          <cell r="E191">
            <v>3000</v>
          </cell>
          <cell r="F191">
            <v>500</v>
          </cell>
          <cell r="G191">
            <v>1000</v>
          </cell>
          <cell r="I191">
            <v>500</v>
          </cell>
          <cell r="J191">
            <v>500</v>
          </cell>
          <cell r="K191">
            <v>500</v>
          </cell>
          <cell r="L191">
            <v>1000</v>
          </cell>
          <cell r="M191">
            <v>500</v>
          </cell>
          <cell r="Q191">
            <v>500</v>
          </cell>
          <cell r="R191">
            <v>500</v>
          </cell>
          <cell r="S191">
            <v>500</v>
          </cell>
          <cell r="DB191" t="str">
            <v>SIN USO</v>
          </cell>
          <cell r="DC191" t="str">
            <v/>
          </cell>
          <cell r="DE191">
            <v>0</v>
          </cell>
          <cell r="DF191">
            <v>0</v>
          </cell>
          <cell r="DG191">
            <v>0</v>
          </cell>
          <cell r="DH191">
            <v>0</v>
          </cell>
          <cell r="DI191" t="str">
            <v>0</v>
          </cell>
          <cell r="DJ191">
            <v>0</v>
          </cell>
          <cell r="DK191" t="str">
            <v>INACTIVO</v>
          </cell>
          <cell r="DL191">
            <v>0</v>
          </cell>
          <cell r="DM191">
            <v>0</v>
          </cell>
          <cell r="DN191">
            <v>0</v>
          </cell>
        </row>
        <row r="192">
          <cell r="B192">
            <v>405180</v>
          </cell>
          <cell r="C192" t="str">
            <v>ETIQUETA GENERICA TORTA CREMA MOKA</v>
          </cell>
          <cell r="E192">
            <v>3500</v>
          </cell>
          <cell r="F192">
            <v>3000</v>
          </cell>
          <cell r="G192">
            <v>3500</v>
          </cell>
          <cell r="I192">
            <v>1000</v>
          </cell>
          <cell r="J192">
            <v>1500</v>
          </cell>
          <cell r="K192">
            <v>5000</v>
          </cell>
          <cell r="L192">
            <v>3000</v>
          </cell>
          <cell r="M192">
            <v>2500</v>
          </cell>
          <cell r="O192">
            <v>2500</v>
          </cell>
          <cell r="T192">
            <v>2500</v>
          </cell>
          <cell r="V192">
            <v>2500</v>
          </cell>
          <cell r="W192">
            <v>2500</v>
          </cell>
          <cell r="AB192">
            <v>5500</v>
          </cell>
          <cell r="AK192">
            <v>500</v>
          </cell>
          <cell r="AL192">
            <v>500</v>
          </cell>
          <cell r="AM192">
            <v>2000</v>
          </cell>
          <cell r="AN192">
            <v>2000</v>
          </cell>
          <cell r="AO192">
            <v>2500</v>
          </cell>
          <cell r="AP192">
            <v>2500</v>
          </cell>
          <cell r="AR192">
            <v>3000</v>
          </cell>
          <cell r="AT192">
            <v>1000</v>
          </cell>
          <cell r="AX192">
            <v>2500</v>
          </cell>
          <cell r="BA192">
            <v>500</v>
          </cell>
          <cell r="BU192">
            <v>11500</v>
          </cell>
          <cell r="DB192" t="str">
            <v>SIN USO</v>
          </cell>
          <cell r="DC192" t="str">
            <v>C</v>
          </cell>
          <cell r="DE192">
            <v>0</v>
          </cell>
          <cell r="DF192">
            <v>0</v>
          </cell>
          <cell r="DG192">
            <v>3096.9192903446951</v>
          </cell>
          <cell r="DH192">
            <v>0</v>
          </cell>
          <cell r="DI192" t="str">
            <v>0</v>
          </cell>
          <cell r="DJ192">
            <v>0</v>
          </cell>
          <cell r="DK192" t="str">
            <v>INACTIVO</v>
          </cell>
          <cell r="DL192">
            <v>0</v>
          </cell>
          <cell r="DM192">
            <v>0</v>
          </cell>
          <cell r="DN192">
            <v>0</v>
          </cell>
        </row>
        <row r="193">
          <cell r="B193">
            <v>405187</v>
          </cell>
          <cell r="C193" t="str">
            <v>ETIQUETA GENERICA TORTA MOUSSE MANJAR</v>
          </cell>
          <cell r="D193">
            <v>3000</v>
          </cell>
          <cell r="E193">
            <v>3000</v>
          </cell>
          <cell r="G193">
            <v>3000</v>
          </cell>
          <cell r="J193">
            <v>4000</v>
          </cell>
          <cell r="K193">
            <v>2000</v>
          </cell>
          <cell r="M193">
            <v>2500</v>
          </cell>
          <cell r="O193">
            <v>2500</v>
          </cell>
          <cell r="R193">
            <v>2500</v>
          </cell>
          <cell r="S193">
            <v>2500</v>
          </cell>
          <cell r="T193">
            <v>1500</v>
          </cell>
          <cell r="V193">
            <v>3000</v>
          </cell>
          <cell r="W193">
            <v>2500</v>
          </cell>
          <cell r="AB193">
            <v>5500</v>
          </cell>
          <cell r="AI193">
            <v>500</v>
          </cell>
          <cell r="AJ193">
            <v>4000</v>
          </cell>
          <cell r="AO193">
            <v>2500</v>
          </cell>
          <cell r="AR193">
            <v>4000</v>
          </cell>
          <cell r="AX193">
            <v>5000</v>
          </cell>
          <cell r="AZ193">
            <v>1000</v>
          </cell>
          <cell r="BA193">
            <v>2500</v>
          </cell>
          <cell r="BD193">
            <v>2000</v>
          </cell>
          <cell r="BG193">
            <v>2000</v>
          </cell>
          <cell r="BJ193">
            <v>3000</v>
          </cell>
          <cell r="BK193">
            <v>2500</v>
          </cell>
          <cell r="BL193">
            <v>2500</v>
          </cell>
          <cell r="BM193">
            <v>2500</v>
          </cell>
          <cell r="BU193">
            <v>15500</v>
          </cell>
          <cell r="DB193" t="str">
            <v>SIN USO</v>
          </cell>
          <cell r="DC193" t="str">
            <v>C</v>
          </cell>
          <cell r="DE193">
            <v>0</v>
          </cell>
          <cell r="DF193">
            <v>0</v>
          </cell>
          <cell r="DG193">
            <v>3634.5790451116668</v>
          </cell>
          <cell r="DH193">
            <v>0</v>
          </cell>
          <cell r="DI193" t="str">
            <v>0</v>
          </cell>
          <cell r="DJ193">
            <v>0</v>
          </cell>
          <cell r="DK193" t="str">
            <v>INACTIVO</v>
          </cell>
          <cell r="DL193">
            <v>0</v>
          </cell>
          <cell r="DM193">
            <v>0</v>
          </cell>
          <cell r="DN193">
            <v>0</v>
          </cell>
        </row>
        <row r="194">
          <cell r="B194">
            <v>107298</v>
          </cell>
          <cell r="C194" t="str">
            <v>ETIQUETA GENÉRICA TORTA RAINBOW</v>
          </cell>
          <cell r="D194">
            <v>1000</v>
          </cell>
          <cell r="E194">
            <v>1000</v>
          </cell>
          <cell r="F194">
            <v>1000</v>
          </cell>
          <cell r="G194">
            <v>1000</v>
          </cell>
          <cell r="H194">
            <v>1000</v>
          </cell>
          <cell r="I194">
            <v>1000</v>
          </cell>
          <cell r="J194">
            <v>1000</v>
          </cell>
          <cell r="K194">
            <v>500</v>
          </cell>
          <cell r="M194">
            <v>1000</v>
          </cell>
          <cell r="N194">
            <v>1000</v>
          </cell>
          <cell r="O194">
            <v>2000</v>
          </cell>
          <cell r="R194">
            <v>1000</v>
          </cell>
          <cell r="W194">
            <v>1000</v>
          </cell>
          <cell r="AA194">
            <v>500</v>
          </cell>
          <cell r="AP194">
            <v>5000</v>
          </cell>
          <cell r="DB194" t="str">
            <v>SIN USO</v>
          </cell>
          <cell r="DC194" t="str">
            <v>C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 t="str">
            <v>0</v>
          </cell>
          <cell r="DJ194">
            <v>0</v>
          </cell>
          <cell r="DK194" t="str">
            <v>INACTIVO</v>
          </cell>
          <cell r="DL194">
            <v>0</v>
          </cell>
          <cell r="DM194">
            <v>0</v>
          </cell>
          <cell r="DN194">
            <v>0</v>
          </cell>
        </row>
        <row r="195">
          <cell r="B195">
            <v>107327</v>
          </cell>
          <cell r="C195" t="str">
            <v>ETIQUETA GENERICA TORTA HOJA MANJAR CHOCOLATE</v>
          </cell>
          <cell r="D195">
            <v>500</v>
          </cell>
          <cell r="E195">
            <v>3000</v>
          </cell>
          <cell r="F195">
            <v>2000</v>
          </cell>
          <cell r="G195">
            <v>8500</v>
          </cell>
          <cell r="H195">
            <v>1000</v>
          </cell>
          <cell r="I195">
            <v>6500</v>
          </cell>
          <cell r="J195">
            <v>4500</v>
          </cell>
          <cell r="K195">
            <v>2500</v>
          </cell>
          <cell r="L195">
            <v>6500</v>
          </cell>
          <cell r="M195">
            <v>4500</v>
          </cell>
          <cell r="N195">
            <v>4000</v>
          </cell>
          <cell r="O195">
            <v>8000</v>
          </cell>
          <cell r="Q195">
            <v>4500</v>
          </cell>
          <cell r="R195">
            <v>3000</v>
          </cell>
          <cell r="S195">
            <v>5000</v>
          </cell>
          <cell r="T195">
            <v>2500</v>
          </cell>
          <cell r="V195">
            <v>3500</v>
          </cell>
          <cell r="W195">
            <v>1000</v>
          </cell>
          <cell r="Y195">
            <v>6500</v>
          </cell>
          <cell r="AA195">
            <v>3000</v>
          </cell>
          <cell r="AC195">
            <v>1000</v>
          </cell>
          <cell r="AF195">
            <v>3500</v>
          </cell>
          <cell r="AG195">
            <v>1500</v>
          </cell>
          <cell r="AH195">
            <v>3500</v>
          </cell>
          <cell r="AJ195">
            <v>5000</v>
          </cell>
          <cell r="AK195">
            <v>3000</v>
          </cell>
          <cell r="AL195">
            <v>500</v>
          </cell>
          <cell r="AM195">
            <v>2000</v>
          </cell>
          <cell r="AN195">
            <v>2000</v>
          </cell>
          <cell r="AO195">
            <v>2000</v>
          </cell>
          <cell r="AP195">
            <v>2000</v>
          </cell>
          <cell r="AQ195">
            <v>2500</v>
          </cell>
          <cell r="AR195">
            <v>1000</v>
          </cell>
          <cell r="AT195">
            <v>3500</v>
          </cell>
          <cell r="AU195">
            <v>13501</v>
          </cell>
          <cell r="AV195">
            <v>7000</v>
          </cell>
          <cell r="DB195" t="str">
            <v>SIN USO</v>
          </cell>
          <cell r="DC195" t="str">
            <v>C</v>
          </cell>
          <cell r="DE195">
            <v>0</v>
          </cell>
          <cell r="DF195">
            <v>0</v>
          </cell>
          <cell r="DG195">
            <v>3207.357623310741</v>
          </cell>
          <cell r="DH195">
            <v>0</v>
          </cell>
          <cell r="DI195" t="str">
            <v>0</v>
          </cell>
          <cell r="DJ195">
            <v>0</v>
          </cell>
          <cell r="DK195" t="str">
            <v>INACTIVO</v>
          </cell>
          <cell r="DL195">
            <v>0</v>
          </cell>
          <cell r="DM195">
            <v>0</v>
          </cell>
          <cell r="DN195">
            <v>0</v>
          </cell>
        </row>
        <row r="196">
          <cell r="B196">
            <v>405376</v>
          </cell>
          <cell r="C196" t="str">
            <v>ETIQUETA CIRCULAR 9cm TORTA SACHER</v>
          </cell>
          <cell r="K196">
            <v>1500</v>
          </cell>
          <cell r="M196">
            <v>5000</v>
          </cell>
          <cell r="N196">
            <v>4000</v>
          </cell>
          <cell r="P196">
            <v>3000</v>
          </cell>
          <cell r="R196">
            <v>4000</v>
          </cell>
          <cell r="S196">
            <v>4000</v>
          </cell>
          <cell r="V196">
            <v>1000</v>
          </cell>
          <cell r="X196">
            <v>6000</v>
          </cell>
          <cell r="Y196">
            <v>6000</v>
          </cell>
          <cell r="Z196">
            <v>2000</v>
          </cell>
          <cell r="AC196">
            <v>5000</v>
          </cell>
          <cell r="AF196">
            <v>5000</v>
          </cell>
          <cell r="AH196">
            <v>4000</v>
          </cell>
          <cell r="AI196">
            <v>4000</v>
          </cell>
          <cell r="AK196">
            <v>10000</v>
          </cell>
          <cell r="AL196">
            <v>1000</v>
          </cell>
          <cell r="AM196">
            <v>3000</v>
          </cell>
          <cell r="AN196">
            <v>3000</v>
          </cell>
          <cell r="AP196">
            <v>2000</v>
          </cell>
          <cell r="AR196">
            <v>2500</v>
          </cell>
          <cell r="AS196">
            <v>3500</v>
          </cell>
          <cell r="BO196">
            <v>8000</v>
          </cell>
          <cell r="DB196" t="str">
            <v>SIN USO</v>
          </cell>
          <cell r="DC196" t="str">
            <v>C</v>
          </cell>
          <cell r="DE196">
            <v>0</v>
          </cell>
          <cell r="DF196">
            <v>0</v>
          </cell>
          <cell r="DG196">
            <v>2648.3270877360223</v>
          </cell>
          <cell r="DH196">
            <v>0</v>
          </cell>
          <cell r="DI196" t="str">
            <v>0</v>
          </cell>
          <cell r="DJ196">
            <v>0</v>
          </cell>
          <cell r="DK196" t="str">
            <v>INACTIVO</v>
          </cell>
          <cell r="DL196">
            <v>0</v>
          </cell>
          <cell r="DM196">
            <v>0</v>
          </cell>
          <cell r="DN196">
            <v>0</v>
          </cell>
        </row>
        <row r="197">
          <cell r="B197">
            <v>405377</v>
          </cell>
          <cell r="C197" t="str">
            <v>ETIQUETA CIRCULAR 9cm TORTA MANJAR LUCUMA</v>
          </cell>
          <cell r="K197">
            <v>1500</v>
          </cell>
          <cell r="L197">
            <v>3000</v>
          </cell>
          <cell r="M197">
            <v>3500</v>
          </cell>
          <cell r="N197">
            <v>3000</v>
          </cell>
          <cell r="O197">
            <v>6000</v>
          </cell>
          <cell r="Q197">
            <v>3000</v>
          </cell>
          <cell r="R197">
            <v>1500</v>
          </cell>
          <cell r="S197">
            <v>2000</v>
          </cell>
          <cell r="AK197">
            <v>17000</v>
          </cell>
          <cell r="AO197">
            <v>6000</v>
          </cell>
          <cell r="DB197" t="str">
            <v>SIN USO</v>
          </cell>
          <cell r="DC197" t="str">
            <v>C</v>
          </cell>
          <cell r="DE197">
            <v>0</v>
          </cell>
          <cell r="DF197">
            <v>0</v>
          </cell>
          <cell r="DG197">
            <v>7778.1745930520228</v>
          </cell>
          <cell r="DH197">
            <v>0</v>
          </cell>
          <cell r="DI197" t="str">
            <v>0</v>
          </cell>
          <cell r="DJ197">
            <v>0</v>
          </cell>
          <cell r="DK197" t="str">
            <v>INACTIVO</v>
          </cell>
          <cell r="DL197">
            <v>0</v>
          </cell>
          <cell r="DM197">
            <v>0</v>
          </cell>
          <cell r="DN197">
            <v>0</v>
          </cell>
        </row>
        <row r="198">
          <cell r="B198">
            <v>405353</v>
          </cell>
          <cell r="C198" t="str">
            <v>ETIQ. CIRCULAR 90cm IMPR. TORTA CUSINE &amp; CO JUMBO COOKIES AND CREAM</v>
          </cell>
          <cell r="K198">
            <v>1000</v>
          </cell>
          <cell r="L198">
            <v>3000</v>
          </cell>
          <cell r="M198">
            <v>5000</v>
          </cell>
          <cell r="V198">
            <v>10000</v>
          </cell>
          <cell r="DB198" t="str">
            <v>SIN USO</v>
          </cell>
          <cell r="DC198" t="str">
            <v/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 t="str">
            <v>0</v>
          </cell>
          <cell r="DJ198">
            <v>0</v>
          </cell>
          <cell r="DK198" t="str">
            <v>INACTIVO</v>
          </cell>
          <cell r="DL198">
            <v>0</v>
          </cell>
          <cell r="DM198">
            <v>0</v>
          </cell>
          <cell r="DN198">
            <v>0</v>
          </cell>
        </row>
        <row r="199">
          <cell r="B199">
            <v>405378</v>
          </cell>
          <cell r="C199" t="str">
            <v>ETIQUETA CIRCULAR 9cm TORTA GUINDA CHOCOLATE</v>
          </cell>
          <cell r="K199">
            <v>8000</v>
          </cell>
          <cell r="M199">
            <v>4000</v>
          </cell>
          <cell r="N199">
            <v>3000</v>
          </cell>
          <cell r="P199">
            <v>4000</v>
          </cell>
          <cell r="Q199">
            <v>2000</v>
          </cell>
          <cell r="R199">
            <v>1500</v>
          </cell>
          <cell r="S199">
            <v>2000</v>
          </cell>
          <cell r="T199">
            <v>3000</v>
          </cell>
          <cell r="V199">
            <v>15000</v>
          </cell>
          <cell r="AO199">
            <v>5000</v>
          </cell>
          <cell r="AQ199">
            <v>4000</v>
          </cell>
          <cell r="BM199">
            <v>5000</v>
          </cell>
          <cell r="DB199" t="str">
            <v>SIN USO</v>
          </cell>
          <cell r="DC199" t="str">
            <v>C</v>
          </cell>
          <cell r="DE199">
            <v>0</v>
          </cell>
          <cell r="DF199">
            <v>0</v>
          </cell>
          <cell r="DG199">
            <v>577.35026918962467</v>
          </cell>
          <cell r="DH199">
            <v>0</v>
          </cell>
          <cell r="DI199" t="str">
            <v>0</v>
          </cell>
          <cell r="DJ199">
            <v>0</v>
          </cell>
          <cell r="DK199" t="str">
            <v>INACTIVO</v>
          </cell>
          <cell r="DL199">
            <v>0</v>
          </cell>
          <cell r="DM199">
            <v>0</v>
          </cell>
          <cell r="DN199">
            <v>0</v>
          </cell>
        </row>
        <row r="200">
          <cell r="B200">
            <v>405402</v>
          </cell>
          <cell r="C200" t="str">
            <v>ETIQUETA GENERICA TORTA CHOCOLATE AVELLANA</v>
          </cell>
          <cell r="N200">
            <v>1000</v>
          </cell>
          <cell r="Q200">
            <v>1500</v>
          </cell>
          <cell r="R200">
            <v>1000</v>
          </cell>
          <cell r="Y200">
            <v>4000</v>
          </cell>
          <cell r="AH200">
            <v>3500</v>
          </cell>
          <cell r="AN200">
            <v>1000</v>
          </cell>
          <cell r="AP200">
            <v>1500</v>
          </cell>
          <cell r="AS200">
            <v>1000</v>
          </cell>
          <cell r="AW200">
            <v>1000</v>
          </cell>
          <cell r="AZ200">
            <v>2500</v>
          </cell>
          <cell r="BD200">
            <v>2000</v>
          </cell>
          <cell r="BJ200">
            <v>1000</v>
          </cell>
          <cell r="BL200">
            <v>1000</v>
          </cell>
          <cell r="CV200">
            <v>7000</v>
          </cell>
          <cell r="DB200" t="str">
            <v>SIN USO</v>
          </cell>
          <cell r="DC200" t="str">
            <v>C</v>
          </cell>
          <cell r="DE200">
            <v>7000</v>
          </cell>
          <cell r="DF200">
            <v>1166.6666666666667</v>
          </cell>
          <cell r="DG200">
            <v>893.65044123030066</v>
          </cell>
          <cell r="DH200">
            <v>0</v>
          </cell>
          <cell r="DI200" t="str">
            <v>0</v>
          </cell>
          <cell r="DJ200">
            <v>0</v>
          </cell>
          <cell r="DK200" t="str">
            <v>INACTIVO</v>
          </cell>
          <cell r="DL200">
            <v>7000</v>
          </cell>
          <cell r="DM200">
            <v>2333.3333333333335</v>
          </cell>
          <cell r="DN200">
            <v>9333.3333333333339</v>
          </cell>
        </row>
        <row r="201">
          <cell r="B201">
            <v>405310</v>
          </cell>
          <cell r="C201" t="str">
            <v>ETIQUETA OPP TRANSPARENTE 22X32 CRISME</v>
          </cell>
          <cell r="AC201">
            <v>15000</v>
          </cell>
          <cell r="AG201">
            <v>5000</v>
          </cell>
          <cell r="AH201">
            <v>5000</v>
          </cell>
          <cell r="AP201">
            <v>5000</v>
          </cell>
          <cell r="BB201">
            <v>5000</v>
          </cell>
          <cell r="BC201">
            <v>20000</v>
          </cell>
          <cell r="BD201">
            <v>10000</v>
          </cell>
          <cell r="BW201">
            <v>20000</v>
          </cell>
          <cell r="CA201">
            <v>50000</v>
          </cell>
          <cell r="CB201">
            <v>30000</v>
          </cell>
          <cell r="CC201">
            <v>40000</v>
          </cell>
          <cell r="CD201">
            <v>175000</v>
          </cell>
          <cell r="CP201">
            <v>10000</v>
          </cell>
          <cell r="CS201">
            <v>20000</v>
          </cell>
          <cell r="CY201">
            <v>20000</v>
          </cell>
          <cell r="DB201" t="str">
            <v>SIN USO</v>
          </cell>
          <cell r="DC201" t="str">
            <v>C</v>
          </cell>
          <cell r="DE201">
            <v>15000</v>
          </cell>
          <cell r="DF201">
            <v>2500</v>
          </cell>
          <cell r="DG201">
            <v>49511.24757430009</v>
          </cell>
          <cell r="DH201">
            <v>170000</v>
          </cell>
          <cell r="DI201">
            <v>1241000</v>
          </cell>
          <cell r="DJ201">
            <v>11.333333333333334</v>
          </cell>
          <cell r="DK201" t="str">
            <v>INACTIVO</v>
          </cell>
          <cell r="DL201">
            <v>15000</v>
          </cell>
          <cell r="DM201">
            <v>5000</v>
          </cell>
          <cell r="DN201">
            <v>20000</v>
          </cell>
        </row>
        <row r="202">
          <cell r="B202">
            <v>107407</v>
          </cell>
          <cell r="C202" t="str">
            <v>ETIQUETA GALLETA AMERICAN CRISPY CHIP DE CHOCOLATE</v>
          </cell>
          <cell r="Z202">
            <v>1000</v>
          </cell>
          <cell r="AH202">
            <v>1000</v>
          </cell>
          <cell r="AJ202">
            <v>2000</v>
          </cell>
          <cell r="AN202">
            <v>1000</v>
          </cell>
          <cell r="AU202">
            <v>2000</v>
          </cell>
          <cell r="AV202">
            <v>1000</v>
          </cell>
          <cell r="AY202">
            <v>1000</v>
          </cell>
          <cell r="BA202">
            <v>1000</v>
          </cell>
          <cell r="BD202">
            <v>2000</v>
          </cell>
          <cell r="BE202">
            <v>500</v>
          </cell>
          <cell r="BK202">
            <v>1200</v>
          </cell>
          <cell r="BR202">
            <v>1000</v>
          </cell>
          <cell r="BS202">
            <v>1000</v>
          </cell>
          <cell r="BX202">
            <v>1000</v>
          </cell>
          <cell r="BY202">
            <v>2000</v>
          </cell>
          <cell r="DB202" t="str">
            <v>SIN USO</v>
          </cell>
          <cell r="DC202" t="str">
            <v>C</v>
          </cell>
          <cell r="DE202">
            <v>0</v>
          </cell>
          <cell r="DF202">
            <v>0</v>
          </cell>
          <cell r="DG202">
            <v>504.75758516363067</v>
          </cell>
          <cell r="DH202">
            <v>0</v>
          </cell>
          <cell r="DI202" t="str">
            <v>0</v>
          </cell>
          <cell r="DJ202">
            <v>0</v>
          </cell>
          <cell r="DK202" t="str">
            <v>INACTIVO</v>
          </cell>
          <cell r="DL202">
            <v>0</v>
          </cell>
          <cell r="DM202">
            <v>0</v>
          </cell>
          <cell r="DN202">
            <v>0</v>
          </cell>
        </row>
        <row r="203">
          <cell r="B203">
            <v>107408</v>
          </cell>
          <cell r="C203" t="str">
            <v>ETIQUETA GALLETA AMERICAN CRISPY CARAMELO SALADO</v>
          </cell>
          <cell r="Z203">
            <v>1000</v>
          </cell>
          <cell r="AF203">
            <v>1000</v>
          </cell>
          <cell r="AH203">
            <v>1000</v>
          </cell>
          <cell r="AJ203">
            <v>2000</v>
          </cell>
          <cell r="AY203">
            <v>1000</v>
          </cell>
          <cell r="BB203">
            <v>3000</v>
          </cell>
          <cell r="BD203">
            <v>1000</v>
          </cell>
          <cell r="BY203">
            <v>2000</v>
          </cell>
          <cell r="DB203" t="str">
            <v>SIN USO</v>
          </cell>
          <cell r="DC203" t="str">
            <v>C</v>
          </cell>
          <cell r="DE203">
            <v>0</v>
          </cell>
          <cell r="DF203">
            <v>0</v>
          </cell>
          <cell r="DG203">
            <v>786.79579246944297</v>
          </cell>
          <cell r="DH203">
            <v>3000</v>
          </cell>
          <cell r="DI203">
            <v>56280</v>
          </cell>
          <cell r="DJ203">
            <v>0</v>
          </cell>
          <cell r="DK203" t="str">
            <v>INACTIVO</v>
          </cell>
          <cell r="DL203">
            <v>0</v>
          </cell>
          <cell r="DM203">
            <v>0</v>
          </cell>
          <cell r="DN203">
            <v>0</v>
          </cell>
        </row>
        <row r="204">
          <cell r="B204">
            <v>107409</v>
          </cell>
          <cell r="C204" t="str">
            <v>ETIQUETA GALLETA AMERICAN CRISPY ALMENDRAS Y CRAMBERRY</v>
          </cell>
          <cell r="Z204">
            <v>1000</v>
          </cell>
          <cell r="AH204">
            <v>1000</v>
          </cell>
          <cell r="AP204">
            <v>1000</v>
          </cell>
          <cell r="BX204">
            <v>3000</v>
          </cell>
          <cell r="DB204" t="str">
            <v>SIN USO</v>
          </cell>
          <cell r="DC204" t="str">
            <v>C</v>
          </cell>
          <cell r="DE204">
            <v>0</v>
          </cell>
          <cell r="DF204">
            <v>0</v>
          </cell>
          <cell r="DG204">
            <v>1154.7005383792516</v>
          </cell>
          <cell r="DH204">
            <v>0</v>
          </cell>
          <cell r="DI204" t="str">
            <v>0</v>
          </cell>
          <cell r="DJ204">
            <v>0</v>
          </cell>
          <cell r="DK204" t="str">
            <v>INACTIVO</v>
          </cell>
          <cell r="DL204">
            <v>0</v>
          </cell>
          <cell r="DM204">
            <v>0</v>
          </cell>
          <cell r="DN204">
            <v>0</v>
          </cell>
        </row>
        <row r="205">
          <cell r="B205">
            <v>107410</v>
          </cell>
          <cell r="C205" t="str">
            <v>ETIQUETA GALLETA AMERICAN CRISPY BROWNIE CHIPS</v>
          </cell>
          <cell r="Z205">
            <v>1000</v>
          </cell>
          <cell r="AH205">
            <v>3000</v>
          </cell>
          <cell r="AL205">
            <v>500</v>
          </cell>
          <cell r="AP205">
            <v>1000</v>
          </cell>
          <cell r="AR205">
            <v>1000</v>
          </cell>
          <cell r="BG205">
            <v>1000</v>
          </cell>
          <cell r="BW205">
            <v>3000</v>
          </cell>
          <cell r="DB205" t="str">
            <v>SIN USO</v>
          </cell>
          <cell r="DC205" t="str">
            <v>C</v>
          </cell>
          <cell r="DE205">
            <v>0</v>
          </cell>
          <cell r="DF205">
            <v>0</v>
          </cell>
          <cell r="DG205">
            <v>1114.3009766964519</v>
          </cell>
          <cell r="DH205">
            <v>0</v>
          </cell>
          <cell r="DI205" t="str">
            <v>0</v>
          </cell>
          <cell r="DJ205">
            <v>0</v>
          </cell>
          <cell r="DK205" t="str">
            <v>INACTIVO</v>
          </cell>
          <cell r="DL205">
            <v>0</v>
          </cell>
          <cell r="DM205">
            <v>0</v>
          </cell>
          <cell r="DN205">
            <v>0</v>
          </cell>
        </row>
        <row r="206">
          <cell r="B206">
            <v>107411</v>
          </cell>
          <cell r="C206" t="str">
            <v>ETIQUETA GALLETA AMERICAN COCADA CRANBERRY</v>
          </cell>
          <cell r="Z206">
            <v>1000</v>
          </cell>
          <cell r="AH206">
            <v>2000</v>
          </cell>
          <cell r="DB206" t="str">
            <v>SIN USO</v>
          </cell>
          <cell r="DC206" t="str">
            <v>C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 t="str">
            <v>0</v>
          </cell>
          <cell r="DJ206">
            <v>0</v>
          </cell>
          <cell r="DK206" t="str">
            <v>INACTIVO</v>
          </cell>
          <cell r="DL206">
            <v>0</v>
          </cell>
          <cell r="DM206">
            <v>0</v>
          </cell>
          <cell r="DN206">
            <v>0</v>
          </cell>
        </row>
        <row r="207">
          <cell r="B207">
            <v>107412</v>
          </cell>
          <cell r="C207" t="str">
            <v>ETIQUETA GALLETA AMERICAN CHUNK CHOCOLATE</v>
          </cell>
          <cell r="Z207">
            <v>1000</v>
          </cell>
          <cell r="AH207">
            <v>1000</v>
          </cell>
          <cell r="AT207">
            <v>1000</v>
          </cell>
          <cell r="BA207">
            <v>1000</v>
          </cell>
          <cell r="BH207">
            <v>1000</v>
          </cell>
          <cell r="BS207">
            <v>1600</v>
          </cell>
          <cell r="DB207" t="str">
            <v>SIN USO</v>
          </cell>
          <cell r="DC207" t="str">
            <v>C</v>
          </cell>
          <cell r="DE207">
            <v>0</v>
          </cell>
          <cell r="DF207">
            <v>0</v>
          </cell>
          <cell r="DG207">
            <v>268.32815729997475</v>
          </cell>
          <cell r="DH207">
            <v>0</v>
          </cell>
          <cell r="DI207" t="str">
            <v>0</v>
          </cell>
          <cell r="DJ207">
            <v>0</v>
          </cell>
          <cell r="DK207" t="str">
            <v>INACTIVO</v>
          </cell>
          <cell r="DL207">
            <v>0</v>
          </cell>
          <cell r="DM207">
            <v>0</v>
          </cell>
          <cell r="DN207">
            <v>0</v>
          </cell>
        </row>
        <row r="208">
          <cell r="B208">
            <v>107413</v>
          </cell>
          <cell r="C208" t="str">
            <v>ETIQUETA GALLETA AMERICAN CHUNK MACADAMIA Y CHOCOLATE BLANCO</v>
          </cell>
          <cell r="Z208">
            <v>1000</v>
          </cell>
          <cell r="AH208">
            <v>1000</v>
          </cell>
          <cell r="AQ208">
            <v>2000</v>
          </cell>
          <cell r="BS208">
            <v>4000</v>
          </cell>
          <cell r="DB208" t="str">
            <v>SIN USO</v>
          </cell>
          <cell r="DC208" t="str">
            <v>C</v>
          </cell>
          <cell r="DE208">
            <v>0</v>
          </cell>
          <cell r="DF208">
            <v>0</v>
          </cell>
          <cell r="DG208">
            <v>1527.5252316519466</v>
          </cell>
          <cell r="DH208">
            <v>0</v>
          </cell>
          <cell r="DI208" t="str">
            <v>0</v>
          </cell>
          <cell r="DJ208">
            <v>0</v>
          </cell>
          <cell r="DK208" t="str">
            <v>INACTIVO</v>
          </cell>
          <cell r="DL208">
            <v>0</v>
          </cell>
          <cell r="DM208">
            <v>0</v>
          </cell>
          <cell r="DN208">
            <v>0</v>
          </cell>
        </row>
        <row r="209">
          <cell r="B209">
            <v>107414</v>
          </cell>
          <cell r="C209" t="str">
            <v>ETIQUETA GALLETA AMERICAN CHUNK CHOCOLATE Y CARAMELO</v>
          </cell>
          <cell r="Z209">
            <v>1000</v>
          </cell>
          <cell r="AF209">
            <v>1000</v>
          </cell>
          <cell r="AH209">
            <v>4000</v>
          </cell>
          <cell r="AJ209">
            <v>1000</v>
          </cell>
          <cell r="DB209" t="str">
            <v>SIN USO</v>
          </cell>
          <cell r="DC209" t="str">
            <v>C</v>
          </cell>
          <cell r="DE209">
            <v>0</v>
          </cell>
          <cell r="DF209">
            <v>0</v>
          </cell>
          <cell r="DG209">
            <v>1732.0508075688772</v>
          </cell>
          <cell r="DH209">
            <v>0</v>
          </cell>
          <cell r="DI209" t="str">
            <v>0</v>
          </cell>
          <cell r="DJ209">
            <v>0</v>
          </cell>
          <cell r="DK209" t="str">
            <v>INACTIVO</v>
          </cell>
          <cell r="DL209">
            <v>0</v>
          </cell>
          <cell r="DM209">
            <v>0</v>
          </cell>
          <cell r="DN209">
            <v>0</v>
          </cell>
        </row>
        <row r="210">
          <cell r="D210">
            <v>318500</v>
          </cell>
          <cell r="E210">
            <v>240500</v>
          </cell>
          <cell r="F210">
            <v>261000</v>
          </cell>
          <cell r="G210">
            <v>481500</v>
          </cell>
          <cell r="H210">
            <v>62500</v>
          </cell>
          <cell r="I210">
            <v>274500</v>
          </cell>
          <cell r="J210">
            <v>319000</v>
          </cell>
          <cell r="K210">
            <v>360000</v>
          </cell>
          <cell r="L210">
            <v>267000</v>
          </cell>
          <cell r="M210">
            <v>256500</v>
          </cell>
          <cell r="N210">
            <v>244000</v>
          </cell>
          <cell r="O210">
            <v>313500</v>
          </cell>
          <cell r="P210">
            <v>32500</v>
          </cell>
          <cell r="Q210">
            <v>215500</v>
          </cell>
          <cell r="R210">
            <v>199500</v>
          </cell>
          <cell r="S210">
            <v>220500</v>
          </cell>
          <cell r="T210">
            <v>253500</v>
          </cell>
          <cell r="U210">
            <v>65000</v>
          </cell>
          <cell r="V210">
            <v>296000</v>
          </cell>
          <cell r="W210">
            <v>236500</v>
          </cell>
          <cell r="X210">
            <v>280500</v>
          </cell>
          <cell r="Y210">
            <v>387500</v>
          </cell>
          <cell r="Z210">
            <v>66500</v>
          </cell>
          <cell r="AA210">
            <v>219500</v>
          </cell>
          <cell r="AB210">
            <v>185000</v>
          </cell>
          <cell r="AC210">
            <v>168500</v>
          </cell>
          <cell r="AD210">
            <v>104500</v>
          </cell>
          <cell r="AE210">
            <v>15500</v>
          </cell>
          <cell r="AF210">
            <v>176000</v>
          </cell>
          <cell r="AG210">
            <v>159500</v>
          </cell>
          <cell r="AH210">
            <v>293500</v>
          </cell>
          <cell r="AI210">
            <v>240200</v>
          </cell>
          <cell r="AJ210">
            <v>216000</v>
          </cell>
          <cell r="AK210">
            <v>217500</v>
          </cell>
          <cell r="AL210">
            <v>198000</v>
          </cell>
          <cell r="AM210">
            <v>169000</v>
          </cell>
          <cell r="AN210">
            <v>237500</v>
          </cell>
          <cell r="AO210">
            <v>192502</v>
          </cell>
          <cell r="AP210">
            <v>304000</v>
          </cell>
          <cell r="AQ210">
            <v>192999</v>
          </cell>
          <cell r="AR210">
            <v>390500</v>
          </cell>
          <cell r="AS210">
            <v>109300</v>
          </cell>
          <cell r="AT210">
            <v>250000</v>
          </cell>
          <cell r="AU210">
            <v>431501</v>
          </cell>
          <cell r="AV210">
            <v>254500</v>
          </cell>
          <cell r="AW210">
            <v>449000</v>
          </cell>
          <cell r="AX210">
            <v>241000</v>
          </cell>
          <cell r="AY210">
            <v>285000</v>
          </cell>
          <cell r="AZ210">
            <v>124300</v>
          </cell>
          <cell r="BA210">
            <v>234200</v>
          </cell>
          <cell r="BB210">
            <v>277000</v>
          </cell>
          <cell r="BC210">
            <v>280500</v>
          </cell>
          <cell r="BD210">
            <v>359300</v>
          </cell>
          <cell r="BE210">
            <v>254700</v>
          </cell>
          <cell r="BF210">
            <v>49000</v>
          </cell>
          <cell r="BG210">
            <v>245000</v>
          </cell>
          <cell r="BH210">
            <v>471000</v>
          </cell>
          <cell r="BI210">
            <v>135000</v>
          </cell>
          <cell r="BJ210">
            <v>276500</v>
          </cell>
          <cell r="BK210">
            <v>256700</v>
          </cell>
          <cell r="BL210">
            <v>272001</v>
          </cell>
          <cell r="BM210">
            <v>257000</v>
          </cell>
          <cell r="BN210">
            <v>448500</v>
          </cell>
          <cell r="BO210">
            <v>128000</v>
          </cell>
          <cell r="BP210">
            <v>35500</v>
          </cell>
          <cell r="BQ210">
            <v>428001</v>
          </cell>
          <cell r="BR210">
            <v>51100</v>
          </cell>
          <cell r="BS210">
            <v>462500</v>
          </cell>
          <cell r="BT210">
            <v>137500</v>
          </cell>
          <cell r="BU210">
            <v>298600</v>
          </cell>
          <cell r="BV210">
            <v>221500</v>
          </cell>
          <cell r="BW210">
            <v>376000</v>
          </cell>
          <cell r="BX210">
            <v>91500</v>
          </cell>
          <cell r="BY210">
            <v>199500</v>
          </cell>
          <cell r="BZ210">
            <v>227000</v>
          </cell>
          <cell r="CA210">
            <v>335500</v>
          </cell>
          <cell r="CB210">
            <v>169500</v>
          </cell>
          <cell r="CC210">
            <v>92000</v>
          </cell>
          <cell r="CD210">
            <v>873500</v>
          </cell>
          <cell r="CE210">
            <v>31500</v>
          </cell>
          <cell r="CF210">
            <v>95000</v>
          </cell>
          <cell r="CG210">
            <v>161500</v>
          </cell>
          <cell r="CH210">
            <v>262500</v>
          </cell>
          <cell r="CI210">
            <v>413015</v>
          </cell>
          <cell r="CJ210">
            <v>133500</v>
          </cell>
          <cell r="CK210">
            <v>220000</v>
          </cell>
          <cell r="CL210">
            <v>237500</v>
          </cell>
          <cell r="CM210">
            <v>202000</v>
          </cell>
          <cell r="CN210">
            <v>272000</v>
          </cell>
          <cell r="CO210">
            <v>371500</v>
          </cell>
          <cell r="CP210">
            <v>94500</v>
          </cell>
          <cell r="CQ210">
            <v>143100</v>
          </cell>
          <cell r="CR210">
            <v>233000</v>
          </cell>
          <cell r="CS210">
            <v>205000</v>
          </cell>
          <cell r="CT210">
            <v>384500</v>
          </cell>
          <cell r="CU210">
            <v>343000</v>
          </cell>
          <cell r="CV210">
            <v>570400</v>
          </cell>
          <cell r="CW210">
            <v>427500</v>
          </cell>
          <cell r="CX210">
            <v>56500</v>
          </cell>
          <cell r="CY210">
            <v>222500</v>
          </cell>
          <cell r="CZ210">
            <v>286000</v>
          </cell>
          <cell r="DA210">
            <v>200000</v>
          </cell>
          <cell r="DB210" t="str">
            <v>ACTIVO</v>
          </cell>
          <cell r="DC210" t="str">
            <v/>
          </cell>
          <cell r="DE210">
            <v>255412.64705882352</v>
          </cell>
          <cell r="DF210">
            <v>42568.774509803923</v>
          </cell>
          <cell r="DG210">
            <v>144791.2464981387</v>
          </cell>
          <cell r="DH210">
            <v>0</v>
          </cell>
          <cell r="DI210" t="str">
            <v>0</v>
          </cell>
          <cell r="DJ210">
            <v>0</v>
          </cell>
          <cell r="DK210" t="str">
            <v>INACTIVO</v>
          </cell>
          <cell r="DL210">
            <v>0</v>
          </cell>
          <cell r="DM210">
            <v>85137.549019607846</v>
          </cell>
          <cell r="DN210">
            <v>85137.549019607846</v>
          </cell>
        </row>
        <row r="211">
          <cell r="B211">
            <v>401010</v>
          </cell>
          <cell r="C211" t="str">
            <v>STRECH FILM BLANCO</v>
          </cell>
          <cell r="F211">
            <v>2</v>
          </cell>
          <cell r="L211">
            <v>12</v>
          </cell>
          <cell r="M211">
            <v>2</v>
          </cell>
          <cell r="P211">
            <v>6</v>
          </cell>
          <cell r="Z211">
            <v>6</v>
          </cell>
          <cell r="AC211">
            <v>12</v>
          </cell>
          <cell r="AJ211">
            <v>165</v>
          </cell>
          <cell r="AT211">
            <v>11</v>
          </cell>
          <cell r="BG211">
            <v>21</v>
          </cell>
          <cell r="BR211">
            <v>30</v>
          </cell>
          <cell r="BV211">
            <v>24</v>
          </cell>
          <cell r="CJ211">
            <v>1</v>
          </cell>
          <cell r="CR211">
            <v>19</v>
          </cell>
          <cell r="CT211">
            <v>1</v>
          </cell>
          <cell r="CU211">
            <v>1</v>
          </cell>
          <cell r="CV211">
            <v>3</v>
          </cell>
          <cell r="DB211" t="str">
            <v>ACTIVO</v>
          </cell>
          <cell r="DC211" t="str">
            <v>C</v>
          </cell>
          <cell r="DE211">
            <v>5</v>
          </cell>
          <cell r="DF211">
            <v>0.83333333333333337</v>
          </cell>
          <cell r="DG211">
            <v>64.542234234646699</v>
          </cell>
          <cell r="DH211">
            <v>250</v>
          </cell>
          <cell r="DI211">
            <v>988800</v>
          </cell>
          <cell r="DJ211">
            <v>50</v>
          </cell>
          <cell r="DK211" t="str">
            <v>OK</v>
          </cell>
          <cell r="DL211">
            <v>2.5</v>
          </cell>
          <cell r="DM211">
            <v>1.6666666666666667</v>
          </cell>
          <cell r="DN211">
            <v>4.166666666666667</v>
          </cell>
        </row>
        <row r="212">
          <cell r="B212">
            <v>401012</v>
          </cell>
          <cell r="C212" t="str">
            <v>STRECH FILM VERDE</v>
          </cell>
          <cell r="D212">
            <v>2</v>
          </cell>
          <cell r="E212">
            <v>6</v>
          </cell>
          <cell r="G212">
            <v>9</v>
          </cell>
          <cell r="H212">
            <v>15</v>
          </cell>
          <cell r="I212">
            <v>12</v>
          </cell>
          <cell r="J212">
            <v>3</v>
          </cell>
          <cell r="K212">
            <v>2</v>
          </cell>
          <cell r="N212">
            <v>7</v>
          </cell>
          <cell r="O212">
            <v>7</v>
          </cell>
          <cell r="R212">
            <v>6</v>
          </cell>
          <cell r="S212">
            <v>5</v>
          </cell>
          <cell r="V212">
            <v>3</v>
          </cell>
          <cell r="W212">
            <v>8</v>
          </cell>
          <cell r="X212">
            <v>3</v>
          </cell>
          <cell r="Y212">
            <v>6</v>
          </cell>
          <cell r="Z212">
            <v>6</v>
          </cell>
          <cell r="AC212">
            <v>3</v>
          </cell>
          <cell r="AI212">
            <v>6</v>
          </cell>
          <cell r="AJ212">
            <v>6</v>
          </cell>
          <cell r="AK212">
            <v>42</v>
          </cell>
          <cell r="AL212">
            <v>5</v>
          </cell>
          <cell r="AM212">
            <v>3</v>
          </cell>
          <cell r="AN212">
            <v>1</v>
          </cell>
          <cell r="AO212">
            <v>2</v>
          </cell>
          <cell r="AR212">
            <v>6</v>
          </cell>
          <cell r="AU212">
            <v>10</v>
          </cell>
          <cell r="AW212">
            <v>3</v>
          </cell>
          <cell r="AX212">
            <v>10</v>
          </cell>
          <cell r="AY212">
            <v>5</v>
          </cell>
          <cell r="AZ212">
            <v>3</v>
          </cell>
          <cell r="BA212">
            <v>3</v>
          </cell>
          <cell r="BB212">
            <v>4</v>
          </cell>
          <cell r="BC212">
            <v>4</v>
          </cell>
          <cell r="BD212">
            <v>8</v>
          </cell>
          <cell r="BE212">
            <v>1</v>
          </cell>
          <cell r="BF212">
            <v>1</v>
          </cell>
          <cell r="BI212">
            <v>1</v>
          </cell>
          <cell r="BJ212">
            <v>5</v>
          </cell>
          <cell r="BK212">
            <v>3</v>
          </cell>
          <cell r="BL212">
            <v>4</v>
          </cell>
          <cell r="BO212">
            <v>3</v>
          </cell>
          <cell r="BP212">
            <v>4</v>
          </cell>
          <cell r="BR212">
            <v>2</v>
          </cell>
          <cell r="BS212">
            <v>4</v>
          </cell>
          <cell r="BU212">
            <v>1</v>
          </cell>
          <cell r="BV212">
            <v>1</v>
          </cell>
          <cell r="BW212">
            <v>2</v>
          </cell>
          <cell r="BZ212">
            <v>7</v>
          </cell>
          <cell r="CB212">
            <v>2</v>
          </cell>
          <cell r="CD212">
            <v>2</v>
          </cell>
          <cell r="CF212">
            <v>1</v>
          </cell>
          <cell r="CG212">
            <v>6</v>
          </cell>
          <cell r="CH212">
            <v>1</v>
          </cell>
          <cell r="CI212">
            <v>4</v>
          </cell>
          <cell r="CK212">
            <v>3</v>
          </cell>
          <cell r="CL212">
            <v>4</v>
          </cell>
          <cell r="CM212">
            <v>2</v>
          </cell>
          <cell r="CN212">
            <v>2</v>
          </cell>
          <cell r="CO212">
            <v>5</v>
          </cell>
          <cell r="CP212">
            <v>6</v>
          </cell>
          <cell r="CQ212">
            <v>4</v>
          </cell>
          <cell r="CR212">
            <v>5</v>
          </cell>
          <cell r="CS212">
            <v>3</v>
          </cell>
          <cell r="CT212">
            <v>3</v>
          </cell>
          <cell r="CU212">
            <v>6</v>
          </cell>
          <cell r="CV212">
            <v>2</v>
          </cell>
          <cell r="CW212">
            <v>2</v>
          </cell>
          <cell r="CX212">
            <v>2</v>
          </cell>
          <cell r="CY212">
            <v>3</v>
          </cell>
          <cell r="CZ212">
            <v>4</v>
          </cell>
          <cell r="DA212">
            <v>3</v>
          </cell>
          <cell r="DB212" t="str">
            <v>ACTIVO</v>
          </cell>
          <cell r="DC212" t="str">
            <v>C</v>
          </cell>
          <cell r="DE212">
            <v>3.5625</v>
          </cell>
          <cell r="DF212">
            <v>0.59375</v>
          </cell>
          <cell r="DG212">
            <v>7.0820408803044215</v>
          </cell>
          <cell r="DH212">
            <v>143</v>
          </cell>
          <cell r="DI212">
            <v>562580.59</v>
          </cell>
          <cell r="DJ212">
            <v>40.140350877192979</v>
          </cell>
          <cell r="DK212" t="str">
            <v>OK</v>
          </cell>
          <cell r="DL212">
            <v>1.78125</v>
          </cell>
          <cell r="DM212">
            <v>1.1875</v>
          </cell>
          <cell r="DN212">
            <v>2.96875</v>
          </cell>
        </row>
        <row r="213">
          <cell r="B213">
            <v>401013</v>
          </cell>
          <cell r="C213" t="str">
            <v>STRECH FILM AZUL</v>
          </cell>
          <cell r="D213">
            <v>33</v>
          </cell>
          <cell r="E213">
            <v>12</v>
          </cell>
          <cell r="G213">
            <v>8</v>
          </cell>
          <cell r="H213">
            <v>15</v>
          </cell>
          <cell r="I213">
            <v>12</v>
          </cell>
          <cell r="J213">
            <v>36</v>
          </cell>
          <cell r="K213">
            <v>21</v>
          </cell>
          <cell r="L213">
            <v>13</v>
          </cell>
          <cell r="M213">
            <v>9</v>
          </cell>
          <cell r="N213">
            <v>12</v>
          </cell>
          <cell r="O213">
            <v>3</v>
          </cell>
          <cell r="P213">
            <v>5</v>
          </cell>
          <cell r="X213">
            <v>1</v>
          </cell>
          <cell r="Y213">
            <v>6</v>
          </cell>
          <cell r="Z213">
            <v>6</v>
          </cell>
          <cell r="AB213">
            <v>1</v>
          </cell>
          <cell r="AE213">
            <v>4</v>
          </cell>
          <cell r="AF213">
            <v>5</v>
          </cell>
          <cell r="AG213">
            <v>9</v>
          </cell>
          <cell r="AH213">
            <v>5</v>
          </cell>
          <cell r="AI213">
            <v>58</v>
          </cell>
          <cell r="AJ213">
            <v>9</v>
          </cell>
          <cell r="AK213">
            <v>49</v>
          </cell>
          <cell r="AL213">
            <v>8</v>
          </cell>
          <cell r="AN213">
            <v>4</v>
          </cell>
          <cell r="AO213">
            <v>10</v>
          </cell>
          <cell r="AP213">
            <v>5</v>
          </cell>
          <cell r="AY213">
            <v>4</v>
          </cell>
          <cell r="AZ213">
            <v>9</v>
          </cell>
          <cell r="BA213">
            <v>7</v>
          </cell>
          <cell r="BB213">
            <v>5</v>
          </cell>
          <cell r="BC213">
            <v>7</v>
          </cell>
          <cell r="BD213">
            <v>6</v>
          </cell>
          <cell r="BE213">
            <v>4</v>
          </cell>
          <cell r="BF213">
            <v>1</v>
          </cell>
          <cell r="BG213">
            <v>3</v>
          </cell>
          <cell r="BH213">
            <v>4</v>
          </cell>
          <cell r="BI213">
            <v>8</v>
          </cell>
          <cell r="BJ213">
            <v>12</v>
          </cell>
          <cell r="BK213">
            <v>10</v>
          </cell>
          <cell r="BL213">
            <v>5</v>
          </cell>
          <cell r="BM213">
            <v>1</v>
          </cell>
          <cell r="BN213">
            <v>7</v>
          </cell>
          <cell r="BO213">
            <v>7</v>
          </cell>
          <cell r="BP213">
            <v>2</v>
          </cell>
          <cell r="BQ213">
            <v>10</v>
          </cell>
          <cell r="BR213">
            <v>6</v>
          </cell>
          <cell r="BS213">
            <v>15</v>
          </cell>
          <cell r="BT213">
            <v>3</v>
          </cell>
          <cell r="BU213">
            <v>11</v>
          </cell>
          <cell r="BV213">
            <v>6</v>
          </cell>
          <cell r="BW213">
            <v>6</v>
          </cell>
          <cell r="BX213">
            <v>2</v>
          </cell>
          <cell r="BY213">
            <v>5</v>
          </cell>
          <cell r="BZ213">
            <v>10</v>
          </cell>
          <cell r="CA213">
            <v>17</v>
          </cell>
          <cell r="CB213">
            <v>6</v>
          </cell>
          <cell r="CC213">
            <v>7</v>
          </cell>
          <cell r="CD213">
            <v>5</v>
          </cell>
          <cell r="CE213">
            <v>3</v>
          </cell>
          <cell r="CG213">
            <v>9</v>
          </cell>
          <cell r="CH213">
            <v>5</v>
          </cell>
          <cell r="CI213">
            <v>14</v>
          </cell>
          <cell r="CJ213">
            <v>2</v>
          </cell>
          <cell r="CK213">
            <v>11</v>
          </cell>
          <cell r="CL213">
            <v>10</v>
          </cell>
          <cell r="CM213">
            <v>5</v>
          </cell>
          <cell r="CO213">
            <v>8</v>
          </cell>
          <cell r="CP213">
            <v>68</v>
          </cell>
          <cell r="CQ213">
            <v>11</v>
          </cell>
          <cell r="CR213">
            <v>13</v>
          </cell>
          <cell r="CS213">
            <v>8</v>
          </cell>
          <cell r="CT213">
            <v>1</v>
          </cell>
          <cell r="CU213">
            <v>12</v>
          </cell>
          <cell r="CV213">
            <v>18</v>
          </cell>
          <cell r="CW213">
            <v>9</v>
          </cell>
          <cell r="CX213">
            <v>17</v>
          </cell>
          <cell r="CY213">
            <v>96</v>
          </cell>
          <cell r="CZ213">
            <v>4</v>
          </cell>
          <cell r="DA213">
            <v>11</v>
          </cell>
          <cell r="DB213" t="str">
            <v>ACTIVO</v>
          </cell>
          <cell r="DC213" t="str">
            <v>C</v>
          </cell>
          <cell r="DE213">
            <v>13</v>
          </cell>
          <cell r="DF213">
            <v>2.1666666666666665</v>
          </cell>
          <cell r="DG213">
            <v>10.51043979141118</v>
          </cell>
          <cell r="DH213">
            <v>131</v>
          </cell>
          <cell r="DI213">
            <v>518630.31</v>
          </cell>
          <cell r="DJ213">
            <v>10.076923076923077</v>
          </cell>
          <cell r="DK213" t="str">
            <v>OK</v>
          </cell>
          <cell r="DL213">
            <v>6.5</v>
          </cell>
          <cell r="DM213">
            <v>4.333333333333333</v>
          </cell>
          <cell r="DN213">
            <v>10.833333333333332</v>
          </cell>
        </row>
        <row r="214">
          <cell r="B214">
            <v>401015</v>
          </cell>
          <cell r="C214" t="str">
            <v>STRECH FILM AMARILLO</v>
          </cell>
          <cell r="I214">
            <v>2</v>
          </cell>
          <cell r="M214">
            <v>1</v>
          </cell>
          <cell r="AA214">
            <v>1</v>
          </cell>
          <cell r="AJ214">
            <v>1</v>
          </cell>
          <cell r="AK214">
            <v>60</v>
          </cell>
          <cell r="BP214">
            <v>2</v>
          </cell>
          <cell r="BX214">
            <v>3</v>
          </cell>
          <cell r="CD214">
            <v>1</v>
          </cell>
          <cell r="CH214">
            <v>1</v>
          </cell>
          <cell r="CL214">
            <v>1</v>
          </cell>
          <cell r="CO214">
            <v>1</v>
          </cell>
          <cell r="CP214">
            <v>4</v>
          </cell>
          <cell r="CR214">
            <v>1</v>
          </cell>
          <cell r="CU214">
            <v>3</v>
          </cell>
          <cell r="CV214">
            <v>2</v>
          </cell>
          <cell r="CW214">
            <v>2</v>
          </cell>
          <cell r="CX214">
            <v>2</v>
          </cell>
          <cell r="DA214">
            <v>1</v>
          </cell>
          <cell r="DB214" t="str">
            <v>ACTIVO</v>
          </cell>
          <cell r="DC214" t="str">
            <v>C</v>
          </cell>
          <cell r="DE214">
            <v>1.8571428571428572</v>
          </cell>
          <cell r="DF214">
            <v>0.30952380952380953</v>
          </cell>
          <cell r="DG214">
            <v>26.06338427756457</v>
          </cell>
          <cell r="DH214">
            <v>147</v>
          </cell>
          <cell r="DI214">
            <v>577892.28</v>
          </cell>
          <cell r="DJ214">
            <v>79.153846153846146</v>
          </cell>
          <cell r="DK214" t="str">
            <v>OK</v>
          </cell>
          <cell r="DL214">
            <v>0.9285714285714286</v>
          </cell>
          <cell r="DM214">
            <v>0.61904761904761907</v>
          </cell>
          <cell r="DN214">
            <v>1.5476190476190477</v>
          </cell>
        </row>
        <row r="215">
          <cell r="B215">
            <v>401011</v>
          </cell>
          <cell r="C215" t="str">
            <v>STRECH FILM NEGRO</v>
          </cell>
          <cell r="L215">
            <v>2</v>
          </cell>
          <cell r="N215">
            <v>2</v>
          </cell>
          <cell r="O215">
            <v>1</v>
          </cell>
          <cell r="R215">
            <v>3</v>
          </cell>
          <cell r="S215">
            <v>2</v>
          </cell>
          <cell r="T215">
            <v>2</v>
          </cell>
          <cell r="V215">
            <v>5</v>
          </cell>
          <cell r="AB215">
            <v>2</v>
          </cell>
          <cell r="AC215">
            <v>6</v>
          </cell>
          <cell r="AG215">
            <v>3</v>
          </cell>
          <cell r="AH215">
            <v>2</v>
          </cell>
          <cell r="AI215">
            <v>2</v>
          </cell>
          <cell r="AK215">
            <v>64</v>
          </cell>
          <cell r="AL215">
            <v>1</v>
          </cell>
          <cell r="AN215">
            <v>6</v>
          </cell>
          <cell r="AP215">
            <v>2</v>
          </cell>
          <cell r="AT215">
            <v>4</v>
          </cell>
          <cell r="AY215">
            <v>2</v>
          </cell>
          <cell r="BC215">
            <v>2</v>
          </cell>
          <cell r="BH215">
            <v>3</v>
          </cell>
          <cell r="BI215">
            <v>3</v>
          </cell>
          <cell r="BU215">
            <v>1</v>
          </cell>
          <cell r="BW215">
            <v>3</v>
          </cell>
          <cell r="BZ215">
            <v>6</v>
          </cell>
          <cell r="CI215">
            <v>2</v>
          </cell>
          <cell r="CM215">
            <v>1</v>
          </cell>
          <cell r="CP215">
            <v>5</v>
          </cell>
          <cell r="CV215">
            <v>2</v>
          </cell>
          <cell r="CW215">
            <v>3</v>
          </cell>
          <cell r="CX215">
            <v>1</v>
          </cell>
          <cell r="DB215" t="str">
            <v>ACTIVO</v>
          </cell>
          <cell r="DC215" t="str">
            <v>C</v>
          </cell>
          <cell r="DE215">
            <v>2.5</v>
          </cell>
          <cell r="DF215">
            <v>0.41666666666666669</v>
          </cell>
          <cell r="DG215">
            <v>15.858601391523722</v>
          </cell>
          <cell r="DH215">
            <v>0</v>
          </cell>
          <cell r="DI215" t="str">
            <v>0</v>
          </cell>
          <cell r="DJ215">
            <v>0</v>
          </cell>
          <cell r="DK215" t="str">
            <v>COMPRAR</v>
          </cell>
          <cell r="DL215">
            <v>1.25</v>
          </cell>
          <cell r="DM215">
            <v>0.83333333333333337</v>
          </cell>
          <cell r="DN215">
            <v>2.0833333333333335</v>
          </cell>
        </row>
        <row r="216">
          <cell r="B216">
            <v>401014</v>
          </cell>
          <cell r="C216" t="str">
            <v>STRECH FILM ANARANJADO</v>
          </cell>
          <cell r="O216">
            <v>3</v>
          </cell>
          <cell r="Q216">
            <v>3</v>
          </cell>
          <cell r="R216">
            <v>11</v>
          </cell>
          <cell r="X216">
            <v>3</v>
          </cell>
          <cell r="AH216">
            <v>2</v>
          </cell>
          <cell r="AK216">
            <v>62</v>
          </cell>
          <cell r="AL216">
            <v>1</v>
          </cell>
          <cell r="AM216">
            <v>2</v>
          </cell>
          <cell r="AO216">
            <v>4</v>
          </cell>
          <cell r="AY216">
            <v>1</v>
          </cell>
          <cell r="BH216">
            <v>3</v>
          </cell>
          <cell r="BR216">
            <v>1</v>
          </cell>
          <cell r="CF216">
            <v>4</v>
          </cell>
          <cell r="CK216">
            <v>1</v>
          </cell>
          <cell r="CL216">
            <v>1</v>
          </cell>
          <cell r="CO216">
            <v>1</v>
          </cell>
          <cell r="CT216">
            <v>1</v>
          </cell>
          <cell r="CV216">
            <v>1</v>
          </cell>
          <cell r="CW216">
            <v>2</v>
          </cell>
          <cell r="DA216">
            <v>2</v>
          </cell>
          <cell r="DB216" t="str">
            <v>ACTIVO</v>
          </cell>
          <cell r="DC216" t="str">
            <v>C</v>
          </cell>
          <cell r="DE216">
            <v>1.5</v>
          </cell>
          <cell r="DF216">
            <v>0.25</v>
          </cell>
          <cell r="DG216">
            <v>21.240123755356446</v>
          </cell>
          <cell r="DH216">
            <v>193</v>
          </cell>
          <cell r="DI216">
            <v>731145.76</v>
          </cell>
          <cell r="DJ216">
            <v>128.66666666666666</v>
          </cell>
          <cell r="DK216" t="str">
            <v>OK</v>
          </cell>
          <cell r="DL216">
            <v>0.75</v>
          </cell>
          <cell r="DM216">
            <v>0.5</v>
          </cell>
          <cell r="DN216">
            <v>1.25</v>
          </cell>
        </row>
        <row r="217">
          <cell r="B217">
            <v>401019</v>
          </cell>
          <cell r="C217" t="str">
            <v>STRECH FILM ROJO</v>
          </cell>
          <cell r="P217">
            <v>6</v>
          </cell>
          <cell r="S217">
            <v>11</v>
          </cell>
          <cell r="T217">
            <v>17</v>
          </cell>
          <cell r="U217">
            <v>9</v>
          </cell>
          <cell r="V217">
            <v>4</v>
          </cell>
          <cell r="W217">
            <v>11</v>
          </cell>
          <cell r="X217">
            <v>14</v>
          </cell>
          <cell r="AA217">
            <v>4</v>
          </cell>
          <cell r="AC217">
            <v>2</v>
          </cell>
          <cell r="AK217">
            <v>60</v>
          </cell>
          <cell r="AT217">
            <v>6</v>
          </cell>
          <cell r="AV217">
            <v>3</v>
          </cell>
          <cell r="AW217">
            <v>5</v>
          </cell>
          <cell r="AX217">
            <v>11</v>
          </cell>
          <cell r="AY217">
            <v>4</v>
          </cell>
          <cell r="BA217">
            <v>3</v>
          </cell>
          <cell r="BC217">
            <v>1</v>
          </cell>
          <cell r="BD217">
            <v>2</v>
          </cell>
          <cell r="BE217">
            <v>2</v>
          </cell>
          <cell r="BF217">
            <v>3</v>
          </cell>
          <cell r="BL217">
            <v>9</v>
          </cell>
          <cell r="BM217">
            <v>5</v>
          </cell>
          <cell r="BN217">
            <v>2</v>
          </cell>
          <cell r="BP217">
            <v>3</v>
          </cell>
          <cell r="BQ217">
            <v>1</v>
          </cell>
          <cell r="CJ217">
            <v>4</v>
          </cell>
          <cell r="CM217">
            <v>2</v>
          </cell>
          <cell r="CN217">
            <v>5</v>
          </cell>
          <cell r="CO217">
            <v>1</v>
          </cell>
          <cell r="CT217">
            <v>6</v>
          </cell>
          <cell r="CV217">
            <v>2</v>
          </cell>
          <cell r="DB217" t="str">
            <v>ACTIVO</v>
          </cell>
          <cell r="DC217" t="str">
            <v>C</v>
          </cell>
          <cell r="DE217">
            <v>3.3333333333333335</v>
          </cell>
          <cell r="DF217">
            <v>0.55555555555555558</v>
          </cell>
          <cell r="DG217">
            <v>14.268847185389575</v>
          </cell>
          <cell r="DH217">
            <v>176</v>
          </cell>
          <cell r="DI217">
            <v>675840</v>
          </cell>
          <cell r="DJ217">
            <v>52.8</v>
          </cell>
          <cell r="DK217" t="str">
            <v>OK</v>
          </cell>
          <cell r="DL217">
            <v>1.6666666666666667</v>
          </cell>
          <cell r="DM217">
            <v>1.1111111111111112</v>
          </cell>
          <cell r="DN217">
            <v>2.7777777777777777</v>
          </cell>
        </row>
        <row r="218">
          <cell r="B218">
            <v>402111</v>
          </cell>
          <cell r="C218" t="str">
            <v>FILM TRANSPARENTE  685 MM (23CM) BATTISTA</v>
          </cell>
          <cell r="H218">
            <v>300</v>
          </cell>
          <cell r="DB218" t="str">
            <v>SIN USO</v>
          </cell>
          <cell r="DC218" t="str">
            <v/>
          </cell>
          <cell r="DE218">
            <v>0</v>
          </cell>
          <cell r="DF218">
            <v>0</v>
          </cell>
          <cell r="DG218">
            <v>0</v>
          </cell>
          <cell r="DH218">
            <v>0</v>
          </cell>
          <cell r="DI218" t="str">
            <v>0</v>
          </cell>
          <cell r="DJ218">
            <v>0</v>
          </cell>
          <cell r="DK218" t="str">
            <v>INACTIVO</v>
          </cell>
          <cell r="DL218">
            <v>0</v>
          </cell>
          <cell r="DM218">
            <v>0</v>
          </cell>
          <cell r="DN218">
            <v>0</v>
          </cell>
        </row>
        <row r="219">
          <cell r="D219">
            <v>35</v>
          </cell>
          <cell r="E219">
            <v>18</v>
          </cell>
          <cell r="F219">
            <v>2</v>
          </cell>
          <cell r="G219">
            <v>17</v>
          </cell>
          <cell r="H219">
            <v>330</v>
          </cell>
          <cell r="I219">
            <v>26</v>
          </cell>
          <cell r="J219">
            <v>39</v>
          </cell>
          <cell r="K219">
            <v>23</v>
          </cell>
          <cell r="L219">
            <v>27</v>
          </cell>
          <cell r="M219">
            <v>12</v>
          </cell>
          <cell r="N219">
            <v>21</v>
          </cell>
          <cell r="O219">
            <v>14</v>
          </cell>
          <cell r="P219">
            <v>17</v>
          </cell>
          <cell r="Q219">
            <v>3</v>
          </cell>
          <cell r="R219">
            <v>20</v>
          </cell>
          <cell r="S219">
            <v>18</v>
          </cell>
          <cell r="T219">
            <v>19</v>
          </cell>
          <cell r="U219">
            <v>9</v>
          </cell>
          <cell r="V219">
            <v>12</v>
          </cell>
          <cell r="W219">
            <v>19</v>
          </cell>
          <cell r="X219">
            <v>21</v>
          </cell>
          <cell r="Y219">
            <v>12</v>
          </cell>
          <cell r="Z219">
            <v>18</v>
          </cell>
          <cell r="AA219">
            <v>5</v>
          </cell>
          <cell r="AB219">
            <v>3</v>
          </cell>
          <cell r="AC219">
            <v>23</v>
          </cell>
          <cell r="AE219">
            <v>4</v>
          </cell>
          <cell r="AF219">
            <v>5</v>
          </cell>
          <cell r="AG219">
            <v>12</v>
          </cell>
          <cell r="AH219">
            <v>9</v>
          </cell>
          <cell r="AI219">
            <v>66</v>
          </cell>
          <cell r="AJ219">
            <v>181</v>
          </cell>
          <cell r="AK219">
            <v>337</v>
          </cell>
          <cell r="AL219">
            <v>15</v>
          </cell>
          <cell r="AM219">
            <v>5</v>
          </cell>
          <cell r="AN219">
            <v>11</v>
          </cell>
          <cell r="AO219">
            <v>16</v>
          </cell>
          <cell r="AP219">
            <v>7</v>
          </cell>
          <cell r="AR219">
            <v>6</v>
          </cell>
          <cell r="AT219">
            <v>21</v>
          </cell>
          <cell r="AU219">
            <v>10</v>
          </cell>
          <cell r="AV219">
            <v>3</v>
          </cell>
          <cell r="AW219">
            <v>8</v>
          </cell>
          <cell r="AX219">
            <v>21</v>
          </cell>
          <cell r="AY219">
            <v>16</v>
          </cell>
          <cell r="AZ219">
            <v>12</v>
          </cell>
          <cell r="BA219">
            <v>13</v>
          </cell>
          <cell r="BB219">
            <v>9</v>
          </cell>
          <cell r="BC219">
            <v>14</v>
          </cell>
          <cell r="BD219">
            <v>16</v>
          </cell>
          <cell r="BE219">
            <v>7</v>
          </cell>
          <cell r="BF219">
            <v>5</v>
          </cell>
          <cell r="BG219">
            <v>24</v>
          </cell>
          <cell r="BH219">
            <v>10</v>
          </cell>
          <cell r="BI219">
            <v>12</v>
          </cell>
          <cell r="BJ219">
            <v>17</v>
          </cell>
          <cell r="BK219">
            <v>13</v>
          </cell>
          <cell r="BL219">
            <v>18</v>
          </cell>
          <cell r="BM219">
            <v>6</v>
          </cell>
          <cell r="BN219">
            <v>9</v>
          </cell>
          <cell r="BO219">
            <v>10</v>
          </cell>
          <cell r="BP219">
            <v>11</v>
          </cell>
          <cell r="BQ219">
            <v>11</v>
          </cell>
          <cell r="BR219">
            <v>39</v>
          </cell>
          <cell r="BS219">
            <v>19</v>
          </cell>
          <cell r="BT219">
            <v>3</v>
          </cell>
          <cell r="BU219">
            <v>13</v>
          </cell>
          <cell r="BV219">
            <v>31</v>
          </cell>
          <cell r="BW219">
            <v>11</v>
          </cell>
          <cell r="BX219">
            <v>5</v>
          </cell>
          <cell r="BY219">
            <v>5</v>
          </cell>
          <cell r="BZ219">
            <v>23</v>
          </cell>
          <cell r="CA219">
            <v>17</v>
          </cell>
          <cell r="CB219">
            <v>8</v>
          </cell>
          <cell r="CC219">
            <v>7</v>
          </cell>
          <cell r="CD219">
            <v>8</v>
          </cell>
          <cell r="CE219">
            <v>3</v>
          </cell>
          <cell r="CF219">
            <v>5</v>
          </cell>
          <cell r="CG219">
            <v>15</v>
          </cell>
          <cell r="CH219">
            <v>7</v>
          </cell>
          <cell r="CI219">
            <v>20</v>
          </cell>
          <cell r="CJ219">
            <v>7</v>
          </cell>
          <cell r="CK219">
            <v>15</v>
          </cell>
          <cell r="CL219">
            <v>16</v>
          </cell>
          <cell r="CM219">
            <v>10</v>
          </cell>
          <cell r="CN219">
            <v>7</v>
          </cell>
          <cell r="CO219">
            <v>16</v>
          </cell>
          <cell r="CP219">
            <v>83</v>
          </cell>
          <cell r="CQ219">
            <v>15</v>
          </cell>
          <cell r="CR219">
            <v>38</v>
          </cell>
          <cell r="CS219">
            <v>11</v>
          </cell>
          <cell r="CT219">
            <v>12</v>
          </cell>
          <cell r="CU219">
            <v>22</v>
          </cell>
          <cell r="CV219">
            <v>30</v>
          </cell>
          <cell r="CW219">
            <v>18</v>
          </cell>
          <cell r="CX219">
            <v>22</v>
          </cell>
          <cell r="CY219">
            <v>99</v>
          </cell>
          <cell r="CZ219">
            <v>8</v>
          </cell>
          <cell r="DA219">
            <v>17</v>
          </cell>
          <cell r="DB219" t="str">
            <v>ACTIVO</v>
          </cell>
          <cell r="DC219" t="str">
            <v/>
          </cell>
          <cell r="DE219">
            <v>19.352941176470587</v>
          </cell>
          <cell r="DF219">
            <v>3.225490196078431</v>
          </cell>
          <cell r="DG219">
            <v>51.706213833731894</v>
          </cell>
          <cell r="DH219">
            <v>0</v>
          </cell>
          <cell r="DI219" t="str">
            <v>0</v>
          </cell>
          <cell r="DJ219">
            <v>0</v>
          </cell>
          <cell r="DK219" t="str">
            <v>INACTIVO</v>
          </cell>
          <cell r="DL219">
            <v>0</v>
          </cell>
          <cell r="DM219">
            <v>6.450980392156862</v>
          </cell>
          <cell r="DN219">
            <v>6.450980392156862</v>
          </cell>
        </row>
        <row r="220">
          <cell r="B220">
            <v>405285</v>
          </cell>
          <cell r="C220" t="str">
            <v>FRUTILLA PICADILLO CONGELADA ALTA FRUTA</v>
          </cell>
          <cell r="G220">
            <v>15</v>
          </cell>
          <cell r="H220">
            <v>69.5</v>
          </cell>
          <cell r="I220">
            <v>40.5</v>
          </cell>
          <cell r="J220">
            <v>79.5</v>
          </cell>
          <cell r="K220">
            <v>230.2</v>
          </cell>
          <cell r="L220">
            <v>136</v>
          </cell>
          <cell r="M220">
            <v>133.69999999999999</v>
          </cell>
          <cell r="N220">
            <v>135.99999999999997</v>
          </cell>
          <cell r="O220">
            <v>13.6</v>
          </cell>
          <cell r="P220">
            <v>149.68</v>
          </cell>
          <cell r="Q220">
            <v>163.19999999999999</v>
          </cell>
          <cell r="R220">
            <v>122.19999999999999</v>
          </cell>
          <cell r="S220">
            <v>108.69999999999999</v>
          </cell>
          <cell r="T220">
            <v>54.4</v>
          </cell>
          <cell r="U220">
            <v>95.199999999999989</v>
          </cell>
          <cell r="V220">
            <v>68</v>
          </cell>
          <cell r="W220">
            <v>95.21</v>
          </cell>
          <cell r="X220">
            <v>108.8</v>
          </cell>
          <cell r="AG220">
            <v>13.65</v>
          </cell>
          <cell r="AQ220">
            <v>50</v>
          </cell>
          <cell r="BQ220">
            <v>445</v>
          </cell>
          <cell r="DB220" t="str">
            <v>SIN USO</v>
          </cell>
          <cell r="DC220" t="str">
            <v>C</v>
          </cell>
          <cell r="DE220">
            <v>0</v>
          </cell>
          <cell r="DF220">
            <v>0</v>
          </cell>
          <cell r="DG220">
            <v>239.23807702788451</v>
          </cell>
          <cell r="DH220">
            <v>0</v>
          </cell>
          <cell r="DI220" t="str">
            <v>0</v>
          </cell>
          <cell r="DJ220">
            <v>0</v>
          </cell>
          <cell r="DK220" t="str">
            <v>INACTIVO</v>
          </cell>
          <cell r="DL220">
            <v>0</v>
          </cell>
          <cell r="DM220">
            <v>0</v>
          </cell>
          <cell r="DN220">
            <v>0</v>
          </cell>
        </row>
        <row r="221">
          <cell r="B221">
            <v>107354</v>
          </cell>
          <cell r="C221" t="str">
            <v>FRUTILLA CONGELADA ALTA FRUTA</v>
          </cell>
          <cell r="BR221">
            <v>109.2</v>
          </cell>
          <cell r="DB221" t="str">
            <v>SIN USO</v>
          </cell>
          <cell r="DC221" t="str">
            <v>C</v>
          </cell>
          <cell r="DE221">
            <v>0</v>
          </cell>
          <cell r="DF221">
            <v>0</v>
          </cell>
          <cell r="DG221">
            <v>0</v>
          </cell>
          <cell r="DH221">
            <v>0</v>
          </cell>
          <cell r="DI221" t="str">
            <v>0</v>
          </cell>
          <cell r="DJ221">
            <v>0</v>
          </cell>
          <cell r="DK221" t="str">
            <v>INACTIVO</v>
          </cell>
          <cell r="DL221">
            <v>0</v>
          </cell>
          <cell r="DM221">
            <v>0</v>
          </cell>
          <cell r="DN221">
            <v>0</v>
          </cell>
        </row>
        <row r="222">
          <cell r="B222">
            <v>402132</v>
          </cell>
          <cell r="C222" t="str">
            <v>FRAMBUESA CONGELADA ALTA FRUTA</v>
          </cell>
          <cell r="J222">
            <v>98.5</v>
          </cell>
          <cell r="K222">
            <v>1.5</v>
          </cell>
          <cell r="L222">
            <v>70</v>
          </cell>
          <cell r="M222">
            <v>30</v>
          </cell>
          <cell r="T222">
            <v>19</v>
          </cell>
          <cell r="U222">
            <v>179</v>
          </cell>
          <cell r="V222">
            <v>180</v>
          </cell>
          <cell r="W222">
            <v>114.5</v>
          </cell>
          <cell r="X222">
            <v>195</v>
          </cell>
          <cell r="Y222">
            <v>154</v>
          </cell>
          <cell r="AB222">
            <v>148</v>
          </cell>
          <cell r="AC222">
            <v>78</v>
          </cell>
          <cell r="AD222">
            <v>54</v>
          </cell>
          <cell r="AE222">
            <v>52</v>
          </cell>
          <cell r="AF222">
            <v>147</v>
          </cell>
          <cell r="AG222">
            <v>80</v>
          </cell>
          <cell r="AH222">
            <v>50.25</v>
          </cell>
          <cell r="AI222">
            <v>895</v>
          </cell>
          <cell r="AJ222">
            <v>92.5</v>
          </cell>
          <cell r="AK222">
            <v>102</v>
          </cell>
          <cell r="AL222">
            <v>171.5</v>
          </cell>
          <cell r="AM222">
            <v>36</v>
          </cell>
          <cell r="AQ222">
            <v>1.5</v>
          </cell>
          <cell r="AY222">
            <v>66</v>
          </cell>
          <cell r="AZ222">
            <v>200</v>
          </cell>
          <cell r="BA222">
            <v>190</v>
          </cell>
          <cell r="BB222">
            <v>398</v>
          </cell>
          <cell r="BC222">
            <v>198</v>
          </cell>
          <cell r="BD222">
            <v>253</v>
          </cell>
          <cell r="BE222">
            <v>91</v>
          </cell>
          <cell r="BF222">
            <v>18.7</v>
          </cell>
          <cell r="BL222">
            <v>85</v>
          </cell>
          <cell r="BM222">
            <v>239.5</v>
          </cell>
          <cell r="BN222">
            <v>162</v>
          </cell>
          <cell r="BO222">
            <v>192</v>
          </cell>
          <cell r="BP222">
            <v>21</v>
          </cell>
          <cell r="CB222">
            <v>56</v>
          </cell>
          <cell r="CC222">
            <v>103.5</v>
          </cell>
          <cell r="CD222">
            <v>268</v>
          </cell>
          <cell r="CE222">
            <v>41</v>
          </cell>
          <cell r="CF222">
            <v>36</v>
          </cell>
          <cell r="CG222">
            <v>132</v>
          </cell>
          <cell r="CH222">
            <v>218</v>
          </cell>
          <cell r="CI222">
            <v>324</v>
          </cell>
          <cell r="CJ222">
            <v>252</v>
          </cell>
          <cell r="CK222">
            <v>204</v>
          </cell>
          <cell r="CL222">
            <v>72</v>
          </cell>
          <cell r="CM222">
            <v>138.19999999999999</v>
          </cell>
          <cell r="CN222">
            <v>192</v>
          </cell>
          <cell r="CO222">
            <v>120</v>
          </cell>
          <cell r="CP222">
            <v>228</v>
          </cell>
          <cell r="CQ222">
            <v>120</v>
          </cell>
          <cell r="CR222">
            <v>108</v>
          </cell>
          <cell r="CW222">
            <v>38</v>
          </cell>
          <cell r="CX222">
            <v>112</v>
          </cell>
          <cell r="CY222">
            <v>145</v>
          </cell>
          <cell r="CZ222">
            <v>117.5</v>
          </cell>
          <cell r="DA222">
            <v>235</v>
          </cell>
          <cell r="DB222" t="str">
            <v>ACTIVO</v>
          </cell>
          <cell r="DC222" t="str">
            <v>B</v>
          </cell>
          <cell r="DE222">
            <v>164.93846153846152</v>
          </cell>
          <cell r="DF222">
            <v>27.489743589743586</v>
          </cell>
          <cell r="DG222">
            <v>174.70156019717638</v>
          </cell>
          <cell r="DH222">
            <v>60</v>
          </cell>
          <cell r="DI222">
            <v>352200</v>
          </cell>
          <cell r="DJ222">
            <v>0.3637720361906539</v>
          </cell>
          <cell r="DK222" t="str">
            <v>COMPRAR</v>
          </cell>
          <cell r="DL222">
            <v>82.469230769230762</v>
          </cell>
          <cell r="DM222">
            <v>54.979487179487172</v>
          </cell>
          <cell r="DN222">
            <v>137.44871794871793</v>
          </cell>
        </row>
        <row r="223">
          <cell r="B223">
            <v>107306</v>
          </cell>
          <cell r="C223" t="str">
            <v>FRAMBUESA CONGELADA FRUTOS DEL MAIPO</v>
          </cell>
          <cell r="F223">
            <v>8</v>
          </cell>
          <cell r="G223">
            <v>82</v>
          </cell>
          <cell r="H223">
            <v>68</v>
          </cell>
          <cell r="I223">
            <v>72.5</v>
          </cell>
          <cell r="K223">
            <v>123.5</v>
          </cell>
          <cell r="M223">
            <v>147.5</v>
          </cell>
          <cell r="T223">
            <v>180</v>
          </cell>
          <cell r="U223">
            <v>7.5</v>
          </cell>
          <cell r="W223">
            <v>78.5</v>
          </cell>
          <cell r="X223">
            <v>3.5</v>
          </cell>
          <cell r="Y223">
            <v>92</v>
          </cell>
          <cell r="Z223">
            <v>114.5</v>
          </cell>
          <cell r="AA223">
            <v>16</v>
          </cell>
          <cell r="AB223">
            <v>96</v>
          </cell>
          <cell r="AC223">
            <v>135</v>
          </cell>
          <cell r="AD223">
            <v>30</v>
          </cell>
          <cell r="AE223">
            <v>64</v>
          </cell>
          <cell r="AF223">
            <v>167</v>
          </cell>
          <cell r="AG223">
            <v>16.25</v>
          </cell>
          <cell r="AH223">
            <v>2.75</v>
          </cell>
          <cell r="AL223">
            <v>25</v>
          </cell>
          <cell r="AM223">
            <v>119</v>
          </cell>
          <cell r="AN223">
            <v>164</v>
          </cell>
          <cell r="AO223">
            <v>194</v>
          </cell>
          <cell r="AP223">
            <v>180</v>
          </cell>
          <cell r="AQ223">
            <v>172</v>
          </cell>
          <cell r="AR223">
            <v>1179</v>
          </cell>
          <cell r="AS223">
            <v>98</v>
          </cell>
          <cell r="AT223">
            <v>204</v>
          </cell>
          <cell r="AU223">
            <v>173</v>
          </cell>
          <cell r="AV223">
            <v>110</v>
          </cell>
          <cell r="AW223">
            <v>135.5</v>
          </cell>
          <cell r="AX223">
            <v>110.5</v>
          </cell>
          <cell r="BE223">
            <v>156</v>
          </cell>
          <cell r="BF223">
            <v>193.3</v>
          </cell>
          <cell r="BG223">
            <v>258</v>
          </cell>
          <cell r="BH223">
            <v>199.5</v>
          </cell>
          <cell r="BI223">
            <v>182</v>
          </cell>
          <cell r="BJ223">
            <v>404</v>
          </cell>
          <cell r="BK223">
            <v>213.5</v>
          </cell>
          <cell r="BL223">
            <v>154.5</v>
          </cell>
          <cell r="BR223">
            <v>232</v>
          </cell>
          <cell r="BS223">
            <v>244</v>
          </cell>
          <cell r="BT223">
            <v>85</v>
          </cell>
          <cell r="BU223">
            <v>241</v>
          </cell>
          <cell r="BV223">
            <v>106</v>
          </cell>
          <cell r="BW223">
            <v>202</v>
          </cell>
          <cell r="BX223">
            <v>116</v>
          </cell>
          <cell r="BY223">
            <v>126</v>
          </cell>
          <cell r="BZ223">
            <v>220.9</v>
          </cell>
          <cell r="CA223">
            <v>182.5</v>
          </cell>
          <cell r="CB223">
            <v>81</v>
          </cell>
          <cell r="CC223">
            <v>14.5</v>
          </cell>
          <cell r="CS223">
            <v>138</v>
          </cell>
          <cell r="CT223">
            <v>112</v>
          </cell>
          <cell r="CU223">
            <v>210</v>
          </cell>
          <cell r="CV223">
            <v>124</v>
          </cell>
          <cell r="CW223">
            <v>120</v>
          </cell>
          <cell r="DB223" t="str">
            <v>ACTIVO</v>
          </cell>
          <cell r="DC223" t="str">
            <v>B</v>
          </cell>
          <cell r="DE223">
            <v>146</v>
          </cell>
          <cell r="DF223">
            <v>24.333333333333332</v>
          </cell>
          <cell r="DG223">
            <v>186.16154969900828</v>
          </cell>
          <cell r="DH223">
            <v>0</v>
          </cell>
          <cell r="DI223" t="str">
            <v>0</v>
          </cell>
          <cell r="DJ223">
            <v>0</v>
          </cell>
          <cell r="DK223" t="str">
            <v>COMPRAR</v>
          </cell>
          <cell r="DL223">
            <v>48.666666666666664</v>
          </cell>
          <cell r="DM223">
            <v>48.666666666666664</v>
          </cell>
          <cell r="DN223">
            <v>97.333333333333329</v>
          </cell>
        </row>
        <row r="224">
          <cell r="B224">
            <v>107317</v>
          </cell>
          <cell r="C224" t="str">
            <v>CRUMBLE FRAMBUESA CONGELADA ALTA FRUTA</v>
          </cell>
          <cell r="CR224">
            <v>40</v>
          </cell>
          <cell r="CT224">
            <v>550</v>
          </cell>
          <cell r="CU224">
            <v>220</v>
          </cell>
          <cell r="CV224">
            <v>280</v>
          </cell>
          <cell r="CW224">
            <v>530</v>
          </cell>
          <cell r="CX224">
            <v>180</v>
          </cell>
          <cell r="CZ224">
            <v>80</v>
          </cell>
          <cell r="DA224">
            <v>140</v>
          </cell>
          <cell r="DB224" t="str">
            <v>ACTIVO</v>
          </cell>
          <cell r="DC224" t="str">
            <v/>
          </cell>
          <cell r="DE224">
            <v>272.5</v>
          </cell>
          <cell r="DF224">
            <v>45.416666666666664</v>
          </cell>
          <cell r="DG224">
            <v>0</v>
          </cell>
          <cell r="DH224">
            <v>580</v>
          </cell>
          <cell r="DI224">
            <v>2437194.7999999998</v>
          </cell>
          <cell r="DJ224">
            <v>2.1284403669724772</v>
          </cell>
          <cell r="DK224" t="str">
            <v>OK</v>
          </cell>
          <cell r="DL224">
            <v>136.25</v>
          </cell>
          <cell r="DM224">
            <v>90.833333333333329</v>
          </cell>
          <cell r="DN224">
            <v>227.08333333333331</v>
          </cell>
        </row>
        <row r="225">
          <cell r="B225">
            <v>402131</v>
          </cell>
          <cell r="C225" t="str">
            <v>FRAMBUESA CONGELADA MINUTO VERDE</v>
          </cell>
          <cell r="R225">
            <v>100</v>
          </cell>
          <cell r="DB225" t="str">
            <v>SIN USO</v>
          </cell>
          <cell r="DC225" t="str">
            <v/>
          </cell>
          <cell r="DE225">
            <v>0</v>
          </cell>
          <cell r="DF225">
            <v>0</v>
          </cell>
          <cell r="DG225">
            <v>0</v>
          </cell>
          <cell r="DH225">
            <v>0</v>
          </cell>
          <cell r="DI225" t="str">
            <v>0</v>
          </cell>
          <cell r="DJ225">
            <v>0</v>
          </cell>
          <cell r="DK225" t="str">
            <v>INACTIVO</v>
          </cell>
          <cell r="DL225">
            <v>0</v>
          </cell>
          <cell r="DM225">
            <v>0</v>
          </cell>
          <cell r="DN225">
            <v>0</v>
          </cell>
        </row>
        <row r="226">
          <cell r="B226">
            <v>107368</v>
          </cell>
          <cell r="C226" t="str">
            <v>FRAMBUESA MITAD CONGELADA MEL</v>
          </cell>
          <cell r="K226">
            <v>220</v>
          </cell>
          <cell r="L226">
            <v>110</v>
          </cell>
          <cell r="M226">
            <v>70</v>
          </cell>
          <cell r="DB226" t="str">
            <v>SIN USO</v>
          </cell>
          <cell r="DC226" t="str">
            <v/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 t="str">
            <v>0</v>
          </cell>
          <cell r="DJ226">
            <v>0</v>
          </cell>
          <cell r="DK226" t="str">
            <v>INACTIVO</v>
          </cell>
          <cell r="DL226">
            <v>0</v>
          </cell>
          <cell r="DM226">
            <v>0</v>
          </cell>
          <cell r="DN226">
            <v>0</v>
          </cell>
        </row>
        <row r="227">
          <cell r="B227">
            <v>107277</v>
          </cell>
          <cell r="C227" t="str">
            <v>PULPA MARACUYÁ CON PEPAS ALTA FRUTA</v>
          </cell>
          <cell r="E227">
            <v>13</v>
          </cell>
          <cell r="F227">
            <v>2</v>
          </cell>
          <cell r="G227">
            <v>12</v>
          </cell>
          <cell r="H227">
            <v>30</v>
          </cell>
          <cell r="I227">
            <v>14</v>
          </cell>
          <cell r="J227">
            <v>13</v>
          </cell>
          <cell r="K227">
            <v>10</v>
          </cell>
          <cell r="L227">
            <v>20</v>
          </cell>
          <cell r="M227">
            <v>15</v>
          </cell>
          <cell r="N227">
            <v>15</v>
          </cell>
          <cell r="P227">
            <v>30</v>
          </cell>
          <cell r="Q227">
            <v>15</v>
          </cell>
          <cell r="S227">
            <v>15</v>
          </cell>
          <cell r="BQ227">
            <v>180</v>
          </cell>
          <cell r="DB227" t="str">
            <v>SIN USO</v>
          </cell>
          <cell r="DC227" t="str">
            <v>C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 t="str">
            <v>0</v>
          </cell>
          <cell r="DJ227">
            <v>0</v>
          </cell>
          <cell r="DK227" t="str">
            <v>INACTIVO</v>
          </cell>
          <cell r="DL227">
            <v>0</v>
          </cell>
          <cell r="DM227">
            <v>0</v>
          </cell>
          <cell r="DN227">
            <v>0</v>
          </cell>
        </row>
        <row r="228">
          <cell r="E228">
            <v>13</v>
          </cell>
          <cell r="F228">
            <v>10</v>
          </cell>
          <cell r="G228">
            <v>109</v>
          </cell>
          <cell r="H228">
            <v>167.5</v>
          </cell>
          <cell r="I228">
            <v>127</v>
          </cell>
          <cell r="J228">
            <v>191</v>
          </cell>
          <cell r="K228">
            <v>585.20000000000005</v>
          </cell>
          <cell r="L228">
            <v>336</v>
          </cell>
          <cell r="M228">
            <v>396.2</v>
          </cell>
          <cell r="N228">
            <v>150.99999999999997</v>
          </cell>
          <cell r="O228">
            <v>13.6</v>
          </cell>
          <cell r="P228">
            <v>179.68</v>
          </cell>
          <cell r="Q228">
            <v>178.2</v>
          </cell>
          <cell r="R228">
            <v>222.2</v>
          </cell>
          <cell r="S228">
            <v>123.69999999999999</v>
          </cell>
          <cell r="T228">
            <v>253.4</v>
          </cell>
          <cell r="U228">
            <v>281.7</v>
          </cell>
          <cell r="V228">
            <v>248</v>
          </cell>
          <cell r="W228">
            <v>288.20999999999998</v>
          </cell>
          <cell r="X228">
            <v>307.3</v>
          </cell>
          <cell r="Y228">
            <v>246</v>
          </cell>
          <cell r="Z228">
            <v>114.5</v>
          </cell>
          <cell r="AA228">
            <v>16</v>
          </cell>
          <cell r="AB228">
            <v>244</v>
          </cell>
          <cell r="AC228">
            <v>213</v>
          </cell>
          <cell r="AD228">
            <v>84</v>
          </cell>
          <cell r="AE228">
            <v>116</v>
          </cell>
          <cell r="AF228">
            <v>314</v>
          </cell>
          <cell r="AG228">
            <v>109.9</v>
          </cell>
          <cell r="AH228">
            <v>53</v>
          </cell>
          <cell r="AI228">
            <v>895</v>
          </cell>
          <cell r="AJ228">
            <v>92.5</v>
          </cell>
          <cell r="AK228">
            <v>102</v>
          </cell>
          <cell r="AL228">
            <v>196.5</v>
          </cell>
          <cell r="AM228">
            <v>155</v>
          </cell>
          <cell r="AN228">
            <v>164</v>
          </cell>
          <cell r="AO228">
            <v>194</v>
          </cell>
          <cell r="AP228">
            <v>180</v>
          </cell>
          <cell r="AQ228">
            <v>223.5</v>
          </cell>
          <cell r="AR228">
            <v>1179</v>
          </cell>
          <cell r="AS228">
            <v>98</v>
          </cell>
          <cell r="AT228">
            <v>204</v>
          </cell>
          <cell r="AU228">
            <v>173</v>
          </cell>
          <cell r="AV228">
            <v>110</v>
          </cell>
          <cell r="AW228">
            <v>135.5</v>
          </cell>
          <cell r="AX228">
            <v>110.5</v>
          </cell>
          <cell r="AY228">
            <v>66</v>
          </cell>
          <cell r="AZ228">
            <v>200</v>
          </cell>
          <cell r="BA228">
            <v>190</v>
          </cell>
          <cell r="BB228">
            <v>398</v>
          </cell>
          <cell r="BC228">
            <v>198</v>
          </cell>
          <cell r="BD228">
            <v>253</v>
          </cell>
          <cell r="BE228">
            <v>247</v>
          </cell>
          <cell r="BF228">
            <v>212</v>
          </cell>
          <cell r="BG228">
            <v>258</v>
          </cell>
          <cell r="BH228">
            <v>199.5</v>
          </cell>
          <cell r="BI228">
            <v>182</v>
          </cell>
          <cell r="BJ228">
            <v>404</v>
          </cell>
          <cell r="BK228">
            <v>213.5</v>
          </cell>
          <cell r="BL228">
            <v>239.5</v>
          </cell>
          <cell r="BM228">
            <v>239.5</v>
          </cell>
          <cell r="BN228">
            <v>162</v>
          </cell>
          <cell r="BO228">
            <v>192</v>
          </cell>
          <cell r="BP228">
            <v>21</v>
          </cell>
          <cell r="BQ228">
            <v>625</v>
          </cell>
          <cell r="BR228">
            <v>341.2</v>
          </cell>
          <cell r="BS228">
            <v>244</v>
          </cell>
          <cell r="BT228">
            <v>85</v>
          </cell>
          <cell r="BU228">
            <v>241</v>
          </cell>
          <cell r="BV228">
            <v>106</v>
          </cell>
          <cell r="BW228">
            <v>202</v>
          </cell>
          <cell r="BX228">
            <v>116</v>
          </cell>
          <cell r="BY228">
            <v>126</v>
          </cell>
          <cell r="BZ228">
            <v>220.9</v>
          </cell>
          <cell r="CA228">
            <v>182.5</v>
          </cell>
          <cell r="CB228">
            <v>137</v>
          </cell>
          <cell r="CC228">
            <v>118</v>
          </cell>
          <cell r="CD228">
            <v>268</v>
          </cell>
          <cell r="CE228">
            <v>41</v>
          </cell>
          <cell r="CF228">
            <v>36</v>
          </cell>
          <cell r="CG228">
            <v>132</v>
          </cell>
          <cell r="CH228">
            <v>218</v>
          </cell>
          <cell r="CI228">
            <v>324</v>
          </cell>
          <cell r="CJ228">
            <v>252</v>
          </cell>
          <cell r="CK228">
            <v>204</v>
          </cell>
          <cell r="CL228">
            <v>72</v>
          </cell>
          <cell r="CM228">
            <v>138.19999999999999</v>
          </cell>
          <cell r="CN228">
            <v>192</v>
          </cell>
          <cell r="CO228">
            <v>120</v>
          </cell>
          <cell r="CP228">
            <v>228</v>
          </cell>
          <cell r="CQ228">
            <v>120</v>
          </cell>
          <cell r="CR228">
            <v>148</v>
          </cell>
          <cell r="CS228">
            <v>138</v>
          </cell>
          <cell r="CT228">
            <v>662</v>
          </cell>
          <cell r="CU228">
            <v>430</v>
          </cell>
          <cell r="CV228">
            <v>404</v>
          </cell>
          <cell r="CW228">
            <v>688</v>
          </cell>
          <cell r="CX228">
            <v>292</v>
          </cell>
          <cell r="CY228">
            <v>145</v>
          </cell>
          <cell r="CZ228">
            <v>197.5</v>
          </cell>
          <cell r="DA228">
            <v>375</v>
          </cell>
          <cell r="DB228" t="str">
            <v>ACTIVO</v>
          </cell>
          <cell r="DC228" t="str">
            <v/>
          </cell>
          <cell r="DE228">
            <v>224.6</v>
          </cell>
          <cell r="DF228">
            <v>37.43333333333333</v>
          </cell>
          <cell r="DG228">
            <v>193.57876747271487</v>
          </cell>
          <cell r="DH228">
            <v>0</v>
          </cell>
          <cell r="DI228" t="str">
            <v>0</v>
          </cell>
          <cell r="DJ228">
            <v>0</v>
          </cell>
          <cell r="DK228" t="str">
            <v>INACTIVO</v>
          </cell>
          <cell r="DL228">
            <v>0</v>
          </cell>
          <cell r="DM228">
            <v>74.86666666666666</v>
          </cell>
          <cell r="DN228">
            <v>74.86666666666666</v>
          </cell>
        </row>
        <row r="229">
          <cell r="B229">
            <v>107183</v>
          </cell>
          <cell r="C229" t="str">
            <v>FRUIT FILLING MANZANA FRUCOL</v>
          </cell>
          <cell r="D229">
            <v>939.30000000000007</v>
          </cell>
          <cell r="E229">
            <v>728.5</v>
          </cell>
          <cell r="F229">
            <v>629.30000000000007</v>
          </cell>
          <cell r="G229">
            <v>837.00000000000011</v>
          </cell>
          <cell r="H229">
            <v>868.00000000000011</v>
          </cell>
          <cell r="I229">
            <v>744.00000000000011</v>
          </cell>
          <cell r="J229">
            <v>1026.0999999999999</v>
          </cell>
          <cell r="K229">
            <v>734.69999999999993</v>
          </cell>
          <cell r="L229">
            <v>1419.8000000000004</v>
          </cell>
          <cell r="M229">
            <v>1092.2</v>
          </cell>
          <cell r="N229">
            <v>1376.4000000000003</v>
          </cell>
          <cell r="O229">
            <v>883.49999999999989</v>
          </cell>
          <cell r="P229">
            <v>1153.2</v>
          </cell>
          <cell r="Q229">
            <v>1258.5999999999999</v>
          </cell>
          <cell r="R229">
            <v>1565.5</v>
          </cell>
          <cell r="S229">
            <v>1035.4000000000001</v>
          </cell>
          <cell r="T229">
            <v>1004.4000000000001</v>
          </cell>
          <cell r="U229">
            <v>1109.8</v>
          </cell>
          <cell r="V229">
            <v>1897.1999999999994</v>
          </cell>
          <cell r="W229">
            <v>629.29999999999995</v>
          </cell>
          <cell r="X229">
            <v>1267.2</v>
          </cell>
          <cell r="Y229">
            <v>1668.3500000000004</v>
          </cell>
          <cell r="Z229">
            <v>551.80000000000007</v>
          </cell>
          <cell r="AA229">
            <v>1499.3</v>
          </cell>
          <cell r="AB229">
            <v>898.95000000000016</v>
          </cell>
          <cell r="AC229">
            <v>870.25000000000011</v>
          </cell>
          <cell r="AD229">
            <v>313.10000000000002</v>
          </cell>
          <cell r="AE229">
            <v>306.89999999999998</v>
          </cell>
          <cell r="AF229">
            <v>1072.5999999999999</v>
          </cell>
          <cell r="AG229">
            <v>1325.7999999999995</v>
          </cell>
          <cell r="AH229">
            <v>40.5</v>
          </cell>
          <cell r="AP229">
            <v>3</v>
          </cell>
          <cell r="AQ229">
            <v>39</v>
          </cell>
          <cell r="AU229">
            <v>445.1</v>
          </cell>
          <cell r="AY229">
            <v>467.80000000000007</v>
          </cell>
          <cell r="BB229">
            <v>873.59999999999991</v>
          </cell>
          <cell r="BC229">
            <v>421.6</v>
          </cell>
          <cell r="BD229">
            <v>723.45</v>
          </cell>
          <cell r="BE229">
            <v>397.85</v>
          </cell>
          <cell r="BF229">
            <v>184.4</v>
          </cell>
          <cell r="BG229">
            <v>350.25000000000006</v>
          </cell>
          <cell r="BH229">
            <v>401.85</v>
          </cell>
          <cell r="BI229">
            <v>562.15000000000009</v>
          </cell>
          <cell r="BJ229">
            <v>861.6</v>
          </cell>
          <cell r="BK229">
            <v>273</v>
          </cell>
          <cell r="BL229">
            <v>225</v>
          </cell>
          <cell r="BM229">
            <v>274</v>
          </cell>
          <cell r="BN229">
            <v>411.9</v>
          </cell>
          <cell r="BO229">
            <v>759</v>
          </cell>
          <cell r="BP229">
            <v>417</v>
          </cell>
          <cell r="BQ229">
            <v>711</v>
          </cell>
          <cell r="BR229">
            <v>714</v>
          </cell>
          <cell r="BS229">
            <v>453</v>
          </cell>
          <cell r="BT229">
            <v>1149</v>
          </cell>
          <cell r="BU229">
            <v>586.5</v>
          </cell>
          <cell r="BV229">
            <v>280.3</v>
          </cell>
          <cell r="BW229">
            <v>568.79999999999995</v>
          </cell>
          <cell r="BX229">
            <v>588</v>
          </cell>
          <cell r="BY229">
            <v>824.5</v>
          </cell>
          <cell r="BZ229">
            <v>527.15000000000009</v>
          </cell>
          <cell r="CA229">
            <v>495.55</v>
          </cell>
          <cell r="CB229">
            <v>347.15000000000003</v>
          </cell>
          <cell r="CC229">
            <v>540.54999999999995</v>
          </cell>
          <cell r="CD229">
            <v>427.85</v>
          </cell>
          <cell r="CE229">
            <v>27</v>
          </cell>
          <cell r="CG229">
            <v>403.85</v>
          </cell>
          <cell r="CH229">
            <v>628.75</v>
          </cell>
          <cell r="CI229">
            <v>895.3</v>
          </cell>
          <cell r="CJ229">
            <v>858.6</v>
          </cell>
          <cell r="CK229">
            <v>429.3</v>
          </cell>
          <cell r="CL229">
            <v>858.6</v>
          </cell>
          <cell r="CM229">
            <v>429.3</v>
          </cell>
          <cell r="CN229">
            <v>707.3</v>
          </cell>
          <cell r="CO229">
            <v>429.3</v>
          </cell>
          <cell r="CP229">
            <v>3.1</v>
          </cell>
          <cell r="CT229">
            <v>74.2</v>
          </cell>
          <cell r="CU229">
            <v>275.55</v>
          </cell>
          <cell r="CV229">
            <v>191.95000000000002</v>
          </cell>
          <cell r="CW229">
            <v>193.45</v>
          </cell>
          <cell r="CX229">
            <v>156.95000000000002</v>
          </cell>
          <cell r="CY229">
            <v>129.85</v>
          </cell>
          <cell r="CZ229">
            <v>111.3</v>
          </cell>
          <cell r="DA229">
            <v>119.7</v>
          </cell>
          <cell r="DB229" t="str">
            <v>ACTIVO</v>
          </cell>
          <cell r="DC229" t="str">
            <v>B</v>
          </cell>
          <cell r="DE229">
            <v>475.77692307692308</v>
          </cell>
          <cell r="DF229">
            <v>79.296153846153842</v>
          </cell>
          <cell r="DG229">
            <v>302.95610773640766</v>
          </cell>
          <cell r="DH229">
            <v>413.4</v>
          </cell>
          <cell r="DI229">
            <v>950820</v>
          </cell>
          <cell r="DJ229">
            <v>0.86889460154241638</v>
          </cell>
          <cell r="DK229" t="str">
            <v>COMPRAR</v>
          </cell>
          <cell r="DL229">
            <v>396.48076923076923</v>
          </cell>
          <cell r="DM229">
            <v>158.59230769230768</v>
          </cell>
          <cell r="DN229">
            <v>555.07307692307688</v>
          </cell>
        </row>
        <row r="230">
          <cell r="B230">
            <v>405574</v>
          </cell>
          <cell r="C230" t="str">
            <v>PIÑA EN RODAJAS CAMPOS</v>
          </cell>
          <cell r="BJ230">
            <v>110.9</v>
          </cell>
          <cell r="BK230">
            <v>310.03999999999996</v>
          </cell>
          <cell r="BL230">
            <v>372.6</v>
          </cell>
          <cell r="BM230">
            <v>106.24</v>
          </cell>
          <cell r="BN230">
            <v>212.4</v>
          </cell>
          <cell r="BO230">
            <v>221.29</v>
          </cell>
          <cell r="BP230">
            <v>147.60000000000002</v>
          </cell>
          <cell r="BQ230">
            <v>5.4000000000000021</v>
          </cell>
          <cell r="BS230">
            <v>122.4</v>
          </cell>
          <cell r="BT230">
            <v>252.42</v>
          </cell>
          <cell r="BZ230">
            <v>9</v>
          </cell>
          <cell r="CA230">
            <v>210.8</v>
          </cell>
          <cell r="CB230">
            <v>18.2</v>
          </cell>
          <cell r="DB230" t="str">
            <v>ACTIVO</v>
          </cell>
          <cell r="DC230" t="str">
            <v>B</v>
          </cell>
          <cell r="DE230">
            <v>0</v>
          </cell>
          <cell r="DF230">
            <v>0</v>
          </cell>
          <cell r="DG230">
            <v>115.10297067832064</v>
          </cell>
          <cell r="DH230">
            <v>0</v>
          </cell>
          <cell r="DI230" t="str">
            <v>0</v>
          </cell>
          <cell r="DJ230">
            <v>0</v>
          </cell>
          <cell r="DK230" t="str">
            <v>COMPRAR</v>
          </cell>
          <cell r="DL230">
            <v>0</v>
          </cell>
          <cell r="DM230">
            <v>0</v>
          </cell>
          <cell r="DN230">
            <v>0</v>
          </cell>
        </row>
        <row r="231">
          <cell r="B231">
            <v>107401</v>
          </cell>
          <cell r="C231" t="str">
            <v>DURAZNO EN SLICE LAS PERDICES</v>
          </cell>
          <cell r="BL231">
            <v>59.4</v>
          </cell>
          <cell r="BR231">
            <v>376</v>
          </cell>
          <cell r="DB231" t="str">
            <v>ACTIVO</v>
          </cell>
          <cell r="DC231" t="str">
            <v>C</v>
          </cell>
          <cell r="DE231">
            <v>0</v>
          </cell>
          <cell r="DF231">
            <v>0</v>
          </cell>
          <cell r="DG231">
            <v>223.87000692366095</v>
          </cell>
          <cell r="DH231">
            <v>0</v>
          </cell>
          <cell r="DI231" t="str">
            <v>0</v>
          </cell>
          <cell r="DJ231">
            <v>0</v>
          </cell>
          <cell r="DK231" t="str">
            <v>COMPRAR</v>
          </cell>
          <cell r="DL231">
            <v>0</v>
          </cell>
          <cell r="DM231">
            <v>0</v>
          </cell>
          <cell r="DN231">
            <v>0</v>
          </cell>
        </row>
        <row r="232">
          <cell r="B232">
            <v>107313</v>
          </cell>
          <cell r="C232" t="str">
            <v>DURAZNO EN CUBOS CAMPOS</v>
          </cell>
          <cell r="AU232">
            <v>6.62</v>
          </cell>
          <cell r="AV232">
            <v>250.20000000000002</v>
          </cell>
          <cell r="AW232">
            <v>21.6</v>
          </cell>
          <cell r="BC232">
            <v>230.85000000000002</v>
          </cell>
          <cell r="BD232">
            <v>356.4</v>
          </cell>
          <cell r="BE232">
            <v>162</v>
          </cell>
          <cell r="BG232">
            <v>45</v>
          </cell>
          <cell r="BH232">
            <v>30.8</v>
          </cell>
          <cell r="BI232">
            <v>18</v>
          </cell>
          <cell r="BJ232">
            <v>10.8</v>
          </cell>
          <cell r="BK232">
            <v>18</v>
          </cell>
          <cell r="BL232">
            <v>59.4</v>
          </cell>
          <cell r="BM232">
            <v>14.4</v>
          </cell>
          <cell r="BN232">
            <v>7.2</v>
          </cell>
          <cell r="BO232">
            <v>5.4</v>
          </cell>
          <cell r="BP232">
            <v>16.200000000000003</v>
          </cell>
          <cell r="BQ232">
            <v>6.52</v>
          </cell>
          <cell r="DB232" t="str">
            <v>ACTIVO</v>
          </cell>
          <cell r="DC232" t="str">
            <v>C</v>
          </cell>
          <cell r="DE232">
            <v>0</v>
          </cell>
          <cell r="DF232">
            <v>0</v>
          </cell>
          <cell r="DG232">
            <v>107.30482970463714</v>
          </cell>
          <cell r="DH232">
            <v>0</v>
          </cell>
          <cell r="DI232" t="str">
            <v>0</v>
          </cell>
          <cell r="DJ232">
            <v>0</v>
          </cell>
          <cell r="DK232" t="str">
            <v>COMPRAR</v>
          </cell>
          <cell r="DL232">
            <v>0</v>
          </cell>
          <cell r="DM232">
            <v>0</v>
          </cell>
          <cell r="DN232">
            <v>0</v>
          </cell>
        </row>
        <row r="233">
          <cell r="B233">
            <v>107125</v>
          </cell>
          <cell r="C233" t="str">
            <v>DURAZNO EN CUBOS ALTO LA CRUZ</v>
          </cell>
          <cell r="F233">
            <v>9.4499999999999993</v>
          </cell>
          <cell r="G233">
            <v>41.440000000000005</v>
          </cell>
          <cell r="H233">
            <v>79.599999999999994</v>
          </cell>
          <cell r="I233">
            <v>61.2</v>
          </cell>
          <cell r="J233">
            <v>102.6</v>
          </cell>
          <cell r="K233">
            <v>205.74</v>
          </cell>
          <cell r="L233">
            <v>344.02000000000004</v>
          </cell>
          <cell r="M233">
            <v>270.12</v>
          </cell>
          <cell r="N233">
            <v>229.49999999999997</v>
          </cell>
          <cell r="O233">
            <v>93.96</v>
          </cell>
          <cell r="P233">
            <v>435.32999999999993</v>
          </cell>
          <cell r="Q233">
            <v>390.59999999999997</v>
          </cell>
          <cell r="R233">
            <v>318.60000000000008</v>
          </cell>
          <cell r="S233">
            <v>261</v>
          </cell>
          <cell r="T233">
            <v>319.39999999999998</v>
          </cell>
          <cell r="U233">
            <v>372.6</v>
          </cell>
          <cell r="V233">
            <v>335.1</v>
          </cell>
          <cell r="W233">
            <v>254.80999999999997</v>
          </cell>
          <cell r="X233">
            <v>275.52</v>
          </cell>
          <cell r="Y233">
            <v>334.79999999999995</v>
          </cell>
          <cell r="Z233">
            <v>259.2</v>
          </cell>
          <cell r="AA233">
            <v>250.39999999999998</v>
          </cell>
          <cell r="AB233">
            <v>308.34000000000003</v>
          </cell>
          <cell r="AC233">
            <v>334.12</v>
          </cell>
          <cell r="AD233">
            <v>153</v>
          </cell>
          <cell r="AE233">
            <v>160.19999999999999</v>
          </cell>
          <cell r="AF233">
            <v>419.57999999999993</v>
          </cell>
          <cell r="AG233">
            <v>68.760000000000005</v>
          </cell>
          <cell r="AH233">
            <v>261.06</v>
          </cell>
          <cell r="AI233">
            <v>266.39999999999998</v>
          </cell>
          <cell r="AJ233">
            <v>255.60000000000002</v>
          </cell>
          <cell r="AK233">
            <v>608.08000000000004</v>
          </cell>
          <cell r="AL233">
            <v>248.4</v>
          </cell>
          <cell r="AM233">
            <v>235.8</v>
          </cell>
          <cell r="AN233">
            <v>244.88000000000002</v>
          </cell>
          <cell r="AO233">
            <v>297</v>
          </cell>
          <cell r="AP233">
            <v>250.20000000000002</v>
          </cell>
          <cell r="AQ233">
            <v>237.6</v>
          </cell>
          <cell r="AR233">
            <v>282.59999999999997</v>
          </cell>
          <cell r="AS233">
            <v>264.60000000000002</v>
          </cell>
          <cell r="AT233">
            <v>315</v>
          </cell>
          <cell r="AU233">
            <v>236.4</v>
          </cell>
          <cell r="AV233">
            <v>43.2</v>
          </cell>
          <cell r="AW233">
            <v>302.40000000000003</v>
          </cell>
          <cell r="AX233">
            <v>262.8</v>
          </cell>
          <cell r="AY233">
            <v>255.6</v>
          </cell>
          <cell r="AZ233">
            <v>397.8</v>
          </cell>
          <cell r="BA233">
            <v>325.79999999999995</v>
          </cell>
          <cell r="BB233">
            <v>445.04999999999995</v>
          </cell>
          <cell r="BC233">
            <v>125.54999999999998</v>
          </cell>
          <cell r="BE233">
            <v>165.6</v>
          </cell>
          <cell r="BF233">
            <v>347.40000000000003</v>
          </cell>
          <cell r="BG233">
            <v>295.2</v>
          </cell>
          <cell r="BH233">
            <v>313.20000000000005</v>
          </cell>
          <cell r="BI233">
            <v>277.2</v>
          </cell>
          <cell r="BJ233">
            <v>228.6</v>
          </cell>
          <cell r="BK233">
            <v>266.39999999999998</v>
          </cell>
          <cell r="BL233">
            <v>279</v>
          </cell>
          <cell r="BM233">
            <v>261</v>
          </cell>
          <cell r="BN233">
            <v>259.2</v>
          </cell>
          <cell r="BO233">
            <v>295.2</v>
          </cell>
          <cell r="BP233">
            <v>27</v>
          </cell>
          <cell r="BQ233">
            <v>348.08</v>
          </cell>
          <cell r="BR233">
            <v>360</v>
          </cell>
          <cell r="BS233">
            <v>311.39999999999998</v>
          </cell>
          <cell r="BT233">
            <v>250.20000000000002</v>
          </cell>
          <cell r="BU233">
            <v>259.2</v>
          </cell>
          <cell r="BV233">
            <v>241.2</v>
          </cell>
          <cell r="BW233">
            <v>232.20000000000002</v>
          </cell>
          <cell r="BX233">
            <v>182.4</v>
          </cell>
          <cell r="BY233">
            <v>192.6</v>
          </cell>
          <cell r="BZ233">
            <v>242.05</v>
          </cell>
          <cell r="CA233">
            <v>239.4</v>
          </cell>
          <cell r="CB233">
            <v>154.80000000000001</v>
          </cell>
          <cell r="CC233">
            <v>300.60000000000002</v>
          </cell>
          <cell r="CD233">
            <v>171.32</v>
          </cell>
          <cell r="CE233">
            <v>90.04</v>
          </cell>
          <cell r="CF233">
            <v>68.400000000000006</v>
          </cell>
          <cell r="CG233">
            <v>203.4</v>
          </cell>
          <cell r="CH233">
            <v>187.20000000000002</v>
          </cell>
          <cell r="CI233">
            <v>261.00000000000006</v>
          </cell>
          <cell r="CJ233">
            <v>169.2</v>
          </cell>
          <cell r="CK233">
            <v>181.82999999999998</v>
          </cell>
          <cell r="CL233">
            <v>160.19999999999999</v>
          </cell>
          <cell r="CM233">
            <v>158.4</v>
          </cell>
          <cell r="CN233">
            <v>183.6</v>
          </cell>
          <cell r="CO233">
            <v>198</v>
          </cell>
          <cell r="CP233">
            <v>183.60000000000002</v>
          </cell>
          <cell r="CQ233">
            <v>194.40000000000003</v>
          </cell>
          <cell r="CR233">
            <v>232.2</v>
          </cell>
          <cell r="CS233">
            <v>196.2</v>
          </cell>
          <cell r="CT233">
            <v>272.80000000000007</v>
          </cell>
          <cell r="CU233">
            <v>203.39999999999998</v>
          </cell>
          <cell r="CV233">
            <v>203.4</v>
          </cell>
          <cell r="CW233">
            <v>243.68</v>
          </cell>
          <cell r="CX233">
            <v>237.60000000000002</v>
          </cell>
          <cell r="CY233">
            <v>210.6</v>
          </cell>
          <cell r="CZ233">
            <v>183.6</v>
          </cell>
          <cell r="DA233">
            <v>221.4</v>
          </cell>
          <cell r="DB233" t="str">
            <v>ACTIVO</v>
          </cell>
          <cell r="DC233" t="str">
            <v>B</v>
          </cell>
          <cell r="DE233">
            <v>191.60176470588235</v>
          </cell>
          <cell r="DF233">
            <v>31.933627450980392</v>
          </cell>
          <cell r="DG233">
            <v>97.485546681945578</v>
          </cell>
          <cell r="DH233">
            <v>783</v>
          </cell>
          <cell r="DI233">
            <v>2022489</v>
          </cell>
          <cell r="DJ233">
            <v>4.0866011918102192</v>
          </cell>
          <cell r="DK233" t="str">
            <v>OK</v>
          </cell>
          <cell r="DL233">
            <v>95.800882352941173</v>
          </cell>
          <cell r="DM233">
            <v>63.867254901960784</v>
          </cell>
          <cell r="DN233">
            <v>159.66813725490195</v>
          </cell>
        </row>
        <row r="234">
          <cell r="B234">
            <v>107102</v>
          </cell>
          <cell r="C234" t="str">
            <v>TRUFA CHOCOLATE PURATOS</v>
          </cell>
          <cell r="D234">
            <v>227.5</v>
          </cell>
          <cell r="E234">
            <v>241</v>
          </cell>
          <cell r="F234">
            <v>210.5</v>
          </cell>
          <cell r="G234">
            <v>262.5</v>
          </cell>
          <cell r="H234">
            <v>202</v>
          </cell>
          <cell r="I234">
            <v>68</v>
          </cell>
          <cell r="J234">
            <v>217</v>
          </cell>
          <cell r="K234">
            <v>215</v>
          </cell>
          <cell r="L234">
            <v>249</v>
          </cell>
          <cell r="M234">
            <v>251</v>
          </cell>
          <cell r="N234">
            <v>285</v>
          </cell>
          <cell r="P234">
            <v>211.5</v>
          </cell>
          <cell r="Q234">
            <v>293</v>
          </cell>
          <cell r="R234">
            <v>228</v>
          </cell>
          <cell r="S234">
            <v>204.5</v>
          </cell>
          <cell r="T234">
            <v>180</v>
          </cell>
          <cell r="U234">
            <v>280</v>
          </cell>
          <cell r="V234">
            <v>236</v>
          </cell>
          <cell r="W234">
            <v>230</v>
          </cell>
          <cell r="X234">
            <v>108</v>
          </cell>
          <cell r="Z234">
            <v>218.5</v>
          </cell>
          <cell r="AA234">
            <v>140.5</v>
          </cell>
          <cell r="AB234">
            <v>241</v>
          </cell>
          <cell r="AC234">
            <v>173.5</v>
          </cell>
          <cell r="AD234">
            <v>69</v>
          </cell>
          <cell r="AE234">
            <v>95.5</v>
          </cell>
          <cell r="AF234">
            <v>229</v>
          </cell>
          <cell r="AG234">
            <v>218.5</v>
          </cell>
          <cell r="AH234">
            <v>180</v>
          </cell>
          <cell r="AI234">
            <v>252</v>
          </cell>
          <cell r="AJ234">
            <v>256</v>
          </cell>
          <cell r="AK234">
            <v>212.5</v>
          </cell>
          <cell r="AL234">
            <v>217.5</v>
          </cell>
          <cell r="AM234">
            <v>204</v>
          </cell>
          <cell r="AN234">
            <v>264</v>
          </cell>
          <cell r="AO234">
            <v>240</v>
          </cell>
          <cell r="AP234">
            <v>264</v>
          </cell>
          <cell r="AQ234">
            <v>225</v>
          </cell>
          <cell r="AR234">
            <v>240</v>
          </cell>
          <cell r="AS234">
            <v>250</v>
          </cell>
          <cell r="AT234">
            <v>284</v>
          </cell>
          <cell r="AU234">
            <v>269.5</v>
          </cell>
          <cell r="AV234">
            <v>200</v>
          </cell>
          <cell r="AW234">
            <v>228</v>
          </cell>
          <cell r="AX234">
            <v>176</v>
          </cell>
          <cell r="AY234">
            <v>216</v>
          </cell>
          <cell r="AZ234">
            <v>224</v>
          </cell>
          <cell r="BA234">
            <v>200</v>
          </cell>
          <cell r="BB234">
            <v>199.5</v>
          </cell>
          <cell r="BC234">
            <v>226</v>
          </cell>
          <cell r="BD234">
            <v>172</v>
          </cell>
          <cell r="BE234">
            <v>176</v>
          </cell>
          <cell r="BF234">
            <v>165</v>
          </cell>
          <cell r="BG234">
            <v>196</v>
          </cell>
          <cell r="BH234">
            <v>224</v>
          </cell>
          <cell r="BI234">
            <v>165</v>
          </cell>
          <cell r="BJ234">
            <v>156</v>
          </cell>
          <cell r="BK234">
            <v>378</v>
          </cell>
          <cell r="BL234">
            <v>220</v>
          </cell>
          <cell r="BM234">
            <v>229</v>
          </cell>
          <cell r="BN234">
            <v>196</v>
          </cell>
          <cell r="BO234">
            <v>186</v>
          </cell>
          <cell r="BP234">
            <v>60</v>
          </cell>
          <cell r="BQ234">
            <v>193</v>
          </cell>
          <cell r="BR234">
            <v>152</v>
          </cell>
          <cell r="BS234">
            <v>242</v>
          </cell>
          <cell r="BT234">
            <v>142</v>
          </cell>
          <cell r="BU234">
            <v>220</v>
          </cell>
          <cell r="BV234">
            <v>187</v>
          </cell>
          <cell r="BW234">
            <v>202</v>
          </cell>
          <cell r="BX234">
            <v>165.5</v>
          </cell>
          <cell r="BY234">
            <v>180.5</v>
          </cell>
          <cell r="BZ234">
            <v>145.5</v>
          </cell>
          <cell r="CA234">
            <v>192</v>
          </cell>
          <cell r="CB234">
            <v>128</v>
          </cell>
          <cell r="CC234">
            <v>633</v>
          </cell>
          <cell r="CD234">
            <v>127</v>
          </cell>
          <cell r="CE234">
            <v>56</v>
          </cell>
          <cell r="CF234">
            <v>44</v>
          </cell>
          <cell r="CG234">
            <v>137</v>
          </cell>
          <cell r="CH234">
            <v>129</v>
          </cell>
          <cell r="CI234">
            <v>144</v>
          </cell>
          <cell r="CJ234">
            <v>112</v>
          </cell>
          <cell r="CK234">
            <v>140</v>
          </cell>
          <cell r="CL234">
            <v>108</v>
          </cell>
          <cell r="CM234">
            <v>120</v>
          </cell>
          <cell r="CN234">
            <v>136</v>
          </cell>
          <cell r="CO234">
            <v>140</v>
          </cell>
          <cell r="CP234">
            <v>164</v>
          </cell>
          <cell r="CQ234">
            <v>152</v>
          </cell>
          <cell r="CR234">
            <v>172</v>
          </cell>
          <cell r="CS234">
            <v>160</v>
          </cell>
          <cell r="CT234">
            <v>184</v>
          </cell>
          <cell r="CU234">
            <v>164</v>
          </cell>
          <cell r="CV234">
            <v>184</v>
          </cell>
          <cell r="CW234">
            <v>192</v>
          </cell>
          <cell r="CX234">
            <v>136</v>
          </cell>
          <cell r="CY234">
            <v>216</v>
          </cell>
          <cell r="CZ234">
            <v>172</v>
          </cell>
          <cell r="DA234">
            <v>191</v>
          </cell>
          <cell r="DB234" t="str">
            <v>ACTIVO</v>
          </cell>
          <cell r="DC234" t="str">
            <v>B</v>
          </cell>
          <cell r="DE234">
            <v>140.58823529411765</v>
          </cell>
          <cell r="DF234">
            <v>23.43137254901961</v>
          </cell>
          <cell r="DG234">
            <v>80.213833414926398</v>
          </cell>
          <cell r="DH234">
            <v>848</v>
          </cell>
          <cell r="DI234">
            <v>2651704.48</v>
          </cell>
          <cell r="DJ234">
            <v>6.0317991631799162</v>
          </cell>
          <cell r="DK234" t="str">
            <v>OK</v>
          </cell>
          <cell r="DL234">
            <v>93.725490196078439</v>
          </cell>
          <cell r="DM234">
            <v>46.86274509803922</v>
          </cell>
          <cell r="DN234">
            <v>140.58823529411765</v>
          </cell>
        </row>
        <row r="235">
          <cell r="B235">
            <v>107124</v>
          </cell>
          <cell r="C235" t="str">
            <v>DURAZNO EN MITADES ALTO LA CRUZ</v>
          </cell>
          <cell r="D235">
            <v>346.41</v>
          </cell>
          <cell r="E235">
            <v>288.89999999999998</v>
          </cell>
          <cell r="F235">
            <v>223.64999999999998</v>
          </cell>
          <cell r="G235">
            <v>244.44</v>
          </cell>
          <cell r="H235">
            <v>271.33999999999997</v>
          </cell>
          <cell r="I235">
            <v>241.47</v>
          </cell>
          <cell r="J235">
            <v>214.20000000000002</v>
          </cell>
          <cell r="K235">
            <v>183.24</v>
          </cell>
          <cell r="L235">
            <v>323.73</v>
          </cell>
          <cell r="M235">
            <v>226.12</v>
          </cell>
          <cell r="N235">
            <v>187.20000000000002</v>
          </cell>
          <cell r="O235">
            <v>55.8</v>
          </cell>
          <cell r="P235">
            <v>213.51999999999998</v>
          </cell>
          <cell r="Q235">
            <v>217.79999999999998</v>
          </cell>
          <cell r="R235">
            <v>225.4</v>
          </cell>
          <cell r="S235">
            <v>117</v>
          </cell>
          <cell r="U235">
            <v>151.19999999999999</v>
          </cell>
          <cell r="V235">
            <v>216</v>
          </cell>
          <cell r="W235">
            <v>75.599999999999994</v>
          </cell>
          <cell r="AR235">
            <v>7.2</v>
          </cell>
          <cell r="BC235">
            <v>297</v>
          </cell>
          <cell r="BR235">
            <v>1.8</v>
          </cell>
          <cell r="BX235">
            <v>7.2</v>
          </cell>
          <cell r="CD235">
            <v>7.2</v>
          </cell>
          <cell r="CN235">
            <v>3.6</v>
          </cell>
          <cell r="DB235" t="str">
            <v>ACTIVO</v>
          </cell>
          <cell r="DC235" t="str">
            <v>C</v>
          </cell>
          <cell r="DE235">
            <v>3.6</v>
          </cell>
          <cell r="DF235">
            <v>0.6</v>
          </cell>
          <cell r="DG235">
            <v>130.22723217514837</v>
          </cell>
          <cell r="DH235">
            <v>486</v>
          </cell>
          <cell r="DI235">
            <v>1309497.8400000001</v>
          </cell>
          <cell r="DJ235">
            <v>135</v>
          </cell>
          <cell r="DK235" t="str">
            <v>OK</v>
          </cell>
          <cell r="DL235">
            <v>1.7999999999999998</v>
          </cell>
          <cell r="DM235">
            <v>1.2</v>
          </cell>
          <cell r="DN235">
            <v>3</v>
          </cell>
        </row>
        <row r="236">
          <cell r="B236">
            <v>107144</v>
          </cell>
          <cell r="C236" t="str">
            <v>MANZANAS SLICE MEL</v>
          </cell>
          <cell r="G236">
            <v>56.999999999999993</v>
          </cell>
          <cell r="H236">
            <v>58.9</v>
          </cell>
          <cell r="I236">
            <v>91.2</v>
          </cell>
          <cell r="J236">
            <v>131.1</v>
          </cell>
          <cell r="K236">
            <v>214.7</v>
          </cell>
          <cell r="L236">
            <v>476.89999999999986</v>
          </cell>
          <cell r="M236">
            <v>271.7</v>
          </cell>
          <cell r="N236">
            <v>243.20000000000002</v>
          </cell>
          <cell r="O236">
            <v>136.80000000000001</v>
          </cell>
          <cell r="P236">
            <v>410.4</v>
          </cell>
          <cell r="Q236">
            <v>461.7</v>
          </cell>
          <cell r="R236">
            <v>364.79999999999995</v>
          </cell>
          <cell r="S236">
            <v>340.1</v>
          </cell>
          <cell r="T236">
            <v>286.89999999999998</v>
          </cell>
          <cell r="U236">
            <v>375.90000000000003</v>
          </cell>
          <cell r="V236">
            <v>402.50000000000006</v>
          </cell>
          <cell r="W236">
            <v>429.79999999999995</v>
          </cell>
          <cell r="X236">
            <v>321.09999999999997</v>
          </cell>
          <cell r="Y236">
            <v>408.5</v>
          </cell>
          <cell r="Z236">
            <v>279.08</v>
          </cell>
          <cell r="AA236">
            <v>289.79999999999995</v>
          </cell>
          <cell r="AB236">
            <v>332.5</v>
          </cell>
          <cell r="AC236">
            <v>235.60000000000002</v>
          </cell>
          <cell r="AD236">
            <v>153.9</v>
          </cell>
          <cell r="AE236">
            <v>121.6</v>
          </cell>
          <cell r="AF236">
            <v>302.10000000000002</v>
          </cell>
          <cell r="AG236">
            <v>220.4</v>
          </cell>
          <cell r="AH236">
            <v>182.39999999999998</v>
          </cell>
          <cell r="AI236">
            <v>273.59999999999997</v>
          </cell>
          <cell r="AJ236">
            <v>840.20000000000027</v>
          </cell>
          <cell r="AK236">
            <v>294.50000000000006</v>
          </cell>
          <cell r="AL236">
            <v>287.39999999999998</v>
          </cell>
          <cell r="AM236">
            <v>294.5</v>
          </cell>
          <cell r="AN236">
            <v>231.79999999999998</v>
          </cell>
          <cell r="AO236">
            <v>383.80000000000007</v>
          </cell>
          <cell r="AP236">
            <v>278</v>
          </cell>
          <cell r="AQ236">
            <v>317.5</v>
          </cell>
          <cell r="AR236">
            <v>317.3</v>
          </cell>
          <cell r="AS236">
            <v>328.7</v>
          </cell>
          <cell r="AT236">
            <v>275.5</v>
          </cell>
          <cell r="AU236">
            <v>258.40000000000003</v>
          </cell>
          <cell r="AV236">
            <v>332.49999999999994</v>
          </cell>
          <cell r="AW236">
            <v>284.2</v>
          </cell>
          <cell r="AX236">
            <v>273.60000000000002</v>
          </cell>
          <cell r="AY236">
            <v>319.20000000000005</v>
          </cell>
          <cell r="AZ236">
            <v>579.5</v>
          </cell>
          <cell r="BA236">
            <v>342</v>
          </cell>
          <cell r="BB236">
            <v>421.79999999999995</v>
          </cell>
          <cell r="BC236">
            <v>433.20000000000005</v>
          </cell>
          <cell r="BD236">
            <v>370.50000000000006</v>
          </cell>
          <cell r="BE236">
            <v>374.29999999999995</v>
          </cell>
          <cell r="BF236">
            <v>423.7</v>
          </cell>
          <cell r="BG236">
            <v>357.20000000000005</v>
          </cell>
          <cell r="BH236">
            <v>431.30000000000007</v>
          </cell>
          <cell r="BI236">
            <v>343.90000000000003</v>
          </cell>
          <cell r="BJ236">
            <v>281.20000000000005</v>
          </cell>
          <cell r="BK236">
            <v>429.40000000000003</v>
          </cell>
          <cell r="BL236">
            <v>473.09999999999997</v>
          </cell>
          <cell r="BM236">
            <v>400.9</v>
          </cell>
          <cell r="BN236">
            <v>378.09999999999997</v>
          </cell>
          <cell r="BO236">
            <v>440.8</v>
          </cell>
          <cell r="BP236">
            <v>47.5</v>
          </cell>
          <cell r="BQ236">
            <v>488.2</v>
          </cell>
          <cell r="BR236">
            <v>490.2</v>
          </cell>
          <cell r="BS236">
            <v>406.6</v>
          </cell>
          <cell r="BT236">
            <v>353.4</v>
          </cell>
          <cell r="BU236">
            <v>320.7</v>
          </cell>
          <cell r="BV236">
            <v>304</v>
          </cell>
          <cell r="BW236">
            <v>302.10000000000002</v>
          </cell>
          <cell r="BX236">
            <v>235.60000000000002</v>
          </cell>
          <cell r="BY236">
            <v>248.89999999999998</v>
          </cell>
          <cell r="BZ236">
            <v>337.3</v>
          </cell>
          <cell r="CA236">
            <v>317.3</v>
          </cell>
          <cell r="CB236">
            <v>214.70000000000002</v>
          </cell>
          <cell r="CC236">
            <v>307.3</v>
          </cell>
          <cell r="CD236">
            <v>222.3</v>
          </cell>
          <cell r="CE236">
            <v>157.69999999999999</v>
          </cell>
          <cell r="CF236">
            <v>87.399999999999991</v>
          </cell>
          <cell r="CG236">
            <v>277</v>
          </cell>
          <cell r="CH236">
            <v>254.6</v>
          </cell>
          <cell r="CI236">
            <v>238.90000000000003</v>
          </cell>
          <cell r="CJ236">
            <v>216.60000000000002</v>
          </cell>
          <cell r="CK236">
            <v>245.10000000000002</v>
          </cell>
          <cell r="CL236">
            <v>199.5</v>
          </cell>
          <cell r="CM236">
            <v>199.5</v>
          </cell>
          <cell r="CN236">
            <v>245.10000000000002</v>
          </cell>
          <cell r="CO236">
            <v>243.20000000000002</v>
          </cell>
          <cell r="CP236">
            <v>355.3</v>
          </cell>
          <cell r="CQ236">
            <v>378.09999999999997</v>
          </cell>
          <cell r="CR236">
            <v>443.20000000000005</v>
          </cell>
          <cell r="CS236">
            <v>400.9</v>
          </cell>
          <cell r="CT236">
            <v>461.70000000000005</v>
          </cell>
          <cell r="CU236">
            <v>391.8</v>
          </cell>
          <cell r="CV236">
            <v>423.70000000000005</v>
          </cell>
          <cell r="CW236">
            <v>397.1</v>
          </cell>
          <cell r="CX236">
            <v>416.09999999999997</v>
          </cell>
          <cell r="CY236">
            <v>450.30000000000007</v>
          </cell>
          <cell r="CZ236">
            <v>362.6</v>
          </cell>
          <cell r="DA236">
            <v>431.29999999999984</v>
          </cell>
          <cell r="DB236" t="str">
            <v>ACTIVO</v>
          </cell>
          <cell r="DC236" t="str">
            <v>A</v>
          </cell>
          <cell r="DE236">
            <v>297.74117647058824</v>
          </cell>
          <cell r="DF236">
            <v>49.623529411764707</v>
          </cell>
          <cell r="DG236">
            <v>119.37737765016405</v>
          </cell>
          <cell r="DH236">
            <v>245.1</v>
          </cell>
          <cell r="DI236">
            <v>772089.51</v>
          </cell>
          <cell r="DJ236">
            <v>0.82319819819819817</v>
          </cell>
          <cell r="DK236" t="str">
            <v>OK</v>
          </cell>
          <cell r="DL236">
            <v>99.247058823529414</v>
          </cell>
          <cell r="DM236">
            <v>99.247058823529414</v>
          </cell>
          <cell r="DN236">
            <v>198.49411764705883</v>
          </cell>
        </row>
        <row r="237">
          <cell r="B237">
            <v>107240</v>
          </cell>
          <cell r="C237" t="str">
            <v>CRUSHED DE FRAMBUESA ALTO LA CRUZ</v>
          </cell>
          <cell r="D237">
            <v>37.200000000000003</v>
          </cell>
          <cell r="E237">
            <v>34.1</v>
          </cell>
          <cell r="F237">
            <v>31.000000000000004</v>
          </cell>
          <cell r="G237">
            <v>27.900000000000002</v>
          </cell>
          <cell r="H237">
            <v>24.8</v>
          </cell>
          <cell r="I237">
            <v>9.3000000000000007</v>
          </cell>
          <cell r="J237">
            <v>27.900000000000002</v>
          </cell>
          <cell r="K237">
            <v>21.7</v>
          </cell>
          <cell r="L237">
            <v>31.000000000000004</v>
          </cell>
          <cell r="M237">
            <v>21.700000000000003</v>
          </cell>
          <cell r="N237">
            <v>21.700000000000003</v>
          </cell>
          <cell r="P237">
            <v>16.900000000000002</v>
          </cell>
          <cell r="Q237">
            <v>31.000000000000004</v>
          </cell>
          <cell r="R237">
            <v>18.600000000000001</v>
          </cell>
          <cell r="S237">
            <v>18.600000000000001</v>
          </cell>
          <cell r="T237">
            <v>15.5</v>
          </cell>
          <cell r="U237">
            <v>24.800000000000004</v>
          </cell>
          <cell r="V237">
            <v>24.800000000000004</v>
          </cell>
          <cell r="W237">
            <v>15.5</v>
          </cell>
          <cell r="X237">
            <v>12.4</v>
          </cell>
          <cell r="Z237">
            <v>18.600000000000001</v>
          </cell>
          <cell r="AA237">
            <v>18.600000000000001</v>
          </cell>
          <cell r="AB237">
            <v>52.7</v>
          </cell>
          <cell r="AC237">
            <v>18.600000000000001</v>
          </cell>
          <cell r="AD237">
            <v>6.2</v>
          </cell>
          <cell r="AE237">
            <v>6.2</v>
          </cell>
          <cell r="AF237">
            <v>24.800000000000004</v>
          </cell>
          <cell r="AG237">
            <v>18.600000000000001</v>
          </cell>
          <cell r="AH237">
            <v>18.600000000000001</v>
          </cell>
          <cell r="AI237">
            <v>55.800000000000004</v>
          </cell>
          <cell r="AJ237">
            <v>18.600000000000001</v>
          </cell>
          <cell r="AK237">
            <v>18.600000000000001</v>
          </cell>
          <cell r="AL237">
            <v>24.800000000000004</v>
          </cell>
          <cell r="AM237">
            <v>21.700000000000003</v>
          </cell>
          <cell r="AN237">
            <v>24.800000000000004</v>
          </cell>
          <cell r="AO237">
            <v>24.800000000000004</v>
          </cell>
          <cell r="AP237">
            <v>18.600000000000001</v>
          </cell>
          <cell r="AQ237">
            <v>21.700000000000003</v>
          </cell>
          <cell r="AR237">
            <v>24.800000000000004</v>
          </cell>
          <cell r="AS237">
            <v>24.8</v>
          </cell>
          <cell r="AT237">
            <v>31.000000000000007</v>
          </cell>
          <cell r="AU237">
            <v>21.700000000000003</v>
          </cell>
          <cell r="AV237">
            <v>21.700000000000003</v>
          </cell>
          <cell r="AW237">
            <v>24.800000000000004</v>
          </cell>
          <cell r="AX237">
            <v>21.700000000000003</v>
          </cell>
          <cell r="AY237">
            <v>21.700000000000003</v>
          </cell>
          <cell r="AZ237">
            <v>24.800000000000004</v>
          </cell>
          <cell r="BA237">
            <v>24.800000000000004</v>
          </cell>
          <cell r="BB237">
            <v>18.600000000000001</v>
          </cell>
          <cell r="BC237">
            <v>21.700000000000003</v>
          </cell>
          <cell r="BD237">
            <v>21.700000000000003</v>
          </cell>
          <cell r="BE237">
            <v>18.600000000000001</v>
          </cell>
          <cell r="BF237">
            <v>18.600000000000001</v>
          </cell>
          <cell r="BG237">
            <v>23.600000000000005</v>
          </cell>
          <cell r="BH237">
            <v>27.900000000000002</v>
          </cell>
          <cell r="BI237">
            <v>21.700000000000003</v>
          </cell>
          <cell r="BJ237">
            <v>18.600000000000001</v>
          </cell>
          <cell r="BK237">
            <v>24.8</v>
          </cell>
          <cell r="BL237">
            <v>21.700000000000003</v>
          </cell>
          <cell r="BM237">
            <v>21.700000000000003</v>
          </cell>
          <cell r="BN237">
            <v>18.600000000000001</v>
          </cell>
          <cell r="BO237">
            <v>18.600000000000001</v>
          </cell>
          <cell r="BP237">
            <v>3.1</v>
          </cell>
          <cell r="BQ237">
            <v>21.700000000000003</v>
          </cell>
          <cell r="BR237">
            <v>15.5</v>
          </cell>
          <cell r="BS237">
            <v>21.700000000000003</v>
          </cell>
          <cell r="BT237">
            <v>18.600000000000001</v>
          </cell>
          <cell r="BU237">
            <v>21.700000000000003</v>
          </cell>
          <cell r="BV237">
            <v>21.700000000000003</v>
          </cell>
          <cell r="BW237">
            <v>18.600000000000001</v>
          </cell>
          <cell r="BX237">
            <v>15.5</v>
          </cell>
          <cell r="BY237">
            <v>18.600000000000001</v>
          </cell>
          <cell r="BZ237">
            <v>24.800000000000004</v>
          </cell>
          <cell r="CA237">
            <v>21.7</v>
          </cell>
          <cell r="CB237">
            <v>15.5</v>
          </cell>
          <cell r="CC237">
            <v>18.600000000000001</v>
          </cell>
          <cell r="CD237">
            <v>18.600000000000001</v>
          </cell>
          <cell r="CE237">
            <v>9.3000000000000007</v>
          </cell>
          <cell r="CF237">
            <v>6.2</v>
          </cell>
          <cell r="CG237">
            <v>18.600000000000001</v>
          </cell>
          <cell r="CH237">
            <v>9.3000000000000007</v>
          </cell>
          <cell r="DB237" t="str">
            <v>SIN USO</v>
          </cell>
          <cell r="DC237" t="str">
            <v>C</v>
          </cell>
          <cell r="DE237">
            <v>11.366666666666667</v>
          </cell>
          <cell r="DF237">
            <v>1.8944444444444446</v>
          </cell>
          <cell r="DG237">
            <v>6.7796818237546583</v>
          </cell>
          <cell r="DH237">
            <v>208.1</v>
          </cell>
          <cell r="DI237">
            <v>703028.39199999999</v>
          </cell>
          <cell r="DJ237">
            <v>18.307917888563047</v>
          </cell>
          <cell r="DK237" t="str">
            <v>INACTIVO</v>
          </cell>
          <cell r="DL237">
            <v>5.6833333333333336</v>
          </cell>
          <cell r="DM237">
            <v>3.7888888888888892</v>
          </cell>
          <cell r="DN237">
            <v>9.4722222222222232</v>
          </cell>
        </row>
        <row r="238">
          <cell r="B238">
            <v>107346</v>
          </cell>
          <cell r="C238" t="str">
            <v>PIÑA EN CUBOS LAS PERDICES</v>
          </cell>
          <cell r="X238">
            <v>1.84</v>
          </cell>
          <cell r="AA238">
            <v>202.4</v>
          </cell>
          <cell r="AC238">
            <v>183.6</v>
          </cell>
          <cell r="AO238">
            <v>386</v>
          </cell>
          <cell r="AQ238">
            <v>599.83999999999992</v>
          </cell>
          <cell r="AR238">
            <v>618.24</v>
          </cell>
          <cell r="AS238">
            <v>176.64</v>
          </cell>
          <cell r="AT238">
            <v>172.98</v>
          </cell>
          <cell r="AU238">
            <v>465.82</v>
          </cell>
          <cell r="AV238">
            <v>826.16000000000008</v>
          </cell>
          <cell r="AX238">
            <v>69.92</v>
          </cell>
          <cell r="AY238">
            <v>691.4</v>
          </cell>
          <cell r="AZ238">
            <v>176.64</v>
          </cell>
          <cell r="BA238">
            <v>138</v>
          </cell>
          <cell r="BD238">
            <v>79.12</v>
          </cell>
          <cell r="BE238">
            <v>491.28</v>
          </cell>
          <cell r="BF238">
            <v>872.16000000000008</v>
          </cell>
          <cell r="BG238">
            <v>552.20000000000005</v>
          </cell>
          <cell r="BH238">
            <v>822.48</v>
          </cell>
          <cell r="BI238">
            <v>491.08000000000004</v>
          </cell>
          <cell r="BJ238">
            <v>500.48</v>
          </cell>
          <cell r="BK238">
            <v>674.96</v>
          </cell>
          <cell r="BL238">
            <v>726.64</v>
          </cell>
          <cell r="BM238">
            <v>221.60000000000002</v>
          </cell>
          <cell r="BN238">
            <v>318.03999999999996</v>
          </cell>
          <cell r="BO238">
            <v>712.53</v>
          </cell>
          <cell r="BP238">
            <v>285.2</v>
          </cell>
          <cell r="BQ238">
            <v>212.99</v>
          </cell>
          <cell r="BR238">
            <v>99.32</v>
          </cell>
          <cell r="BT238">
            <v>51.48</v>
          </cell>
          <cell r="CA238">
            <v>730.48</v>
          </cell>
          <cell r="CB238">
            <v>439.76</v>
          </cell>
          <cell r="CC238">
            <v>479.80999999999995</v>
          </cell>
          <cell r="CD238">
            <v>551.99999999999989</v>
          </cell>
          <cell r="CE238">
            <v>765.44</v>
          </cell>
          <cell r="CG238">
            <v>607.20000000000005</v>
          </cell>
          <cell r="CH238">
            <v>170.23999999999998</v>
          </cell>
          <cell r="CI238">
            <v>603.52</v>
          </cell>
          <cell r="CJ238">
            <v>368</v>
          </cell>
          <cell r="CL238">
            <v>783.44</v>
          </cell>
          <cell r="CM238">
            <v>681.72</v>
          </cell>
          <cell r="CO238">
            <v>1271.44</v>
          </cell>
          <cell r="CP238">
            <v>912.64</v>
          </cell>
          <cell r="CQ238">
            <v>11.040000000000001</v>
          </cell>
          <cell r="CR238">
            <v>244.71999999999997</v>
          </cell>
          <cell r="CS238">
            <v>559.36</v>
          </cell>
          <cell r="CT238">
            <v>767.4</v>
          </cell>
          <cell r="CU238">
            <v>559.36</v>
          </cell>
          <cell r="CV238">
            <v>1118.72</v>
          </cell>
          <cell r="CW238">
            <v>559.36</v>
          </cell>
          <cell r="CX238">
            <v>215.28</v>
          </cell>
          <cell r="CY238">
            <v>516.96</v>
          </cell>
          <cell r="CZ238">
            <v>516.83999999999992</v>
          </cell>
          <cell r="DA238">
            <v>430.56</v>
          </cell>
          <cell r="DB238" t="str">
            <v>ACTIVO</v>
          </cell>
          <cell r="DC238" t="str">
            <v>B</v>
          </cell>
          <cell r="DE238">
            <v>618.48571428571427</v>
          </cell>
          <cell r="DF238">
            <v>103.08095238095238</v>
          </cell>
          <cell r="DG238">
            <v>254.89413755909732</v>
          </cell>
          <cell r="DH238">
            <v>690.02</v>
          </cell>
          <cell r="DI238">
            <v>2101276.5048000002</v>
          </cell>
          <cell r="DJ238">
            <v>1.1156603686423061</v>
          </cell>
          <cell r="DK238" t="str">
            <v>OK</v>
          </cell>
          <cell r="DL238">
            <v>206.16190476190476</v>
          </cell>
          <cell r="DM238">
            <v>206.16190476190476</v>
          </cell>
          <cell r="DN238">
            <v>412.32380952380953</v>
          </cell>
        </row>
        <row r="239">
          <cell r="B239">
            <v>107282</v>
          </cell>
          <cell r="C239" t="str">
            <v>PIÑA EN CUBOS</v>
          </cell>
          <cell r="D239">
            <v>113.68</v>
          </cell>
          <cell r="E239">
            <v>77.680000000000007</v>
          </cell>
          <cell r="F239">
            <v>204.39</v>
          </cell>
          <cell r="G239">
            <v>90.160000000000011</v>
          </cell>
          <cell r="H239">
            <v>161.92000000000002</v>
          </cell>
          <cell r="I239">
            <v>44.16</v>
          </cell>
          <cell r="J239">
            <v>517.04</v>
          </cell>
          <cell r="K239">
            <v>31.98</v>
          </cell>
          <cell r="L239">
            <v>1.84</v>
          </cell>
          <cell r="M239">
            <v>125.12</v>
          </cell>
          <cell r="N239">
            <v>106.72</v>
          </cell>
          <cell r="Q239">
            <v>97.52</v>
          </cell>
          <cell r="S239">
            <v>128.53</v>
          </cell>
          <cell r="T239">
            <v>125.12</v>
          </cell>
          <cell r="U239">
            <v>3.64</v>
          </cell>
          <cell r="V239">
            <v>242.88</v>
          </cell>
          <cell r="W239">
            <v>147.24</v>
          </cell>
          <cell r="Z239">
            <v>82.34</v>
          </cell>
          <cell r="AJ239">
            <v>601.67999999999995</v>
          </cell>
          <cell r="DB239" t="str">
            <v>SIN USO</v>
          </cell>
          <cell r="DC239" t="str">
            <v>C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 t="str">
            <v>0</v>
          </cell>
          <cell r="DJ239">
            <v>0</v>
          </cell>
          <cell r="DK239" t="str">
            <v>INACTIVO</v>
          </cell>
          <cell r="DL239">
            <v>0</v>
          </cell>
          <cell r="DM239">
            <v>0</v>
          </cell>
          <cell r="DN239">
            <v>0</v>
          </cell>
        </row>
        <row r="240">
          <cell r="B240">
            <v>107123</v>
          </cell>
          <cell r="C240" t="str">
            <v>PIÑA EN CUBOS ALTO LA CRUZ</v>
          </cell>
          <cell r="AE240">
            <v>62.37</v>
          </cell>
          <cell r="AF240">
            <v>170.93</v>
          </cell>
          <cell r="AG240">
            <v>268.63999999999993</v>
          </cell>
          <cell r="AH240">
            <v>1495.8799999999999</v>
          </cell>
          <cell r="AI240">
            <v>778.31999999999994</v>
          </cell>
          <cell r="AJ240">
            <v>81.040000000000006</v>
          </cell>
          <cell r="AL240">
            <v>1.8</v>
          </cell>
          <cell r="BS240">
            <v>279.68</v>
          </cell>
          <cell r="BT240">
            <v>680.36</v>
          </cell>
          <cell r="BU240">
            <v>516.64</v>
          </cell>
          <cell r="BV240">
            <v>954.96</v>
          </cell>
          <cell r="BW240">
            <v>215.28</v>
          </cell>
          <cell r="BX240">
            <v>478.95000000000005</v>
          </cell>
          <cell r="BY240">
            <v>95.68</v>
          </cell>
          <cell r="BZ240">
            <v>206.08</v>
          </cell>
          <cell r="CA240">
            <v>95.68</v>
          </cell>
          <cell r="CC240">
            <v>26.19</v>
          </cell>
          <cell r="DB240" t="str">
            <v>SIN USO</v>
          </cell>
          <cell r="DC240" t="str">
            <v>B</v>
          </cell>
          <cell r="DE240">
            <v>0</v>
          </cell>
          <cell r="DF240">
            <v>0</v>
          </cell>
          <cell r="DG240">
            <v>402.8540543185365</v>
          </cell>
          <cell r="DH240">
            <v>0</v>
          </cell>
          <cell r="DI240" t="str">
            <v>0</v>
          </cell>
          <cell r="DJ240">
            <v>0</v>
          </cell>
          <cell r="DK240" t="str">
            <v>INACTIVO</v>
          </cell>
          <cell r="DL240">
            <v>0</v>
          </cell>
          <cell r="DM240">
            <v>0</v>
          </cell>
          <cell r="DN240">
            <v>0</v>
          </cell>
        </row>
        <row r="241">
          <cell r="B241">
            <v>405500</v>
          </cell>
          <cell r="C241" t="str">
            <v>PIÑA EN CUBOS CAMPOS</v>
          </cell>
          <cell r="AK241">
            <v>192.92</v>
          </cell>
          <cell r="AL241">
            <v>605.64</v>
          </cell>
          <cell r="AM241">
            <v>401.11999999999995</v>
          </cell>
          <cell r="AN241">
            <v>399.28</v>
          </cell>
          <cell r="AO241">
            <v>37.32</v>
          </cell>
          <cell r="AP241">
            <v>31.28</v>
          </cell>
          <cell r="DB241" t="str">
            <v>SIN USO</v>
          </cell>
          <cell r="DC241" t="str">
            <v>C</v>
          </cell>
          <cell r="DE241">
            <v>0</v>
          </cell>
          <cell r="DF241">
            <v>0</v>
          </cell>
          <cell r="DG241">
            <v>229.45654810152331</v>
          </cell>
          <cell r="DH241">
            <v>0</v>
          </cell>
          <cell r="DI241" t="str">
            <v>0</v>
          </cell>
          <cell r="DJ241">
            <v>0</v>
          </cell>
          <cell r="DK241" t="str">
            <v>INACTIVO</v>
          </cell>
          <cell r="DL241">
            <v>0</v>
          </cell>
          <cell r="DM241">
            <v>0</v>
          </cell>
          <cell r="DN241">
            <v>0</v>
          </cell>
        </row>
        <row r="242">
          <cell r="B242">
            <v>107324</v>
          </cell>
          <cell r="C242" t="str">
            <v>MARRASQUINO FRUCOL</v>
          </cell>
          <cell r="D242">
            <v>244.79999999999998</v>
          </cell>
          <cell r="E242">
            <v>214.60000000000002</v>
          </cell>
          <cell r="F242">
            <v>223</v>
          </cell>
          <cell r="G242">
            <v>221.2</v>
          </cell>
          <cell r="H242">
            <v>392.8</v>
          </cell>
          <cell r="I242">
            <v>238.2</v>
          </cell>
          <cell r="J242">
            <v>238</v>
          </cell>
          <cell r="K242">
            <v>203.19999999999996</v>
          </cell>
          <cell r="L242">
            <v>270.8</v>
          </cell>
          <cell r="M242">
            <v>332.20000000000005</v>
          </cell>
          <cell r="N242">
            <v>389.40000000000009</v>
          </cell>
          <cell r="O242">
            <v>61</v>
          </cell>
          <cell r="P242">
            <v>253.2</v>
          </cell>
          <cell r="Q242">
            <v>298.8</v>
          </cell>
          <cell r="R242">
            <v>234</v>
          </cell>
          <cell r="S242">
            <v>237.6</v>
          </cell>
          <cell r="T242">
            <v>288</v>
          </cell>
          <cell r="U242">
            <v>224.89999999999998</v>
          </cell>
          <cell r="V242">
            <v>357.40000000000009</v>
          </cell>
          <cell r="W242">
            <v>187</v>
          </cell>
          <cell r="X242">
            <v>194.4</v>
          </cell>
          <cell r="Y242">
            <v>297</v>
          </cell>
          <cell r="Z242">
            <v>242.00000000000003</v>
          </cell>
          <cell r="AA242">
            <v>406.80000000000007</v>
          </cell>
          <cell r="AB242">
            <v>183.59999999999997</v>
          </cell>
          <cell r="AC242">
            <v>257.40000000000003</v>
          </cell>
          <cell r="AD242">
            <v>72</v>
          </cell>
          <cell r="AE242">
            <v>48.96</v>
          </cell>
          <cell r="AF242">
            <v>304.59999999999997</v>
          </cell>
          <cell r="AG242">
            <v>339.94000000000005</v>
          </cell>
          <cell r="AH242">
            <v>459.8</v>
          </cell>
          <cell r="AI242">
            <v>302.8</v>
          </cell>
          <cell r="AJ242">
            <v>371.59999999999991</v>
          </cell>
          <cell r="AK242">
            <v>230.40000000000003</v>
          </cell>
          <cell r="AL242">
            <v>142</v>
          </cell>
          <cell r="AM242">
            <v>104.4</v>
          </cell>
          <cell r="AN242">
            <v>246.6</v>
          </cell>
          <cell r="AO242">
            <v>342.00000000000006</v>
          </cell>
          <cell r="AP242">
            <v>228.6</v>
          </cell>
          <cell r="AQ242">
            <v>254.10000000000002</v>
          </cell>
          <cell r="AR242">
            <v>396</v>
          </cell>
          <cell r="AS242">
            <v>302.40000000000003</v>
          </cell>
          <cell r="AT242">
            <v>387.00000000000006</v>
          </cell>
          <cell r="AU242">
            <v>532.79999999999995</v>
          </cell>
          <cell r="AV242">
            <v>500.40000000000009</v>
          </cell>
          <cell r="AW242">
            <v>327.60000000000002</v>
          </cell>
          <cell r="AX242">
            <v>381.59999999999991</v>
          </cell>
          <cell r="AY242">
            <v>352.79999999999995</v>
          </cell>
          <cell r="AZ242">
            <v>471.6</v>
          </cell>
          <cell r="BA242">
            <v>453.59999999999997</v>
          </cell>
          <cell r="BB242">
            <v>268.2</v>
          </cell>
          <cell r="BC242">
            <v>235.79999999999998</v>
          </cell>
          <cell r="BD242">
            <v>322.2</v>
          </cell>
          <cell r="BE242">
            <v>288</v>
          </cell>
          <cell r="BF242">
            <v>451.39999999999992</v>
          </cell>
          <cell r="BG242">
            <v>424.8</v>
          </cell>
          <cell r="BH242">
            <v>581.4</v>
          </cell>
          <cell r="BI242">
            <v>340.2</v>
          </cell>
          <cell r="BJ242">
            <v>354.59999999999997</v>
          </cell>
          <cell r="BK242">
            <v>307.8</v>
          </cell>
          <cell r="BL242">
            <v>343.8</v>
          </cell>
          <cell r="BM242">
            <v>196.2</v>
          </cell>
          <cell r="BN242">
            <v>278.99999999999994</v>
          </cell>
          <cell r="BO242">
            <v>505.8</v>
          </cell>
          <cell r="BP242">
            <v>120.60000000000002</v>
          </cell>
          <cell r="BQ242">
            <v>359.99999999999994</v>
          </cell>
          <cell r="BR242">
            <v>316.8</v>
          </cell>
          <cell r="BS242">
            <v>475.2</v>
          </cell>
          <cell r="BT242">
            <v>300.60000000000002</v>
          </cell>
          <cell r="BU242">
            <v>390.59999999999997</v>
          </cell>
          <cell r="BV242">
            <v>536.69999999999993</v>
          </cell>
          <cell r="BW242">
            <v>318.59999999999997</v>
          </cell>
          <cell r="BX242">
            <v>286.2</v>
          </cell>
          <cell r="BY242">
            <v>141</v>
          </cell>
          <cell r="BZ242">
            <v>252.20000000000002</v>
          </cell>
          <cell r="CA242">
            <v>379.8</v>
          </cell>
          <cell r="CB242">
            <v>230.4</v>
          </cell>
          <cell r="CC242">
            <v>313.2000000000001</v>
          </cell>
          <cell r="CD242">
            <v>309.7</v>
          </cell>
          <cell r="CE242">
            <v>250.2</v>
          </cell>
          <cell r="CF242">
            <v>198</v>
          </cell>
          <cell r="CG242">
            <v>475.2000000000001</v>
          </cell>
          <cell r="CH242">
            <v>202.59999999999997</v>
          </cell>
          <cell r="CI242">
            <v>329.40000000000003</v>
          </cell>
          <cell r="CJ242">
            <v>379.8</v>
          </cell>
          <cell r="CK242">
            <v>180</v>
          </cell>
          <cell r="CL242">
            <v>480.6</v>
          </cell>
          <cell r="CM242">
            <v>388.8</v>
          </cell>
          <cell r="CN242">
            <v>156.6</v>
          </cell>
          <cell r="CO242">
            <v>207.00000000000006</v>
          </cell>
          <cell r="CP242">
            <v>281.39999999999998</v>
          </cell>
          <cell r="CQ242">
            <v>252.00000000000003</v>
          </cell>
          <cell r="CR242">
            <v>304.2000000000001</v>
          </cell>
          <cell r="CS242">
            <v>226.80000000000004</v>
          </cell>
          <cell r="CT242">
            <v>322.2</v>
          </cell>
          <cell r="CU242">
            <v>381.60000000000014</v>
          </cell>
          <cell r="CV242">
            <v>478.80000000000007</v>
          </cell>
          <cell r="CW242">
            <v>157.58000000000001</v>
          </cell>
          <cell r="CX242">
            <v>257.39999999999998</v>
          </cell>
          <cell r="CY242">
            <v>419.40000000000009</v>
          </cell>
          <cell r="CZ242">
            <v>325.79999999999995</v>
          </cell>
          <cell r="DA242">
            <v>351.29999999999995</v>
          </cell>
          <cell r="DB242" t="str">
            <v>ACTIVO</v>
          </cell>
          <cell r="DC242" t="str">
            <v>A</v>
          </cell>
          <cell r="DE242">
            <v>308.52941176470591</v>
          </cell>
          <cell r="DF242">
            <v>51.421568627450988</v>
          </cell>
          <cell r="DG242">
            <v>113.16140909587095</v>
          </cell>
          <cell r="DH242">
            <v>352.3</v>
          </cell>
          <cell r="DI242">
            <v>1824086.095</v>
          </cell>
          <cell r="DJ242">
            <v>1.1418684461391801</v>
          </cell>
          <cell r="DK242" t="str">
            <v>COMPRAR</v>
          </cell>
          <cell r="DL242">
            <v>257.10784313725492</v>
          </cell>
          <cell r="DM242">
            <v>102.84313725490198</v>
          </cell>
          <cell r="DN242">
            <v>359.95098039215691</v>
          </cell>
        </row>
        <row r="243">
          <cell r="B243">
            <v>107001</v>
          </cell>
          <cell r="C243" t="str">
            <v>MARRASQUINO ALTO LA CRUZ</v>
          </cell>
          <cell r="AI243">
            <v>61.7</v>
          </cell>
          <cell r="AK243">
            <v>48.4</v>
          </cell>
          <cell r="AL243">
            <v>100.6</v>
          </cell>
          <cell r="AM243">
            <v>93.399999999999991</v>
          </cell>
          <cell r="AN243">
            <v>39.6</v>
          </cell>
          <cell r="AO243">
            <v>3.6</v>
          </cell>
          <cell r="AQ243">
            <v>29.700000000000003</v>
          </cell>
          <cell r="CQ243">
            <v>36</v>
          </cell>
          <cell r="CW243">
            <v>23.400000000000002</v>
          </cell>
          <cell r="CY243">
            <v>1.8</v>
          </cell>
          <cell r="DB243" t="str">
            <v>ACTIVO</v>
          </cell>
          <cell r="DC243" t="str">
            <v>C</v>
          </cell>
          <cell r="DE243">
            <v>36</v>
          </cell>
          <cell r="DF243">
            <v>6</v>
          </cell>
          <cell r="DG243">
            <v>34.526408112383429</v>
          </cell>
          <cell r="DH243">
            <v>795.8</v>
          </cell>
          <cell r="DI243">
            <v>4685964.8459999999</v>
          </cell>
          <cell r="DJ243">
            <v>22.105555555555554</v>
          </cell>
          <cell r="DK243" t="str">
            <v>OK</v>
          </cell>
          <cell r="DL243">
            <v>18</v>
          </cell>
          <cell r="DM243">
            <v>12</v>
          </cell>
          <cell r="DN243">
            <v>30</v>
          </cell>
        </row>
        <row r="244">
          <cell r="B244">
            <v>107314</v>
          </cell>
          <cell r="C244" t="str">
            <v>MARRASQUINO CAMPOS</v>
          </cell>
          <cell r="CN244">
            <v>61.2</v>
          </cell>
          <cell r="CO244">
            <v>154.80000000000001</v>
          </cell>
          <cell r="CP244">
            <v>116.4</v>
          </cell>
          <cell r="CQ244">
            <v>83.399999999999991</v>
          </cell>
          <cell r="CR244">
            <v>14.4</v>
          </cell>
          <cell r="CW244">
            <v>47.62</v>
          </cell>
          <cell r="DB244" t="str">
            <v>ACTIVO</v>
          </cell>
          <cell r="DC244" t="str">
            <v/>
          </cell>
          <cell r="DE244">
            <v>86.039999999999992</v>
          </cell>
          <cell r="DF244">
            <v>14.339999999999998</v>
          </cell>
          <cell r="DG244">
            <v>0</v>
          </cell>
          <cell r="DH244">
            <v>0</v>
          </cell>
          <cell r="DI244" t="str">
            <v>0</v>
          </cell>
          <cell r="DJ244">
            <v>0</v>
          </cell>
          <cell r="DK244" t="str">
            <v>COMPRAR</v>
          </cell>
          <cell r="DL244">
            <v>43.019999999999996</v>
          </cell>
          <cell r="DM244">
            <v>28.679999999999996</v>
          </cell>
          <cell r="DN244">
            <v>71.699999999999989</v>
          </cell>
        </row>
        <row r="245">
          <cell r="B245">
            <v>107117</v>
          </cell>
          <cell r="C245" t="str">
            <v>PIÑA EN RODAJAS ALTO LA CRUZ</v>
          </cell>
          <cell r="D245">
            <v>83.100000000000009</v>
          </cell>
          <cell r="E245">
            <v>62.760000000000005</v>
          </cell>
          <cell r="F245">
            <v>70.269999999999982</v>
          </cell>
          <cell r="G245">
            <v>62.260000000000005</v>
          </cell>
          <cell r="H245">
            <v>57.14</v>
          </cell>
          <cell r="I245">
            <v>52.019999999999996</v>
          </cell>
          <cell r="J245">
            <v>49.68</v>
          </cell>
          <cell r="K245">
            <v>44.36</v>
          </cell>
          <cell r="L245">
            <v>58.879999999999995</v>
          </cell>
          <cell r="M245">
            <v>69.25</v>
          </cell>
          <cell r="N245">
            <v>56.789999999999992</v>
          </cell>
          <cell r="O245">
            <v>5.52</v>
          </cell>
          <cell r="P245">
            <v>49.3</v>
          </cell>
          <cell r="Q245">
            <v>31.229999999999997</v>
          </cell>
          <cell r="AH245">
            <v>381.37</v>
          </cell>
          <cell r="AI245">
            <v>35.799999999999997</v>
          </cell>
          <cell r="AJ245">
            <v>279.64</v>
          </cell>
          <cell r="AK245">
            <v>177.62</v>
          </cell>
          <cell r="AL245">
            <v>179</v>
          </cell>
          <cell r="AM245">
            <v>200.48</v>
          </cell>
          <cell r="AN245">
            <v>209.46999999999997</v>
          </cell>
          <cell r="AO245">
            <v>232.7</v>
          </cell>
          <cell r="AP245">
            <v>207.6</v>
          </cell>
          <cell r="AQ245">
            <v>321.56000000000006</v>
          </cell>
          <cell r="AR245">
            <v>286.39999999999998</v>
          </cell>
          <cell r="AS245">
            <v>44.059999999999995</v>
          </cell>
          <cell r="AT245">
            <v>273.97000000000003</v>
          </cell>
          <cell r="AU245">
            <v>562.05999999999995</v>
          </cell>
          <cell r="AV245">
            <v>275.66000000000003</v>
          </cell>
          <cell r="AW245">
            <v>242.86</v>
          </cell>
          <cell r="AX245">
            <v>248.4</v>
          </cell>
          <cell r="AY245">
            <v>251.93</v>
          </cell>
          <cell r="AZ245">
            <v>252</v>
          </cell>
          <cell r="BA245">
            <v>174.76999999999998</v>
          </cell>
          <cell r="BB245">
            <v>44.980000000000004</v>
          </cell>
          <cell r="BC245">
            <v>244.8</v>
          </cell>
          <cell r="BD245">
            <v>93.76</v>
          </cell>
          <cell r="BE245">
            <v>214.28</v>
          </cell>
          <cell r="BF245">
            <v>307.79000000000002</v>
          </cell>
          <cell r="BG245">
            <v>318.60000000000002</v>
          </cell>
          <cell r="BH245">
            <v>352.8</v>
          </cell>
          <cell r="BI245">
            <v>266</v>
          </cell>
          <cell r="BJ245">
            <v>208.38</v>
          </cell>
          <cell r="BK245">
            <v>1.72</v>
          </cell>
          <cell r="BO245">
            <v>230.4</v>
          </cell>
          <cell r="BP245">
            <v>3.6</v>
          </cell>
          <cell r="BQ245">
            <v>302.39999999999998</v>
          </cell>
          <cell r="BR245">
            <v>140.38999999999999</v>
          </cell>
          <cell r="BS245">
            <v>39.6</v>
          </cell>
          <cell r="BT245">
            <v>135.00000000000003</v>
          </cell>
          <cell r="BU245">
            <v>232.2</v>
          </cell>
          <cell r="BV245">
            <v>430.2</v>
          </cell>
          <cell r="BW245">
            <v>133.19999999999999</v>
          </cell>
          <cell r="BX245">
            <v>312.48</v>
          </cell>
          <cell r="BY245">
            <v>72.240000000000009</v>
          </cell>
          <cell r="BZ245">
            <v>56.239999999999995</v>
          </cell>
          <cell r="CA245">
            <v>223.20000000000002</v>
          </cell>
          <cell r="CB245">
            <v>190.88000000000002</v>
          </cell>
          <cell r="CC245">
            <v>160.19</v>
          </cell>
          <cell r="CD245">
            <v>291.91000000000003</v>
          </cell>
          <cell r="CE245">
            <v>361.8</v>
          </cell>
          <cell r="CF245">
            <v>12.58</v>
          </cell>
          <cell r="CG245">
            <v>216.08</v>
          </cell>
          <cell r="CH245">
            <v>168.03</v>
          </cell>
          <cell r="CI245">
            <v>269.97000000000003</v>
          </cell>
          <cell r="CJ245">
            <v>140.37</v>
          </cell>
          <cell r="CK245">
            <v>43.169999999999995</v>
          </cell>
          <cell r="CL245">
            <v>406.63</v>
          </cell>
          <cell r="CM245">
            <v>379.79999999999995</v>
          </cell>
          <cell r="CN245">
            <v>37.800000000000004</v>
          </cell>
          <cell r="CO245">
            <v>106.53</v>
          </cell>
          <cell r="CR245">
            <v>0.75</v>
          </cell>
          <cell r="CV245">
            <v>10.89</v>
          </cell>
          <cell r="CX245">
            <v>12.53</v>
          </cell>
          <cell r="CY245">
            <v>1.58</v>
          </cell>
          <cell r="DB245" t="str">
            <v>ACTIVO</v>
          </cell>
          <cell r="DC245" t="str">
            <v>B</v>
          </cell>
          <cell r="DE245">
            <v>149.38333333333333</v>
          </cell>
          <cell r="DF245">
            <v>24.897222222222222</v>
          </cell>
          <cell r="DG245">
            <v>115.37646362917548</v>
          </cell>
          <cell r="DH245">
            <v>0</v>
          </cell>
          <cell r="DI245" t="str">
            <v>0</v>
          </cell>
          <cell r="DJ245">
            <v>0</v>
          </cell>
          <cell r="DK245" t="str">
            <v>COMPRAR</v>
          </cell>
          <cell r="DL245">
            <v>74.691666666666663</v>
          </cell>
          <cell r="DM245">
            <v>49.794444444444444</v>
          </cell>
          <cell r="DN245">
            <v>124.48611111111111</v>
          </cell>
        </row>
        <row r="246">
          <cell r="B246">
            <v>107348</v>
          </cell>
          <cell r="C246" t="str">
            <v>PIÑA EN RODAJA LAS PERDICES</v>
          </cell>
          <cell r="R246">
            <v>92.629999999999981</v>
          </cell>
          <cell r="S246">
            <v>35.799999999999997</v>
          </cell>
          <cell r="T246">
            <v>76.53000000000003</v>
          </cell>
          <cell r="U246">
            <v>41.62</v>
          </cell>
          <cell r="V246">
            <v>55.49</v>
          </cell>
          <cell r="W246">
            <v>51.989999999999995</v>
          </cell>
          <cell r="X246">
            <v>217.84</v>
          </cell>
          <cell r="Z246">
            <v>39.379999999999995</v>
          </cell>
          <cell r="AA246">
            <v>87.42</v>
          </cell>
          <cell r="AB246">
            <v>53.8</v>
          </cell>
          <cell r="AC246">
            <v>133.51999999999998</v>
          </cell>
          <cell r="AD246">
            <v>10.74</v>
          </cell>
          <cell r="AE246">
            <v>34.44</v>
          </cell>
          <cell r="AF246">
            <v>423.0499999999999</v>
          </cell>
          <cell r="AG246">
            <v>41.919999999999987</v>
          </cell>
          <cell r="AH246">
            <v>10.74</v>
          </cell>
          <cell r="AI246">
            <v>23.270000000000003</v>
          </cell>
          <cell r="AJ246">
            <v>100.24000000000001</v>
          </cell>
          <cell r="AK246">
            <v>13.86</v>
          </cell>
          <cell r="AL246">
            <v>35.799999999999997</v>
          </cell>
          <cell r="CO246">
            <v>325.78000000000003</v>
          </cell>
          <cell r="CP246">
            <v>343.72999999999996</v>
          </cell>
          <cell r="CQ246">
            <v>46.760000000000005</v>
          </cell>
          <cell r="CR246">
            <v>72.86999999999999</v>
          </cell>
          <cell r="CS246">
            <v>246.60000000000002</v>
          </cell>
          <cell r="CT246">
            <v>462.60000000000008</v>
          </cell>
          <cell r="CU246">
            <v>313.21999999999997</v>
          </cell>
          <cell r="CV246">
            <v>471.58000000000004</v>
          </cell>
          <cell r="CW246">
            <v>251.99999999999997</v>
          </cell>
          <cell r="CX246">
            <v>28.8</v>
          </cell>
          <cell r="CY246">
            <v>211.12</v>
          </cell>
          <cell r="CZ246">
            <v>130.54</v>
          </cell>
          <cell r="DA246">
            <v>230.66</v>
          </cell>
          <cell r="DB246" t="str">
            <v>ACTIVO</v>
          </cell>
          <cell r="DC246" t="str">
            <v>C</v>
          </cell>
          <cell r="DE246">
            <v>285.39250000000004</v>
          </cell>
          <cell r="DF246">
            <v>47.565416666666671</v>
          </cell>
          <cell r="DG246">
            <v>139.24672984105791</v>
          </cell>
          <cell r="DH246">
            <v>566.30999999999995</v>
          </cell>
          <cell r="DI246">
            <v>1765839.5264999999</v>
          </cell>
          <cell r="DJ246">
            <v>1.9843198402200473</v>
          </cell>
          <cell r="DK246" t="str">
            <v>OK</v>
          </cell>
          <cell r="DL246">
            <v>95.130833333333342</v>
          </cell>
          <cell r="DM246">
            <v>95.130833333333342</v>
          </cell>
          <cell r="DN246">
            <v>190.26166666666668</v>
          </cell>
        </row>
        <row r="247">
          <cell r="D247">
            <v>1991.9900000000002</v>
          </cell>
          <cell r="E247">
            <v>1647.5400000000002</v>
          </cell>
          <cell r="F247">
            <v>1601.56</v>
          </cell>
          <cell r="G247">
            <v>1843.9000000000003</v>
          </cell>
          <cell r="H247">
            <v>2116.5</v>
          </cell>
          <cell r="I247">
            <v>1549.5500000000002</v>
          </cell>
          <cell r="J247">
            <v>2523.6199999999994</v>
          </cell>
          <cell r="K247">
            <v>1854.6200000000001</v>
          </cell>
          <cell r="L247">
            <v>3175.9700000000003</v>
          </cell>
          <cell r="M247">
            <v>2659.41</v>
          </cell>
          <cell r="N247">
            <v>2895.91</v>
          </cell>
          <cell r="O247">
            <v>1236.58</v>
          </cell>
          <cell r="P247">
            <v>2743.35</v>
          </cell>
          <cell r="Q247">
            <v>3080.25</v>
          </cell>
          <cell r="R247">
            <v>3047.53</v>
          </cell>
          <cell r="S247">
            <v>2378.5300000000002</v>
          </cell>
          <cell r="T247">
            <v>2295.8500000000004</v>
          </cell>
          <cell r="U247">
            <v>2584.46</v>
          </cell>
          <cell r="V247">
            <v>3767.3699999999994</v>
          </cell>
          <cell r="W247">
            <v>2021.2399999999998</v>
          </cell>
          <cell r="X247">
            <v>2398.3000000000002</v>
          </cell>
          <cell r="Y247">
            <v>2708.6500000000005</v>
          </cell>
          <cell r="Z247">
            <v>1690.8999999999996</v>
          </cell>
          <cell r="AA247">
            <v>2895.2200000000003</v>
          </cell>
          <cell r="AB247">
            <v>2070.8900000000003</v>
          </cell>
          <cell r="AC247">
            <v>2206.59</v>
          </cell>
          <cell r="AD247">
            <v>777.94</v>
          </cell>
          <cell r="AE247">
            <v>836.17000000000007</v>
          </cell>
          <cell r="AF247">
            <v>2946.6599999999994</v>
          </cell>
          <cell r="AG247">
            <v>2502.5599999999995</v>
          </cell>
          <cell r="AH247">
            <v>3030.35</v>
          </cell>
          <cell r="AI247">
            <v>2049.69</v>
          </cell>
          <cell r="AJ247">
            <v>2804.5999999999995</v>
          </cell>
          <cell r="AK247">
            <v>1796.8800000000003</v>
          </cell>
          <cell r="AL247">
            <v>1842.9399999999998</v>
          </cell>
          <cell r="AM247">
            <v>1555.4</v>
          </cell>
          <cell r="AN247">
            <v>1660.4299999999996</v>
          </cell>
          <cell r="AO247">
            <v>1947.2199999999998</v>
          </cell>
          <cell r="AP247">
            <v>1281.28</v>
          </cell>
          <cell r="AQ247">
            <v>2046</v>
          </cell>
          <cell r="AR247">
            <v>2172.54</v>
          </cell>
          <cell r="AS247">
            <v>1391.1999999999998</v>
          </cell>
          <cell r="AT247">
            <v>1739.45</v>
          </cell>
          <cell r="AU247">
            <v>2798.4</v>
          </cell>
          <cell r="AV247">
            <v>2449.8200000000002</v>
          </cell>
          <cell r="AW247">
            <v>1431.46</v>
          </cell>
          <cell r="AX247">
            <v>1434.02</v>
          </cell>
          <cell r="AY247">
            <v>2576.4299999999998</v>
          </cell>
          <cell r="AZ247">
            <v>2126.3399999999997</v>
          </cell>
          <cell r="BA247">
            <v>1658.9699999999998</v>
          </cell>
          <cell r="BB247">
            <v>2271.7299999999996</v>
          </cell>
          <cell r="BC247">
            <v>2236.5</v>
          </cell>
          <cell r="BD247">
            <v>2139.13</v>
          </cell>
          <cell r="BE247">
            <v>2287.9100000000003</v>
          </cell>
          <cell r="BF247">
            <v>2770.45</v>
          </cell>
          <cell r="BG247">
            <v>2562.85</v>
          </cell>
          <cell r="BH247">
            <v>3185.7300000000005</v>
          </cell>
          <cell r="BI247">
            <v>2485.23</v>
          </cell>
          <cell r="BJ247">
            <v>2731.16</v>
          </cell>
          <cell r="BK247">
            <v>2684.1200000000003</v>
          </cell>
          <cell r="BL247">
            <v>2780.6400000000003</v>
          </cell>
          <cell r="BM247">
            <v>1725.0400000000002</v>
          </cell>
          <cell r="BN247">
            <v>2080.4399999999996</v>
          </cell>
          <cell r="BO247">
            <v>3375.02</v>
          </cell>
          <cell r="BP247">
            <v>1127.8000000000002</v>
          </cell>
          <cell r="BQ247">
            <v>2649.29</v>
          </cell>
          <cell r="BR247">
            <v>2666.01</v>
          </cell>
          <cell r="BS247">
            <v>2351.58</v>
          </cell>
          <cell r="BT247">
            <v>3333.06</v>
          </cell>
          <cell r="BU247">
            <v>2547.54</v>
          </cell>
          <cell r="BV247">
            <v>2956.06</v>
          </cell>
          <cell r="BW247">
            <v>1990.7799999999997</v>
          </cell>
          <cell r="BX247">
            <v>2271.83</v>
          </cell>
          <cell r="BY247">
            <v>1774.02</v>
          </cell>
          <cell r="BZ247">
            <v>1800.32</v>
          </cell>
          <cell r="CA247">
            <v>2905.91</v>
          </cell>
          <cell r="CB247">
            <v>1739.3900000000003</v>
          </cell>
          <cell r="CC247">
            <v>2779.44</v>
          </cell>
          <cell r="CD247">
            <v>2127.88</v>
          </cell>
          <cell r="CE247">
            <v>1717.48</v>
          </cell>
          <cell r="CF247">
            <v>416.58</v>
          </cell>
          <cell r="CG247">
            <v>2338.33</v>
          </cell>
          <cell r="CH247">
            <v>1749.7199999999998</v>
          </cell>
          <cell r="CI247">
            <v>2742.09</v>
          </cell>
          <cell r="CJ247">
            <v>2244.5700000000002</v>
          </cell>
          <cell r="CK247">
            <v>1219.4000000000001</v>
          </cell>
          <cell r="CL247">
            <v>2996.97</v>
          </cell>
          <cell r="CM247">
            <v>2357.52</v>
          </cell>
          <cell r="CN247">
            <v>1531.1999999999998</v>
          </cell>
          <cell r="CO247">
            <v>3076.0500000000006</v>
          </cell>
          <cell r="CP247">
            <v>2360.17</v>
          </cell>
          <cell r="CQ247">
            <v>1153.7</v>
          </cell>
          <cell r="CR247">
            <v>1484.3400000000001</v>
          </cell>
          <cell r="CS247">
            <v>1789.8600000000001</v>
          </cell>
          <cell r="CT247">
            <v>2544.8999999999996</v>
          </cell>
          <cell r="CU247">
            <v>2288.9300000000003</v>
          </cell>
          <cell r="CV247">
            <v>3083.04</v>
          </cell>
          <cell r="CW247">
            <v>2066.19</v>
          </cell>
          <cell r="CX247">
            <v>1460.6599999999999</v>
          </cell>
          <cell r="CY247">
            <v>2157.61</v>
          </cell>
          <cell r="CZ247">
            <v>1802.6799999999998</v>
          </cell>
          <cell r="DA247">
            <v>1975.9199999999998</v>
          </cell>
          <cell r="DB247" t="str">
            <v>ACTIVO</v>
          </cell>
          <cell r="DC247" t="str">
            <v/>
          </cell>
          <cell r="DE247">
            <v>2081.0217647058826</v>
          </cell>
          <cell r="DF247">
            <v>346.83696078431376</v>
          </cell>
          <cell r="DG247">
            <v>582.10181716825241</v>
          </cell>
          <cell r="DH247">
            <v>0</v>
          </cell>
          <cell r="DI247" t="str">
            <v>0</v>
          </cell>
          <cell r="DJ247">
            <v>0</v>
          </cell>
          <cell r="DK247" t="str">
            <v>INACTIVO</v>
          </cell>
          <cell r="DL247">
            <v>0</v>
          </cell>
          <cell r="DM247">
            <v>693.67392156862752</v>
          </cell>
          <cell r="DN247">
            <v>693.67392156862752</v>
          </cell>
        </row>
        <row r="248">
          <cell r="B248">
            <v>107289</v>
          </cell>
          <cell r="C248" t="str">
            <v>HOJARASCA 16CM OBERENA</v>
          </cell>
          <cell r="AN248">
            <v>500</v>
          </cell>
          <cell r="DB248" t="str">
            <v>SIN USO</v>
          </cell>
          <cell r="DC248" t="str">
            <v>C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 t="str">
            <v>0</v>
          </cell>
          <cell r="DJ248">
            <v>0</v>
          </cell>
          <cell r="DK248" t="str">
            <v>INACTIVO</v>
          </cell>
          <cell r="DL248">
            <v>0</v>
          </cell>
          <cell r="DM248">
            <v>0</v>
          </cell>
          <cell r="DN248">
            <v>0</v>
          </cell>
        </row>
        <row r="249">
          <cell r="B249">
            <v>300004</v>
          </cell>
          <cell r="C249" t="str">
            <v>GRANA BLANCA</v>
          </cell>
          <cell r="BM249">
            <v>40</v>
          </cell>
          <cell r="DB249" t="str">
            <v>SIN USO</v>
          </cell>
          <cell r="DC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 t="str">
            <v>0</v>
          </cell>
          <cell r="DJ249">
            <v>0</v>
          </cell>
          <cell r="DK249" t="str">
            <v>INACTIVO</v>
          </cell>
          <cell r="DL249">
            <v>0</v>
          </cell>
          <cell r="DM249">
            <v>0</v>
          </cell>
          <cell r="DN249">
            <v>0</v>
          </cell>
        </row>
        <row r="250">
          <cell r="B250">
            <v>107210</v>
          </cell>
          <cell r="C250" t="str">
            <v>DISCO MERENGUE PAVESI</v>
          </cell>
          <cell r="BN250">
            <v>540</v>
          </cell>
          <cell r="BO250">
            <v>1044</v>
          </cell>
          <cell r="BQ250">
            <v>3930</v>
          </cell>
          <cell r="BR250">
            <v>72</v>
          </cell>
          <cell r="CL250">
            <v>2088</v>
          </cell>
          <cell r="CN250">
            <v>612</v>
          </cell>
          <cell r="CP250">
            <v>1584</v>
          </cell>
          <cell r="CQ250">
            <v>504</v>
          </cell>
          <cell r="CR250">
            <v>828</v>
          </cell>
          <cell r="CV250">
            <v>3744</v>
          </cell>
          <cell r="DA250">
            <v>540</v>
          </cell>
          <cell r="DB250" t="str">
            <v>ACTIVO</v>
          </cell>
          <cell r="DC250" t="str">
            <v>C</v>
          </cell>
          <cell r="DE250">
            <v>1560</v>
          </cell>
          <cell r="DF250">
            <v>260</v>
          </cell>
          <cell r="DG250">
            <v>1735.0092218775092</v>
          </cell>
          <cell r="DH250">
            <v>648</v>
          </cell>
          <cell r="DI250">
            <v>500035.68</v>
          </cell>
          <cell r="DJ250">
            <v>0.41538461538461541</v>
          </cell>
          <cell r="DK250" t="str">
            <v>COMPRAR</v>
          </cell>
          <cell r="DL250">
            <v>780</v>
          </cell>
          <cell r="DM250">
            <v>520</v>
          </cell>
          <cell r="DN250">
            <v>1300</v>
          </cell>
        </row>
        <row r="251">
          <cell r="B251">
            <v>405345</v>
          </cell>
          <cell r="C251" t="str">
            <v>DISCO PANQUEQUE CHOCOLATE 18 CM ENCOMIENDA TOTTUS</v>
          </cell>
          <cell r="BQ251">
            <v>576</v>
          </cell>
          <cell r="DB251" t="str">
            <v>ACTIVO</v>
          </cell>
          <cell r="DC251" t="str">
            <v>C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 t="str">
            <v>0</v>
          </cell>
          <cell r="DJ251">
            <v>0</v>
          </cell>
          <cell r="DK251" t="str">
            <v>COMPRAR</v>
          </cell>
          <cell r="DL251">
            <v>0</v>
          </cell>
          <cell r="DM251">
            <v>0</v>
          </cell>
          <cell r="DN251">
            <v>0</v>
          </cell>
        </row>
        <row r="252">
          <cell r="B252">
            <v>393253</v>
          </cell>
          <cell r="C252" t="str">
            <v>SUB DISCO HOJA 17 CM</v>
          </cell>
          <cell r="BX252">
            <v>6000</v>
          </cell>
          <cell r="BY252">
            <v>1710</v>
          </cell>
          <cell r="BZ252">
            <v>720</v>
          </cell>
          <cell r="CA252">
            <v>1170</v>
          </cell>
          <cell r="CB252">
            <v>5310</v>
          </cell>
          <cell r="CD252">
            <v>180</v>
          </cell>
          <cell r="CH252">
            <v>360</v>
          </cell>
          <cell r="CI252">
            <v>10350</v>
          </cell>
          <cell r="CJ252">
            <v>6030</v>
          </cell>
          <cell r="CK252">
            <v>1070</v>
          </cell>
          <cell r="CN252">
            <v>540</v>
          </cell>
          <cell r="CO252">
            <v>13680</v>
          </cell>
          <cell r="CR252">
            <v>1620</v>
          </cell>
          <cell r="CX252">
            <v>6120</v>
          </cell>
          <cell r="DB252" t="str">
            <v>ACTIVO</v>
          </cell>
          <cell r="DC252" t="str">
            <v>C</v>
          </cell>
          <cell r="DE252">
            <v>4807.1428571428569</v>
          </cell>
          <cell r="DF252">
            <v>801.19047619047615</v>
          </cell>
          <cell r="DG252">
            <v>2493.5336372305069</v>
          </cell>
          <cell r="DH252">
            <v>270</v>
          </cell>
          <cell r="DI252">
            <v>38307.599999999999</v>
          </cell>
          <cell r="DJ252">
            <v>5.6166419019316495E-2</v>
          </cell>
          <cell r="DK252" t="str">
            <v>COMPRAR</v>
          </cell>
          <cell r="DL252">
            <v>1602.3809523809523</v>
          </cell>
          <cell r="DM252">
            <v>1602.3809523809523</v>
          </cell>
          <cell r="DN252">
            <v>3204.7619047619046</v>
          </cell>
        </row>
        <row r="253">
          <cell r="B253">
            <v>393253</v>
          </cell>
          <cell r="C253" t="str">
            <v>SUB DISCO HOJA 10 PP</v>
          </cell>
          <cell r="CY253">
            <v>630</v>
          </cell>
          <cell r="DA253">
            <v>11880</v>
          </cell>
          <cell r="DB253" t="str">
            <v>ACTIVO</v>
          </cell>
          <cell r="DC253" t="str">
            <v/>
          </cell>
          <cell r="DE253">
            <v>0</v>
          </cell>
          <cell r="DF253">
            <v>0</v>
          </cell>
          <cell r="DG253">
            <v>0</v>
          </cell>
          <cell r="DH253">
            <v>270</v>
          </cell>
          <cell r="DI253">
            <v>38307.599999999999</v>
          </cell>
          <cell r="DJ253">
            <v>0</v>
          </cell>
          <cell r="DK253" t="str">
            <v>OK</v>
          </cell>
          <cell r="DL253">
            <v>0</v>
          </cell>
          <cell r="DM253">
            <v>0</v>
          </cell>
          <cell r="DN253">
            <v>0</v>
          </cell>
        </row>
        <row r="254">
          <cell r="B254">
            <v>405658</v>
          </cell>
          <cell r="C254" t="str">
            <v>SUB DISCO PANQUEQUE VAINILLA 16 CM</v>
          </cell>
          <cell r="CA254">
            <v>1800</v>
          </cell>
          <cell r="CC254">
            <v>900</v>
          </cell>
          <cell r="CH254">
            <v>720</v>
          </cell>
          <cell r="CJ254">
            <v>5400</v>
          </cell>
          <cell r="CK254">
            <v>18000</v>
          </cell>
          <cell r="CL254">
            <v>648</v>
          </cell>
          <cell r="CN254">
            <v>20520</v>
          </cell>
          <cell r="CP254">
            <v>572</v>
          </cell>
          <cell r="CQ254">
            <v>5088</v>
          </cell>
          <cell r="CS254">
            <v>11880</v>
          </cell>
          <cell r="CX254">
            <v>12360</v>
          </cell>
          <cell r="CY254">
            <v>2000</v>
          </cell>
          <cell r="CZ254">
            <v>12960</v>
          </cell>
          <cell r="DA254">
            <v>520</v>
          </cell>
          <cell r="DB254" t="str">
            <v>ACTIVO</v>
          </cell>
          <cell r="DC254" t="str">
            <v>C</v>
          </cell>
          <cell r="DE254">
            <v>7853.5</v>
          </cell>
          <cell r="DF254">
            <v>1308.9166666666667</v>
          </cell>
          <cell r="DG254">
            <v>636.3961030678928</v>
          </cell>
          <cell r="DH254">
            <v>2640</v>
          </cell>
          <cell r="DI254">
            <v>390007.2</v>
          </cell>
          <cell r="DJ254">
            <v>0.33615585407779969</v>
          </cell>
          <cell r="DK254" t="str">
            <v>COMPRAR</v>
          </cell>
          <cell r="DL254">
            <v>2617.8333333333335</v>
          </cell>
          <cell r="DM254">
            <v>2617.8333333333335</v>
          </cell>
          <cell r="DN254">
            <v>5235.666666666667</v>
          </cell>
        </row>
        <row r="255">
          <cell r="B255">
            <v>362073</v>
          </cell>
          <cell r="C255" t="str">
            <v>DISCO DE HOJA 15 PP 1X30</v>
          </cell>
          <cell r="CB255">
            <v>675</v>
          </cell>
          <cell r="DB255" t="str">
            <v>ACTIVO</v>
          </cell>
          <cell r="DC255" t="str">
            <v>C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 t="str">
            <v>0</v>
          </cell>
          <cell r="DJ255">
            <v>0</v>
          </cell>
          <cell r="DK255" t="str">
            <v>COMPRAR</v>
          </cell>
          <cell r="DL255">
            <v>0</v>
          </cell>
          <cell r="DM255">
            <v>0</v>
          </cell>
          <cell r="DN255">
            <v>0</v>
          </cell>
        </row>
        <row r="256">
          <cell r="B256">
            <v>362105</v>
          </cell>
          <cell r="C256" t="str">
            <v>HOJARASCA 19 CMS. PAVESI</v>
          </cell>
          <cell r="CI256">
            <v>6240</v>
          </cell>
          <cell r="CJ256">
            <v>12420</v>
          </cell>
          <cell r="CK256">
            <v>12312</v>
          </cell>
          <cell r="CL256">
            <v>38776</v>
          </cell>
          <cell r="CM256">
            <v>52893</v>
          </cell>
          <cell r="CN256">
            <v>25272</v>
          </cell>
          <cell r="CO256">
            <v>35082</v>
          </cell>
          <cell r="CP256">
            <v>34344</v>
          </cell>
          <cell r="CQ256">
            <v>26784</v>
          </cell>
          <cell r="CR256">
            <v>70740</v>
          </cell>
          <cell r="CS256">
            <v>35208</v>
          </cell>
          <cell r="CT256">
            <v>69228</v>
          </cell>
          <cell r="CU256">
            <v>145476</v>
          </cell>
          <cell r="CV256">
            <v>149688</v>
          </cell>
          <cell r="CW256">
            <v>116964</v>
          </cell>
          <cell r="CX256">
            <v>35928</v>
          </cell>
          <cell r="CY256">
            <v>66636</v>
          </cell>
          <cell r="CZ256">
            <v>56736</v>
          </cell>
          <cell r="DA256">
            <v>75600</v>
          </cell>
          <cell r="DB256" t="str">
            <v>ACTIVO</v>
          </cell>
          <cell r="DC256" t="str">
            <v/>
          </cell>
          <cell r="DE256">
            <v>51033.071428571428</v>
          </cell>
          <cell r="DF256">
            <v>8505.5119047619046</v>
          </cell>
          <cell r="DG256">
            <v>0</v>
          </cell>
          <cell r="DH256">
            <v>12204</v>
          </cell>
          <cell r="DI256">
            <v>2177681.7599999998</v>
          </cell>
          <cell r="DJ256">
            <v>0.23913904568886002</v>
          </cell>
          <cell r="DK256" t="str">
            <v>OK</v>
          </cell>
          <cell r="DL256">
            <v>25516.535714285714</v>
          </cell>
          <cell r="DM256">
            <v>17011.023809523809</v>
          </cell>
          <cell r="DN256">
            <v>42527.559523809527</v>
          </cell>
        </row>
        <row r="257">
          <cell r="B257">
            <v>405645</v>
          </cell>
          <cell r="C257" t="str">
            <v>BIZCOCHO # 20 BLANCO C/AMAPOLAS PAVESI</v>
          </cell>
          <cell r="CS257">
            <v>8</v>
          </cell>
          <cell r="CT257">
            <v>8</v>
          </cell>
          <cell r="CV257">
            <v>87</v>
          </cell>
          <cell r="CX257">
            <v>21</v>
          </cell>
          <cell r="CY257">
            <v>19</v>
          </cell>
          <cell r="DB257" t="str">
            <v>ACTIVO</v>
          </cell>
          <cell r="DC257" t="str">
            <v/>
          </cell>
          <cell r="DE257">
            <v>34.333333333333336</v>
          </cell>
          <cell r="DF257">
            <v>5.7222222222222223</v>
          </cell>
          <cell r="DG257">
            <v>0</v>
          </cell>
          <cell r="DH257">
            <v>0</v>
          </cell>
          <cell r="DI257" t="str">
            <v>0</v>
          </cell>
          <cell r="DJ257">
            <v>0</v>
          </cell>
          <cell r="DK257" t="str">
            <v>COMPRAR</v>
          </cell>
          <cell r="DL257">
            <v>17.166666666666668</v>
          </cell>
          <cell r="DM257">
            <v>11.444444444444445</v>
          </cell>
          <cell r="DN257">
            <v>28.611111111111114</v>
          </cell>
        </row>
        <row r="258">
          <cell r="B258">
            <v>430440</v>
          </cell>
          <cell r="C258" t="str">
            <v>PLANCHA PANQUEQUE VAINILLA OBERENA</v>
          </cell>
          <cell r="CV258">
            <v>60</v>
          </cell>
          <cell r="DB258" t="str">
            <v>SIN USO</v>
          </cell>
          <cell r="DC258" t="str">
            <v/>
          </cell>
          <cell r="DE258">
            <v>60</v>
          </cell>
          <cell r="DF258">
            <v>10</v>
          </cell>
          <cell r="DG258">
            <v>0</v>
          </cell>
          <cell r="DH258">
            <v>0</v>
          </cell>
          <cell r="DI258" t="str">
            <v>0</v>
          </cell>
          <cell r="DJ258">
            <v>0</v>
          </cell>
          <cell r="DK258" t="str">
            <v>INACTIVO</v>
          </cell>
          <cell r="DL258">
            <v>30</v>
          </cell>
          <cell r="DM258">
            <v>20</v>
          </cell>
          <cell r="DN258">
            <v>50</v>
          </cell>
        </row>
        <row r="259">
          <cell r="B259">
            <v>353009</v>
          </cell>
          <cell r="C259" t="str">
            <v>DISCO PANQUEQUE VAINILLA SEMI-ELAB UND</v>
          </cell>
          <cell r="D259">
            <v>23832</v>
          </cell>
          <cell r="E259">
            <v>5544</v>
          </cell>
          <cell r="F259">
            <v>16776</v>
          </cell>
          <cell r="G259">
            <v>14400</v>
          </cell>
          <cell r="H259">
            <v>11520</v>
          </cell>
          <cell r="I259">
            <v>4752</v>
          </cell>
          <cell r="J259">
            <v>14400</v>
          </cell>
          <cell r="K259">
            <v>4248</v>
          </cell>
          <cell r="L259">
            <v>15984</v>
          </cell>
          <cell r="M259">
            <v>16920</v>
          </cell>
          <cell r="N259">
            <v>20736</v>
          </cell>
          <cell r="O259">
            <v>6480</v>
          </cell>
          <cell r="P259">
            <v>6984</v>
          </cell>
          <cell r="Q259">
            <v>9864</v>
          </cell>
          <cell r="R259">
            <v>3456</v>
          </cell>
          <cell r="S259">
            <v>10584</v>
          </cell>
          <cell r="T259">
            <v>8784</v>
          </cell>
          <cell r="U259">
            <v>1768</v>
          </cell>
          <cell r="V259">
            <v>7272</v>
          </cell>
          <cell r="X259">
            <v>2880</v>
          </cell>
          <cell r="AC259">
            <v>8640</v>
          </cell>
          <cell r="AD259">
            <v>3238</v>
          </cell>
          <cell r="AE259">
            <v>9504</v>
          </cell>
          <cell r="AF259">
            <v>8422</v>
          </cell>
          <cell r="AG259">
            <v>2160</v>
          </cell>
          <cell r="AH259">
            <v>15768</v>
          </cell>
          <cell r="AI259">
            <v>25786</v>
          </cell>
          <cell r="AK259">
            <v>7704</v>
          </cell>
          <cell r="AL259">
            <v>13032</v>
          </cell>
          <cell r="AN259">
            <v>15264</v>
          </cell>
          <cell r="AO259">
            <v>21024</v>
          </cell>
          <cell r="AP259">
            <v>11520</v>
          </cell>
          <cell r="AQ259">
            <v>11664</v>
          </cell>
          <cell r="AR259">
            <v>4752</v>
          </cell>
          <cell r="AS259">
            <v>72</v>
          </cell>
          <cell r="AU259">
            <v>12474</v>
          </cell>
          <cell r="AV259">
            <v>12456</v>
          </cell>
          <cell r="AW259">
            <v>20808</v>
          </cell>
          <cell r="AX259">
            <v>11952</v>
          </cell>
          <cell r="AY259">
            <v>12097</v>
          </cell>
          <cell r="AZ259">
            <v>4320</v>
          </cell>
          <cell r="BB259">
            <v>8568</v>
          </cell>
          <cell r="BC259">
            <v>1440</v>
          </cell>
          <cell r="BD259">
            <v>11660</v>
          </cell>
          <cell r="BE259">
            <v>15264</v>
          </cell>
          <cell r="BF259">
            <v>5328</v>
          </cell>
          <cell r="BG259">
            <v>2304</v>
          </cell>
          <cell r="BI259">
            <v>6264</v>
          </cell>
          <cell r="BJ259">
            <v>792</v>
          </cell>
          <cell r="BK259">
            <v>8208</v>
          </cell>
          <cell r="BL259">
            <v>1008</v>
          </cell>
          <cell r="BM259">
            <v>4824</v>
          </cell>
          <cell r="BN259">
            <v>9720</v>
          </cell>
          <cell r="BO259">
            <v>4752</v>
          </cell>
          <cell r="BP259">
            <v>4752</v>
          </cell>
          <cell r="BQ259">
            <v>8856</v>
          </cell>
          <cell r="BR259">
            <v>11808</v>
          </cell>
          <cell r="BS259">
            <v>10008</v>
          </cell>
          <cell r="BT259">
            <v>6768</v>
          </cell>
          <cell r="BU259">
            <v>14832</v>
          </cell>
          <cell r="BV259">
            <v>2160</v>
          </cell>
          <cell r="BW259">
            <v>1440</v>
          </cell>
          <cell r="BX259">
            <v>3672</v>
          </cell>
          <cell r="BZ259">
            <v>13230</v>
          </cell>
          <cell r="CA259">
            <v>30744</v>
          </cell>
          <cell r="CB259">
            <v>13536</v>
          </cell>
          <cell r="CC259">
            <v>720</v>
          </cell>
          <cell r="CE259">
            <v>4200</v>
          </cell>
          <cell r="CG259">
            <v>18312</v>
          </cell>
          <cell r="CI259">
            <v>24984</v>
          </cell>
          <cell r="CN259">
            <v>3888</v>
          </cell>
          <cell r="CP259">
            <v>8136</v>
          </cell>
          <cell r="CR259">
            <v>1292</v>
          </cell>
          <cell r="DB259" t="str">
            <v>INSUMO</v>
          </cell>
          <cell r="DC259" t="str">
            <v>A</v>
          </cell>
          <cell r="DE259">
            <v>11322.4</v>
          </cell>
          <cell r="DF259">
            <v>1887.0666666666666</v>
          </cell>
          <cell r="DG259">
            <v>6709.8565101614895</v>
          </cell>
          <cell r="DH259">
            <v>720</v>
          </cell>
          <cell r="DI259">
            <v>109411.2</v>
          </cell>
          <cell r="DJ259">
            <v>6.3590758143149864E-2</v>
          </cell>
          <cell r="DK259" t="str">
            <v>COMPRAR</v>
          </cell>
          <cell r="DL259">
            <v>3774.1333333333332</v>
          </cell>
          <cell r="DM259">
            <v>3774.1333333333332</v>
          </cell>
          <cell r="DN259">
            <v>7548.2666666666664</v>
          </cell>
        </row>
        <row r="260">
          <cell r="B260">
            <v>353009</v>
          </cell>
          <cell r="C260" t="str">
            <v>DISCO PANQUEQUE VAINILLA 19 CM. SEMI ELABORADO UND</v>
          </cell>
          <cell r="CS260">
            <v>4320</v>
          </cell>
          <cell r="CT260">
            <v>12528</v>
          </cell>
          <cell r="CU260">
            <v>23616</v>
          </cell>
          <cell r="CV260">
            <v>23112</v>
          </cell>
          <cell r="CW260">
            <v>4752</v>
          </cell>
          <cell r="CX260">
            <v>11904</v>
          </cell>
          <cell r="CY260">
            <v>19152</v>
          </cell>
          <cell r="CZ260">
            <v>14280</v>
          </cell>
          <cell r="DA260">
            <v>16800</v>
          </cell>
          <cell r="DB260" t="str">
            <v>INSUMO</v>
          </cell>
          <cell r="DC260" t="str">
            <v/>
          </cell>
          <cell r="DE260">
            <v>15894</v>
          </cell>
          <cell r="DF260">
            <v>2649</v>
          </cell>
          <cell r="DG260">
            <v>0</v>
          </cell>
          <cell r="DH260">
            <v>720</v>
          </cell>
          <cell r="DI260">
            <v>109411.2</v>
          </cell>
          <cell r="DJ260">
            <v>4.5300113250283124E-2</v>
          </cell>
          <cell r="DK260" t="str">
            <v>COMPRAR</v>
          </cell>
          <cell r="DL260">
            <v>5298</v>
          </cell>
          <cell r="DM260">
            <v>5298</v>
          </cell>
          <cell r="DN260">
            <v>10596</v>
          </cell>
        </row>
        <row r="261">
          <cell r="B261">
            <v>362029</v>
          </cell>
          <cell r="C261" t="str">
            <v>PLANCHA DE HOJA  42X36X1 cm (1x12)</v>
          </cell>
          <cell r="D261">
            <v>524</v>
          </cell>
          <cell r="E261">
            <v>376</v>
          </cell>
          <cell r="F261">
            <v>724</v>
          </cell>
          <cell r="G261">
            <v>752</v>
          </cell>
          <cell r="H261">
            <v>684</v>
          </cell>
          <cell r="I261">
            <v>412</v>
          </cell>
          <cell r="J261">
            <v>972</v>
          </cell>
          <cell r="K261">
            <v>972</v>
          </cell>
          <cell r="L261">
            <v>1156</v>
          </cell>
          <cell r="M261">
            <v>1076</v>
          </cell>
          <cell r="N261">
            <v>695</v>
          </cell>
          <cell r="O261">
            <v>176</v>
          </cell>
          <cell r="P261">
            <v>1213</v>
          </cell>
          <cell r="Q261">
            <v>905</v>
          </cell>
          <cell r="R261">
            <v>662</v>
          </cell>
          <cell r="S261">
            <v>1102</v>
          </cell>
          <cell r="T261">
            <v>112</v>
          </cell>
          <cell r="U261">
            <v>880</v>
          </cell>
          <cell r="V261">
            <v>932</v>
          </cell>
          <cell r="W261">
            <v>1160</v>
          </cell>
          <cell r="X261">
            <v>460</v>
          </cell>
          <cell r="Y261">
            <v>192</v>
          </cell>
          <cell r="Z261">
            <v>1236</v>
          </cell>
          <cell r="AA261">
            <v>372</v>
          </cell>
          <cell r="AB261">
            <v>292</v>
          </cell>
          <cell r="AH261">
            <v>44</v>
          </cell>
          <cell r="AI261">
            <v>508</v>
          </cell>
          <cell r="AJ261">
            <v>928</v>
          </cell>
          <cell r="AK261">
            <v>468</v>
          </cell>
          <cell r="AL261">
            <v>544</v>
          </cell>
          <cell r="AM261">
            <v>420</v>
          </cell>
          <cell r="AR261">
            <v>1344</v>
          </cell>
          <cell r="AT261">
            <v>1008</v>
          </cell>
          <cell r="AU261">
            <v>260</v>
          </cell>
          <cell r="AV261">
            <v>684</v>
          </cell>
          <cell r="AW261">
            <v>1152</v>
          </cell>
          <cell r="AX261">
            <v>528</v>
          </cell>
          <cell r="AY261">
            <v>1064</v>
          </cell>
          <cell r="AZ261">
            <v>1492</v>
          </cell>
          <cell r="BA261">
            <v>412</v>
          </cell>
          <cell r="BB261">
            <v>1288</v>
          </cell>
          <cell r="BC261">
            <v>12</v>
          </cell>
          <cell r="BD261">
            <v>804</v>
          </cell>
          <cell r="BE261">
            <v>820</v>
          </cell>
          <cell r="BF261">
            <v>956</v>
          </cell>
          <cell r="BG261">
            <v>1352</v>
          </cell>
          <cell r="BH261">
            <v>1212</v>
          </cell>
          <cell r="BI261">
            <v>476</v>
          </cell>
          <cell r="BJ261">
            <v>452</v>
          </cell>
          <cell r="BK261">
            <v>1100</v>
          </cell>
          <cell r="BL261">
            <v>1564</v>
          </cell>
          <cell r="BM261">
            <v>236</v>
          </cell>
          <cell r="BN261">
            <v>1064</v>
          </cell>
          <cell r="BO261">
            <v>1084</v>
          </cell>
          <cell r="BP261">
            <v>636</v>
          </cell>
          <cell r="BQ261">
            <v>104</v>
          </cell>
          <cell r="BR261">
            <v>708</v>
          </cell>
          <cell r="BS261">
            <v>592</v>
          </cell>
          <cell r="BT261">
            <v>624</v>
          </cell>
          <cell r="BU261">
            <v>1164</v>
          </cell>
          <cell r="BV261">
            <v>1068</v>
          </cell>
          <cell r="BW261">
            <v>1024</v>
          </cell>
          <cell r="BX261">
            <v>812</v>
          </cell>
          <cell r="BY261">
            <v>1092</v>
          </cell>
          <cell r="BZ261">
            <v>1392</v>
          </cell>
          <cell r="CA261">
            <v>752</v>
          </cell>
          <cell r="CB261">
            <v>760</v>
          </cell>
          <cell r="CC261">
            <v>276</v>
          </cell>
          <cell r="CE261">
            <v>268</v>
          </cell>
          <cell r="CF261">
            <v>64</v>
          </cell>
          <cell r="CG261">
            <v>760</v>
          </cell>
          <cell r="CH261">
            <v>816</v>
          </cell>
          <cell r="CI261">
            <v>800</v>
          </cell>
          <cell r="CJ261">
            <v>932</v>
          </cell>
          <cell r="CK261">
            <v>868</v>
          </cell>
          <cell r="CL261">
            <v>840</v>
          </cell>
          <cell r="CM261">
            <v>924</v>
          </cell>
          <cell r="CN261">
            <v>1012</v>
          </cell>
          <cell r="CO261">
            <v>944</v>
          </cell>
          <cell r="CP261">
            <v>1344</v>
          </cell>
          <cell r="CQ261">
            <v>984</v>
          </cell>
          <cell r="CR261">
            <v>536</v>
          </cell>
          <cell r="CT261">
            <v>1008</v>
          </cell>
          <cell r="CU261">
            <v>1024</v>
          </cell>
          <cell r="CV261">
            <v>1000</v>
          </cell>
          <cell r="CW261">
            <v>824</v>
          </cell>
          <cell r="CX261">
            <v>1128</v>
          </cell>
          <cell r="CY261">
            <v>1480</v>
          </cell>
          <cell r="CZ261">
            <v>1020</v>
          </cell>
          <cell r="DA261">
            <v>1244</v>
          </cell>
          <cell r="DB261" t="str">
            <v>INSUMO</v>
          </cell>
          <cell r="DC261" t="str">
            <v>B</v>
          </cell>
          <cell r="DE261">
            <v>866</v>
          </cell>
          <cell r="DF261">
            <v>144.33333333333334</v>
          </cell>
          <cell r="DG261">
            <v>406.26862878088571</v>
          </cell>
          <cell r="DH261">
            <v>168</v>
          </cell>
          <cell r="DI261">
            <v>178595.76</v>
          </cell>
          <cell r="DJ261">
            <v>0.19399538106235567</v>
          </cell>
          <cell r="DK261" t="str">
            <v>COMPRAR</v>
          </cell>
          <cell r="DL261">
            <v>288.66666666666669</v>
          </cell>
          <cell r="DM261">
            <v>288.66666666666669</v>
          </cell>
          <cell r="DN261">
            <v>577.33333333333337</v>
          </cell>
        </row>
        <row r="262">
          <cell r="B262">
            <v>362106</v>
          </cell>
          <cell r="C262" t="str">
            <v>HOJARASCA OBERENA</v>
          </cell>
          <cell r="D262">
            <v>15624</v>
          </cell>
          <cell r="E262">
            <v>10944</v>
          </cell>
          <cell r="F262">
            <v>9000</v>
          </cell>
          <cell r="G262">
            <v>24624</v>
          </cell>
          <cell r="H262">
            <v>14688</v>
          </cell>
          <cell r="I262">
            <v>13968</v>
          </cell>
          <cell r="J262">
            <v>21240</v>
          </cell>
          <cell r="K262">
            <v>16056</v>
          </cell>
          <cell r="L262">
            <v>19296</v>
          </cell>
          <cell r="M262">
            <v>15048</v>
          </cell>
          <cell r="N262">
            <v>18432</v>
          </cell>
          <cell r="O262">
            <v>18144</v>
          </cell>
          <cell r="P262">
            <v>10728</v>
          </cell>
          <cell r="Q262">
            <v>20880</v>
          </cell>
          <cell r="R262">
            <v>20088</v>
          </cell>
          <cell r="S262">
            <v>15408</v>
          </cell>
          <cell r="T262">
            <v>15768</v>
          </cell>
          <cell r="U262">
            <v>16200</v>
          </cell>
          <cell r="V262">
            <v>16344</v>
          </cell>
          <cell r="W262">
            <v>15408</v>
          </cell>
          <cell r="X262">
            <v>15264</v>
          </cell>
          <cell r="Y262">
            <v>20808</v>
          </cell>
          <cell r="Z262">
            <v>16632</v>
          </cell>
          <cell r="AA262">
            <v>14256</v>
          </cell>
          <cell r="AB262">
            <v>29017.871999999999</v>
          </cell>
          <cell r="AC262">
            <v>10080</v>
          </cell>
          <cell r="AE262">
            <v>21312</v>
          </cell>
          <cell r="AF262">
            <v>12456</v>
          </cell>
          <cell r="AG262">
            <v>18612</v>
          </cell>
          <cell r="AH262">
            <v>18432</v>
          </cell>
          <cell r="AI262">
            <v>16776</v>
          </cell>
          <cell r="AJ262">
            <v>24954</v>
          </cell>
          <cell r="AK262">
            <v>16488</v>
          </cell>
          <cell r="AL262">
            <v>15480</v>
          </cell>
          <cell r="AM262">
            <v>23976</v>
          </cell>
          <cell r="AN262">
            <v>24264</v>
          </cell>
          <cell r="AO262">
            <v>23400</v>
          </cell>
          <cell r="AP262">
            <v>28872</v>
          </cell>
          <cell r="AQ262">
            <v>24768</v>
          </cell>
          <cell r="AR262">
            <v>25353</v>
          </cell>
          <cell r="AS262">
            <v>35712</v>
          </cell>
          <cell r="AT262">
            <v>27648</v>
          </cell>
          <cell r="AU262">
            <v>24336</v>
          </cell>
          <cell r="AV262">
            <v>33336</v>
          </cell>
          <cell r="AW262">
            <v>25476</v>
          </cell>
          <cell r="AX262">
            <v>22392</v>
          </cell>
          <cell r="AY262">
            <v>17640</v>
          </cell>
          <cell r="AZ262">
            <v>16704</v>
          </cell>
          <cell r="BA262">
            <v>43056</v>
          </cell>
          <cell r="BB262">
            <v>432</v>
          </cell>
          <cell r="BC262">
            <v>30024</v>
          </cell>
          <cell r="BD262">
            <v>28152</v>
          </cell>
          <cell r="BE262">
            <v>22536</v>
          </cell>
          <cell r="BF262">
            <v>23184</v>
          </cell>
          <cell r="BG262">
            <v>25786</v>
          </cell>
          <cell r="BH262">
            <v>24120</v>
          </cell>
          <cell r="BI262">
            <v>29808</v>
          </cell>
          <cell r="BJ262">
            <v>12960</v>
          </cell>
          <cell r="BK262">
            <v>19584</v>
          </cell>
          <cell r="BL262">
            <v>27792</v>
          </cell>
          <cell r="BM262">
            <v>13608</v>
          </cell>
          <cell r="BN262">
            <v>31104</v>
          </cell>
          <cell r="BO262">
            <v>26568</v>
          </cell>
          <cell r="BP262">
            <v>6264</v>
          </cell>
          <cell r="BQ262">
            <v>38844</v>
          </cell>
          <cell r="BR262">
            <v>22680</v>
          </cell>
          <cell r="BS262">
            <v>26280</v>
          </cell>
          <cell r="BT262">
            <v>14616</v>
          </cell>
          <cell r="BU262">
            <v>23184</v>
          </cell>
          <cell r="BV262">
            <v>26424</v>
          </cell>
          <cell r="BW262">
            <v>20664</v>
          </cell>
          <cell r="BX262">
            <v>22320</v>
          </cell>
          <cell r="BY262">
            <v>33984</v>
          </cell>
          <cell r="BZ262">
            <v>32400</v>
          </cell>
          <cell r="CA262">
            <v>17136</v>
          </cell>
          <cell r="CB262">
            <v>22032</v>
          </cell>
          <cell r="CC262">
            <v>26352</v>
          </cell>
          <cell r="CD262">
            <v>21960</v>
          </cell>
          <cell r="CE262">
            <v>12600</v>
          </cell>
          <cell r="CG262">
            <v>28728</v>
          </cell>
          <cell r="CH262">
            <v>31608</v>
          </cell>
          <cell r="CI262">
            <v>33930</v>
          </cell>
          <cell r="CJ262">
            <v>41832</v>
          </cell>
          <cell r="CK262">
            <v>29691</v>
          </cell>
          <cell r="CL262">
            <v>1386</v>
          </cell>
          <cell r="DB262" t="str">
            <v>SIN USO</v>
          </cell>
          <cell r="DC262" t="str">
            <v>A</v>
          </cell>
          <cell r="DE262">
            <v>27862.5</v>
          </cell>
          <cell r="DF262">
            <v>4643.75</v>
          </cell>
          <cell r="DG262">
            <v>7655.3399144711902</v>
          </cell>
          <cell r="DH262">
            <v>0</v>
          </cell>
          <cell r="DI262" t="str">
            <v>0</v>
          </cell>
          <cell r="DJ262">
            <v>0</v>
          </cell>
          <cell r="DK262" t="str">
            <v>INACTIVO</v>
          </cell>
          <cell r="DL262">
            <v>13931.25</v>
          </cell>
          <cell r="DM262">
            <v>9287.5</v>
          </cell>
          <cell r="DN262">
            <v>23218.75</v>
          </cell>
        </row>
        <row r="263">
          <cell r="B263">
            <v>393040</v>
          </cell>
          <cell r="C263" t="str">
            <v>SUB DISCO HOJA 15 PP</v>
          </cell>
          <cell r="D263">
            <v>11925</v>
          </cell>
          <cell r="E263">
            <v>8955</v>
          </cell>
          <cell r="F263">
            <v>20610</v>
          </cell>
          <cell r="G263">
            <v>20430</v>
          </cell>
          <cell r="H263">
            <v>29790</v>
          </cell>
          <cell r="I263">
            <v>33255</v>
          </cell>
          <cell r="J263">
            <v>22095</v>
          </cell>
          <cell r="K263">
            <v>21870</v>
          </cell>
          <cell r="L263">
            <v>17325</v>
          </cell>
          <cell r="M263">
            <v>10890</v>
          </cell>
          <cell r="N263">
            <v>20910</v>
          </cell>
          <cell r="O263">
            <v>1936.35</v>
          </cell>
          <cell r="P263">
            <v>24435</v>
          </cell>
          <cell r="Q263">
            <v>9240</v>
          </cell>
          <cell r="R263">
            <v>15975</v>
          </cell>
          <cell r="S263">
            <v>7965</v>
          </cell>
          <cell r="T263">
            <v>9510</v>
          </cell>
          <cell r="U263">
            <v>20385</v>
          </cell>
          <cell r="V263">
            <v>10845</v>
          </cell>
          <cell r="W263">
            <v>27495</v>
          </cell>
          <cell r="X263">
            <v>4050</v>
          </cell>
          <cell r="Y263">
            <v>22410</v>
          </cell>
          <cell r="Z263">
            <v>11700</v>
          </cell>
          <cell r="AA263">
            <v>4050</v>
          </cell>
          <cell r="AB263">
            <v>5985</v>
          </cell>
          <cell r="AC263">
            <v>14979</v>
          </cell>
          <cell r="AF263">
            <v>6525</v>
          </cell>
          <cell r="AG263">
            <v>4950</v>
          </cell>
          <cell r="AH263">
            <v>14850</v>
          </cell>
          <cell r="AI263">
            <v>9775</v>
          </cell>
          <cell r="AJ263">
            <v>405</v>
          </cell>
          <cell r="AK263">
            <v>4500</v>
          </cell>
          <cell r="AL263">
            <v>9270</v>
          </cell>
          <cell r="AM263">
            <v>8550</v>
          </cell>
          <cell r="AN263">
            <v>10575</v>
          </cell>
          <cell r="AO263">
            <v>11745</v>
          </cell>
          <cell r="AP263">
            <v>3015</v>
          </cell>
          <cell r="AQ263">
            <v>13860</v>
          </cell>
          <cell r="AR263">
            <v>15345</v>
          </cell>
          <cell r="AS263">
            <v>6930</v>
          </cell>
          <cell r="AT263">
            <v>11925</v>
          </cell>
          <cell r="AU263">
            <v>20880</v>
          </cell>
          <cell r="AV263">
            <v>19215</v>
          </cell>
          <cell r="AW263">
            <v>31905</v>
          </cell>
          <cell r="AX263">
            <v>7020</v>
          </cell>
          <cell r="AZ263">
            <v>14760</v>
          </cell>
          <cell r="BA263">
            <v>10665</v>
          </cell>
          <cell r="BB263">
            <v>5580</v>
          </cell>
          <cell r="BC263">
            <v>24930</v>
          </cell>
          <cell r="BD263">
            <v>28935</v>
          </cell>
          <cell r="BE263">
            <v>30885</v>
          </cell>
          <cell r="BF263">
            <v>3915</v>
          </cell>
          <cell r="BG263">
            <v>555</v>
          </cell>
          <cell r="BH263">
            <v>1620</v>
          </cell>
          <cell r="BI263">
            <v>7605</v>
          </cell>
          <cell r="BJ263">
            <v>990</v>
          </cell>
          <cell r="BK263">
            <v>8820</v>
          </cell>
          <cell r="BL263">
            <v>2070</v>
          </cell>
          <cell r="BM263">
            <v>2520</v>
          </cell>
          <cell r="BN263">
            <v>21051</v>
          </cell>
          <cell r="BO263">
            <v>14490</v>
          </cell>
          <cell r="BP263">
            <v>405</v>
          </cell>
          <cell r="BQ263">
            <v>7479</v>
          </cell>
          <cell r="BR263">
            <v>1845</v>
          </cell>
          <cell r="BS263">
            <v>15880</v>
          </cell>
          <cell r="BT263">
            <v>3285</v>
          </cell>
          <cell r="BU263">
            <v>12195</v>
          </cell>
          <cell r="BV263">
            <v>495</v>
          </cell>
          <cell r="BW263">
            <v>7200</v>
          </cell>
          <cell r="BX263">
            <v>13410</v>
          </cell>
          <cell r="BY263">
            <v>1845</v>
          </cell>
          <cell r="BZ263">
            <v>450</v>
          </cell>
          <cell r="CA263">
            <v>13635</v>
          </cell>
          <cell r="CB263">
            <v>6390</v>
          </cell>
          <cell r="CC263">
            <v>9675</v>
          </cell>
          <cell r="CD263">
            <v>675</v>
          </cell>
          <cell r="CG263">
            <v>455</v>
          </cell>
          <cell r="CH263">
            <v>11605</v>
          </cell>
          <cell r="CI263">
            <v>4585</v>
          </cell>
          <cell r="CJ263">
            <v>8775</v>
          </cell>
          <cell r="CK263">
            <v>3195</v>
          </cell>
          <cell r="CL263">
            <v>450</v>
          </cell>
          <cell r="CN263">
            <v>495</v>
          </cell>
          <cell r="CP263">
            <v>17550</v>
          </cell>
          <cell r="CQ263">
            <v>12600</v>
          </cell>
          <cell r="CR263">
            <v>7155</v>
          </cell>
          <cell r="CS263">
            <v>9900</v>
          </cell>
          <cell r="CT263">
            <v>9000</v>
          </cell>
          <cell r="CY263">
            <v>10485</v>
          </cell>
          <cell r="CZ263">
            <v>6228</v>
          </cell>
          <cell r="DB263" t="str">
            <v>INSUMO</v>
          </cell>
          <cell r="DC263" t="str">
            <v>A</v>
          </cell>
          <cell r="DE263">
            <v>7147.083333333333</v>
          </cell>
          <cell r="DF263">
            <v>1191.1805555555554</v>
          </cell>
          <cell r="DG263">
            <v>8105.2237709733236</v>
          </cell>
          <cell r="DH263">
            <v>900</v>
          </cell>
          <cell r="DI263">
            <v>163197</v>
          </cell>
          <cell r="DJ263">
            <v>0.12592549408266776</v>
          </cell>
          <cell r="DK263" t="str">
            <v>COMPRAR</v>
          </cell>
          <cell r="DL263">
            <v>2382.3611111111109</v>
          </cell>
          <cell r="DM263">
            <v>2382.3611111111109</v>
          </cell>
          <cell r="DN263">
            <v>4764.7222222222217</v>
          </cell>
        </row>
        <row r="264">
          <cell r="B264">
            <v>393222</v>
          </cell>
          <cell r="C264" t="str">
            <v>PLANCHA PANQUEQUE VAINILLA TERCEROS PAVESI</v>
          </cell>
          <cell r="D264">
            <v>930</v>
          </cell>
          <cell r="E264">
            <v>1000</v>
          </cell>
          <cell r="F264">
            <v>1040</v>
          </cell>
          <cell r="G264">
            <v>870</v>
          </cell>
          <cell r="H264">
            <v>850</v>
          </cell>
          <cell r="I264">
            <v>280</v>
          </cell>
          <cell r="J264">
            <v>810</v>
          </cell>
          <cell r="K264">
            <v>780</v>
          </cell>
          <cell r="L264">
            <v>1150</v>
          </cell>
          <cell r="M264">
            <v>830</v>
          </cell>
          <cell r="N264">
            <v>780</v>
          </cell>
          <cell r="P264">
            <v>810</v>
          </cell>
          <cell r="Q264">
            <v>1280</v>
          </cell>
          <cell r="R264">
            <v>710</v>
          </cell>
          <cell r="S264">
            <v>780</v>
          </cell>
          <cell r="T264">
            <v>630</v>
          </cell>
          <cell r="U264">
            <v>870</v>
          </cell>
          <cell r="V264">
            <v>990</v>
          </cell>
          <cell r="W264">
            <v>650</v>
          </cell>
          <cell r="X264">
            <v>450</v>
          </cell>
          <cell r="Z264">
            <v>740</v>
          </cell>
          <cell r="AA264">
            <v>720</v>
          </cell>
          <cell r="AB264">
            <v>770</v>
          </cell>
          <cell r="AC264">
            <v>650</v>
          </cell>
          <cell r="AD264">
            <v>300</v>
          </cell>
          <cell r="AE264">
            <v>350</v>
          </cell>
          <cell r="AF264">
            <v>750</v>
          </cell>
          <cell r="AG264">
            <v>630</v>
          </cell>
          <cell r="AH264">
            <v>700</v>
          </cell>
          <cell r="AI264">
            <v>1050</v>
          </cell>
          <cell r="AJ264">
            <v>670</v>
          </cell>
          <cell r="AK264">
            <v>850</v>
          </cell>
          <cell r="AL264">
            <v>960</v>
          </cell>
          <cell r="AM264">
            <v>800</v>
          </cell>
          <cell r="AN264">
            <v>915</v>
          </cell>
          <cell r="AO264">
            <v>950</v>
          </cell>
          <cell r="AP264">
            <v>750</v>
          </cell>
          <cell r="AQ264">
            <v>860</v>
          </cell>
          <cell r="AR264">
            <v>1030</v>
          </cell>
          <cell r="AS264">
            <v>1040</v>
          </cell>
          <cell r="AT264">
            <v>930</v>
          </cell>
          <cell r="AU264">
            <v>1200</v>
          </cell>
          <cell r="AV264">
            <v>940</v>
          </cell>
          <cell r="AW264">
            <v>940</v>
          </cell>
          <cell r="AX264">
            <v>880</v>
          </cell>
          <cell r="AY264">
            <v>870</v>
          </cell>
          <cell r="AZ264">
            <v>1070</v>
          </cell>
          <cell r="BA264">
            <v>970</v>
          </cell>
          <cell r="BB264">
            <v>880</v>
          </cell>
          <cell r="BC264">
            <v>990</v>
          </cell>
          <cell r="BD264">
            <v>930</v>
          </cell>
          <cell r="BE264">
            <v>830</v>
          </cell>
          <cell r="BF264">
            <v>700</v>
          </cell>
          <cell r="BG264">
            <v>1025</v>
          </cell>
          <cell r="BH264">
            <v>1060</v>
          </cell>
          <cell r="BI264">
            <v>790</v>
          </cell>
          <cell r="BJ264">
            <v>710</v>
          </cell>
          <cell r="BK264">
            <v>820</v>
          </cell>
          <cell r="BL264">
            <v>850</v>
          </cell>
          <cell r="BM264">
            <v>800</v>
          </cell>
          <cell r="BN264">
            <v>850</v>
          </cell>
          <cell r="BO264">
            <v>820</v>
          </cell>
          <cell r="BP264">
            <v>70</v>
          </cell>
          <cell r="BQ264">
            <v>970</v>
          </cell>
          <cell r="BR264">
            <v>750</v>
          </cell>
          <cell r="BS264">
            <v>970</v>
          </cell>
          <cell r="BT264">
            <v>730</v>
          </cell>
          <cell r="BU264">
            <v>900</v>
          </cell>
          <cell r="BV264">
            <v>790</v>
          </cell>
          <cell r="BW264">
            <v>860</v>
          </cell>
          <cell r="BX264">
            <v>600</v>
          </cell>
          <cell r="BY264">
            <v>880</v>
          </cell>
          <cell r="BZ264">
            <v>860</v>
          </cell>
          <cell r="CA264">
            <v>880</v>
          </cell>
          <cell r="CB264">
            <v>640</v>
          </cell>
          <cell r="CC264">
            <v>890</v>
          </cell>
          <cell r="CD264">
            <v>560</v>
          </cell>
          <cell r="CE264">
            <v>320</v>
          </cell>
          <cell r="CF264">
            <v>230</v>
          </cell>
          <cell r="CG264">
            <v>700</v>
          </cell>
          <cell r="CH264">
            <v>690</v>
          </cell>
          <cell r="CI264">
            <v>670</v>
          </cell>
          <cell r="CJ264">
            <v>600</v>
          </cell>
          <cell r="CK264">
            <v>670</v>
          </cell>
          <cell r="CL264">
            <v>530</v>
          </cell>
          <cell r="CM264">
            <v>540</v>
          </cell>
          <cell r="CN264">
            <v>600</v>
          </cell>
          <cell r="CO264">
            <v>660</v>
          </cell>
          <cell r="CP264">
            <v>710</v>
          </cell>
          <cell r="CQ264">
            <v>780</v>
          </cell>
          <cell r="CR264">
            <v>870</v>
          </cell>
          <cell r="CS264">
            <v>830</v>
          </cell>
          <cell r="CT264">
            <v>670</v>
          </cell>
          <cell r="CU264">
            <v>1150</v>
          </cell>
          <cell r="CV264">
            <v>930</v>
          </cell>
          <cell r="CW264">
            <v>1010</v>
          </cell>
          <cell r="CX264">
            <v>840</v>
          </cell>
          <cell r="CY264">
            <v>1030</v>
          </cell>
          <cell r="CZ264">
            <v>790</v>
          </cell>
          <cell r="DA264">
            <v>930</v>
          </cell>
          <cell r="DB264" t="str">
            <v>ACTIVO</v>
          </cell>
          <cell r="DC264" t="str">
            <v>A</v>
          </cell>
          <cell r="DE264">
            <v>695.88235294117646</v>
          </cell>
          <cell r="DF264">
            <v>115.98039215686275</v>
          </cell>
          <cell r="DG264">
            <v>195.46625624251104</v>
          </cell>
          <cell r="DH264">
            <v>740</v>
          </cell>
          <cell r="DI264">
            <v>1808856</v>
          </cell>
          <cell r="DJ264">
            <v>1.0633981403212172</v>
          </cell>
          <cell r="DK264" t="str">
            <v>OK</v>
          </cell>
          <cell r="DL264">
            <v>347.94117647058823</v>
          </cell>
          <cell r="DM264">
            <v>231.9607843137255</v>
          </cell>
          <cell r="DN264">
            <v>579.9019607843137</v>
          </cell>
        </row>
        <row r="265">
          <cell r="B265">
            <v>107112</v>
          </cell>
          <cell r="C265" t="str">
            <v>MERENGUE PURATOS</v>
          </cell>
          <cell r="D265">
            <v>100</v>
          </cell>
          <cell r="E265">
            <v>359</v>
          </cell>
          <cell r="F265">
            <v>85</v>
          </cell>
          <cell r="G265">
            <v>90</v>
          </cell>
          <cell r="H265">
            <v>80</v>
          </cell>
          <cell r="I265">
            <v>30</v>
          </cell>
          <cell r="J265">
            <v>65</v>
          </cell>
          <cell r="K265">
            <v>65</v>
          </cell>
          <cell r="L265">
            <v>75</v>
          </cell>
          <cell r="M265">
            <v>80</v>
          </cell>
          <cell r="N265">
            <v>55</v>
          </cell>
          <cell r="P265">
            <v>50</v>
          </cell>
          <cell r="Q265">
            <v>75</v>
          </cell>
          <cell r="R265">
            <v>65</v>
          </cell>
          <cell r="S265">
            <v>55</v>
          </cell>
          <cell r="T265">
            <v>45</v>
          </cell>
          <cell r="U265">
            <v>60</v>
          </cell>
          <cell r="V265">
            <v>60</v>
          </cell>
          <cell r="W265">
            <v>110</v>
          </cell>
          <cell r="X265">
            <v>30</v>
          </cell>
          <cell r="Z265">
            <v>45</v>
          </cell>
          <cell r="AA265">
            <v>65</v>
          </cell>
          <cell r="AB265">
            <v>60</v>
          </cell>
          <cell r="AC265">
            <v>45</v>
          </cell>
          <cell r="AD265">
            <v>15</v>
          </cell>
          <cell r="AE265">
            <v>15</v>
          </cell>
          <cell r="AF265">
            <v>60</v>
          </cell>
          <cell r="AG265">
            <v>55</v>
          </cell>
          <cell r="AH265">
            <v>45</v>
          </cell>
          <cell r="AI265">
            <v>65</v>
          </cell>
          <cell r="AJ265">
            <v>60</v>
          </cell>
          <cell r="AK265">
            <v>55</v>
          </cell>
          <cell r="AL265">
            <v>60</v>
          </cell>
          <cell r="AM265">
            <v>60</v>
          </cell>
          <cell r="AN265">
            <v>60</v>
          </cell>
          <cell r="AO265">
            <v>75</v>
          </cell>
          <cell r="AP265">
            <v>50</v>
          </cell>
          <cell r="AQ265">
            <v>55</v>
          </cell>
          <cell r="AR265">
            <v>50</v>
          </cell>
          <cell r="AS265">
            <v>60</v>
          </cell>
          <cell r="AT265">
            <v>55</v>
          </cell>
          <cell r="AU265">
            <v>50</v>
          </cell>
          <cell r="AV265">
            <v>55</v>
          </cell>
          <cell r="AW265">
            <v>55</v>
          </cell>
          <cell r="AX265">
            <v>45</v>
          </cell>
          <cell r="AY265">
            <v>150</v>
          </cell>
          <cell r="AZ265">
            <v>60</v>
          </cell>
          <cell r="BA265">
            <v>55</v>
          </cell>
          <cell r="BB265">
            <v>60</v>
          </cell>
          <cell r="BC265">
            <v>60</v>
          </cell>
          <cell r="BD265">
            <v>120</v>
          </cell>
          <cell r="BE265">
            <v>55</v>
          </cell>
          <cell r="BF265">
            <v>50</v>
          </cell>
          <cell r="BG265">
            <v>220</v>
          </cell>
          <cell r="BH265">
            <v>75</v>
          </cell>
          <cell r="BI265">
            <v>65</v>
          </cell>
          <cell r="BJ265">
            <v>70</v>
          </cell>
          <cell r="BK265">
            <v>65</v>
          </cell>
          <cell r="BL265">
            <v>60</v>
          </cell>
          <cell r="BM265">
            <v>45</v>
          </cell>
          <cell r="BN265">
            <v>50</v>
          </cell>
          <cell r="BO265">
            <v>50</v>
          </cell>
          <cell r="BP265">
            <v>5</v>
          </cell>
          <cell r="BQ265">
            <v>75</v>
          </cell>
          <cell r="BR265">
            <v>55</v>
          </cell>
          <cell r="BS265">
            <v>80</v>
          </cell>
          <cell r="BT265">
            <v>255</v>
          </cell>
          <cell r="BU265">
            <v>55</v>
          </cell>
          <cell r="BV265">
            <v>60</v>
          </cell>
          <cell r="BW265">
            <v>80</v>
          </cell>
          <cell r="BX265">
            <v>60</v>
          </cell>
          <cell r="BY265">
            <v>55</v>
          </cell>
          <cell r="BZ265">
            <v>80</v>
          </cell>
          <cell r="CA265">
            <v>60</v>
          </cell>
          <cell r="CB265">
            <v>50</v>
          </cell>
          <cell r="CC265">
            <v>65</v>
          </cell>
          <cell r="CD265">
            <v>35</v>
          </cell>
          <cell r="CE265">
            <v>25</v>
          </cell>
          <cell r="CF265">
            <v>15</v>
          </cell>
          <cell r="CG265">
            <v>55</v>
          </cell>
          <cell r="CH265">
            <v>75</v>
          </cell>
          <cell r="CI265">
            <v>55</v>
          </cell>
          <cell r="CJ265">
            <v>75</v>
          </cell>
          <cell r="CK265">
            <v>70</v>
          </cell>
          <cell r="CL265">
            <v>80</v>
          </cell>
          <cell r="CM265">
            <v>45</v>
          </cell>
          <cell r="CN265">
            <v>80</v>
          </cell>
          <cell r="CO265">
            <v>55</v>
          </cell>
          <cell r="CP265">
            <v>55</v>
          </cell>
          <cell r="CQ265">
            <v>70</v>
          </cell>
          <cell r="CR265">
            <v>105</v>
          </cell>
          <cell r="CS265">
            <v>45</v>
          </cell>
          <cell r="CT265">
            <v>60</v>
          </cell>
          <cell r="CU265">
            <v>60</v>
          </cell>
          <cell r="CV265">
            <v>55</v>
          </cell>
          <cell r="CW265">
            <v>55</v>
          </cell>
          <cell r="CX265">
            <v>70</v>
          </cell>
          <cell r="CY265">
            <v>110</v>
          </cell>
          <cell r="CZ265">
            <v>65</v>
          </cell>
          <cell r="DA265">
            <v>445</v>
          </cell>
          <cell r="DB265" t="str">
            <v>ACTIVO</v>
          </cell>
          <cell r="DC265" t="str">
            <v>C</v>
          </cell>
          <cell r="DE265">
            <v>62.058823529411768</v>
          </cell>
          <cell r="DF265">
            <v>10.343137254901961</v>
          </cell>
          <cell r="DG265">
            <v>40.224560152691581</v>
          </cell>
          <cell r="DH265">
            <v>355</v>
          </cell>
          <cell r="DI265">
            <v>963107.9</v>
          </cell>
          <cell r="DJ265">
            <v>5.7203791469194307</v>
          </cell>
          <cell r="DK265" t="str">
            <v>OK</v>
          </cell>
          <cell r="DL265">
            <v>41.372549019607845</v>
          </cell>
          <cell r="DM265">
            <v>20.686274509803923</v>
          </cell>
          <cell r="DN265">
            <v>62.058823529411768</v>
          </cell>
        </row>
        <row r="266">
          <cell r="B266">
            <v>107321</v>
          </cell>
          <cell r="C266" t="str">
            <v>MERENGUE CONGELABLE PURATOS</v>
          </cell>
          <cell r="D266">
            <v>1625</v>
          </cell>
          <cell r="E266">
            <v>360</v>
          </cell>
          <cell r="F266">
            <v>815</v>
          </cell>
          <cell r="G266">
            <v>20</v>
          </cell>
          <cell r="H266">
            <v>1020</v>
          </cell>
          <cell r="I266">
            <v>1165</v>
          </cell>
          <cell r="J266">
            <v>895</v>
          </cell>
          <cell r="K266">
            <v>440</v>
          </cell>
          <cell r="L266">
            <v>1210</v>
          </cell>
          <cell r="M266">
            <v>545</v>
          </cell>
          <cell r="N266">
            <v>830</v>
          </cell>
          <cell r="O266">
            <v>530</v>
          </cell>
          <cell r="P266">
            <v>730</v>
          </cell>
          <cell r="Q266">
            <v>1010</v>
          </cell>
          <cell r="R266">
            <v>990</v>
          </cell>
          <cell r="S266">
            <v>915</v>
          </cell>
          <cell r="T266">
            <v>1315</v>
          </cell>
          <cell r="U266">
            <v>655</v>
          </cell>
          <cell r="V266">
            <v>1740</v>
          </cell>
          <cell r="W266">
            <v>20</v>
          </cell>
          <cell r="X266">
            <v>1055</v>
          </cell>
          <cell r="Y266">
            <v>2385</v>
          </cell>
          <cell r="Z266">
            <v>460</v>
          </cell>
          <cell r="AA266">
            <v>35</v>
          </cell>
          <cell r="AB266">
            <v>1450</v>
          </cell>
          <cell r="AC266">
            <v>125</v>
          </cell>
          <cell r="AD266">
            <v>1105</v>
          </cell>
          <cell r="AE266">
            <v>20</v>
          </cell>
          <cell r="AF266">
            <v>1181</v>
          </cell>
          <cell r="AG266">
            <v>845</v>
          </cell>
          <cell r="AH266">
            <v>724</v>
          </cell>
          <cell r="AI266">
            <v>1170</v>
          </cell>
          <cell r="AJ266">
            <v>635</v>
          </cell>
          <cell r="AK266">
            <v>175</v>
          </cell>
          <cell r="AL266">
            <v>40</v>
          </cell>
          <cell r="AM266">
            <v>80</v>
          </cell>
          <cell r="AN266">
            <v>330</v>
          </cell>
          <cell r="AO266">
            <v>75</v>
          </cell>
          <cell r="AP266">
            <v>70</v>
          </cell>
          <cell r="AQ266">
            <v>690</v>
          </cell>
          <cell r="AR266">
            <v>715</v>
          </cell>
          <cell r="AS266">
            <v>1115</v>
          </cell>
          <cell r="AT266">
            <v>1120</v>
          </cell>
          <cell r="AU266">
            <v>1115</v>
          </cell>
          <cell r="AV266">
            <v>1400</v>
          </cell>
          <cell r="AW266">
            <v>815</v>
          </cell>
          <cell r="AX266">
            <v>1125</v>
          </cell>
          <cell r="AY266">
            <v>1295</v>
          </cell>
          <cell r="AZ266">
            <v>775</v>
          </cell>
          <cell r="BA266">
            <v>830</v>
          </cell>
          <cell r="BB266">
            <v>1010</v>
          </cell>
          <cell r="BC266">
            <v>1015</v>
          </cell>
          <cell r="BD266">
            <v>1310</v>
          </cell>
          <cell r="BE266">
            <v>1075</v>
          </cell>
          <cell r="BF266">
            <v>585</v>
          </cell>
          <cell r="BG266">
            <v>860</v>
          </cell>
          <cell r="BH266">
            <v>1340</v>
          </cell>
          <cell r="BI266">
            <v>595</v>
          </cell>
          <cell r="BJ266">
            <v>1650</v>
          </cell>
          <cell r="BK266">
            <v>550</v>
          </cell>
          <cell r="BL266">
            <v>875</v>
          </cell>
          <cell r="BM266">
            <v>1250</v>
          </cell>
          <cell r="BN266">
            <v>360</v>
          </cell>
          <cell r="BO266">
            <v>970</v>
          </cell>
          <cell r="BP266">
            <v>255</v>
          </cell>
          <cell r="BQ266">
            <v>960</v>
          </cell>
          <cell r="BR266">
            <v>775</v>
          </cell>
          <cell r="BS266">
            <v>1090</v>
          </cell>
          <cell r="BT266">
            <v>1015</v>
          </cell>
          <cell r="BU266">
            <v>735</v>
          </cell>
          <cell r="BV266">
            <v>580</v>
          </cell>
          <cell r="BW266">
            <v>90</v>
          </cell>
          <cell r="BX266">
            <v>700</v>
          </cell>
          <cell r="BY266">
            <v>765</v>
          </cell>
          <cell r="BZ266">
            <v>860</v>
          </cell>
          <cell r="CA266">
            <v>640</v>
          </cell>
          <cell r="CB266">
            <v>510</v>
          </cell>
          <cell r="CC266">
            <v>845</v>
          </cell>
          <cell r="CD266">
            <v>295</v>
          </cell>
          <cell r="CE266">
            <v>555</v>
          </cell>
          <cell r="CF266">
            <v>20</v>
          </cell>
          <cell r="CG266">
            <v>890</v>
          </cell>
          <cell r="CH266">
            <v>985</v>
          </cell>
          <cell r="CI266">
            <v>710</v>
          </cell>
          <cell r="CJ266">
            <v>740</v>
          </cell>
          <cell r="CK266">
            <v>20</v>
          </cell>
          <cell r="CL266">
            <v>1225</v>
          </cell>
          <cell r="CM266">
            <v>1165</v>
          </cell>
          <cell r="CN266">
            <v>580</v>
          </cell>
          <cell r="CO266">
            <v>615</v>
          </cell>
          <cell r="CP266">
            <v>575</v>
          </cell>
          <cell r="CQ266">
            <v>605</v>
          </cell>
          <cell r="CR266">
            <v>590</v>
          </cell>
          <cell r="CS266">
            <v>15</v>
          </cell>
          <cell r="CT266">
            <v>1215</v>
          </cell>
          <cell r="CU266">
            <v>400</v>
          </cell>
          <cell r="CV266">
            <v>1385</v>
          </cell>
          <cell r="CW266">
            <v>235</v>
          </cell>
          <cell r="CX266">
            <v>910</v>
          </cell>
          <cell r="CY266">
            <v>405</v>
          </cell>
          <cell r="CZ266">
            <v>575</v>
          </cell>
          <cell r="DA266">
            <v>620</v>
          </cell>
          <cell r="DB266" t="str">
            <v>ACTIVO</v>
          </cell>
          <cell r="DC266" t="str">
            <v>A</v>
          </cell>
          <cell r="DE266">
            <v>690.29411764705878</v>
          </cell>
          <cell r="DF266">
            <v>115.04901960784314</v>
          </cell>
          <cell r="DG266">
            <v>395.40045839170637</v>
          </cell>
          <cell r="DH266">
            <v>970</v>
          </cell>
          <cell r="DI266">
            <v>2551061.2000000002</v>
          </cell>
          <cell r="DJ266">
            <v>1.4051981252662975</v>
          </cell>
          <cell r="DK266" t="str">
            <v>OK</v>
          </cell>
          <cell r="DL266">
            <v>460.19607843137254</v>
          </cell>
          <cell r="DM266">
            <v>230.09803921568627</v>
          </cell>
          <cell r="DN266">
            <v>690.29411764705878</v>
          </cell>
        </row>
        <row r="267">
          <cell r="B267">
            <v>405344</v>
          </cell>
          <cell r="C267" t="str">
            <v>DISCO DE PANQUEQUE VAINILLA 18 CM ENCOMIENDA TOTTUS</v>
          </cell>
          <cell r="U267">
            <v>6532</v>
          </cell>
          <cell r="DB267" t="str">
            <v>INSUMO</v>
          </cell>
          <cell r="DC267" t="str">
            <v/>
          </cell>
          <cell r="DE267">
            <v>0</v>
          </cell>
          <cell r="DF267">
            <v>0</v>
          </cell>
          <cell r="DG267">
            <v>0</v>
          </cell>
          <cell r="DH267">
            <v>0</v>
          </cell>
          <cell r="DI267" t="str">
            <v>0</v>
          </cell>
          <cell r="DJ267">
            <v>0</v>
          </cell>
          <cell r="DK267" t="str">
            <v>COMPRAR</v>
          </cell>
          <cell r="DL267">
            <v>0</v>
          </cell>
          <cell r="DM267">
            <v>0</v>
          </cell>
          <cell r="DN267">
            <v>0</v>
          </cell>
        </row>
        <row r="268">
          <cell r="B268">
            <v>362099</v>
          </cell>
          <cell r="C268" t="str">
            <v>GRANA DE HOJA</v>
          </cell>
          <cell r="Z268">
            <v>30</v>
          </cell>
          <cell r="AA268">
            <v>40</v>
          </cell>
          <cell r="DB268" t="str">
            <v>INSUMO</v>
          </cell>
          <cell r="DC268" t="str">
            <v/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 t="str">
            <v>0</v>
          </cell>
          <cell r="DJ268">
            <v>0</v>
          </cell>
          <cell r="DK268" t="str">
            <v>COMPRAR</v>
          </cell>
          <cell r="DL268">
            <v>0</v>
          </cell>
          <cell r="DM268">
            <v>0</v>
          </cell>
          <cell r="DN268">
            <v>0</v>
          </cell>
        </row>
        <row r="269">
          <cell r="D269">
            <v>54560</v>
          </cell>
          <cell r="E269">
            <v>27538</v>
          </cell>
          <cell r="F269">
            <v>49050</v>
          </cell>
          <cell r="G269">
            <v>61186</v>
          </cell>
          <cell r="H269">
            <v>58632</v>
          </cell>
          <cell r="I269">
            <v>53862</v>
          </cell>
          <cell r="J269">
            <v>60477</v>
          </cell>
          <cell r="K269">
            <v>44431</v>
          </cell>
          <cell r="L269">
            <v>56196</v>
          </cell>
          <cell r="M269">
            <v>45389</v>
          </cell>
          <cell r="N269">
            <v>62438</v>
          </cell>
          <cell r="O269">
            <v>27266.35</v>
          </cell>
          <cell r="P269">
            <v>44950</v>
          </cell>
          <cell r="Q269">
            <v>43254</v>
          </cell>
          <cell r="R269">
            <v>41946</v>
          </cell>
          <cell r="S269">
            <v>36809</v>
          </cell>
          <cell r="T269">
            <v>36164</v>
          </cell>
          <cell r="U269">
            <v>47350</v>
          </cell>
          <cell r="V269">
            <v>38183</v>
          </cell>
          <cell r="W269">
            <v>44843</v>
          </cell>
          <cell r="X269">
            <v>24189</v>
          </cell>
          <cell r="Y269">
            <v>45795</v>
          </cell>
          <cell r="Z269">
            <v>30843</v>
          </cell>
          <cell r="AA269">
            <v>19538</v>
          </cell>
          <cell r="AB269">
            <v>37574.872000000003</v>
          </cell>
          <cell r="AC269">
            <v>34519</v>
          </cell>
          <cell r="AD269">
            <v>4658</v>
          </cell>
          <cell r="AE269">
            <v>31201</v>
          </cell>
          <cell r="AF269">
            <v>29394</v>
          </cell>
          <cell r="AG269">
            <v>27252</v>
          </cell>
          <cell r="AH269">
            <v>50563</v>
          </cell>
          <cell r="AI269">
            <v>55130</v>
          </cell>
          <cell r="AJ269">
            <v>27652</v>
          </cell>
          <cell r="AK269">
            <v>30240</v>
          </cell>
          <cell r="AL269">
            <v>39386</v>
          </cell>
          <cell r="AM269">
            <v>33886</v>
          </cell>
          <cell r="AN269">
            <v>51908</v>
          </cell>
          <cell r="AO269">
            <v>57269</v>
          </cell>
          <cell r="AP269">
            <v>44277</v>
          </cell>
          <cell r="AQ269">
            <v>51897</v>
          </cell>
          <cell r="AR269">
            <v>48589</v>
          </cell>
          <cell r="AS269">
            <v>44929</v>
          </cell>
          <cell r="AT269">
            <v>42686</v>
          </cell>
          <cell r="AU269">
            <v>60315</v>
          </cell>
          <cell r="AV269">
            <v>68086</v>
          </cell>
          <cell r="AW269">
            <v>81151</v>
          </cell>
          <cell r="AX269">
            <v>43942</v>
          </cell>
          <cell r="AY269">
            <v>33116</v>
          </cell>
          <cell r="AZ269">
            <v>39181</v>
          </cell>
          <cell r="BA269">
            <v>55988</v>
          </cell>
          <cell r="BB269">
            <v>17818</v>
          </cell>
          <cell r="BC269">
            <v>58471</v>
          </cell>
          <cell r="BD269">
            <v>71911</v>
          </cell>
          <cell r="BE269">
            <v>71465</v>
          </cell>
          <cell r="BF269">
            <v>34718</v>
          </cell>
          <cell r="BG269">
            <v>32102</v>
          </cell>
          <cell r="BH269">
            <v>29427</v>
          </cell>
          <cell r="BI269">
            <v>45603</v>
          </cell>
          <cell r="BJ269">
            <v>17624</v>
          </cell>
          <cell r="BK269">
            <v>39147</v>
          </cell>
          <cell r="BL269">
            <v>34219</v>
          </cell>
          <cell r="BM269">
            <v>23323</v>
          </cell>
          <cell r="BN269">
            <v>64739</v>
          </cell>
          <cell r="BO269">
            <v>49778</v>
          </cell>
          <cell r="BP269">
            <v>12387</v>
          </cell>
          <cell r="BQ269">
            <v>61794</v>
          </cell>
          <cell r="BR269">
            <v>38693</v>
          </cell>
          <cell r="BS269">
            <v>54900</v>
          </cell>
          <cell r="BT269">
            <v>27293</v>
          </cell>
          <cell r="BU269">
            <v>53065</v>
          </cell>
          <cell r="BV269">
            <v>31577</v>
          </cell>
          <cell r="BW269">
            <v>31358</v>
          </cell>
          <cell r="BX269">
            <v>47574</v>
          </cell>
          <cell r="BY269">
            <v>40331</v>
          </cell>
          <cell r="BZ269">
            <v>49992</v>
          </cell>
          <cell r="CA269">
            <v>66817</v>
          </cell>
          <cell r="CB269">
            <v>49903</v>
          </cell>
          <cell r="CC269">
            <v>39723</v>
          </cell>
          <cell r="CD269">
            <v>23705</v>
          </cell>
          <cell r="CE269">
            <v>17968</v>
          </cell>
          <cell r="CF269">
            <v>329</v>
          </cell>
          <cell r="CG269">
            <v>49900</v>
          </cell>
          <cell r="CH269">
            <v>46859</v>
          </cell>
          <cell r="CI269">
            <v>82324</v>
          </cell>
          <cell r="CJ269">
            <v>76804</v>
          </cell>
          <cell r="CK269">
            <v>65896</v>
          </cell>
          <cell r="CL269">
            <v>46023</v>
          </cell>
          <cell r="CM269">
            <v>55567</v>
          </cell>
          <cell r="CN269">
            <v>53599</v>
          </cell>
          <cell r="CO269">
            <v>51036</v>
          </cell>
          <cell r="CP269">
            <v>64870</v>
          </cell>
          <cell r="CQ269">
            <v>47415</v>
          </cell>
          <cell r="CR269">
            <v>83736</v>
          </cell>
          <cell r="CS269">
            <v>62206</v>
          </cell>
          <cell r="CT269">
            <v>93717</v>
          </cell>
          <cell r="CU269">
            <v>171726</v>
          </cell>
          <cell r="CV269">
            <v>180061</v>
          </cell>
          <cell r="CW269">
            <v>123840</v>
          </cell>
          <cell r="CX269">
            <v>69281</v>
          </cell>
          <cell r="CY269">
            <v>101947</v>
          </cell>
          <cell r="CZ269">
            <v>92654</v>
          </cell>
          <cell r="DA269">
            <v>108579</v>
          </cell>
          <cell r="DB269" t="str">
            <v>ACTIVO</v>
          </cell>
          <cell r="DC269" t="str">
            <v/>
          </cell>
          <cell r="DE269">
            <v>72474.588235294112</v>
          </cell>
          <cell r="DF269">
            <v>12079.098039215685</v>
          </cell>
          <cell r="DG269">
            <v>15591.693738377166</v>
          </cell>
          <cell r="DH269">
            <v>0</v>
          </cell>
          <cell r="DI269" t="str">
            <v>0</v>
          </cell>
          <cell r="DJ269">
            <v>0</v>
          </cell>
          <cell r="DK269" t="str">
            <v>INACTIVO</v>
          </cell>
          <cell r="DL269">
            <v>0</v>
          </cell>
          <cell r="DM269">
            <v>24158.196078431371</v>
          </cell>
          <cell r="DN269">
            <v>24158.196078431371</v>
          </cell>
        </row>
        <row r="270">
          <cell r="B270">
            <v>107172</v>
          </cell>
          <cell r="C270" t="str">
            <v>MERM. MEL DURAZNO ENT. BALDE 5 Kg</v>
          </cell>
          <cell r="E270">
            <v>430</v>
          </cell>
          <cell r="F270">
            <v>470</v>
          </cell>
          <cell r="G270">
            <v>655</v>
          </cell>
          <cell r="H270">
            <v>1160</v>
          </cell>
          <cell r="I270">
            <v>730</v>
          </cell>
          <cell r="J270">
            <v>1215</v>
          </cell>
          <cell r="K270">
            <v>185</v>
          </cell>
          <cell r="L270">
            <v>1085</v>
          </cell>
          <cell r="M270">
            <v>645</v>
          </cell>
          <cell r="N270">
            <v>650</v>
          </cell>
          <cell r="O270">
            <v>490</v>
          </cell>
          <cell r="P270">
            <v>640</v>
          </cell>
          <cell r="Q270">
            <v>750</v>
          </cell>
          <cell r="R270">
            <v>690</v>
          </cell>
          <cell r="S270">
            <v>170</v>
          </cell>
          <cell r="T270">
            <v>675</v>
          </cell>
          <cell r="U270">
            <v>970</v>
          </cell>
          <cell r="V270">
            <v>575</v>
          </cell>
          <cell r="W270">
            <v>135</v>
          </cell>
          <cell r="X270">
            <v>950</v>
          </cell>
          <cell r="Y270">
            <v>960</v>
          </cell>
          <cell r="Z270">
            <v>890</v>
          </cell>
          <cell r="AA270">
            <v>115</v>
          </cell>
          <cell r="AB270">
            <v>145</v>
          </cell>
          <cell r="AC270">
            <v>815</v>
          </cell>
          <cell r="AD270">
            <v>55</v>
          </cell>
          <cell r="AE270">
            <v>35</v>
          </cell>
          <cell r="AF270">
            <v>880</v>
          </cell>
          <cell r="AG270">
            <v>105</v>
          </cell>
          <cell r="AH270">
            <v>120</v>
          </cell>
          <cell r="AI270">
            <v>135</v>
          </cell>
          <cell r="AJ270">
            <v>115</v>
          </cell>
          <cell r="AK270">
            <v>130</v>
          </cell>
          <cell r="AL270">
            <v>910</v>
          </cell>
          <cell r="AM270">
            <v>785</v>
          </cell>
          <cell r="AN270">
            <v>160</v>
          </cell>
          <cell r="AO270">
            <v>145</v>
          </cell>
          <cell r="AP270">
            <v>670</v>
          </cell>
          <cell r="AQ270">
            <v>140</v>
          </cell>
          <cell r="AR270">
            <v>275</v>
          </cell>
          <cell r="AS270">
            <v>905</v>
          </cell>
          <cell r="AT270">
            <v>135</v>
          </cell>
          <cell r="AU270">
            <v>175</v>
          </cell>
          <cell r="AV270">
            <v>110</v>
          </cell>
          <cell r="AW270">
            <v>135</v>
          </cell>
          <cell r="AX270">
            <v>115</v>
          </cell>
          <cell r="AY270">
            <v>110</v>
          </cell>
          <cell r="AZ270">
            <v>195</v>
          </cell>
          <cell r="BA270">
            <v>155</v>
          </cell>
          <cell r="BB270">
            <v>150</v>
          </cell>
          <cell r="BC270">
            <v>140</v>
          </cell>
          <cell r="BD270">
            <v>140</v>
          </cell>
          <cell r="BE270">
            <v>120</v>
          </cell>
          <cell r="BF270">
            <v>150</v>
          </cell>
          <cell r="BG270">
            <v>150</v>
          </cell>
          <cell r="BH270">
            <v>140</v>
          </cell>
          <cell r="BI270">
            <v>95</v>
          </cell>
          <cell r="BJ270">
            <v>85</v>
          </cell>
          <cell r="BK270">
            <v>115</v>
          </cell>
          <cell r="BL270">
            <v>135</v>
          </cell>
          <cell r="BM270">
            <v>225</v>
          </cell>
          <cell r="BN270">
            <v>105</v>
          </cell>
          <cell r="BO270">
            <v>110</v>
          </cell>
          <cell r="BP270">
            <v>15</v>
          </cell>
          <cell r="BQ270">
            <v>130</v>
          </cell>
          <cell r="BR270">
            <v>110</v>
          </cell>
          <cell r="BS270">
            <v>165</v>
          </cell>
          <cell r="BT270">
            <v>80</v>
          </cell>
          <cell r="BU270">
            <v>165</v>
          </cell>
          <cell r="BV270">
            <v>125</v>
          </cell>
          <cell r="BW270">
            <v>135</v>
          </cell>
          <cell r="BX270">
            <v>60</v>
          </cell>
          <cell r="BY270">
            <v>15</v>
          </cell>
          <cell r="BZ270">
            <v>30</v>
          </cell>
          <cell r="CA270">
            <v>25</v>
          </cell>
          <cell r="CB270">
            <v>25</v>
          </cell>
          <cell r="CC270">
            <v>35</v>
          </cell>
          <cell r="CD270">
            <v>85</v>
          </cell>
          <cell r="CE270">
            <v>50</v>
          </cell>
          <cell r="CF270">
            <v>40</v>
          </cell>
          <cell r="CG270">
            <v>85</v>
          </cell>
          <cell r="CH270">
            <v>90</v>
          </cell>
          <cell r="CI270">
            <v>85</v>
          </cell>
          <cell r="CJ270">
            <v>90</v>
          </cell>
          <cell r="CK270">
            <v>100</v>
          </cell>
          <cell r="CL270">
            <v>90</v>
          </cell>
          <cell r="CM270">
            <v>85</v>
          </cell>
          <cell r="CN270">
            <v>95</v>
          </cell>
          <cell r="CO270">
            <v>95</v>
          </cell>
          <cell r="CP270">
            <v>100</v>
          </cell>
          <cell r="CQ270">
            <v>100</v>
          </cell>
          <cell r="CR270">
            <v>125</v>
          </cell>
          <cell r="CS270">
            <v>100</v>
          </cell>
          <cell r="CT270">
            <v>135</v>
          </cell>
          <cell r="CU270">
            <v>110</v>
          </cell>
          <cell r="CV270">
            <v>100</v>
          </cell>
          <cell r="CW270">
            <v>105</v>
          </cell>
          <cell r="CX270">
            <v>100</v>
          </cell>
          <cell r="CY270">
            <v>110</v>
          </cell>
          <cell r="CZ270">
            <v>95</v>
          </cell>
          <cell r="DA270">
            <v>100</v>
          </cell>
          <cell r="DB270" t="str">
            <v>ACTIVO</v>
          </cell>
          <cell r="DC270" t="str">
            <v>B</v>
          </cell>
          <cell r="DE270">
            <v>95.588235294117652</v>
          </cell>
          <cell r="DF270">
            <v>15.931372549019608</v>
          </cell>
          <cell r="DG270">
            <v>218.36005571815687</v>
          </cell>
          <cell r="DH270">
            <v>440</v>
          </cell>
          <cell r="DI270">
            <v>887638.4</v>
          </cell>
          <cell r="DJ270">
            <v>4.6030769230769231</v>
          </cell>
          <cell r="DK270" t="str">
            <v>OK</v>
          </cell>
          <cell r="DL270">
            <v>31.862745098039216</v>
          </cell>
          <cell r="DM270">
            <v>31.862745098039216</v>
          </cell>
          <cell r="DN270">
            <v>63.725490196078432</v>
          </cell>
        </row>
        <row r="271">
          <cell r="B271">
            <v>170175</v>
          </cell>
          <cell r="C271" t="str">
            <v>MERMELADA DURAZNO PURATOS</v>
          </cell>
          <cell r="E271">
            <v>150</v>
          </cell>
          <cell r="F271">
            <v>15</v>
          </cell>
          <cell r="G271">
            <v>30</v>
          </cell>
          <cell r="K271">
            <v>30</v>
          </cell>
          <cell r="DB271" t="str">
            <v>SIN USO</v>
          </cell>
          <cell r="DC271" t="str">
            <v/>
          </cell>
          <cell r="DE271">
            <v>0</v>
          </cell>
          <cell r="DF271">
            <v>0</v>
          </cell>
          <cell r="DG271">
            <v>0</v>
          </cell>
          <cell r="DH271">
            <v>0</v>
          </cell>
          <cell r="DI271" t="str">
            <v>0</v>
          </cell>
          <cell r="DJ271">
            <v>0</v>
          </cell>
          <cell r="DK271" t="str">
            <v>INACTIVO</v>
          </cell>
          <cell r="DL271">
            <v>0</v>
          </cell>
          <cell r="DM271">
            <v>0</v>
          </cell>
          <cell r="DN271">
            <v>0</v>
          </cell>
        </row>
        <row r="272">
          <cell r="B272">
            <v>107129</v>
          </cell>
          <cell r="C272" t="str">
            <v>MERM. MEL FRAMBUESA QUINTA BALDE 5 Kg</v>
          </cell>
          <cell r="D272">
            <v>145</v>
          </cell>
          <cell r="E272">
            <v>80</v>
          </cell>
          <cell r="F272">
            <v>90</v>
          </cell>
          <cell r="G272">
            <v>95</v>
          </cell>
          <cell r="H272">
            <v>95</v>
          </cell>
          <cell r="I272">
            <v>35</v>
          </cell>
          <cell r="J272">
            <v>80</v>
          </cell>
          <cell r="K272">
            <v>115</v>
          </cell>
          <cell r="L272">
            <v>125</v>
          </cell>
          <cell r="M272">
            <v>130</v>
          </cell>
          <cell r="N272">
            <v>155</v>
          </cell>
          <cell r="O272">
            <v>5</v>
          </cell>
          <cell r="P272">
            <v>75</v>
          </cell>
          <cell r="Q272">
            <v>145</v>
          </cell>
          <cell r="R272">
            <v>95</v>
          </cell>
          <cell r="S272">
            <v>55</v>
          </cell>
          <cell r="T272">
            <v>100</v>
          </cell>
          <cell r="U272">
            <v>110</v>
          </cell>
          <cell r="V272">
            <v>135</v>
          </cell>
          <cell r="W272">
            <v>100</v>
          </cell>
          <cell r="X272">
            <v>40</v>
          </cell>
          <cell r="Y272">
            <v>25</v>
          </cell>
          <cell r="Z272">
            <v>95</v>
          </cell>
          <cell r="AA272">
            <v>70</v>
          </cell>
          <cell r="AB272">
            <v>85</v>
          </cell>
          <cell r="AC272">
            <v>95</v>
          </cell>
          <cell r="AD272">
            <v>20</v>
          </cell>
          <cell r="AE272">
            <v>30</v>
          </cell>
          <cell r="AF272">
            <v>96</v>
          </cell>
          <cell r="AG272">
            <v>94</v>
          </cell>
          <cell r="AH272">
            <v>80</v>
          </cell>
          <cell r="AI272">
            <v>75</v>
          </cell>
          <cell r="AJ272">
            <v>90</v>
          </cell>
          <cell r="AK272">
            <v>85</v>
          </cell>
          <cell r="AL272">
            <v>100</v>
          </cell>
          <cell r="AM272">
            <v>85</v>
          </cell>
          <cell r="AN272">
            <v>120</v>
          </cell>
          <cell r="AO272">
            <v>115</v>
          </cell>
          <cell r="AP272">
            <v>105</v>
          </cell>
          <cell r="AQ272">
            <v>90</v>
          </cell>
          <cell r="AR272">
            <v>85</v>
          </cell>
          <cell r="AS272">
            <v>90</v>
          </cell>
          <cell r="AT272">
            <v>90</v>
          </cell>
          <cell r="AU272">
            <v>150</v>
          </cell>
          <cell r="AV272">
            <v>80</v>
          </cell>
          <cell r="AW272">
            <v>70</v>
          </cell>
          <cell r="AX272">
            <v>70</v>
          </cell>
          <cell r="AY272">
            <v>100</v>
          </cell>
          <cell r="AZ272">
            <v>115</v>
          </cell>
          <cell r="BA272">
            <v>75</v>
          </cell>
          <cell r="BB272">
            <v>115</v>
          </cell>
          <cell r="BC272">
            <v>110</v>
          </cell>
          <cell r="BD272">
            <v>130</v>
          </cell>
          <cell r="BE272">
            <v>90</v>
          </cell>
          <cell r="BF272">
            <v>75</v>
          </cell>
          <cell r="BG272">
            <v>90</v>
          </cell>
          <cell r="BH272">
            <v>105</v>
          </cell>
          <cell r="BI272">
            <v>110</v>
          </cell>
          <cell r="BJ272">
            <v>80</v>
          </cell>
          <cell r="BK272">
            <v>75</v>
          </cell>
          <cell r="BL272">
            <v>80</v>
          </cell>
          <cell r="BM272">
            <v>145</v>
          </cell>
          <cell r="BN272">
            <v>75</v>
          </cell>
          <cell r="BO272">
            <v>80</v>
          </cell>
          <cell r="BP272">
            <v>25</v>
          </cell>
          <cell r="BQ272">
            <v>115</v>
          </cell>
          <cell r="BR272">
            <v>85</v>
          </cell>
          <cell r="BS272">
            <v>110</v>
          </cell>
          <cell r="BT272">
            <v>80</v>
          </cell>
          <cell r="BU272">
            <v>75</v>
          </cell>
          <cell r="BV272">
            <v>90</v>
          </cell>
          <cell r="BW272">
            <v>535</v>
          </cell>
          <cell r="BX272">
            <v>75</v>
          </cell>
          <cell r="BY272">
            <v>65</v>
          </cell>
          <cell r="BZ272">
            <v>295</v>
          </cell>
          <cell r="CA272">
            <v>380</v>
          </cell>
          <cell r="CB272">
            <v>65</v>
          </cell>
          <cell r="CC272">
            <v>1085</v>
          </cell>
          <cell r="CD272">
            <v>155</v>
          </cell>
          <cell r="CE272">
            <v>25</v>
          </cell>
          <cell r="CF272">
            <v>25</v>
          </cell>
          <cell r="CG272">
            <v>85</v>
          </cell>
          <cell r="CH272">
            <v>40</v>
          </cell>
          <cell r="CI272">
            <v>60</v>
          </cell>
          <cell r="CJ272">
            <v>80</v>
          </cell>
          <cell r="CK272">
            <v>75</v>
          </cell>
          <cell r="CL272">
            <v>65</v>
          </cell>
          <cell r="CM272">
            <v>65</v>
          </cell>
          <cell r="CN272">
            <v>70</v>
          </cell>
          <cell r="CO272">
            <v>80</v>
          </cell>
          <cell r="CP272">
            <v>730</v>
          </cell>
          <cell r="CQ272">
            <v>95</v>
          </cell>
          <cell r="CR272">
            <v>215</v>
          </cell>
          <cell r="CS272">
            <v>625</v>
          </cell>
          <cell r="CT272">
            <v>1300</v>
          </cell>
          <cell r="CU272">
            <v>700</v>
          </cell>
          <cell r="CV272">
            <v>850</v>
          </cell>
          <cell r="CW272">
            <v>1560</v>
          </cell>
          <cell r="CX272">
            <v>610</v>
          </cell>
          <cell r="CY272">
            <v>115</v>
          </cell>
          <cell r="CZ272">
            <v>345</v>
          </cell>
          <cell r="DA272">
            <v>460</v>
          </cell>
          <cell r="DB272" t="str">
            <v>ACTIVO</v>
          </cell>
          <cell r="DC272" t="str">
            <v>B</v>
          </cell>
          <cell r="DE272">
            <v>303.52941176470586</v>
          </cell>
          <cell r="DF272">
            <v>50.588235294117645</v>
          </cell>
          <cell r="DG272">
            <v>156.72677592925376</v>
          </cell>
          <cell r="DH272">
            <v>440</v>
          </cell>
          <cell r="DI272">
            <v>1899176.4</v>
          </cell>
          <cell r="DJ272">
            <v>1.4496124031007753</v>
          </cell>
          <cell r="DK272" t="str">
            <v>OK</v>
          </cell>
          <cell r="DL272">
            <v>101.17647058823529</v>
          </cell>
          <cell r="DM272">
            <v>101.17647058823529</v>
          </cell>
          <cell r="DN272">
            <v>202.35294117647058</v>
          </cell>
        </row>
        <row r="273">
          <cell r="B273">
            <v>403407</v>
          </cell>
          <cell r="C273" t="str">
            <v>MERM. LAMARKA FRAMBUESA BALDE 5 Kg</v>
          </cell>
          <cell r="D273">
            <v>1085</v>
          </cell>
          <cell r="E273">
            <v>755</v>
          </cell>
          <cell r="F273">
            <v>1050</v>
          </cell>
          <cell r="G273">
            <v>1340</v>
          </cell>
          <cell r="H273">
            <v>1580</v>
          </cell>
          <cell r="I273">
            <v>885</v>
          </cell>
          <cell r="J273">
            <v>1125</v>
          </cell>
          <cell r="K273">
            <v>830</v>
          </cell>
          <cell r="L273">
            <v>920</v>
          </cell>
          <cell r="M273">
            <v>1050</v>
          </cell>
          <cell r="N273">
            <v>1395</v>
          </cell>
          <cell r="O273">
            <v>995</v>
          </cell>
          <cell r="P273">
            <v>1160</v>
          </cell>
          <cell r="Q273">
            <v>1045</v>
          </cell>
          <cell r="R273">
            <v>775</v>
          </cell>
          <cell r="S273">
            <v>1090</v>
          </cell>
          <cell r="T273">
            <v>1625</v>
          </cell>
          <cell r="U273">
            <v>1455</v>
          </cell>
          <cell r="V273">
            <v>1875</v>
          </cell>
          <cell r="W273">
            <v>2340</v>
          </cell>
          <cell r="X273">
            <v>410</v>
          </cell>
          <cell r="Y273">
            <v>2585</v>
          </cell>
          <cell r="Z273">
            <v>550</v>
          </cell>
          <cell r="AA273">
            <v>727</v>
          </cell>
          <cell r="AB273">
            <v>775</v>
          </cell>
          <cell r="AC273">
            <v>80</v>
          </cell>
          <cell r="AD273">
            <v>350</v>
          </cell>
          <cell r="AE273">
            <v>630</v>
          </cell>
          <cell r="AF273">
            <v>1335.4</v>
          </cell>
          <cell r="AG273">
            <v>779.6</v>
          </cell>
          <cell r="AH273">
            <v>1495</v>
          </cell>
          <cell r="AI273">
            <v>2430</v>
          </cell>
          <cell r="AJ273">
            <v>1070</v>
          </cell>
          <cell r="AK273">
            <v>1195</v>
          </cell>
          <cell r="AL273">
            <v>1125</v>
          </cell>
          <cell r="AM273">
            <v>755</v>
          </cell>
          <cell r="AN273">
            <v>665</v>
          </cell>
          <cell r="AO273">
            <v>860</v>
          </cell>
          <cell r="AP273">
            <v>815</v>
          </cell>
          <cell r="AQ273">
            <v>1375</v>
          </cell>
          <cell r="AR273">
            <v>1700</v>
          </cell>
          <cell r="AS273">
            <v>1010</v>
          </cell>
          <cell r="AT273">
            <v>1290</v>
          </cell>
          <cell r="AU273">
            <v>2100</v>
          </cell>
          <cell r="AV273">
            <v>2295</v>
          </cell>
          <cell r="AW273">
            <v>1895</v>
          </cell>
          <cell r="AX273">
            <v>1745</v>
          </cell>
          <cell r="AY273">
            <v>780</v>
          </cell>
          <cell r="AZ273">
            <v>1315</v>
          </cell>
          <cell r="BA273">
            <v>1590</v>
          </cell>
          <cell r="BB273">
            <v>430</v>
          </cell>
          <cell r="BC273">
            <v>2280</v>
          </cell>
          <cell r="BD273">
            <v>1220</v>
          </cell>
          <cell r="BE273">
            <v>925</v>
          </cell>
          <cell r="BF273">
            <v>920</v>
          </cell>
          <cell r="BG273">
            <v>690</v>
          </cell>
          <cell r="BH273">
            <v>1475</v>
          </cell>
          <cell r="BI273">
            <v>1775</v>
          </cell>
          <cell r="BJ273">
            <v>1015</v>
          </cell>
          <cell r="BK273">
            <v>760</v>
          </cell>
          <cell r="BL273">
            <v>1325</v>
          </cell>
          <cell r="BM273">
            <v>1240</v>
          </cell>
          <cell r="BN273">
            <v>1640</v>
          </cell>
          <cell r="BO273">
            <v>1265</v>
          </cell>
          <cell r="BP273">
            <v>955</v>
          </cell>
          <cell r="BQ273">
            <v>985</v>
          </cell>
          <cell r="BR273">
            <v>1220</v>
          </cell>
          <cell r="BS273">
            <v>1310</v>
          </cell>
          <cell r="BT273">
            <v>555</v>
          </cell>
          <cell r="BU273">
            <v>1310</v>
          </cell>
          <cell r="BV273">
            <v>660</v>
          </cell>
          <cell r="BW273">
            <v>1280</v>
          </cell>
          <cell r="BX273">
            <v>1370</v>
          </cell>
          <cell r="BY273">
            <v>1195</v>
          </cell>
          <cell r="BZ273">
            <v>1155</v>
          </cell>
          <cell r="CA273">
            <v>1065</v>
          </cell>
          <cell r="CB273">
            <v>835</v>
          </cell>
          <cell r="CC273">
            <v>1750</v>
          </cell>
          <cell r="CD273">
            <v>95</v>
          </cell>
          <cell r="CE273">
            <v>430</v>
          </cell>
          <cell r="CF273">
            <v>295</v>
          </cell>
          <cell r="CG273">
            <v>1270</v>
          </cell>
          <cell r="CH273">
            <v>1610</v>
          </cell>
          <cell r="CI273">
            <v>1610</v>
          </cell>
          <cell r="CJ273">
            <v>1165</v>
          </cell>
          <cell r="CK273">
            <v>1815</v>
          </cell>
          <cell r="CL273">
            <v>1420</v>
          </cell>
          <cell r="CM273">
            <v>1555</v>
          </cell>
          <cell r="CN273">
            <v>1605</v>
          </cell>
          <cell r="CO273">
            <v>1025</v>
          </cell>
          <cell r="CP273">
            <v>785</v>
          </cell>
          <cell r="CQ273">
            <v>585</v>
          </cell>
          <cell r="CR273">
            <v>1390</v>
          </cell>
          <cell r="CS273">
            <v>1055</v>
          </cell>
          <cell r="CT273">
            <v>1960</v>
          </cell>
          <cell r="CU273">
            <v>2820</v>
          </cell>
          <cell r="CV273">
            <v>1830</v>
          </cell>
          <cell r="CW273">
            <v>1745</v>
          </cell>
          <cell r="CX273">
            <v>1050</v>
          </cell>
          <cell r="CY273">
            <v>265</v>
          </cell>
          <cell r="CZ273">
            <v>445</v>
          </cell>
          <cell r="DA273">
            <v>1930</v>
          </cell>
          <cell r="DB273" t="str">
            <v>ACTIVO</v>
          </cell>
          <cell r="DC273" t="str">
            <v>A</v>
          </cell>
          <cell r="DE273">
            <v>1399.7058823529412</v>
          </cell>
          <cell r="DF273">
            <v>233.28431372549019</v>
          </cell>
          <cell r="DG273">
            <v>490.52329028946258</v>
          </cell>
          <cell r="DH273">
            <v>820</v>
          </cell>
          <cell r="DI273">
            <v>1924408.8</v>
          </cell>
          <cell r="DJ273">
            <v>0.58583736079008197</v>
          </cell>
          <cell r="DK273" t="str">
            <v>COMPRAR</v>
          </cell>
          <cell r="DL273">
            <v>466.56862745098039</v>
          </cell>
          <cell r="DM273">
            <v>466.56862745098039</v>
          </cell>
          <cell r="DN273">
            <v>933.13725490196077</v>
          </cell>
        </row>
        <row r="274">
          <cell r="B274">
            <v>107193</v>
          </cell>
          <cell r="C274" t="str">
            <v>MERMELADA DE FRAMBUESA EBEL</v>
          </cell>
          <cell r="D274">
            <v>490</v>
          </cell>
          <cell r="E274">
            <v>605</v>
          </cell>
          <cell r="F274">
            <v>360</v>
          </cell>
          <cell r="G274">
            <v>290</v>
          </cell>
          <cell r="H274">
            <v>310</v>
          </cell>
          <cell r="I274">
            <v>245</v>
          </cell>
          <cell r="J274">
            <v>270</v>
          </cell>
          <cell r="K274">
            <v>245</v>
          </cell>
          <cell r="L274">
            <v>330</v>
          </cell>
          <cell r="M274">
            <v>235</v>
          </cell>
          <cell r="N274">
            <v>245</v>
          </cell>
          <cell r="O274">
            <v>75</v>
          </cell>
          <cell r="P274">
            <v>210</v>
          </cell>
          <cell r="Q274">
            <v>340</v>
          </cell>
          <cell r="R274">
            <v>245</v>
          </cell>
          <cell r="S274">
            <v>275</v>
          </cell>
          <cell r="T274">
            <v>255</v>
          </cell>
          <cell r="U274">
            <v>225</v>
          </cell>
          <cell r="V274">
            <v>305</v>
          </cell>
          <cell r="W274">
            <v>105</v>
          </cell>
          <cell r="X274">
            <v>400</v>
          </cell>
          <cell r="Y274">
            <v>195</v>
          </cell>
          <cell r="Z274">
            <v>395</v>
          </cell>
          <cell r="AA274">
            <v>450</v>
          </cell>
          <cell r="AB274">
            <v>355</v>
          </cell>
          <cell r="AC274">
            <v>480</v>
          </cell>
          <cell r="AD274">
            <v>190</v>
          </cell>
          <cell r="AE274">
            <v>212.5</v>
          </cell>
          <cell r="AF274">
            <v>190</v>
          </cell>
          <cell r="AG274">
            <v>225</v>
          </cell>
          <cell r="AH274">
            <v>175</v>
          </cell>
          <cell r="AI274">
            <v>335</v>
          </cell>
          <cell r="AJ274">
            <v>195</v>
          </cell>
          <cell r="AK274">
            <v>190</v>
          </cell>
          <cell r="AL274">
            <v>155</v>
          </cell>
          <cell r="AM274">
            <v>155</v>
          </cell>
          <cell r="AN274">
            <v>170</v>
          </cell>
          <cell r="AO274">
            <v>210</v>
          </cell>
          <cell r="AP274">
            <v>190</v>
          </cell>
          <cell r="AQ274">
            <v>175</v>
          </cell>
          <cell r="AR274">
            <v>215</v>
          </cell>
          <cell r="AS274">
            <v>165</v>
          </cell>
          <cell r="AT274">
            <v>165</v>
          </cell>
          <cell r="AU274">
            <v>160</v>
          </cell>
          <cell r="AV274">
            <v>175</v>
          </cell>
          <cell r="AW274">
            <v>460</v>
          </cell>
          <cell r="AX274">
            <v>160</v>
          </cell>
          <cell r="AY274">
            <v>225</v>
          </cell>
          <cell r="AZ274">
            <v>230</v>
          </cell>
          <cell r="BA274">
            <v>250</v>
          </cell>
          <cell r="BB274">
            <v>370</v>
          </cell>
          <cell r="BC274">
            <v>195</v>
          </cell>
          <cell r="BD274">
            <v>240</v>
          </cell>
          <cell r="BE274">
            <v>210</v>
          </cell>
          <cell r="BF274">
            <v>225</v>
          </cell>
          <cell r="BG274">
            <v>300</v>
          </cell>
          <cell r="BH274">
            <v>255</v>
          </cell>
          <cell r="BI274">
            <v>200</v>
          </cell>
          <cell r="BJ274">
            <v>165</v>
          </cell>
          <cell r="BK274">
            <v>235</v>
          </cell>
          <cell r="BL274">
            <v>205</v>
          </cell>
          <cell r="BM274">
            <v>255</v>
          </cell>
          <cell r="BN274">
            <v>150</v>
          </cell>
          <cell r="BO274">
            <v>185</v>
          </cell>
          <cell r="BP274">
            <v>20</v>
          </cell>
          <cell r="BQ274">
            <v>260</v>
          </cell>
          <cell r="BR274">
            <v>160</v>
          </cell>
          <cell r="BS274">
            <v>210</v>
          </cell>
          <cell r="BT274">
            <v>155</v>
          </cell>
          <cell r="BU274">
            <v>190</v>
          </cell>
          <cell r="BV274">
            <v>210</v>
          </cell>
          <cell r="BW274">
            <v>205</v>
          </cell>
          <cell r="BX274">
            <v>210</v>
          </cell>
          <cell r="BY274">
            <v>100</v>
          </cell>
          <cell r="BZ274">
            <v>105</v>
          </cell>
          <cell r="CA274">
            <v>100</v>
          </cell>
          <cell r="CB274">
            <v>115</v>
          </cell>
          <cell r="CC274">
            <v>105</v>
          </cell>
          <cell r="CD274">
            <v>130</v>
          </cell>
          <cell r="CE274">
            <v>85</v>
          </cell>
          <cell r="CF274">
            <v>60</v>
          </cell>
          <cell r="CG274">
            <v>125</v>
          </cell>
          <cell r="CH274">
            <v>195</v>
          </cell>
          <cell r="CI274">
            <v>190</v>
          </cell>
          <cell r="CJ274">
            <v>175</v>
          </cell>
          <cell r="CK274">
            <v>180</v>
          </cell>
          <cell r="CL274">
            <v>130</v>
          </cell>
          <cell r="CM274">
            <v>135</v>
          </cell>
          <cell r="CN274">
            <v>140</v>
          </cell>
          <cell r="CO274">
            <v>135</v>
          </cell>
          <cell r="CP274">
            <v>235</v>
          </cell>
          <cell r="CQ274">
            <v>245</v>
          </cell>
          <cell r="CR274">
            <v>200</v>
          </cell>
          <cell r="CS274">
            <v>175</v>
          </cell>
          <cell r="CT274">
            <v>310</v>
          </cell>
          <cell r="CU274">
            <v>195</v>
          </cell>
          <cell r="CV274">
            <v>175</v>
          </cell>
          <cell r="CW274">
            <v>175</v>
          </cell>
          <cell r="CX274">
            <v>180</v>
          </cell>
          <cell r="CY274">
            <v>220</v>
          </cell>
          <cell r="CZ274">
            <v>175</v>
          </cell>
          <cell r="DA274">
            <v>305</v>
          </cell>
          <cell r="DB274" t="str">
            <v>ACTIVO</v>
          </cell>
          <cell r="DC274" t="str">
            <v>B</v>
          </cell>
          <cell r="DE274">
            <v>176.47058823529412</v>
          </cell>
          <cell r="DF274">
            <v>29.411764705882351</v>
          </cell>
          <cell r="DG274">
            <v>70.48678709728182</v>
          </cell>
          <cell r="DH274">
            <v>530</v>
          </cell>
          <cell r="DI274">
            <v>2033716</v>
          </cell>
          <cell r="DJ274">
            <v>3.0033333333333334</v>
          </cell>
          <cell r="DK274" t="str">
            <v>OK</v>
          </cell>
          <cell r="DL274">
            <v>58.823529411764703</v>
          </cell>
          <cell r="DM274">
            <v>58.823529411764703</v>
          </cell>
          <cell r="DN274">
            <v>117.64705882352941</v>
          </cell>
        </row>
        <row r="275">
          <cell r="B275">
            <v>403408</v>
          </cell>
          <cell r="C275" t="str">
            <v>MERM. LAMARKA DAMASCO BALDE 5 Kg</v>
          </cell>
          <cell r="D275">
            <v>1260</v>
          </cell>
          <cell r="E275">
            <v>490</v>
          </cell>
          <cell r="F275">
            <v>1040</v>
          </cell>
          <cell r="G275">
            <v>500</v>
          </cell>
          <cell r="H275">
            <v>1200</v>
          </cell>
          <cell r="I275">
            <v>695</v>
          </cell>
          <cell r="J275">
            <v>1220</v>
          </cell>
          <cell r="K275">
            <v>685</v>
          </cell>
          <cell r="L275">
            <v>1405</v>
          </cell>
          <cell r="M275">
            <v>480</v>
          </cell>
          <cell r="N275">
            <v>1445</v>
          </cell>
          <cell r="O275">
            <v>80</v>
          </cell>
          <cell r="P275">
            <v>1200</v>
          </cell>
          <cell r="Q275">
            <v>995</v>
          </cell>
          <cell r="R275">
            <v>840</v>
          </cell>
          <cell r="S275">
            <v>1030</v>
          </cell>
          <cell r="T275">
            <v>950</v>
          </cell>
          <cell r="U275">
            <v>1085</v>
          </cell>
          <cell r="V275">
            <v>1190</v>
          </cell>
          <cell r="W275">
            <v>910</v>
          </cell>
          <cell r="X275">
            <v>1130</v>
          </cell>
          <cell r="Y275">
            <v>160</v>
          </cell>
          <cell r="Z275">
            <v>930</v>
          </cell>
          <cell r="AA275">
            <v>1010</v>
          </cell>
          <cell r="AB275">
            <v>1815</v>
          </cell>
          <cell r="AC275">
            <v>80</v>
          </cell>
          <cell r="AE275">
            <v>720</v>
          </cell>
          <cell r="AF275">
            <v>80</v>
          </cell>
          <cell r="AG275">
            <v>81</v>
          </cell>
          <cell r="AH275">
            <v>134</v>
          </cell>
          <cell r="AI275">
            <v>1103</v>
          </cell>
          <cell r="AJ275">
            <v>80</v>
          </cell>
          <cell r="AK275">
            <v>800</v>
          </cell>
          <cell r="AL275">
            <v>930</v>
          </cell>
          <cell r="AM275">
            <v>710</v>
          </cell>
          <cell r="AN275">
            <v>380</v>
          </cell>
          <cell r="AO275">
            <v>820</v>
          </cell>
          <cell r="AP275">
            <v>290</v>
          </cell>
          <cell r="AQ275">
            <v>900</v>
          </cell>
          <cell r="AR275">
            <v>880</v>
          </cell>
          <cell r="AS275">
            <v>800</v>
          </cell>
          <cell r="AT275">
            <v>1395</v>
          </cell>
          <cell r="AU275">
            <v>455</v>
          </cell>
          <cell r="AV275">
            <v>345</v>
          </cell>
          <cell r="AW275">
            <v>590</v>
          </cell>
          <cell r="AX275">
            <v>1180</v>
          </cell>
          <cell r="AY275">
            <v>1245</v>
          </cell>
          <cell r="AZ275">
            <v>865</v>
          </cell>
          <cell r="BA275">
            <v>750</v>
          </cell>
          <cell r="BB275">
            <v>455</v>
          </cell>
          <cell r="BC275">
            <v>1025</v>
          </cell>
          <cell r="BD275">
            <v>475</v>
          </cell>
          <cell r="BE275">
            <v>145</v>
          </cell>
          <cell r="BF275">
            <v>310</v>
          </cell>
          <cell r="BG275">
            <v>360</v>
          </cell>
          <cell r="BH275">
            <v>1235</v>
          </cell>
          <cell r="BI275">
            <v>910</v>
          </cell>
          <cell r="BJ275">
            <v>1010</v>
          </cell>
          <cell r="BK275">
            <v>455</v>
          </cell>
          <cell r="BL275">
            <v>880</v>
          </cell>
          <cell r="BM275">
            <v>875</v>
          </cell>
          <cell r="BN275">
            <v>190</v>
          </cell>
          <cell r="BP275">
            <v>5</v>
          </cell>
          <cell r="BQ275">
            <v>575</v>
          </cell>
          <cell r="BS275">
            <v>80</v>
          </cell>
          <cell r="BT275">
            <v>240</v>
          </cell>
          <cell r="BU275">
            <v>120</v>
          </cell>
          <cell r="BV275">
            <v>80</v>
          </cell>
          <cell r="BW275">
            <v>125</v>
          </cell>
          <cell r="BX275">
            <v>120</v>
          </cell>
          <cell r="BY275">
            <v>80</v>
          </cell>
          <cell r="BZ275">
            <v>120</v>
          </cell>
          <cell r="CA275">
            <v>120</v>
          </cell>
          <cell r="CB275">
            <v>80</v>
          </cell>
          <cell r="CC275">
            <v>120</v>
          </cell>
          <cell r="CD275">
            <v>95</v>
          </cell>
          <cell r="CE275">
            <v>80</v>
          </cell>
          <cell r="CF275">
            <v>80</v>
          </cell>
          <cell r="CG275">
            <v>105</v>
          </cell>
          <cell r="CH275">
            <v>190</v>
          </cell>
          <cell r="CI275">
            <v>95</v>
          </cell>
          <cell r="CJ275">
            <v>95</v>
          </cell>
          <cell r="CK275">
            <v>200</v>
          </cell>
          <cell r="CL275">
            <v>100</v>
          </cell>
          <cell r="CM275">
            <v>205</v>
          </cell>
          <cell r="CN275">
            <v>100</v>
          </cell>
          <cell r="CO275">
            <v>200</v>
          </cell>
          <cell r="DB275" t="str">
            <v>ACTIVO</v>
          </cell>
          <cell r="DC275" t="str">
            <v>B</v>
          </cell>
          <cell r="DE275">
            <v>137</v>
          </cell>
          <cell r="DF275">
            <v>22.833333333333332</v>
          </cell>
          <cell r="DG275">
            <v>400.80718654274864</v>
          </cell>
          <cell r="DH275">
            <v>345</v>
          </cell>
          <cell r="DI275">
            <v>588390.6</v>
          </cell>
          <cell r="DJ275">
            <v>2.5182481751824817</v>
          </cell>
          <cell r="DK275" t="str">
            <v>OK</v>
          </cell>
          <cell r="DL275">
            <v>45.666666666666664</v>
          </cell>
          <cell r="DM275">
            <v>45.666666666666664</v>
          </cell>
          <cell r="DN275">
            <v>91.333333333333329</v>
          </cell>
        </row>
        <row r="276">
          <cell r="B276">
            <v>107131</v>
          </cell>
          <cell r="C276" t="str">
            <v>MERM. MEL DAMASCO MOL. BALDE 5 Kg</v>
          </cell>
          <cell r="D276">
            <v>200</v>
          </cell>
          <cell r="E276">
            <v>135</v>
          </cell>
          <cell r="F276">
            <v>140</v>
          </cell>
          <cell r="G276">
            <v>135</v>
          </cell>
          <cell r="H276">
            <v>180</v>
          </cell>
          <cell r="I276">
            <v>150</v>
          </cell>
          <cell r="J276">
            <v>145</v>
          </cell>
          <cell r="K276">
            <v>205</v>
          </cell>
          <cell r="L276">
            <v>345</v>
          </cell>
          <cell r="M276">
            <v>220</v>
          </cell>
          <cell r="N276">
            <v>150</v>
          </cell>
          <cell r="O276">
            <v>45</v>
          </cell>
          <cell r="P276">
            <v>310</v>
          </cell>
          <cell r="Q276">
            <v>340</v>
          </cell>
          <cell r="R276">
            <v>265</v>
          </cell>
          <cell r="S276">
            <v>195</v>
          </cell>
          <cell r="T276">
            <v>255</v>
          </cell>
          <cell r="U276">
            <v>225</v>
          </cell>
          <cell r="V276">
            <v>335</v>
          </cell>
          <cell r="W276">
            <v>200</v>
          </cell>
          <cell r="X276">
            <v>170</v>
          </cell>
          <cell r="Y276">
            <v>260</v>
          </cell>
          <cell r="Z276">
            <v>150</v>
          </cell>
          <cell r="AA276">
            <v>205</v>
          </cell>
          <cell r="AB276">
            <v>245</v>
          </cell>
          <cell r="AC276">
            <v>160</v>
          </cell>
          <cell r="AD276">
            <v>95</v>
          </cell>
          <cell r="AE276">
            <v>115</v>
          </cell>
          <cell r="AF276">
            <v>225</v>
          </cell>
          <cell r="AG276">
            <v>155</v>
          </cell>
          <cell r="AH276">
            <v>140</v>
          </cell>
          <cell r="AI276">
            <v>185</v>
          </cell>
          <cell r="AJ276">
            <v>210</v>
          </cell>
          <cell r="AK276">
            <v>180</v>
          </cell>
          <cell r="AL276">
            <v>215</v>
          </cell>
          <cell r="AM276">
            <v>210</v>
          </cell>
          <cell r="AN276">
            <v>290</v>
          </cell>
          <cell r="AO276">
            <v>220</v>
          </cell>
          <cell r="AP276">
            <v>250</v>
          </cell>
          <cell r="AQ276">
            <v>235</v>
          </cell>
          <cell r="AR276">
            <v>235</v>
          </cell>
          <cell r="AS276">
            <v>230</v>
          </cell>
          <cell r="AT276">
            <v>180</v>
          </cell>
          <cell r="AU276">
            <v>215</v>
          </cell>
          <cell r="AV276">
            <v>220</v>
          </cell>
          <cell r="AW276">
            <v>145</v>
          </cell>
          <cell r="AX276">
            <v>226</v>
          </cell>
          <cell r="AY276">
            <v>224</v>
          </cell>
          <cell r="AZ276">
            <v>245</v>
          </cell>
          <cell r="BA276">
            <v>220</v>
          </cell>
          <cell r="BB276">
            <v>400</v>
          </cell>
          <cell r="BC276">
            <v>285</v>
          </cell>
          <cell r="BD276">
            <v>295</v>
          </cell>
          <cell r="BE276">
            <v>200</v>
          </cell>
          <cell r="BF276">
            <v>195</v>
          </cell>
          <cell r="BG276">
            <v>330</v>
          </cell>
          <cell r="BH276">
            <v>255</v>
          </cell>
          <cell r="BI276">
            <v>230</v>
          </cell>
          <cell r="BJ276">
            <v>180</v>
          </cell>
          <cell r="BK276">
            <v>255</v>
          </cell>
          <cell r="BL276">
            <v>285</v>
          </cell>
          <cell r="BM276">
            <v>250</v>
          </cell>
          <cell r="BN276">
            <v>335</v>
          </cell>
          <cell r="BO276">
            <v>225</v>
          </cell>
          <cell r="BP276">
            <v>20</v>
          </cell>
          <cell r="BQ276">
            <v>330</v>
          </cell>
          <cell r="BR276">
            <v>410</v>
          </cell>
          <cell r="BS276">
            <v>245</v>
          </cell>
          <cell r="BT276">
            <v>225</v>
          </cell>
          <cell r="BU276">
            <v>175</v>
          </cell>
          <cell r="BV276">
            <v>155</v>
          </cell>
          <cell r="BW276">
            <v>215</v>
          </cell>
          <cell r="BX276">
            <v>175</v>
          </cell>
          <cell r="BY276">
            <v>270</v>
          </cell>
          <cell r="BZ276">
            <v>225</v>
          </cell>
          <cell r="CA276">
            <v>245</v>
          </cell>
          <cell r="CB276">
            <v>160</v>
          </cell>
          <cell r="CC276">
            <v>195</v>
          </cell>
          <cell r="CD276">
            <v>140</v>
          </cell>
          <cell r="CE276">
            <v>65</v>
          </cell>
          <cell r="CF276">
            <v>65</v>
          </cell>
          <cell r="CG276">
            <v>210</v>
          </cell>
          <cell r="CH276">
            <v>165</v>
          </cell>
          <cell r="CI276">
            <v>165</v>
          </cell>
          <cell r="CJ276">
            <v>125</v>
          </cell>
          <cell r="CK276">
            <v>185</v>
          </cell>
          <cell r="CL276">
            <v>135</v>
          </cell>
          <cell r="CM276">
            <v>135</v>
          </cell>
          <cell r="CN276">
            <v>160</v>
          </cell>
          <cell r="CO276">
            <v>170</v>
          </cell>
          <cell r="CP276">
            <v>170</v>
          </cell>
          <cell r="CQ276">
            <v>165</v>
          </cell>
          <cell r="CR276">
            <v>185</v>
          </cell>
          <cell r="CS276">
            <v>270</v>
          </cell>
          <cell r="CT276">
            <v>190</v>
          </cell>
          <cell r="CU276">
            <v>165</v>
          </cell>
          <cell r="CV276">
            <v>185</v>
          </cell>
          <cell r="CW276">
            <v>155</v>
          </cell>
          <cell r="CX276">
            <v>205</v>
          </cell>
          <cell r="CY276">
            <v>175</v>
          </cell>
          <cell r="CZ276">
            <v>145</v>
          </cell>
          <cell r="DA276">
            <v>185</v>
          </cell>
          <cell r="DB276" t="str">
            <v>ACTIVO</v>
          </cell>
          <cell r="DC276" t="str">
            <v>B</v>
          </cell>
          <cell r="DE276">
            <v>167.35294117647058</v>
          </cell>
          <cell r="DF276">
            <v>27.892156862745097</v>
          </cell>
          <cell r="DG276">
            <v>69.57719084737397</v>
          </cell>
          <cell r="DH276">
            <v>350</v>
          </cell>
          <cell r="DI276">
            <v>865683</v>
          </cell>
          <cell r="DJ276">
            <v>2.0913884007029879</v>
          </cell>
          <cell r="DK276" t="str">
            <v>OK</v>
          </cell>
          <cell r="DL276">
            <v>55.784313725490193</v>
          </cell>
          <cell r="DM276">
            <v>55.784313725490193</v>
          </cell>
          <cell r="DN276">
            <v>111.56862745098039</v>
          </cell>
        </row>
        <row r="277">
          <cell r="B277">
            <v>405558</v>
          </cell>
          <cell r="C277" t="str">
            <v>RELLENO CREMA VAINILLA BAKELS</v>
          </cell>
          <cell r="BQ277">
            <v>18</v>
          </cell>
          <cell r="BR277">
            <v>37</v>
          </cell>
          <cell r="BS277">
            <v>18</v>
          </cell>
          <cell r="BT277">
            <v>18</v>
          </cell>
          <cell r="BU277">
            <v>36</v>
          </cell>
          <cell r="BV277">
            <v>18</v>
          </cell>
          <cell r="BW277">
            <v>36</v>
          </cell>
          <cell r="BX277">
            <v>36</v>
          </cell>
          <cell r="CE277">
            <v>18</v>
          </cell>
          <cell r="CF277">
            <v>18</v>
          </cell>
          <cell r="CH277">
            <v>19</v>
          </cell>
          <cell r="CI277">
            <v>19</v>
          </cell>
          <cell r="CJ277">
            <v>36</v>
          </cell>
          <cell r="CK277">
            <v>36</v>
          </cell>
          <cell r="CL277">
            <v>18</v>
          </cell>
          <cell r="CN277">
            <v>36</v>
          </cell>
          <cell r="CO277">
            <v>18</v>
          </cell>
          <cell r="CP277">
            <v>18</v>
          </cell>
          <cell r="CR277">
            <v>146</v>
          </cell>
          <cell r="CS277">
            <v>253</v>
          </cell>
          <cell r="CT277">
            <v>593</v>
          </cell>
          <cell r="CU277">
            <v>1189</v>
          </cell>
          <cell r="CV277">
            <v>777</v>
          </cell>
          <cell r="CW277">
            <v>1423</v>
          </cell>
          <cell r="CX277">
            <v>728</v>
          </cell>
          <cell r="CY277">
            <v>18</v>
          </cell>
          <cell r="CZ277">
            <v>254</v>
          </cell>
          <cell r="DA277">
            <v>450</v>
          </cell>
          <cell r="DB277" t="str">
            <v>ACTIVO</v>
          </cell>
          <cell r="DC277" t="str">
            <v>C</v>
          </cell>
          <cell r="DE277">
            <v>226.85714285714286</v>
          </cell>
          <cell r="DF277">
            <v>37.80952380952381</v>
          </cell>
          <cell r="DG277">
            <v>9.6234666888346982</v>
          </cell>
          <cell r="DH277">
            <v>383</v>
          </cell>
          <cell r="DI277">
            <v>1053250</v>
          </cell>
          <cell r="DJ277">
            <v>1.6882871536523929</v>
          </cell>
          <cell r="DK277" t="str">
            <v>OK</v>
          </cell>
          <cell r="DL277">
            <v>113.42857142857143</v>
          </cell>
          <cell r="DM277">
            <v>75.61904761904762</v>
          </cell>
          <cell r="DN277">
            <v>189.04761904761904</v>
          </cell>
        </row>
        <row r="278">
          <cell r="B278">
            <v>405612</v>
          </cell>
          <cell r="C278" t="str">
            <v>SATIN PURATOS</v>
          </cell>
          <cell r="BS278">
            <v>218</v>
          </cell>
          <cell r="BT278">
            <v>282</v>
          </cell>
          <cell r="BU278">
            <v>240</v>
          </cell>
          <cell r="BV278">
            <v>260</v>
          </cell>
          <cell r="BW278">
            <v>260</v>
          </cell>
          <cell r="BX278">
            <v>180</v>
          </cell>
          <cell r="BY278">
            <v>160</v>
          </cell>
          <cell r="BZ278">
            <v>140</v>
          </cell>
          <cell r="CA278">
            <v>180</v>
          </cell>
          <cell r="CB278">
            <v>160</v>
          </cell>
          <cell r="CC278">
            <v>210</v>
          </cell>
          <cell r="CD278">
            <v>160</v>
          </cell>
          <cell r="CE278">
            <v>120</v>
          </cell>
          <cell r="CF278">
            <v>20</v>
          </cell>
          <cell r="CG278">
            <v>160</v>
          </cell>
          <cell r="CH278">
            <v>180</v>
          </cell>
          <cell r="CI278">
            <v>260</v>
          </cell>
          <cell r="CJ278">
            <v>260</v>
          </cell>
          <cell r="CK278">
            <v>260</v>
          </cell>
          <cell r="CL278">
            <v>220</v>
          </cell>
          <cell r="CM278">
            <v>180</v>
          </cell>
          <cell r="CN278">
            <v>200</v>
          </cell>
          <cell r="CO278">
            <v>220</v>
          </cell>
          <cell r="CP278">
            <v>240</v>
          </cell>
          <cell r="CQ278">
            <v>220</v>
          </cell>
          <cell r="CR278">
            <v>220</v>
          </cell>
          <cell r="CS278">
            <v>200</v>
          </cell>
          <cell r="CT278">
            <v>240</v>
          </cell>
          <cell r="CU278">
            <v>180</v>
          </cell>
          <cell r="CV278">
            <v>240</v>
          </cell>
          <cell r="CW278">
            <v>220</v>
          </cell>
          <cell r="CX278">
            <v>180</v>
          </cell>
          <cell r="CY278">
            <v>240</v>
          </cell>
          <cell r="CZ278">
            <v>240</v>
          </cell>
          <cell r="DA278">
            <v>240</v>
          </cell>
          <cell r="DB278" t="str">
            <v>ACTIVO</v>
          </cell>
          <cell r="DC278" t="str">
            <v>C</v>
          </cell>
          <cell r="DE278">
            <v>205.88235294117646</v>
          </cell>
          <cell r="DF278">
            <v>34.313725490196077</v>
          </cell>
          <cell r="DG278">
            <v>51.217484995172995</v>
          </cell>
          <cell r="DH278">
            <v>300</v>
          </cell>
          <cell r="DI278">
            <v>493500</v>
          </cell>
          <cell r="DJ278">
            <v>1.4571428571428573</v>
          </cell>
          <cell r="DK278" t="str">
            <v>OK</v>
          </cell>
          <cell r="DL278">
            <v>137.25490196078431</v>
          </cell>
          <cell r="DM278">
            <v>68.627450980392155</v>
          </cell>
          <cell r="DN278">
            <v>205.88235294117646</v>
          </cell>
        </row>
        <row r="279">
          <cell r="B279">
            <v>405491</v>
          </cell>
          <cell r="C279" t="str">
            <v>FILLING DE MANZANA MEL</v>
          </cell>
          <cell r="AH279">
            <v>319.09999999999997</v>
          </cell>
          <cell r="AI279">
            <v>376.45</v>
          </cell>
          <cell r="AJ279">
            <v>543</v>
          </cell>
          <cell r="AK279">
            <v>429.3</v>
          </cell>
          <cell r="AL279">
            <v>567</v>
          </cell>
          <cell r="AM279">
            <v>420</v>
          </cell>
          <cell r="AN279">
            <v>495</v>
          </cell>
          <cell r="AO279">
            <v>417</v>
          </cell>
          <cell r="AP279">
            <v>720</v>
          </cell>
          <cell r="AQ279">
            <v>548</v>
          </cell>
          <cell r="AR279">
            <v>675.4</v>
          </cell>
          <cell r="AS279">
            <v>729</v>
          </cell>
          <cell r="AT279">
            <v>660</v>
          </cell>
          <cell r="AU279">
            <v>838</v>
          </cell>
          <cell r="AV279">
            <v>646.5</v>
          </cell>
          <cell r="AW279">
            <v>763</v>
          </cell>
          <cell r="AX279">
            <v>805.5</v>
          </cell>
          <cell r="AY279">
            <v>498</v>
          </cell>
          <cell r="AZ279">
            <v>803.5</v>
          </cell>
          <cell r="BA279">
            <v>570</v>
          </cell>
          <cell r="BB279">
            <v>219.5</v>
          </cell>
          <cell r="BC279">
            <v>398.5</v>
          </cell>
          <cell r="BD279">
            <v>342</v>
          </cell>
          <cell r="BE279">
            <v>316</v>
          </cell>
          <cell r="BF279">
            <v>633.5</v>
          </cell>
          <cell r="BG279">
            <v>476</v>
          </cell>
          <cell r="BH279">
            <v>352</v>
          </cell>
          <cell r="BI279">
            <v>295</v>
          </cell>
          <cell r="BJ279">
            <v>696</v>
          </cell>
          <cell r="BK279">
            <v>949.15</v>
          </cell>
          <cell r="BL279">
            <v>465</v>
          </cell>
          <cell r="BM279">
            <v>390</v>
          </cell>
          <cell r="BN279">
            <v>339</v>
          </cell>
          <cell r="BO279">
            <v>366</v>
          </cell>
          <cell r="BP279">
            <v>39</v>
          </cell>
          <cell r="BQ279">
            <v>414</v>
          </cell>
          <cell r="BR279">
            <v>408</v>
          </cell>
          <cell r="BS279">
            <v>375</v>
          </cell>
          <cell r="BT279">
            <v>297</v>
          </cell>
          <cell r="BU279">
            <v>312</v>
          </cell>
          <cell r="BV279">
            <v>249</v>
          </cell>
          <cell r="BW279">
            <v>276</v>
          </cell>
          <cell r="BX279">
            <v>210</v>
          </cell>
          <cell r="BY279">
            <v>213</v>
          </cell>
          <cell r="BZ279">
            <v>264</v>
          </cell>
          <cell r="CA279">
            <v>296</v>
          </cell>
          <cell r="CB279">
            <v>180</v>
          </cell>
          <cell r="CC279">
            <v>261</v>
          </cell>
          <cell r="CD279">
            <v>201</v>
          </cell>
          <cell r="CE279">
            <v>123</v>
          </cell>
          <cell r="CF279">
            <v>84</v>
          </cell>
          <cell r="CG279">
            <v>228</v>
          </cell>
          <cell r="CH279">
            <v>225</v>
          </cell>
          <cell r="CI279">
            <v>253.2</v>
          </cell>
          <cell r="CJ279">
            <v>201</v>
          </cell>
          <cell r="CK279">
            <v>231</v>
          </cell>
          <cell r="CL279">
            <v>189</v>
          </cell>
          <cell r="CM279">
            <v>277</v>
          </cell>
          <cell r="CN279">
            <v>368.3</v>
          </cell>
          <cell r="CO279">
            <v>244</v>
          </cell>
          <cell r="CP279">
            <v>247</v>
          </cell>
          <cell r="CQ279">
            <v>238</v>
          </cell>
          <cell r="CR279">
            <v>267</v>
          </cell>
          <cell r="CS279">
            <v>244</v>
          </cell>
          <cell r="CT279">
            <v>399</v>
          </cell>
          <cell r="CU279">
            <v>257.7</v>
          </cell>
          <cell r="CV279">
            <v>321</v>
          </cell>
          <cell r="CW279">
            <v>293</v>
          </cell>
          <cell r="CX279">
            <v>319</v>
          </cell>
          <cell r="CY279">
            <v>378</v>
          </cell>
          <cell r="CZ279">
            <v>284</v>
          </cell>
          <cell r="DA279">
            <v>348</v>
          </cell>
          <cell r="DB279" t="str">
            <v>ACTIVO</v>
          </cell>
          <cell r="DC279" t="str">
            <v>A</v>
          </cell>
          <cell r="DE279">
            <v>251.42352941176469</v>
          </cell>
          <cell r="DF279">
            <v>41.903921568627446</v>
          </cell>
          <cell r="DG279">
            <v>206.24473266248609</v>
          </cell>
          <cell r="DH279">
            <v>876</v>
          </cell>
          <cell r="DI279">
            <v>2424400.08</v>
          </cell>
          <cell r="DJ279">
            <v>3.48416077862524</v>
          </cell>
          <cell r="DK279" t="str">
            <v>OK</v>
          </cell>
          <cell r="DL279">
            <v>83.807843137254892</v>
          </cell>
          <cell r="DM279">
            <v>83.807843137254892</v>
          </cell>
          <cell r="DN279">
            <v>167.61568627450978</v>
          </cell>
        </row>
        <row r="280">
          <cell r="B280">
            <v>405436</v>
          </cell>
          <cell r="C280" t="str">
            <v>PURE DE MANZANA BALDE 4,5 Kg MEL</v>
          </cell>
          <cell r="AH280">
            <v>220.5</v>
          </cell>
          <cell r="AI280">
            <v>409.5</v>
          </cell>
          <cell r="AJ280">
            <v>549</v>
          </cell>
          <cell r="AK280">
            <v>490.5</v>
          </cell>
          <cell r="AL280">
            <v>580.5</v>
          </cell>
          <cell r="AM280">
            <v>427.5</v>
          </cell>
          <cell r="AN280">
            <v>562.5</v>
          </cell>
          <cell r="AO280">
            <v>607.5</v>
          </cell>
          <cell r="AP280">
            <v>585</v>
          </cell>
          <cell r="AQ280">
            <v>685.5</v>
          </cell>
          <cell r="AR280">
            <v>650.5</v>
          </cell>
          <cell r="AS280">
            <v>925</v>
          </cell>
          <cell r="AT280">
            <v>654</v>
          </cell>
          <cell r="AU280">
            <v>676.5</v>
          </cell>
          <cell r="AV280">
            <v>1134.8499999999999</v>
          </cell>
          <cell r="AW280">
            <v>736</v>
          </cell>
          <cell r="AX280">
            <v>811</v>
          </cell>
          <cell r="AY280">
            <v>533.5</v>
          </cell>
          <cell r="AZ280">
            <v>673</v>
          </cell>
          <cell r="BA280">
            <v>711.5</v>
          </cell>
          <cell r="BB280">
            <v>414</v>
          </cell>
          <cell r="BC280">
            <v>593.79999999999995</v>
          </cell>
          <cell r="BD280">
            <v>378</v>
          </cell>
          <cell r="BE280">
            <v>309.5</v>
          </cell>
          <cell r="BF280">
            <v>365</v>
          </cell>
          <cell r="BG280">
            <v>526</v>
          </cell>
          <cell r="BH280">
            <v>382</v>
          </cell>
          <cell r="BI280">
            <v>313.5</v>
          </cell>
          <cell r="BJ280">
            <v>248.5</v>
          </cell>
          <cell r="BK280">
            <v>1121</v>
          </cell>
          <cell r="BL280">
            <v>416.5</v>
          </cell>
          <cell r="BM280">
            <v>423.5</v>
          </cell>
          <cell r="BN280">
            <v>340.5</v>
          </cell>
          <cell r="BO280">
            <v>370</v>
          </cell>
          <cell r="BP280">
            <v>38.5</v>
          </cell>
          <cell r="BQ280">
            <v>424</v>
          </cell>
          <cell r="BR280">
            <v>414.5</v>
          </cell>
          <cell r="BS280">
            <v>406</v>
          </cell>
          <cell r="BT280">
            <v>390</v>
          </cell>
          <cell r="BU280">
            <v>361.5</v>
          </cell>
          <cell r="BV280">
            <v>310</v>
          </cell>
          <cell r="BW280">
            <v>311.5</v>
          </cell>
          <cell r="BX280">
            <v>247.5</v>
          </cell>
          <cell r="BY280">
            <v>210</v>
          </cell>
          <cell r="BZ280">
            <v>313.5</v>
          </cell>
          <cell r="CA280">
            <v>300.5</v>
          </cell>
          <cell r="CB280">
            <v>182.5</v>
          </cell>
          <cell r="CC280">
            <v>281</v>
          </cell>
          <cell r="CD280">
            <v>236</v>
          </cell>
          <cell r="CE280">
            <v>151.5</v>
          </cell>
          <cell r="CF280">
            <v>129</v>
          </cell>
          <cell r="CG280">
            <v>235</v>
          </cell>
          <cell r="CH280">
            <v>223</v>
          </cell>
          <cell r="CI280">
            <v>210</v>
          </cell>
          <cell r="CJ280">
            <v>207</v>
          </cell>
          <cell r="CK280">
            <v>234.5</v>
          </cell>
          <cell r="CL280">
            <v>188.5</v>
          </cell>
          <cell r="CM280">
            <v>192.5</v>
          </cell>
          <cell r="CN280">
            <v>227.5</v>
          </cell>
          <cell r="CO280">
            <v>220.5</v>
          </cell>
          <cell r="CP280">
            <v>234.5</v>
          </cell>
          <cell r="CQ280">
            <v>236.5</v>
          </cell>
          <cell r="CR280">
            <v>268</v>
          </cell>
          <cell r="CS280">
            <v>232</v>
          </cell>
          <cell r="CT280">
            <v>210</v>
          </cell>
          <cell r="CV280">
            <v>52.5</v>
          </cell>
          <cell r="DB280" t="str">
            <v>ACTIVO</v>
          </cell>
          <cell r="DC280" t="str">
            <v>A</v>
          </cell>
          <cell r="DE280">
            <v>206.3125</v>
          </cell>
          <cell r="DF280">
            <v>34.385416666666664</v>
          </cell>
          <cell r="DG280">
            <v>227.46549269805152</v>
          </cell>
          <cell r="DH280">
            <v>444.5</v>
          </cell>
          <cell r="DI280">
            <v>1079481.585</v>
          </cell>
          <cell r="DJ280">
            <v>2.1544986367767343</v>
          </cell>
          <cell r="DK280" t="str">
            <v>OK</v>
          </cell>
          <cell r="DL280">
            <v>68.770833333333329</v>
          </cell>
          <cell r="DM280">
            <v>68.770833333333329</v>
          </cell>
          <cell r="DN280">
            <v>137.54166666666666</v>
          </cell>
        </row>
        <row r="281">
          <cell r="B281">
            <v>405524</v>
          </cell>
          <cell r="C281" t="str">
            <v>CREMFIL DULCE DE LECHE PURATOS</v>
          </cell>
          <cell r="AR281">
            <v>57</v>
          </cell>
          <cell r="BQ281">
            <v>19</v>
          </cell>
          <cell r="BR281">
            <v>38</v>
          </cell>
          <cell r="BS281">
            <v>56</v>
          </cell>
          <cell r="BT281">
            <v>57</v>
          </cell>
          <cell r="BU281">
            <v>114</v>
          </cell>
          <cell r="BV281">
            <v>57</v>
          </cell>
          <cell r="BW281">
            <v>76</v>
          </cell>
          <cell r="BX281">
            <v>76</v>
          </cell>
          <cell r="BY281">
            <v>57</v>
          </cell>
          <cell r="BZ281">
            <v>57</v>
          </cell>
          <cell r="CA281">
            <v>38</v>
          </cell>
          <cell r="CB281">
            <v>38</v>
          </cell>
          <cell r="CC281">
            <v>57</v>
          </cell>
          <cell r="CD281">
            <v>57</v>
          </cell>
          <cell r="CE281">
            <v>38</v>
          </cell>
          <cell r="CF281">
            <v>19</v>
          </cell>
          <cell r="CG281">
            <v>38</v>
          </cell>
          <cell r="CH281">
            <v>38</v>
          </cell>
          <cell r="CI281">
            <v>76</v>
          </cell>
          <cell r="CJ281">
            <v>57</v>
          </cell>
          <cell r="CK281">
            <v>152</v>
          </cell>
          <cell r="CL281">
            <v>38</v>
          </cell>
          <cell r="CM281">
            <v>19</v>
          </cell>
          <cell r="CN281">
            <v>57</v>
          </cell>
          <cell r="CO281">
            <v>56</v>
          </cell>
          <cell r="CP281">
            <v>75</v>
          </cell>
          <cell r="CQ281">
            <v>57</v>
          </cell>
          <cell r="CR281">
            <v>37</v>
          </cell>
          <cell r="CS281">
            <v>56</v>
          </cell>
          <cell r="CT281">
            <v>38</v>
          </cell>
          <cell r="CU281">
            <v>37</v>
          </cell>
          <cell r="CV281">
            <v>57</v>
          </cell>
          <cell r="CW281">
            <v>56</v>
          </cell>
          <cell r="CY281">
            <v>57</v>
          </cell>
          <cell r="CZ281">
            <v>19</v>
          </cell>
          <cell r="DA281">
            <v>19</v>
          </cell>
          <cell r="DB281" t="str">
            <v>ACTIVO</v>
          </cell>
          <cell r="DC281" t="str">
            <v>C</v>
          </cell>
          <cell r="DE281">
            <v>53.352941176470587</v>
          </cell>
          <cell r="DF281">
            <v>8.8921568627450984</v>
          </cell>
          <cell r="DG281">
            <v>21.346350195447151</v>
          </cell>
          <cell r="DH281">
            <v>191</v>
          </cell>
          <cell r="DI281">
            <v>692942.27</v>
          </cell>
          <cell r="DJ281">
            <v>3.5799338478500551</v>
          </cell>
          <cell r="DK281" t="str">
            <v>OK</v>
          </cell>
          <cell r="DL281">
            <v>35.568627450980394</v>
          </cell>
          <cell r="DM281">
            <v>17.784313725490197</v>
          </cell>
          <cell r="DN281">
            <v>53.352941176470594</v>
          </cell>
        </row>
        <row r="282">
          <cell r="B282">
            <v>107358</v>
          </cell>
          <cell r="C282" t="str">
            <v>MERMELADA FRUTOS DEL BOSQUE MEL</v>
          </cell>
          <cell r="G282">
            <v>25</v>
          </cell>
          <cell r="H282">
            <v>5</v>
          </cell>
          <cell r="DB282" t="str">
            <v>SIN USO</v>
          </cell>
          <cell r="DC282" t="str">
            <v/>
          </cell>
          <cell r="DE282">
            <v>0</v>
          </cell>
          <cell r="DF282">
            <v>0</v>
          </cell>
          <cell r="DG282">
            <v>0</v>
          </cell>
          <cell r="DH282">
            <v>0</v>
          </cell>
          <cell r="DI282" t="str">
            <v>0</v>
          </cell>
          <cell r="DJ282">
            <v>0</v>
          </cell>
          <cell r="DK282" t="str">
            <v>INACTIVO</v>
          </cell>
          <cell r="DL282">
            <v>0</v>
          </cell>
          <cell r="DM282">
            <v>0</v>
          </cell>
          <cell r="DN282">
            <v>0</v>
          </cell>
        </row>
        <row r="283">
          <cell r="B283">
            <v>405318</v>
          </cell>
          <cell r="C283" t="str">
            <v>MERM. EBEL FRUTOS DEL BOSQUE BALDE 5 KG</v>
          </cell>
          <cell r="D283">
            <v>150</v>
          </cell>
          <cell r="E283">
            <v>255</v>
          </cell>
          <cell r="F283">
            <v>55</v>
          </cell>
          <cell r="G283">
            <v>335</v>
          </cell>
          <cell r="H283">
            <v>220</v>
          </cell>
          <cell r="I283">
            <v>430</v>
          </cell>
          <cell r="J283">
            <v>410</v>
          </cell>
          <cell r="K283">
            <v>470</v>
          </cell>
          <cell r="L283">
            <v>395</v>
          </cell>
          <cell r="M283">
            <v>160</v>
          </cell>
          <cell r="N283">
            <v>160</v>
          </cell>
          <cell r="O283">
            <v>320</v>
          </cell>
          <cell r="P283">
            <v>100</v>
          </cell>
          <cell r="Q283">
            <v>410</v>
          </cell>
          <cell r="R283">
            <v>350</v>
          </cell>
          <cell r="S283">
            <v>310</v>
          </cell>
          <cell r="T283">
            <v>125</v>
          </cell>
          <cell r="U283">
            <v>450</v>
          </cell>
          <cell r="V283">
            <v>75</v>
          </cell>
          <cell r="W283">
            <v>75</v>
          </cell>
          <cell r="X283">
            <v>495</v>
          </cell>
          <cell r="Y283">
            <v>75</v>
          </cell>
          <cell r="Z283">
            <v>540</v>
          </cell>
          <cell r="AA283">
            <v>55</v>
          </cell>
          <cell r="AB283">
            <v>510</v>
          </cell>
          <cell r="AC283">
            <v>55</v>
          </cell>
          <cell r="AD283">
            <v>30</v>
          </cell>
          <cell r="AE283">
            <v>25</v>
          </cell>
          <cell r="AF283">
            <v>55</v>
          </cell>
          <cell r="AG283">
            <v>60</v>
          </cell>
          <cell r="AH283">
            <v>55</v>
          </cell>
          <cell r="AI283">
            <v>450</v>
          </cell>
          <cell r="AJ283">
            <v>520</v>
          </cell>
          <cell r="AM283">
            <v>425</v>
          </cell>
          <cell r="AN283">
            <v>150</v>
          </cell>
          <cell r="AP283">
            <v>525</v>
          </cell>
          <cell r="AS283">
            <v>425</v>
          </cell>
          <cell r="AT283">
            <v>50</v>
          </cell>
          <cell r="AW283">
            <v>245</v>
          </cell>
          <cell r="AZ283">
            <v>305</v>
          </cell>
          <cell r="BA283">
            <v>285</v>
          </cell>
          <cell r="BB283">
            <v>285</v>
          </cell>
          <cell r="BC283">
            <v>520</v>
          </cell>
          <cell r="BD283">
            <v>100</v>
          </cell>
          <cell r="BE283">
            <v>330</v>
          </cell>
          <cell r="BI283">
            <v>285</v>
          </cell>
          <cell r="BJ283">
            <v>260</v>
          </cell>
          <cell r="BK283">
            <v>170</v>
          </cell>
          <cell r="BL283">
            <v>175</v>
          </cell>
          <cell r="BM283">
            <v>215</v>
          </cell>
          <cell r="BN283">
            <v>210</v>
          </cell>
          <cell r="BO283">
            <v>75</v>
          </cell>
          <cell r="BQ283">
            <v>180</v>
          </cell>
          <cell r="BR283">
            <v>50</v>
          </cell>
          <cell r="BS283">
            <v>235</v>
          </cell>
          <cell r="BT283">
            <v>370</v>
          </cell>
          <cell r="BU283">
            <v>110</v>
          </cell>
          <cell r="BY283">
            <v>195</v>
          </cell>
          <cell r="BZ283">
            <v>245</v>
          </cell>
          <cell r="CA283">
            <v>235</v>
          </cell>
          <cell r="CB283">
            <v>200</v>
          </cell>
          <cell r="CD283">
            <v>475</v>
          </cell>
          <cell r="CH283">
            <v>425</v>
          </cell>
          <cell r="CI283">
            <v>115</v>
          </cell>
          <cell r="CL283">
            <v>490</v>
          </cell>
          <cell r="CM283">
            <v>5</v>
          </cell>
          <cell r="CN283">
            <v>370</v>
          </cell>
          <cell r="CO283">
            <v>160</v>
          </cell>
          <cell r="CQ283">
            <v>25</v>
          </cell>
          <cell r="CR283">
            <v>450</v>
          </cell>
          <cell r="CS283">
            <v>30</v>
          </cell>
          <cell r="CT283">
            <v>360</v>
          </cell>
          <cell r="CW283">
            <v>125</v>
          </cell>
          <cell r="CX283">
            <v>30</v>
          </cell>
          <cell r="CY283">
            <v>285</v>
          </cell>
          <cell r="CZ283">
            <v>100</v>
          </cell>
          <cell r="DA283">
            <v>330</v>
          </cell>
          <cell r="DB283" t="str">
            <v>ACTIVO</v>
          </cell>
          <cell r="DC283" t="str">
            <v>B</v>
          </cell>
          <cell r="DE283">
            <v>243</v>
          </cell>
          <cell r="DF283">
            <v>40.5</v>
          </cell>
          <cell r="DG283">
            <v>148.55352994965889</v>
          </cell>
          <cell r="DH283">
            <v>305</v>
          </cell>
          <cell r="DI283">
            <v>872910</v>
          </cell>
          <cell r="DJ283">
            <v>1.2551440329218106</v>
          </cell>
          <cell r="DK283" t="str">
            <v>OK</v>
          </cell>
          <cell r="DL283">
            <v>81</v>
          </cell>
          <cell r="DM283">
            <v>81</v>
          </cell>
          <cell r="DN283">
            <v>162</v>
          </cell>
        </row>
        <row r="284">
          <cell r="B284">
            <v>107113</v>
          </cell>
          <cell r="C284" t="str">
            <v>MERM. MEL GUINDA ÁCIDA QUINTA BALDE 5 Kg</v>
          </cell>
          <cell r="D284">
            <v>155</v>
          </cell>
          <cell r="E284">
            <v>140</v>
          </cell>
          <cell r="F284">
            <v>120</v>
          </cell>
          <cell r="G284">
            <v>170</v>
          </cell>
          <cell r="H284">
            <v>135</v>
          </cell>
          <cell r="I284">
            <v>35</v>
          </cell>
          <cell r="J284">
            <v>125</v>
          </cell>
          <cell r="K284">
            <v>185</v>
          </cell>
          <cell r="L284">
            <v>150</v>
          </cell>
          <cell r="M284">
            <v>160</v>
          </cell>
          <cell r="N284">
            <v>115</v>
          </cell>
          <cell r="P284">
            <v>130</v>
          </cell>
          <cell r="Q284">
            <v>185</v>
          </cell>
          <cell r="R284">
            <v>150</v>
          </cell>
          <cell r="S284">
            <v>175</v>
          </cell>
          <cell r="T284">
            <v>110</v>
          </cell>
          <cell r="U284">
            <v>185</v>
          </cell>
          <cell r="V284">
            <v>185</v>
          </cell>
          <cell r="W284">
            <v>105</v>
          </cell>
          <cell r="X284">
            <v>110</v>
          </cell>
          <cell r="Z284">
            <v>160</v>
          </cell>
          <cell r="AA284">
            <v>110</v>
          </cell>
          <cell r="AB284">
            <v>145</v>
          </cell>
          <cell r="AC284">
            <v>185</v>
          </cell>
          <cell r="AD284">
            <v>55</v>
          </cell>
          <cell r="AE284">
            <v>155</v>
          </cell>
          <cell r="AF284">
            <v>675</v>
          </cell>
          <cell r="AG284">
            <v>960</v>
          </cell>
          <cell r="AH284">
            <v>1005</v>
          </cell>
          <cell r="AI284">
            <v>2060</v>
          </cell>
          <cell r="AJ284">
            <v>200</v>
          </cell>
          <cell r="AK284">
            <v>1310</v>
          </cell>
          <cell r="AL284">
            <v>725</v>
          </cell>
          <cell r="AM284">
            <v>725</v>
          </cell>
          <cell r="AN284">
            <v>1385</v>
          </cell>
          <cell r="AO284">
            <v>950</v>
          </cell>
          <cell r="AP284">
            <v>1325</v>
          </cell>
          <cell r="AQ284">
            <v>1210</v>
          </cell>
          <cell r="AR284">
            <v>2345</v>
          </cell>
          <cell r="AS284">
            <v>1395</v>
          </cell>
          <cell r="AT284">
            <v>2140</v>
          </cell>
          <cell r="AU284">
            <v>965</v>
          </cell>
          <cell r="AV284">
            <v>1215</v>
          </cell>
          <cell r="AW284">
            <v>1125</v>
          </cell>
          <cell r="AX284">
            <v>1230</v>
          </cell>
          <cell r="AY284">
            <v>1220</v>
          </cell>
          <cell r="AZ284">
            <v>1265</v>
          </cell>
          <cell r="BA284">
            <v>735</v>
          </cell>
          <cell r="BB284">
            <v>1210</v>
          </cell>
          <cell r="BC284">
            <v>170</v>
          </cell>
          <cell r="BD284">
            <v>295</v>
          </cell>
          <cell r="BE284">
            <v>1690</v>
          </cell>
          <cell r="BF284">
            <v>325</v>
          </cell>
          <cell r="BG284">
            <v>1345</v>
          </cell>
          <cell r="BH284">
            <v>1295</v>
          </cell>
          <cell r="BI284">
            <v>1050</v>
          </cell>
          <cell r="BJ284">
            <v>470</v>
          </cell>
          <cell r="BK284">
            <v>1635</v>
          </cell>
          <cell r="BL284">
            <v>1285</v>
          </cell>
          <cell r="BM284">
            <v>945</v>
          </cell>
          <cell r="BN284">
            <v>895</v>
          </cell>
          <cell r="BO284">
            <v>1095</v>
          </cell>
          <cell r="BP284">
            <v>15</v>
          </cell>
          <cell r="BQ284">
            <v>775</v>
          </cell>
          <cell r="BR284">
            <v>760</v>
          </cell>
          <cell r="BS284">
            <v>1405</v>
          </cell>
          <cell r="BT284">
            <v>480</v>
          </cell>
          <cell r="BU284">
            <v>2035</v>
          </cell>
          <cell r="BV284">
            <v>1175</v>
          </cell>
          <cell r="BW284">
            <v>710</v>
          </cell>
          <cell r="BX284">
            <v>450</v>
          </cell>
          <cell r="BY284">
            <v>120</v>
          </cell>
          <cell r="BZ284">
            <v>125</v>
          </cell>
          <cell r="CA284">
            <v>335</v>
          </cell>
          <cell r="CB284">
            <v>420</v>
          </cell>
          <cell r="CC284">
            <v>290</v>
          </cell>
          <cell r="CD284">
            <v>1035</v>
          </cell>
          <cell r="CE284">
            <v>695</v>
          </cell>
          <cell r="CF284">
            <v>935</v>
          </cell>
          <cell r="CG284">
            <v>575</v>
          </cell>
          <cell r="CH284">
            <v>315</v>
          </cell>
          <cell r="CI284">
            <v>460</v>
          </cell>
          <cell r="CJ284">
            <v>105</v>
          </cell>
          <cell r="CK284">
            <v>1200</v>
          </cell>
          <cell r="CL284">
            <v>440</v>
          </cell>
          <cell r="CM284">
            <v>125</v>
          </cell>
          <cell r="CN284">
            <v>1625</v>
          </cell>
          <cell r="CO284">
            <v>465</v>
          </cell>
          <cell r="CP284">
            <v>1330</v>
          </cell>
          <cell r="CQ284">
            <v>375</v>
          </cell>
          <cell r="CR284">
            <v>130</v>
          </cell>
          <cell r="CS284">
            <v>1220</v>
          </cell>
          <cell r="CT284">
            <v>1230</v>
          </cell>
          <cell r="CU284">
            <v>2310</v>
          </cell>
          <cell r="CV284">
            <v>2295</v>
          </cell>
          <cell r="CW284">
            <v>2275</v>
          </cell>
          <cell r="CX284">
            <v>1225</v>
          </cell>
          <cell r="CY284">
            <v>2845</v>
          </cell>
          <cell r="CZ284">
            <v>435</v>
          </cell>
          <cell r="DA284">
            <v>1780</v>
          </cell>
          <cell r="DB284" t="str">
            <v>ACTIVO</v>
          </cell>
          <cell r="DC284" t="str">
            <v>A</v>
          </cell>
          <cell r="DE284">
            <v>890.29411764705878</v>
          </cell>
          <cell r="DF284">
            <v>148.38235294117646</v>
          </cell>
          <cell r="DG284">
            <v>549.33496539816088</v>
          </cell>
          <cell r="DH284">
            <v>1615</v>
          </cell>
          <cell r="DI284">
            <v>5320585.2</v>
          </cell>
          <cell r="DJ284">
            <v>1.8140072679220351</v>
          </cell>
          <cell r="DK284" t="str">
            <v>OK</v>
          </cell>
          <cell r="DL284">
            <v>296.76470588235293</v>
          </cell>
          <cell r="DM284">
            <v>296.76470588235293</v>
          </cell>
          <cell r="DN284">
            <v>593.52941176470586</v>
          </cell>
        </row>
        <row r="285">
          <cell r="B285">
            <v>107157</v>
          </cell>
          <cell r="C285" t="str">
            <v>MERM. EBEL GUINDA (ET. VERDE) BL 5 Kg</v>
          </cell>
          <cell r="D285">
            <v>1510</v>
          </cell>
          <cell r="E285">
            <v>1800</v>
          </cell>
          <cell r="F285">
            <v>1345</v>
          </cell>
          <cell r="G285">
            <v>1710</v>
          </cell>
          <cell r="H285">
            <v>2625</v>
          </cell>
          <cell r="I285">
            <v>1645</v>
          </cell>
          <cell r="J285">
            <v>1865</v>
          </cell>
          <cell r="K285">
            <v>1715</v>
          </cell>
          <cell r="L285">
            <v>1750</v>
          </cell>
          <cell r="M285">
            <v>1635</v>
          </cell>
          <cell r="N285">
            <v>1995</v>
          </cell>
          <cell r="O285">
            <v>720</v>
          </cell>
          <cell r="P285">
            <v>1405</v>
          </cell>
          <cell r="Q285">
            <v>1615</v>
          </cell>
          <cell r="R285">
            <v>1820</v>
          </cell>
          <cell r="S285">
            <v>1900</v>
          </cell>
          <cell r="T285">
            <v>1075</v>
          </cell>
          <cell r="U285">
            <v>2445</v>
          </cell>
          <cell r="V285">
            <v>1930</v>
          </cell>
          <cell r="W285">
            <v>505</v>
          </cell>
          <cell r="X285">
            <v>1470</v>
          </cell>
          <cell r="Y285">
            <v>2980</v>
          </cell>
          <cell r="Z285">
            <v>570</v>
          </cell>
          <cell r="AA285">
            <v>2170</v>
          </cell>
          <cell r="AB285">
            <v>1210</v>
          </cell>
          <cell r="AC285">
            <v>650</v>
          </cell>
          <cell r="AD285">
            <v>465</v>
          </cell>
          <cell r="AE285">
            <v>20</v>
          </cell>
          <cell r="AF285">
            <v>1217</v>
          </cell>
          <cell r="AG285">
            <v>915</v>
          </cell>
          <cell r="AH285">
            <v>473</v>
          </cell>
          <cell r="AI285">
            <v>685</v>
          </cell>
          <cell r="AJ285">
            <v>1890</v>
          </cell>
          <cell r="AK285">
            <v>1005</v>
          </cell>
          <cell r="AL285">
            <v>675</v>
          </cell>
          <cell r="AM285">
            <v>400</v>
          </cell>
          <cell r="AN285">
            <v>845</v>
          </cell>
          <cell r="AO285">
            <v>2105</v>
          </cell>
          <cell r="AP285">
            <v>465</v>
          </cell>
          <cell r="AQ285">
            <v>1415</v>
          </cell>
          <cell r="AR285">
            <v>805</v>
          </cell>
          <cell r="AS285">
            <v>1310</v>
          </cell>
          <cell r="AT285">
            <v>1450</v>
          </cell>
          <cell r="AU285">
            <v>2110</v>
          </cell>
          <cell r="AV285">
            <v>1960</v>
          </cell>
          <cell r="AW285">
            <v>1465</v>
          </cell>
          <cell r="AX285">
            <v>1365</v>
          </cell>
          <cell r="AY285">
            <v>965</v>
          </cell>
          <cell r="AZ285">
            <v>1945</v>
          </cell>
          <cell r="BA285">
            <v>2735</v>
          </cell>
          <cell r="BB285">
            <v>480</v>
          </cell>
          <cell r="BC285">
            <v>1085</v>
          </cell>
          <cell r="BD285">
            <v>1575</v>
          </cell>
          <cell r="BE285">
            <v>380</v>
          </cell>
          <cell r="BF285">
            <v>1545</v>
          </cell>
          <cell r="BG285">
            <v>235</v>
          </cell>
          <cell r="BH285">
            <v>2225</v>
          </cell>
          <cell r="BI285">
            <v>710</v>
          </cell>
          <cell r="BJ285">
            <v>820</v>
          </cell>
          <cell r="BK285">
            <v>410</v>
          </cell>
          <cell r="BL285">
            <v>495</v>
          </cell>
          <cell r="BM285">
            <v>1320</v>
          </cell>
          <cell r="BN285">
            <v>565</v>
          </cell>
          <cell r="BO285">
            <v>1130</v>
          </cell>
          <cell r="BP285">
            <v>255</v>
          </cell>
          <cell r="BQ285">
            <v>860</v>
          </cell>
          <cell r="BR285">
            <v>1175</v>
          </cell>
          <cell r="BS285">
            <v>2760</v>
          </cell>
          <cell r="BT285">
            <v>715</v>
          </cell>
          <cell r="BU285">
            <v>290</v>
          </cell>
          <cell r="BV285">
            <v>980</v>
          </cell>
          <cell r="BW285">
            <v>695</v>
          </cell>
          <cell r="BX285">
            <v>265</v>
          </cell>
          <cell r="BY285">
            <v>315</v>
          </cell>
          <cell r="BZ285">
            <v>760</v>
          </cell>
          <cell r="CA285">
            <v>1055</v>
          </cell>
          <cell r="CB285">
            <v>685</v>
          </cell>
          <cell r="CC285">
            <v>910</v>
          </cell>
          <cell r="CD285">
            <v>335</v>
          </cell>
          <cell r="CE285">
            <v>190</v>
          </cell>
          <cell r="CF285">
            <v>965</v>
          </cell>
          <cell r="CG285">
            <v>1360</v>
          </cell>
          <cell r="CH285">
            <v>920</v>
          </cell>
          <cell r="CI285">
            <v>1125</v>
          </cell>
          <cell r="CJ285">
            <v>1270</v>
          </cell>
          <cell r="CK285">
            <v>470</v>
          </cell>
          <cell r="CL285">
            <v>1355</v>
          </cell>
          <cell r="CM285">
            <v>1115</v>
          </cell>
          <cell r="CN285">
            <v>315</v>
          </cell>
          <cell r="CO285">
            <v>365</v>
          </cell>
          <cell r="CP285">
            <v>240</v>
          </cell>
          <cell r="CQ285">
            <v>3005</v>
          </cell>
          <cell r="CR285">
            <v>1205</v>
          </cell>
          <cell r="CS285">
            <v>270</v>
          </cell>
          <cell r="CT285">
            <v>250</v>
          </cell>
          <cell r="CU285">
            <v>455</v>
          </cell>
          <cell r="CV285">
            <v>485</v>
          </cell>
          <cell r="CW285">
            <v>95</v>
          </cell>
          <cell r="CX285">
            <v>170</v>
          </cell>
          <cell r="CY285">
            <v>970</v>
          </cell>
          <cell r="CZ285">
            <v>780</v>
          </cell>
          <cell r="DA285">
            <v>1505</v>
          </cell>
          <cell r="DB285" t="str">
            <v>ACTIVO</v>
          </cell>
          <cell r="DC285" t="str">
            <v>A</v>
          </cell>
          <cell r="DE285">
            <v>892.35294117647061</v>
          </cell>
          <cell r="DF285">
            <v>148.72549019607843</v>
          </cell>
          <cell r="DG285">
            <v>652.72380732605257</v>
          </cell>
          <cell r="DH285">
            <v>1470</v>
          </cell>
          <cell r="DI285">
            <v>3085236</v>
          </cell>
          <cell r="DJ285">
            <v>1.6473302570863546</v>
          </cell>
          <cell r="DK285" t="str">
            <v>OK</v>
          </cell>
          <cell r="DL285">
            <v>297.45098039215685</v>
          </cell>
          <cell r="DM285">
            <v>297.45098039215685</v>
          </cell>
          <cell r="DN285">
            <v>594.9019607843137</v>
          </cell>
        </row>
        <row r="286">
          <cell r="B286">
            <v>107130</v>
          </cell>
          <cell r="C286" t="str">
            <v>MERMELADA FRUTILLA GRADO 1 MEL</v>
          </cell>
          <cell r="H286">
            <v>45</v>
          </cell>
          <cell r="I286">
            <v>30</v>
          </cell>
          <cell r="J286">
            <v>60</v>
          </cell>
          <cell r="K286">
            <v>100</v>
          </cell>
          <cell r="L286">
            <v>237.2</v>
          </cell>
          <cell r="M286">
            <v>290</v>
          </cell>
          <cell r="N286">
            <v>60</v>
          </cell>
          <cell r="O286">
            <v>25</v>
          </cell>
          <cell r="P286">
            <v>165</v>
          </cell>
          <cell r="Q286">
            <v>155</v>
          </cell>
          <cell r="R286">
            <v>140</v>
          </cell>
          <cell r="S286">
            <v>65</v>
          </cell>
          <cell r="T286">
            <v>135</v>
          </cell>
          <cell r="U286">
            <v>70</v>
          </cell>
          <cell r="V286">
            <v>140</v>
          </cell>
          <cell r="W286">
            <v>60</v>
          </cell>
          <cell r="X286">
            <v>85</v>
          </cell>
          <cell r="AA286">
            <v>5</v>
          </cell>
          <cell r="AI286">
            <v>10</v>
          </cell>
          <cell r="AN286">
            <v>15</v>
          </cell>
          <cell r="AR286">
            <v>5</v>
          </cell>
          <cell r="BF286">
            <v>5</v>
          </cell>
          <cell r="BG286">
            <v>5</v>
          </cell>
          <cell r="BS286">
            <v>15</v>
          </cell>
          <cell r="DB286" t="str">
            <v>SIN USO</v>
          </cell>
          <cell r="DC286" t="str">
            <v>C</v>
          </cell>
          <cell r="DE286">
            <v>0</v>
          </cell>
          <cell r="DF286">
            <v>0</v>
          </cell>
          <cell r="DG286">
            <v>4.9159604012508753</v>
          </cell>
          <cell r="DH286">
            <v>0</v>
          </cell>
          <cell r="DI286" t="str">
            <v>0</v>
          </cell>
          <cell r="DJ286">
            <v>0</v>
          </cell>
          <cell r="DK286" t="str">
            <v>INACTIVO</v>
          </cell>
          <cell r="DL286">
            <v>0</v>
          </cell>
          <cell r="DM286">
            <v>0</v>
          </cell>
          <cell r="DN286">
            <v>0</v>
          </cell>
        </row>
        <row r="287">
          <cell r="B287">
            <v>403391</v>
          </cell>
          <cell r="C287" t="str">
            <v>MERM. EBEL PIÑA QUINTA BALDE 5 Kg</v>
          </cell>
          <cell r="D287">
            <v>540</v>
          </cell>
          <cell r="E287">
            <v>75</v>
          </cell>
          <cell r="F287">
            <v>540</v>
          </cell>
          <cell r="G287">
            <v>45</v>
          </cell>
          <cell r="H287">
            <v>730</v>
          </cell>
          <cell r="I287">
            <v>355</v>
          </cell>
          <cell r="J287">
            <v>490</v>
          </cell>
          <cell r="K287">
            <v>65</v>
          </cell>
          <cell r="L287">
            <v>55</v>
          </cell>
          <cell r="M287">
            <v>595</v>
          </cell>
          <cell r="N287">
            <v>510</v>
          </cell>
          <cell r="O287">
            <v>30</v>
          </cell>
          <cell r="P287">
            <v>25</v>
          </cell>
          <cell r="Q287">
            <v>455</v>
          </cell>
          <cell r="R287">
            <v>95</v>
          </cell>
          <cell r="S287">
            <v>600</v>
          </cell>
          <cell r="T287">
            <v>575</v>
          </cell>
          <cell r="U287">
            <v>100</v>
          </cell>
          <cell r="V287">
            <v>705</v>
          </cell>
          <cell r="W287">
            <v>1225</v>
          </cell>
          <cell r="X287">
            <v>60</v>
          </cell>
          <cell r="Y287">
            <v>400</v>
          </cell>
          <cell r="Z287">
            <v>960</v>
          </cell>
          <cell r="AA287">
            <v>915</v>
          </cell>
          <cell r="AB287">
            <v>90</v>
          </cell>
          <cell r="AC287">
            <v>1240</v>
          </cell>
          <cell r="AD287">
            <v>15</v>
          </cell>
          <cell r="AE287">
            <v>50</v>
          </cell>
          <cell r="AF287">
            <v>566</v>
          </cell>
          <cell r="AG287">
            <v>549</v>
          </cell>
          <cell r="AH287">
            <v>815</v>
          </cell>
          <cell r="AI287">
            <v>400</v>
          </cell>
          <cell r="AJ287">
            <v>2245</v>
          </cell>
          <cell r="AK287">
            <v>475</v>
          </cell>
          <cell r="AL287">
            <v>440</v>
          </cell>
          <cell r="AM287">
            <v>450</v>
          </cell>
          <cell r="AN287">
            <v>510</v>
          </cell>
          <cell r="AO287">
            <v>625</v>
          </cell>
          <cell r="AP287">
            <v>655</v>
          </cell>
          <cell r="AQ287">
            <v>640</v>
          </cell>
          <cell r="AR287">
            <v>800</v>
          </cell>
          <cell r="AS287">
            <v>470</v>
          </cell>
          <cell r="AT287">
            <v>540</v>
          </cell>
          <cell r="AU287">
            <v>1190</v>
          </cell>
          <cell r="AV287">
            <v>1615</v>
          </cell>
          <cell r="AW287">
            <v>1140</v>
          </cell>
          <cell r="AX287">
            <v>1055</v>
          </cell>
          <cell r="AY287">
            <v>1010</v>
          </cell>
          <cell r="AZ287">
            <v>1250</v>
          </cell>
          <cell r="BA287">
            <v>845</v>
          </cell>
          <cell r="BB287">
            <v>565</v>
          </cell>
          <cell r="BC287">
            <v>935</v>
          </cell>
          <cell r="BD287">
            <v>705</v>
          </cell>
          <cell r="BE287">
            <v>840</v>
          </cell>
          <cell r="BF287">
            <v>1310</v>
          </cell>
          <cell r="BG287">
            <v>590</v>
          </cell>
          <cell r="BH287">
            <v>1230</v>
          </cell>
          <cell r="BI287">
            <v>950</v>
          </cell>
          <cell r="BJ287">
            <v>870</v>
          </cell>
          <cell r="BK287">
            <v>635</v>
          </cell>
          <cell r="BL287">
            <v>855</v>
          </cell>
          <cell r="BM287">
            <v>975</v>
          </cell>
          <cell r="BN287">
            <v>360</v>
          </cell>
          <cell r="BO287">
            <v>945</v>
          </cell>
          <cell r="BP287">
            <v>370</v>
          </cell>
          <cell r="BQ287">
            <v>1085</v>
          </cell>
          <cell r="BR287">
            <v>650</v>
          </cell>
          <cell r="BS287">
            <v>295</v>
          </cell>
          <cell r="BT287">
            <v>755</v>
          </cell>
          <cell r="BU287">
            <v>825</v>
          </cell>
          <cell r="BV287">
            <v>950</v>
          </cell>
          <cell r="BW287">
            <v>645</v>
          </cell>
          <cell r="BX287">
            <v>455</v>
          </cell>
          <cell r="BY287">
            <v>540</v>
          </cell>
          <cell r="BZ287">
            <v>925</v>
          </cell>
          <cell r="CA287">
            <v>785</v>
          </cell>
          <cell r="CB287">
            <v>405</v>
          </cell>
          <cell r="CC287">
            <v>1125</v>
          </cell>
          <cell r="CD287">
            <v>530</v>
          </cell>
          <cell r="CE287">
            <v>730</v>
          </cell>
          <cell r="CG287">
            <v>1320</v>
          </cell>
          <cell r="CH287">
            <v>240</v>
          </cell>
          <cell r="CI287">
            <v>595</v>
          </cell>
          <cell r="CJ287">
            <v>1135</v>
          </cell>
          <cell r="CK287">
            <v>75</v>
          </cell>
          <cell r="CL287">
            <v>745</v>
          </cell>
          <cell r="CM287">
            <v>750</v>
          </cell>
          <cell r="CN287">
            <v>75</v>
          </cell>
          <cell r="CO287">
            <v>1060</v>
          </cell>
          <cell r="CP287">
            <v>1565</v>
          </cell>
          <cell r="CQ287">
            <v>125</v>
          </cell>
          <cell r="CR287">
            <v>1040</v>
          </cell>
          <cell r="CS287">
            <v>505</v>
          </cell>
          <cell r="CT287">
            <v>1020</v>
          </cell>
          <cell r="CU287">
            <v>705</v>
          </cell>
          <cell r="CV287">
            <v>925</v>
          </cell>
          <cell r="CW287">
            <v>595</v>
          </cell>
          <cell r="CX287">
            <v>170</v>
          </cell>
          <cell r="CY287">
            <v>1100</v>
          </cell>
          <cell r="CZ287">
            <v>1480</v>
          </cell>
          <cell r="DA287">
            <v>500</v>
          </cell>
          <cell r="DB287" t="str">
            <v>ACTIVO</v>
          </cell>
          <cell r="DC287" t="str">
            <v>A</v>
          </cell>
          <cell r="DE287">
            <v>742.5</v>
          </cell>
          <cell r="DF287">
            <v>123.75</v>
          </cell>
          <cell r="DG287">
            <v>362.9986415788614</v>
          </cell>
          <cell r="DH287">
            <v>885</v>
          </cell>
          <cell r="DI287">
            <v>1426283.7</v>
          </cell>
          <cell r="DJ287">
            <v>1.1919191919191918</v>
          </cell>
          <cell r="DK287" t="str">
            <v>OK</v>
          </cell>
          <cell r="DL287">
            <v>247.5</v>
          </cell>
          <cell r="DM287">
            <v>247.5</v>
          </cell>
          <cell r="DN287">
            <v>495</v>
          </cell>
        </row>
        <row r="288">
          <cell r="B288">
            <v>107155</v>
          </cell>
          <cell r="C288" t="str">
            <v>MER. EBEL PIÑA BALDE 5 Kg</v>
          </cell>
          <cell r="D288">
            <v>120</v>
          </cell>
          <cell r="E288">
            <v>95</v>
          </cell>
          <cell r="F288">
            <v>150</v>
          </cell>
          <cell r="G288">
            <v>65</v>
          </cell>
          <cell r="H288">
            <v>160</v>
          </cell>
          <cell r="I288">
            <v>120</v>
          </cell>
          <cell r="J288">
            <v>160</v>
          </cell>
          <cell r="K288">
            <v>120</v>
          </cell>
          <cell r="L288">
            <v>120</v>
          </cell>
          <cell r="M288">
            <v>120</v>
          </cell>
          <cell r="N288">
            <v>230</v>
          </cell>
          <cell r="O288">
            <v>80</v>
          </cell>
          <cell r="P288">
            <v>45</v>
          </cell>
          <cell r="Q288">
            <v>335</v>
          </cell>
          <cell r="R288">
            <v>100</v>
          </cell>
          <cell r="S288">
            <v>205</v>
          </cell>
          <cell r="T288">
            <v>110</v>
          </cell>
          <cell r="U288">
            <v>115</v>
          </cell>
          <cell r="V288">
            <v>110</v>
          </cell>
          <cell r="X288">
            <v>345</v>
          </cell>
          <cell r="Y288">
            <v>175</v>
          </cell>
          <cell r="Z288">
            <v>175</v>
          </cell>
          <cell r="AA288">
            <v>140</v>
          </cell>
          <cell r="AB288">
            <v>180</v>
          </cell>
          <cell r="AC288">
            <v>145</v>
          </cell>
          <cell r="AE288">
            <v>10</v>
          </cell>
          <cell r="AF288">
            <v>180</v>
          </cell>
          <cell r="AG288">
            <v>392</v>
          </cell>
          <cell r="AH288">
            <v>123</v>
          </cell>
          <cell r="AI288">
            <v>640</v>
          </cell>
          <cell r="AJ288">
            <v>155</v>
          </cell>
          <cell r="AK288">
            <v>110</v>
          </cell>
          <cell r="AL288">
            <v>160</v>
          </cell>
          <cell r="AM288">
            <v>80</v>
          </cell>
          <cell r="AN288">
            <v>100</v>
          </cell>
          <cell r="AO288">
            <v>155</v>
          </cell>
          <cell r="AP288">
            <v>230</v>
          </cell>
          <cell r="AQ288">
            <v>205</v>
          </cell>
          <cell r="AR288">
            <v>160</v>
          </cell>
          <cell r="AS288">
            <v>280</v>
          </cell>
          <cell r="AT288">
            <v>270</v>
          </cell>
          <cell r="AU288">
            <v>145</v>
          </cell>
          <cell r="AV288">
            <v>165</v>
          </cell>
          <cell r="AW288">
            <v>230</v>
          </cell>
          <cell r="AX288">
            <v>320</v>
          </cell>
          <cell r="AY288">
            <v>330</v>
          </cell>
          <cell r="AZ288">
            <v>775</v>
          </cell>
          <cell r="BA288">
            <v>290</v>
          </cell>
          <cell r="BB288">
            <v>140</v>
          </cell>
          <cell r="BC288">
            <v>135</v>
          </cell>
          <cell r="BD288">
            <v>145</v>
          </cell>
          <cell r="BE288">
            <v>170</v>
          </cell>
          <cell r="BF288">
            <v>575</v>
          </cell>
          <cell r="BH288">
            <v>340</v>
          </cell>
          <cell r="BI288">
            <v>210</v>
          </cell>
          <cell r="BJ288">
            <v>190</v>
          </cell>
          <cell r="BK288">
            <v>145</v>
          </cell>
          <cell r="BL288">
            <v>150</v>
          </cell>
          <cell r="BM288">
            <v>155</v>
          </cell>
          <cell r="BN288">
            <v>190</v>
          </cell>
          <cell r="BP288">
            <v>130</v>
          </cell>
          <cell r="BQ288">
            <v>345</v>
          </cell>
          <cell r="BS288">
            <v>100</v>
          </cell>
          <cell r="BT288">
            <v>240</v>
          </cell>
          <cell r="BU288">
            <v>170</v>
          </cell>
          <cell r="BV288">
            <v>90</v>
          </cell>
          <cell r="BW288">
            <v>120</v>
          </cell>
          <cell r="BX288">
            <v>120</v>
          </cell>
          <cell r="BY288">
            <v>80</v>
          </cell>
          <cell r="BZ288">
            <v>135</v>
          </cell>
          <cell r="CA288">
            <v>143</v>
          </cell>
          <cell r="CB288">
            <v>80</v>
          </cell>
          <cell r="CC288">
            <v>345</v>
          </cell>
          <cell r="CD288">
            <v>95</v>
          </cell>
          <cell r="CE288">
            <v>90</v>
          </cell>
          <cell r="CF288">
            <v>80</v>
          </cell>
          <cell r="CG288">
            <v>105</v>
          </cell>
          <cell r="CH288">
            <v>190</v>
          </cell>
          <cell r="CI288">
            <v>95</v>
          </cell>
          <cell r="CJ288">
            <v>95</v>
          </cell>
          <cell r="CK288">
            <v>200</v>
          </cell>
          <cell r="CL288">
            <v>100</v>
          </cell>
          <cell r="CM288">
            <v>205</v>
          </cell>
          <cell r="CN288">
            <v>100</v>
          </cell>
          <cell r="CO288">
            <v>215</v>
          </cell>
          <cell r="CP288">
            <v>90</v>
          </cell>
          <cell r="CR288">
            <v>40</v>
          </cell>
          <cell r="CS288">
            <v>40</v>
          </cell>
          <cell r="CU288">
            <v>35</v>
          </cell>
          <cell r="CV288">
            <v>140</v>
          </cell>
          <cell r="CW288">
            <v>40</v>
          </cell>
          <cell r="DA288">
            <v>275</v>
          </cell>
          <cell r="DB288" t="str">
            <v>ACTIVO</v>
          </cell>
          <cell r="DC288" t="str">
            <v>B</v>
          </cell>
          <cell r="DE288">
            <v>115.33333333333333</v>
          </cell>
          <cell r="DF288">
            <v>19.222222222222221</v>
          </cell>
          <cell r="DG288">
            <v>144.37756765099047</v>
          </cell>
          <cell r="DH288">
            <v>55</v>
          </cell>
          <cell r="DI288">
            <v>164388.95000000001</v>
          </cell>
          <cell r="DJ288">
            <v>0.47687861271676302</v>
          </cell>
          <cell r="DK288" t="str">
            <v>COMPRAR</v>
          </cell>
          <cell r="DL288">
            <v>38.444444444444443</v>
          </cell>
          <cell r="DM288">
            <v>38.444444444444443</v>
          </cell>
          <cell r="DN288">
            <v>76.888888888888886</v>
          </cell>
        </row>
        <row r="289">
          <cell r="B289">
            <v>107158</v>
          </cell>
          <cell r="C289" t="str">
            <v>MER. MEL PIÑA BALDE 5 Kg</v>
          </cell>
          <cell r="D289">
            <v>155</v>
          </cell>
          <cell r="E289">
            <v>150</v>
          </cell>
          <cell r="F289">
            <v>150</v>
          </cell>
          <cell r="G289">
            <v>165</v>
          </cell>
          <cell r="H289">
            <v>225</v>
          </cell>
          <cell r="I289">
            <v>95</v>
          </cell>
          <cell r="J289">
            <v>240</v>
          </cell>
          <cell r="K289">
            <v>210</v>
          </cell>
          <cell r="L289">
            <v>255</v>
          </cell>
          <cell r="M289">
            <v>265</v>
          </cell>
          <cell r="N289">
            <v>230</v>
          </cell>
          <cell r="P289">
            <v>200</v>
          </cell>
          <cell r="Q289">
            <v>250</v>
          </cell>
          <cell r="R289">
            <v>325</v>
          </cell>
          <cell r="S289">
            <v>215</v>
          </cell>
          <cell r="T289">
            <v>185</v>
          </cell>
          <cell r="U289">
            <v>301</v>
          </cell>
          <cell r="V289">
            <v>265</v>
          </cell>
          <cell r="W289">
            <v>230</v>
          </cell>
          <cell r="X289">
            <v>180</v>
          </cell>
          <cell r="Z289">
            <v>205</v>
          </cell>
          <cell r="AA289">
            <v>155</v>
          </cell>
          <cell r="AB289">
            <v>220</v>
          </cell>
          <cell r="AC289">
            <v>135</v>
          </cell>
          <cell r="AD289">
            <v>110</v>
          </cell>
          <cell r="AE289">
            <v>80</v>
          </cell>
          <cell r="AF289">
            <v>200</v>
          </cell>
          <cell r="AG289">
            <v>165</v>
          </cell>
          <cell r="AH289">
            <v>425</v>
          </cell>
          <cell r="AI289">
            <v>250</v>
          </cell>
          <cell r="AJ289">
            <v>220</v>
          </cell>
          <cell r="AK289">
            <v>215</v>
          </cell>
          <cell r="AL289">
            <v>170</v>
          </cell>
          <cell r="AM289">
            <v>190</v>
          </cell>
          <cell r="AN289">
            <v>295</v>
          </cell>
          <cell r="AO289">
            <v>220</v>
          </cell>
          <cell r="AP289">
            <v>195</v>
          </cell>
          <cell r="AQ289">
            <v>370</v>
          </cell>
          <cell r="AR289">
            <v>255</v>
          </cell>
          <cell r="AS289">
            <v>210</v>
          </cell>
          <cell r="AT289">
            <v>330</v>
          </cell>
          <cell r="AU289">
            <v>250</v>
          </cell>
          <cell r="AV289">
            <v>250</v>
          </cell>
          <cell r="AW289">
            <v>185</v>
          </cell>
          <cell r="AX289">
            <v>255</v>
          </cell>
          <cell r="AY289">
            <v>165</v>
          </cell>
          <cell r="AZ289">
            <v>250</v>
          </cell>
          <cell r="BA289">
            <v>225</v>
          </cell>
          <cell r="BB289">
            <v>175</v>
          </cell>
          <cell r="BC289">
            <v>230</v>
          </cell>
          <cell r="BD289">
            <v>275</v>
          </cell>
          <cell r="BE289">
            <v>195</v>
          </cell>
          <cell r="BF289">
            <v>240</v>
          </cell>
          <cell r="BG289">
            <v>180</v>
          </cell>
          <cell r="BH289">
            <v>245</v>
          </cell>
          <cell r="BI289">
            <v>200</v>
          </cell>
          <cell r="BJ289">
            <v>240</v>
          </cell>
          <cell r="BK289">
            <v>180</v>
          </cell>
          <cell r="BL289">
            <v>205</v>
          </cell>
          <cell r="BM289">
            <v>170</v>
          </cell>
          <cell r="BN289">
            <v>185</v>
          </cell>
          <cell r="BO289">
            <v>125</v>
          </cell>
          <cell r="BP289">
            <v>15</v>
          </cell>
          <cell r="BQ289">
            <v>210</v>
          </cell>
          <cell r="BR289">
            <v>180</v>
          </cell>
          <cell r="BS289">
            <v>265</v>
          </cell>
          <cell r="BT289">
            <v>170</v>
          </cell>
          <cell r="BU289">
            <v>215</v>
          </cell>
          <cell r="BV289">
            <v>195</v>
          </cell>
          <cell r="BW289">
            <v>250</v>
          </cell>
          <cell r="BX289">
            <v>190</v>
          </cell>
          <cell r="BY289">
            <v>170</v>
          </cell>
          <cell r="BZ289">
            <v>225</v>
          </cell>
          <cell r="CA289">
            <v>195</v>
          </cell>
          <cell r="CB289">
            <v>165</v>
          </cell>
          <cell r="CC289">
            <v>225</v>
          </cell>
          <cell r="CD289">
            <v>120</v>
          </cell>
          <cell r="CE289">
            <v>75</v>
          </cell>
          <cell r="CF289">
            <v>40</v>
          </cell>
          <cell r="CG289">
            <v>165</v>
          </cell>
          <cell r="CH289">
            <v>200</v>
          </cell>
          <cell r="CI289">
            <v>205</v>
          </cell>
          <cell r="CJ289">
            <v>140</v>
          </cell>
          <cell r="CK289">
            <v>158.5</v>
          </cell>
          <cell r="CL289">
            <v>135</v>
          </cell>
          <cell r="CM289">
            <v>155</v>
          </cell>
          <cell r="CN289">
            <v>170</v>
          </cell>
          <cell r="CO289">
            <v>195</v>
          </cell>
          <cell r="CP289">
            <v>165</v>
          </cell>
          <cell r="CQ289">
            <v>190</v>
          </cell>
          <cell r="CR289">
            <v>255</v>
          </cell>
          <cell r="CS289">
            <v>245</v>
          </cell>
          <cell r="CT289">
            <v>185</v>
          </cell>
          <cell r="CU289">
            <v>210</v>
          </cell>
          <cell r="CV289">
            <v>215</v>
          </cell>
          <cell r="CW289">
            <v>185</v>
          </cell>
          <cell r="CX289">
            <v>185</v>
          </cell>
          <cell r="CY289">
            <v>260</v>
          </cell>
          <cell r="CZ289">
            <v>175</v>
          </cell>
          <cell r="DA289">
            <v>265</v>
          </cell>
          <cell r="DB289" t="str">
            <v>ACTIVO</v>
          </cell>
          <cell r="DC289" t="str">
            <v>B</v>
          </cell>
          <cell r="DE289">
            <v>178.14705882352942</v>
          </cell>
          <cell r="DF289">
            <v>29.691176470588236</v>
          </cell>
          <cell r="DG289">
            <v>65.794381071270209</v>
          </cell>
          <cell r="DH289">
            <v>305</v>
          </cell>
          <cell r="DI289">
            <v>1034172.65</v>
          </cell>
          <cell r="DJ289">
            <v>1.7120686808651147</v>
          </cell>
          <cell r="DK289" t="str">
            <v>OK</v>
          </cell>
          <cell r="DL289">
            <v>59.382352941176471</v>
          </cell>
          <cell r="DM289">
            <v>59.382352941176471</v>
          </cell>
          <cell r="DN289">
            <v>118.76470588235294</v>
          </cell>
        </row>
        <row r="290">
          <cell r="B290">
            <v>107156</v>
          </cell>
          <cell r="C290" t="str">
            <v>MERMELADA DE LUCUMA DIWATTS</v>
          </cell>
          <cell r="E290">
            <v>60</v>
          </cell>
          <cell r="F290">
            <v>115</v>
          </cell>
          <cell r="G290">
            <v>63</v>
          </cell>
          <cell r="I290">
            <v>45</v>
          </cell>
          <cell r="L290">
            <v>95</v>
          </cell>
          <cell r="P290">
            <v>74.5</v>
          </cell>
          <cell r="DB290" t="str">
            <v>SIN USO</v>
          </cell>
          <cell r="DC290" t="str">
            <v/>
          </cell>
          <cell r="DE290">
            <v>0</v>
          </cell>
          <cell r="DF290">
            <v>0</v>
          </cell>
          <cell r="DG290">
            <v>0</v>
          </cell>
          <cell r="DH290">
            <v>0</v>
          </cell>
          <cell r="DI290" t="str">
            <v>0</v>
          </cell>
          <cell r="DJ290">
            <v>0</v>
          </cell>
          <cell r="DK290" t="str">
            <v>INACTIVO</v>
          </cell>
          <cell r="DL290">
            <v>0</v>
          </cell>
          <cell r="DM290">
            <v>0</v>
          </cell>
          <cell r="DN290">
            <v>0</v>
          </cell>
        </row>
        <row r="291">
          <cell r="B291">
            <v>107095</v>
          </cell>
          <cell r="C291" t="str">
            <v>PURE DE LUCUMA (ET. VERDE) BALDE 4,5 Kg</v>
          </cell>
          <cell r="D291">
            <v>54</v>
          </cell>
          <cell r="E291">
            <v>76.5</v>
          </cell>
          <cell r="H291">
            <v>108</v>
          </cell>
          <cell r="I291">
            <v>108</v>
          </cell>
          <cell r="J291">
            <v>48</v>
          </cell>
          <cell r="K291">
            <v>54</v>
          </cell>
          <cell r="L291">
            <v>96</v>
          </cell>
          <cell r="M291">
            <v>42</v>
          </cell>
          <cell r="N291">
            <v>54</v>
          </cell>
          <cell r="O291">
            <v>354</v>
          </cell>
          <cell r="P291">
            <v>45</v>
          </cell>
          <cell r="Q291">
            <v>54</v>
          </cell>
          <cell r="R291">
            <v>66</v>
          </cell>
          <cell r="S291">
            <v>66</v>
          </cell>
          <cell r="T291">
            <v>4.5</v>
          </cell>
          <cell r="X291">
            <v>133.5</v>
          </cell>
          <cell r="AO291">
            <v>120</v>
          </cell>
          <cell r="AP291">
            <v>103.5</v>
          </cell>
          <cell r="AQ291">
            <v>78</v>
          </cell>
          <cell r="AR291">
            <v>4.5</v>
          </cell>
          <cell r="BA291">
            <v>9</v>
          </cell>
          <cell r="BD291">
            <v>760.5</v>
          </cell>
          <cell r="BI291">
            <v>733.5</v>
          </cell>
          <cell r="BN291">
            <v>12</v>
          </cell>
          <cell r="BO291">
            <v>27</v>
          </cell>
          <cell r="BR291">
            <v>10.5</v>
          </cell>
          <cell r="BS291">
            <v>22.5</v>
          </cell>
          <cell r="BT291">
            <v>9</v>
          </cell>
          <cell r="BU291">
            <v>24.5</v>
          </cell>
          <cell r="BV291">
            <v>36</v>
          </cell>
          <cell r="BW291">
            <v>22.5</v>
          </cell>
          <cell r="BX291">
            <v>27</v>
          </cell>
          <cell r="BY291">
            <v>31.5</v>
          </cell>
          <cell r="BZ291">
            <v>22.5</v>
          </cell>
          <cell r="CA291">
            <v>31.5</v>
          </cell>
          <cell r="CB291">
            <v>23</v>
          </cell>
          <cell r="CC291">
            <v>130.5</v>
          </cell>
          <cell r="CD291">
            <v>33</v>
          </cell>
          <cell r="CE291">
            <v>18</v>
          </cell>
          <cell r="CF291">
            <v>9</v>
          </cell>
          <cell r="CG291">
            <v>27</v>
          </cell>
          <cell r="CH291">
            <v>66</v>
          </cell>
          <cell r="CI291">
            <v>144.5</v>
          </cell>
          <cell r="CJ291">
            <v>238.5</v>
          </cell>
          <cell r="CK291">
            <v>271.5</v>
          </cell>
          <cell r="CL291">
            <v>384</v>
          </cell>
          <cell r="CM291">
            <v>318.5</v>
          </cell>
          <cell r="CN291">
            <v>46.5</v>
          </cell>
          <cell r="CO291">
            <v>175.5</v>
          </cell>
          <cell r="CP291">
            <v>281</v>
          </cell>
          <cell r="CQ291">
            <v>560</v>
          </cell>
          <cell r="CR291">
            <v>900</v>
          </cell>
          <cell r="CS291">
            <v>415</v>
          </cell>
          <cell r="CT291">
            <v>1697</v>
          </cell>
          <cell r="CU291">
            <v>1507.5</v>
          </cell>
          <cell r="CV291">
            <v>1804.5</v>
          </cell>
          <cell r="CW291">
            <v>2142</v>
          </cell>
          <cell r="CX291">
            <v>400.5</v>
          </cell>
          <cell r="CY291">
            <v>594</v>
          </cell>
          <cell r="CZ291">
            <v>1048.5</v>
          </cell>
          <cell r="DA291">
            <v>778.5</v>
          </cell>
          <cell r="DB291" t="str">
            <v>ACTIVO</v>
          </cell>
          <cell r="DC291" t="str">
            <v>B</v>
          </cell>
          <cell r="DE291">
            <v>520.35294117647061</v>
          </cell>
          <cell r="DF291">
            <v>86.725490196078439</v>
          </cell>
          <cell r="DG291">
            <v>207.34694817381819</v>
          </cell>
          <cell r="DH291">
            <v>1798</v>
          </cell>
          <cell r="DI291">
            <v>7995166.5999999996</v>
          </cell>
          <cell r="DJ291">
            <v>3.4553470495139043</v>
          </cell>
          <cell r="DK291" t="str">
            <v>OK</v>
          </cell>
          <cell r="DL291">
            <v>173.45098039215688</v>
          </cell>
          <cell r="DM291">
            <v>173.45098039215688</v>
          </cell>
          <cell r="DN291">
            <v>346.90196078431376</v>
          </cell>
        </row>
        <row r="292">
          <cell r="B292">
            <v>107204</v>
          </cell>
          <cell r="C292" t="str">
            <v>RELLENO PIE MARACUYÁ BALDE 4,5 Kg</v>
          </cell>
          <cell r="F292">
            <v>135</v>
          </cell>
          <cell r="G292">
            <v>111</v>
          </cell>
          <cell r="H292">
            <v>90</v>
          </cell>
          <cell r="I292">
            <v>157.5</v>
          </cell>
          <cell r="K292">
            <v>99</v>
          </cell>
          <cell r="L292">
            <v>112.5</v>
          </cell>
          <cell r="M292">
            <v>94.5</v>
          </cell>
          <cell r="N292">
            <v>184.5</v>
          </cell>
          <cell r="P292">
            <v>112.5</v>
          </cell>
          <cell r="Q292">
            <v>94.5</v>
          </cell>
          <cell r="R292">
            <v>45</v>
          </cell>
          <cell r="S292">
            <v>94.5</v>
          </cell>
          <cell r="AF292">
            <v>220.5</v>
          </cell>
          <cell r="DB292" t="str">
            <v>SIN USO</v>
          </cell>
          <cell r="DC292" t="str">
            <v>C</v>
          </cell>
          <cell r="DE292">
            <v>0</v>
          </cell>
          <cell r="DF292">
            <v>0</v>
          </cell>
          <cell r="DG292">
            <v>0</v>
          </cell>
          <cell r="DH292">
            <v>0</v>
          </cell>
          <cell r="DI292" t="str">
            <v>0</v>
          </cell>
          <cell r="DJ292">
            <v>0</v>
          </cell>
          <cell r="DK292" t="str">
            <v>INACTIVO</v>
          </cell>
          <cell r="DL292">
            <v>0</v>
          </cell>
          <cell r="DM292">
            <v>0</v>
          </cell>
          <cell r="DN292">
            <v>0</v>
          </cell>
        </row>
        <row r="293">
          <cell r="B293">
            <v>107263</v>
          </cell>
          <cell r="C293" t="str">
            <v>RELLENO SABOR VAINILLA PURATOS</v>
          </cell>
          <cell r="D293">
            <v>3100.5</v>
          </cell>
          <cell r="E293">
            <v>1372.5</v>
          </cell>
          <cell r="F293">
            <v>1895.5</v>
          </cell>
          <cell r="G293">
            <v>837</v>
          </cell>
          <cell r="H293">
            <v>2200.5</v>
          </cell>
          <cell r="I293">
            <v>2556</v>
          </cell>
          <cell r="J293">
            <v>1836</v>
          </cell>
          <cell r="K293">
            <v>1471.5</v>
          </cell>
          <cell r="L293">
            <v>3109.5</v>
          </cell>
          <cell r="M293">
            <v>1305</v>
          </cell>
          <cell r="N293">
            <v>2209.5</v>
          </cell>
          <cell r="O293">
            <v>1111.5</v>
          </cell>
          <cell r="P293">
            <v>1890</v>
          </cell>
          <cell r="Q293">
            <v>2130.5</v>
          </cell>
          <cell r="R293">
            <v>2227.5</v>
          </cell>
          <cell r="S293">
            <v>2060.5</v>
          </cell>
          <cell r="T293">
            <v>2754</v>
          </cell>
          <cell r="U293">
            <v>2011.5</v>
          </cell>
          <cell r="V293">
            <v>3300.5</v>
          </cell>
          <cell r="W293">
            <v>1561.5</v>
          </cell>
          <cell r="X293">
            <v>2646</v>
          </cell>
          <cell r="Y293">
            <v>6300</v>
          </cell>
          <cell r="Z293">
            <v>837</v>
          </cell>
          <cell r="AA293">
            <v>288</v>
          </cell>
          <cell r="AB293">
            <v>2205</v>
          </cell>
          <cell r="AC293">
            <v>94.5</v>
          </cell>
          <cell r="AD293">
            <v>1399.5</v>
          </cell>
          <cell r="AE293">
            <v>63</v>
          </cell>
          <cell r="AF293">
            <v>2275.5</v>
          </cell>
          <cell r="AG293">
            <v>2386.5</v>
          </cell>
          <cell r="AH293">
            <v>2429</v>
          </cell>
          <cell r="AI293">
            <v>3416.5</v>
          </cell>
          <cell r="AJ293">
            <v>1710</v>
          </cell>
          <cell r="AK293">
            <v>949.5</v>
          </cell>
          <cell r="AL293">
            <v>901</v>
          </cell>
          <cell r="AM293">
            <v>639</v>
          </cell>
          <cell r="AN293">
            <v>765</v>
          </cell>
          <cell r="AO293">
            <v>391.5</v>
          </cell>
          <cell r="AP293">
            <v>171</v>
          </cell>
          <cell r="AQ293">
            <v>1989</v>
          </cell>
          <cell r="AR293">
            <v>994.5</v>
          </cell>
          <cell r="AS293">
            <v>1759.5</v>
          </cell>
          <cell r="AT293">
            <v>1818</v>
          </cell>
          <cell r="AU293">
            <v>3105</v>
          </cell>
          <cell r="AV293">
            <v>2583.9</v>
          </cell>
          <cell r="AW293">
            <v>1642.5</v>
          </cell>
          <cell r="AX293">
            <v>2169</v>
          </cell>
          <cell r="AY293">
            <v>1795.5</v>
          </cell>
          <cell r="AZ293">
            <v>2002</v>
          </cell>
          <cell r="BA293">
            <v>2362.5</v>
          </cell>
          <cell r="BB293">
            <v>1660.5</v>
          </cell>
          <cell r="BC293">
            <v>2178</v>
          </cell>
          <cell r="BD293">
            <v>2209.5</v>
          </cell>
          <cell r="BE293">
            <v>1980</v>
          </cell>
          <cell r="BF293">
            <v>1395</v>
          </cell>
          <cell r="BG293">
            <v>1818</v>
          </cell>
          <cell r="BH293">
            <v>3285</v>
          </cell>
          <cell r="BI293">
            <v>1813.5</v>
          </cell>
          <cell r="BJ293">
            <v>2711.5</v>
          </cell>
          <cell r="BK293">
            <v>1363.5</v>
          </cell>
          <cell r="BL293">
            <v>2358</v>
          </cell>
          <cell r="BM293">
            <v>2182.5</v>
          </cell>
          <cell r="BN293">
            <v>1237.5</v>
          </cell>
          <cell r="BO293">
            <v>2385</v>
          </cell>
          <cell r="BP293">
            <v>501.5</v>
          </cell>
          <cell r="BQ293">
            <v>1710</v>
          </cell>
          <cell r="BR293">
            <v>1701</v>
          </cell>
          <cell r="BS293">
            <v>2488.5</v>
          </cell>
          <cell r="BT293">
            <v>2209.5</v>
          </cell>
          <cell r="BU293">
            <v>1658</v>
          </cell>
          <cell r="BV293">
            <v>1147.5</v>
          </cell>
          <cell r="BW293">
            <v>922.5</v>
          </cell>
          <cell r="BX293">
            <v>1741.5</v>
          </cell>
          <cell r="BY293">
            <v>1999</v>
          </cell>
          <cell r="BZ293">
            <v>2043</v>
          </cell>
          <cell r="CA293">
            <v>1255.5</v>
          </cell>
          <cell r="CB293">
            <v>1410.5</v>
          </cell>
          <cell r="CC293">
            <v>1728</v>
          </cell>
          <cell r="CD293">
            <v>742.5</v>
          </cell>
          <cell r="CE293">
            <v>895.5</v>
          </cell>
          <cell r="CF293">
            <v>486</v>
          </cell>
          <cell r="CG293">
            <v>1615.5</v>
          </cell>
          <cell r="CH293">
            <v>2209.5</v>
          </cell>
          <cell r="CI293">
            <v>2038.5</v>
          </cell>
          <cell r="CJ293">
            <v>1552.5</v>
          </cell>
          <cell r="CK293">
            <v>742.5</v>
          </cell>
          <cell r="CL293">
            <v>2430</v>
          </cell>
          <cell r="CM293">
            <v>1980</v>
          </cell>
          <cell r="CN293">
            <v>1512</v>
          </cell>
          <cell r="CO293">
            <v>1476</v>
          </cell>
          <cell r="CP293">
            <v>1417.5</v>
          </cell>
          <cell r="CQ293">
            <v>1440</v>
          </cell>
          <cell r="CR293">
            <v>976.5</v>
          </cell>
          <cell r="CS293">
            <v>265.5</v>
          </cell>
          <cell r="CT293">
            <v>2073.5</v>
          </cell>
          <cell r="CU293">
            <v>945</v>
          </cell>
          <cell r="CV293">
            <v>2286</v>
          </cell>
          <cell r="CW293">
            <v>405</v>
          </cell>
          <cell r="CX293">
            <v>1422</v>
          </cell>
          <cell r="CY293">
            <v>976.5</v>
          </cell>
          <cell r="CZ293">
            <v>1048.5</v>
          </cell>
          <cell r="DA293">
            <v>1386</v>
          </cell>
          <cell r="DB293" t="str">
            <v>ACTIVO</v>
          </cell>
          <cell r="DC293" t="str">
            <v>A</v>
          </cell>
          <cell r="DE293">
            <v>1496.8529411764705</v>
          </cell>
          <cell r="DF293">
            <v>249.47549019607843</v>
          </cell>
          <cell r="DG293">
            <v>750.39646335827729</v>
          </cell>
          <cell r="DH293">
            <v>301.5</v>
          </cell>
          <cell r="DI293">
            <v>419377.45500000002</v>
          </cell>
          <cell r="DJ293">
            <v>0.20142259249798597</v>
          </cell>
          <cell r="DK293" t="str">
            <v>COMPRAR</v>
          </cell>
          <cell r="DL293">
            <v>997.9019607843137</v>
          </cell>
          <cell r="DM293">
            <v>498.95098039215685</v>
          </cell>
          <cell r="DN293">
            <v>1496.8529411764705</v>
          </cell>
        </row>
        <row r="294">
          <cell r="B294">
            <v>107280</v>
          </cell>
          <cell r="C294" t="str">
            <v>NUEVO BRILLO PARA CONGELADO PURATOS</v>
          </cell>
          <cell r="D294">
            <v>112.5</v>
          </cell>
          <cell r="E294">
            <v>99</v>
          </cell>
          <cell r="F294">
            <v>81</v>
          </cell>
          <cell r="G294">
            <v>153</v>
          </cell>
          <cell r="H294">
            <v>117</v>
          </cell>
          <cell r="I294">
            <v>31.5</v>
          </cell>
          <cell r="J294">
            <v>72</v>
          </cell>
          <cell r="K294">
            <v>126</v>
          </cell>
          <cell r="L294">
            <v>126</v>
          </cell>
          <cell r="M294">
            <v>144</v>
          </cell>
          <cell r="N294">
            <v>144</v>
          </cell>
          <cell r="O294">
            <v>27</v>
          </cell>
          <cell r="P294">
            <v>76.5</v>
          </cell>
          <cell r="Q294">
            <v>67.5</v>
          </cell>
          <cell r="R294">
            <v>123</v>
          </cell>
          <cell r="S294">
            <v>72</v>
          </cell>
          <cell r="T294">
            <v>159</v>
          </cell>
          <cell r="U294">
            <v>310.5</v>
          </cell>
          <cell r="V294">
            <v>148.5</v>
          </cell>
          <cell r="W294">
            <v>135</v>
          </cell>
          <cell r="X294">
            <v>319.5</v>
          </cell>
          <cell r="Y294">
            <v>130.5</v>
          </cell>
          <cell r="AA294">
            <v>94.5</v>
          </cell>
          <cell r="AB294">
            <v>162.5</v>
          </cell>
          <cell r="AC294">
            <v>76</v>
          </cell>
          <cell r="AD294">
            <v>67.5</v>
          </cell>
          <cell r="AE294">
            <v>45</v>
          </cell>
          <cell r="AF294">
            <v>139.5</v>
          </cell>
          <cell r="AG294">
            <v>315</v>
          </cell>
          <cell r="AH294">
            <v>283.5</v>
          </cell>
          <cell r="AI294">
            <v>402.5</v>
          </cell>
          <cell r="AJ294">
            <v>220.5</v>
          </cell>
          <cell r="AK294">
            <v>216</v>
          </cell>
          <cell r="AL294">
            <v>180</v>
          </cell>
          <cell r="AM294">
            <v>112.5</v>
          </cell>
          <cell r="AN294">
            <v>225</v>
          </cell>
          <cell r="AO294">
            <v>342.5</v>
          </cell>
          <cell r="AP294">
            <v>535</v>
          </cell>
          <cell r="AQ294">
            <v>400.5</v>
          </cell>
          <cell r="AR294">
            <v>427.5</v>
          </cell>
          <cell r="AS294">
            <v>72</v>
          </cell>
          <cell r="AT294">
            <v>369</v>
          </cell>
          <cell r="AU294">
            <v>472.5</v>
          </cell>
          <cell r="AV294">
            <v>409.5</v>
          </cell>
          <cell r="AW294">
            <v>414</v>
          </cell>
          <cell r="AX294">
            <v>333</v>
          </cell>
          <cell r="AY294">
            <v>706.5</v>
          </cell>
          <cell r="AZ294">
            <v>576</v>
          </cell>
          <cell r="BA294">
            <v>189</v>
          </cell>
          <cell r="BB294">
            <v>216</v>
          </cell>
          <cell r="BC294">
            <v>288</v>
          </cell>
          <cell r="BD294">
            <v>648</v>
          </cell>
          <cell r="BE294">
            <v>310.5</v>
          </cell>
          <cell r="BF294">
            <v>634.5</v>
          </cell>
          <cell r="BG294">
            <v>508.5</v>
          </cell>
          <cell r="BH294">
            <v>459</v>
          </cell>
          <cell r="BI294">
            <v>306</v>
          </cell>
          <cell r="BJ294">
            <v>567</v>
          </cell>
          <cell r="BK294">
            <v>481.5</v>
          </cell>
          <cell r="BL294">
            <v>486</v>
          </cell>
          <cell r="BM294">
            <v>256.5</v>
          </cell>
          <cell r="BN294">
            <v>333</v>
          </cell>
          <cell r="BO294">
            <v>553.5</v>
          </cell>
          <cell r="BP294">
            <v>234</v>
          </cell>
          <cell r="BQ294">
            <v>387</v>
          </cell>
          <cell r="BR294">
            <v>297</v>
          </cell>
          <cell r="BS294">
            <v>301.5</v>
          </cell>
          <cell r="BT294">
            <v>522</v>
          </cell>
          <cell r="BU294">
            <v>481.5</v>
          </cell>
          <cell r="BV294">
            <v>468</v>
          </cell>
          <cell r="BW294">
            <v>319.5</v>
          </cell>
          <cell r="BX294">
            <v>405</v>
          </cell>
          <cell r="BY294">
            <v>63</v>
          </cell>
          <cell r="BZ294">
            <v>103.5</v>
          </cell>
          <cell r="CA294">
            <v>621</v>
          </cell>
          <cell r="CB294">
            <v>256.5</v>
          </cell>
          <cell r="CC294">
            <v>270</v>
          </cell>
          <cell r="CD294">
            <v>387</v>
          </cell>
          <cell r="CE294">
            <v>472.5</v>
          </cell>
          <cell r="CF294">
            <v>58.5</v>
          </cell>
          <cell r="CG294">
            <v>409.5</v>
          </cell>
          <cell r="CH294">
            <v>256.5</v>
          </cell>
          <cell r="CI294">
            <v>406</v>
          </cell>
          <cell r="CJ294">
            <v>234</v>
          </cell>
          <cell r="CK294">
            <v>396</v>
          </cell>
          <cell r="CL294">
            <v>468</v>
          </cell>
          <cell r="CM294">
            <v>396</v>
          </cell>
          <cell r="CN294">
            <v>198</v>
          </cell>
          <cell r="CO294">
            <v>670.5</v>
          </cell>
          <cell r="CP294">
            <v>526.5</v>
          </cell>
          <cell r="CQ294">
            <v>661.5</v>
          </cell>
          <cell r="CR294">
            <v>67.5</v>
          </cell>
          <cell r="CS294">
            <v>333</v>
          </cell>
          <cell r="CT294">
            <v>589.5</v>
          </cell>
          <cell r="CU294">
            <v>765</v>
          </cell>
          <cell r="CV294">
            <v>684</v>
          </cell>
          <cell r="CW294">
            <v>778.5</v>
          </cell>
          <cell r="CX294">
            <v>306</v>
          </cell>
          <cell r="CY294">
            <v>464</v>
          </cell>
          <cell r="CZ294">
            <v>220.5</v>
          </cell>
          <cell r="DA294">
            <v>396</v>
          </cell>
          <cell r="DB294" t="str">
            <v>ACTIVO</v>
          </cell>
          <cell r="DC294" t="str">
            <v>A</v>
          </cell>
          <cell r="DE294">
            <v>418.8235294117647</v>
          </cell>
          <cell r="DF294">
            <v>69.803921568627445</v>
          </cell>
          <cell r="DG294">
            <v>159.49834330390664</v>
          </cell>
          <cell r="DH294">
            <v>1394.5</v>
          </cell>
          <cell r="DI294">
            <v>3834875</v>
          </cell>
          <cell r="DJ294">
            <v>3.329564606741573</v>
          </cell>
          <cell r="DK294" t="str">
            <v>OK</v>
          </cell>
          <cell r="DL294">
            <v>279.21568627450978</v>
          </cell>
          <cell r="DM294">
            <v>139.60784313725489</v>
          </cell>
          <cell r="DN294">
            <v>418.82352941176464</v>
          </cell>
        </row>
        <row r="295">
          <cell r="B295">
            <v>107294</v>
          </cell>
          <cell r="C295" t="str">
            <v>DULCE DE RELLENO DIWATTS</v>
          </cell>
          <cell r="D295">
            <v>2436</v>
          </cell>
          <cell r="E295">
            <v>2208</v>
          </cell>
          <cell r="F295">
            <v>3594</v>
          </cell>
          <cell r="G295">
            <v>1648</v>
          </cell>
          <cell r="I295">
            <v>4056</v>
          </cell>
          <cell r="J295">
            <v>1836</v>
          </cell>
          <cell r="K295">
            <v>3582</v>
          </cell>
          <cell r="L295">
            <v>3552</v>
          </cell>
          <cell r="M295">
            <v>4224</v>
          </cell>
          <cell r="N295">
            <v>2550</v>
          </cell>
          <cell r="O295">
            <v>1098</v>
          </cell>
          <cell r="P295">
            <v>3612</v>
          </cell>
          <cell r="Q295">
            <v>2436</v>
          </cell>
          <cell r="R295">
            <v>3096</v>
          </cell>
          <cell r="S295">
            <v>1362</v>
          </cell>
          <cell r="T295">
            <v>3852</v>
          </cell>
          <cell r="U295">
            <v>2100</v>
          </cell>
          <cell r="V295">
            <v>1644</v>
          </cell>
          <cell r="W295">
            <v>1638</v>
          </cell>
          <cell r="X295">
            <v>1494</v>
          </cell>
          <cell r="Y295">
            <v>1440</v>
          </cell>
          <cell r="Z295">
            <v>1830</v>
          </cell>
          <cell r="AA295">
            <v>1650</v>
          </cell>
          <cell r="AB295">
            <v>1578</v>
          </cell>
          <cell r="AC295">
            <v>2059</v>
          </cell>
          <cell r="AD295">
            <v>948</v>
          </cell>
          <cell r="AE295">
            <v>1830</v>
          </cell>
          <cell r="AF295">
            <v>3090</v>
          </cell>
          <cell r="AG295">
            <v>1974</v>
          </cell>
          <cell r="AH295">
            <v>1428</v>
          </cell>
          <cell r="AI295">
            <v>1446</v>
          </cell>
          <cell r="AJ295">
            <v>2316</v>
          </cell>
          <cell r="AK295">
            <v>1032</v>
          </cell>
          <cell r="AL295">
            <v>2022</v>
          </cell>
          <cell r="AM295">
            <v>1788</v>
          </cell>
          <cell r="AN295">
            <v>2214</v>
          </cell>
          <cell r="AO295">
            <v>2772</v>
          </cell>
          <cell r="AP295">
            <v>2484</v>
          </cell>
          <cell r="AQ295">
            <v>2562</v>
          </cell>
          <cell r="AR295">
            <v>2520</v>
          </cell>
          <cell r="AS295">
            <v>2190</v>
          </cell>
          <cell r="AT295">
            <v>1476</v>
          </cell>
          <cell r="AU295">
            <v>4884</v>
          </cell>
          <cell r="AV295">
            <v>4314</v>
          </cell>
          <cell r="AW295">
            <v>3720</v>
          </cell>
          <cell r="AX295">
            <v>2544</v>
          </cell>
          <cell r="AY295">
            <v>2010</v>
          </cell>
          <cell r="AZ295">
            <v>3582</v>
          </cell>
          <cell r="BA295">
            <v>5592</v>
          </cell>
          <cell r="BB295">
            <v>1350</v>
          </cell>
          <cell r="BC295">
            <v>4284</v>
          </cell>
          <cell r="BD295">
            <v>4273.5</v>
          </cell>
          <cell r="BE295">
            <v>1404</v>
          </cell>
          <cell r="BF295">
            <v>840</v>
          </cell>
          <cell r="BG295">
            <v>324</v>
          </cell>
          <cell r="BH295">
            <v>1908</v>
          </cell>
          <cell r="BI295">
            <v>288</v>
          </cell>
          <cell r="BJ295">
            <v>1014</v>
          </cell>
          <cell r="BK295">
            <v>36</v>
          </cell>
          <cell r="BM295">
            <v>1212</v>
          </cell>
          <cell r="BN295">
            <v>5610</v>
          </cell>
          <cell r="BO295">
            <v>942</v>
          </cell>
          <cell r="BP295">
            <v>810</v>
          </cell>
          <cell r="BQ295">
            <v>4310</v>
          </cell>
          <cell r="BR295">
            <v>1248</v>
          </cell>
          <cell r="BS295">
            <v>1068</v>
          </cell>
          <cell r="BT295">
            <v>852</v>
          </cell>
          <cell r="BU295">
            <v>1530</v>
          </cell>
          <cell r="BV295">
            <v>2082</v>
          </cell>
          <cell r="BW295">
            <v>1488</v>
          </cell>
          <cell r="BX295">
            <v>1686</v>
          </cell>
          <cell r="BY295">
            <v>1686</v>
          </cell>
          <cell r="BZ295">
            <v>1764</v>
          </cell>
          <cell r="CA295">
            <v>1422</v>
          </cell>
          <cell r="CB295">
            <v>1356</v>
          </cell>
          <cell r="CC295">
            <v>1896</v>
          </cell>
          <cell r="CD295">
            <v>2802</v>
          </cell>
          <cell r="CE295">
            <v>84</v>
          </cell>
          <cell r="CF295">
            <v>870</v>
          </cell>
          <cell r="CG295">
            <v>1956</v>
          </cell>
          <cell r="CH295">
            <v>1638</v>
          </cell>
          <cell r="CI295">
            <v>1914</v>
          </cell>
          <cell r="CJ295">
            <v>2550</v>
          </cell>
          <cell r="CK295">
            <v>2088</v>
          </cell>
          <cell r="CL295">
            <v>3312</v>
          </cell>
          <cell r="CM295">
            <v>1830</v>
          </cell>
          <cell r="CN295">
            <v>1530</v>
          </cell>
          <cell r="CO295">
            <v>1578</v>
          </cell>
          <cell r="CP295">
            <v>1896</v>
          </cell>
          <cell r="CQ295">
            <v>1770</v>
          </cell>
          <cell r="CR295">
            <v>2460</v>
          </cell>
          <cell r="CS295">
            <v>1212</v>
          </cell>
          <cell r="CT295">
            <v>1590</v>
          </cell>
          <cell r="CU295">
            <v>1422</v>
          </cell>
          <cell r="CV295">
            <v>396</v>
          </cell>
          <cell r="CW295">
            <v>96</v>
          </cell>
          <cell r="CX295">
            <v>126</v>
          </cell>
          <cell r="CY295">
            <v>2610</v>
          </cell>
          <cell r="CZ295">
            <v>1146</v>
          </cell>
          <cell r="DA295">
            <v>318</v>
          </cell>
          <cell r="DB295" t="str">
            <v>ACTIVO</v>
          </cell>
          <cell r="DC295" t="str">
            <v>A</v>
          </cell>
          <cell r="DE295">
            <v>1765.4117647058824</v>
          </cell>
          <cell r="DF295">
            <v>294.23529411764707</v>
          </cell>
          <cell r="DG295">
            <v>1325.9563253566814</v>
          </cell>
          <cell r="DH295">
            <v>3786</v>
          </cell>
          <cell r="DI295">
            <v>6284760</v>
          </cell>
          <cell r="DJ295">
            <v>2.1445421831267493</v>
          </cell>
          <cell r="DK295" t="str">
            <v>OK</v>
          </cell>
          <cell r="DL295">
            <v>588.47058823529414</v>
          </cell>
          <cell r="DM295">
            <v>588.47058823529414</v>
          </cell>
          <cell r="DN295">
            <v>1176.9411764705883</v>
          </cell>
        </row>
        <row r="296">
          <cell r="B296">
            <v>107320</v>
          </cell>
          <cell r="C296" t="str">
            <v>COLDFIL PIE DE LIMÓN</v>
          </cell>
          <cell r="D296">
            <v>27</v>
          </cell>
          <cell r="E296">
            <v>22.5</v>
          </cell>
          <cell r="F296">
            <v>22.5</v>
          </cell>
          <cell r="H296">
            <v>63</v>
          </cell>
          <cell r="I296">
            <v>38</v>
          </cell>
          <cell r="J296">
            <v>10</v>
          </cell>
          <cell r="DB296" t="str">
            <v>SIN USO</v>
          </cell>
          <cell r="DC296" t="str">
            <v/>
          </cell>
          <cell r="DE296">
            <v>0</v>
          </cell>
          <cell r="DF296">
            <v>0</v>
          </cell>
          <cell r="DG296">
            <v>0</v>
          </cell>
          <cell r="DH296">
            <v>0</v>
          </cell>
          <cell r="DI296" t="str">
            <v>0</v>
          </cell>
          <cell r="DJ296">
            <v>0</v>
          </cell>
          <cell r="DK296" t="str">
            <v>INACTIVO</v>
          </cell>
          <cell r="DL296">
            <v>0</v>
          </cell>
          <cell r="DM296">
            <v>0</v>
          </cell>
          <cell r="DN296">
            <v>0</v>
          </cell>
        </row>
        <row r="297">
          <cell r="B297">
            <v>107359</v>
          </cell>
          <cell r="C297" t="str">
            <v>MERMELADA CIRUELA MEL</v>
          </cell>
          <cell r="G297">
            <v>40</v>
          </cell>
          <cell r="H297">
            <v>15</v>
          </cell>
          <cell r="I297">
            <v>45</v>
          </cell>
          <cell r="J297">
            <v>60</v>
          </cell>
          <cell r="K297">
            <v>160</v>
          </cell>
          <cell r="L297">
            <v>190</v>
          </cell>
          <cell r="M297">
            <v>160</v>
          </cell>
          <cell r="N297">
            <v>80</v>
          </cell>
          <cell r="O297">
            <v>35</v>
          </cell>
          <cell r="P297">
            <v>235</v>
          </cell>
          <cell r="Q297">
            <v>235</v>
          </cell>
          <cell r="R297">
            <v>195</v>
          </cell>
          <cell r="S297">
            <v>120</v>
          </cell>
          <cell r="T297">
            <v>200</v>
          </cell>
          <cell r="U297">
            <v>165</v>
          </cell>
          <cell r="V297">
            <v>230</v>
          </cell>
          <cell r="W297">
            <v>140</v>
          </cell>
          <cell r="X297">
            <v>130</v>
          </cell>
          <cell r="Y297">
            <v>205</v>
          </cell>
          <cell r="Z297">
            <v>100</v>
          </cell>
          <cell r="AA297">
            <v>150</v>
          </cell>
          <cell r="AB297">
            <v>210</v>
          </cell>
          <cell r="AC297">
            <v>110</v>
          </cell>
          <cell r="AD297">
            <v>65</v>
          </cell>
          <cell r="AE297">
            <v>70</v>
          </cell>
          <cell r="AF297">
            <v>160</v>
          </cell>
          <cell r="AG297">
            <v>85</v>
          </cell>
          <cell r="AH297">
            <v>105</v>
          </cell>
          <cell r="AI297">
            <v>105</v>
          </cell>
          <cell r="AJ297">
            <v>155</v>
          </cell>
          <cell r="AK297">
            <v>85</v>
          </cell>
          <cell r="AL297">
            <v>130</v>
          </cell>
          <cell r="AM297">
            <v>85</v>
          </cell>
          <cell r="AN297">
            <v>160</v>
          </cell>
          <cell r="AO297">
            <v>120</v>
          </cell>
          <cell r="AP297">
            <v>160</v>
          </cell>
          <cell r="AQ297">
            <v>85</v>
          </cell>
          <cell r="AR297">
            <v>110</v>
          </cell>
          <cell r="AS297">
            <v>115</v>
          </cell>
          <cell r="AT297">
            <v>125</v>
          </cell>
          <cell r="AU297">
            <v>95</v>
          </cell>
          <cell r="AV297">
            <v>140</v>
          </cell>
          <cell r="AW297">
            <v>110</v>
          </cell>
          <cell r="AX297">
            <v>170</v>
          </cell>
          <cell r="AY297">
            <v>130</v>
          </cell>
          <cell r="AZ297">
            <v>145</v>
          </cell>
          <cell r="BA297">
            <v>140</v>
          </cell>
          <cell r="BB297">
            <v>235</v>
          </cell>
          <cell r="BC297">
            <v>160</v>
          </cell>
          <cell r="BD297">
            <v>135</v>
          </cell>
          <cell r="BE297">
            <v>165</v>
          </cell>
          <cell r="BF297">
            <v>135</v>
          </cell>
          <cell r="BG297">
            <v>160</v>
          </cell>
          <cell r="BH297">
            <v>190</v>
          </cell>
          <cell r="BI297">
            <v>165</v>
          </cell>
          <cell r="BJ297">
            <v>140</v>
          </cell>
          <cell r="BK297">
            <v>145</v>
          </cell>
          <cell r="BL297">
            <v>140</v>
          </cell>
          <cell r="BM297">
            <v>190</v>
          </cell>
          <cell r="BN297">
            <v>185</v>
          </cell>
          <cell r="BO297">
            <v>120</v>
          </cell>
          <cell r="BP297">
            <v>10</v>
          </cell>
          <cell r="BQ297">
            <v>165</v>
          </cell>
          <cell r="BR297">
            <v>145</v>
          </cell>
          <cell r="BS297">
            <v>230</v>
          </cell>
          <cell r="BT297">
            <v>85</v>
          </cell>
          <cell r="BU297">
            <v>95</v>
          </cell>
          <cell r="BV297">
            <v>125</v>
          </cell>
          <cell r="BW297">
            <v>100</v>
          </cell>
          <cell r="BX297">
            <v>135</v>
          </cell>
          <cell r="BY297">
            <v>85</v>
          </cell>
          <cell r="BZ297">
            <v>135</v>
          </cell>
          <cell r="CA297">
            <v>155</v>
          </cell>
          <cell r="CB297">
            <v>55</v>
          </cell>
          <cell r="CC297">
            <v>95</v>
          </cell>
          <cell r="CD297">
            <v>125</v>
          </cell>
          <cell r="CE297">
            <v>35</v>
          </cell>
          <cell r="CF297">
            <v>20</v>
          </cell>
          <cell r="CG297">
            <v>125</v>
          </cell>
          <cell r="CH297">
            <v>75</v>
          </cell>
          <cell r="CI297">
            <v>90</v>
          </cell>
          <cell r="CJ297">
            <v>70</v>
          </cell>
          <cell r="CK297">
            <v>105</v>
          </cell>
          <cell r="CL297">
            <v>75</v>
          </cell>
          <cell r="CM297">
            <v>75</v>
          </cell>
          <cell r="CN297">
            <v>90</v>
          </cell>
          <cell r="CO297">
            <v>85</v>
          </cell>
          <cell r="CP297">
            <v>105</v>
          </cell>
          <cell r="CQ297">
            <v>85</v>
          </cell>
          <cell r="CR297">
            <v>95</v>
          </cell>
          <cell r="CS297">
            <v>135</v>
          </cell>
          <cell r="CT297">
            <v>105</v>
          </cell>
          <cell r="CU297">
            <v>85</v>
          </cell>
          <cell r="CV297">
            <v>105</v>
          </cell>
          <cell r="CW297">
            <v>90</v>
          </cell>
          <cell r="CX297">
            <v>125</v>
          </cell>
          <cell r="CY297">
            <v>105</v>
          </cell>
          <cell r="CZ297">
            <v>75</v>
          </cell>
          <cell r="DA297">
            <v>115</v>
          </cell>
          <cell r="DB297" t="str">
            <v>ACTIVO</v>
          </cell>
          <cell r="DC297" t="str">
            <v>B</v>
          </cell>
          <cell r="DE297">
            <v>89.705882352941174</v>
          </cell>
          <cell r="DF297">
            <v>14.950980392156863</v>
          </cell>
          <cell r="DG297">
            <v>42.808896231001931</v>
          </cell>
          <cell r="DH297">
            <v>520</v>
          </cell>
          <cell r="DI297">
            <v>1099306</v>
          </cell>
          <cell r="DJ297">
            <v>5.7967213114754097</v>
          </cell>
          <cell r="DK297" t="str">
            <v>OK</v>
          </cell>
          <cell r="DL297">
            <v>29.901960784313726</v>
          </cell>
          <cell r="DM297">
            <v>29.901960784313726</v>
          </cell>
          <cell r="DN297">
            <v>59.803921568627452</v>
          </cell>
        </row>
        <row r="298">
          <cell r="B298">
            <v>107120</v>
          </cell>
          <cell r="C298" t="str">
            <v>BRILLO FRIO RTU PURATOS</v>
          </cell>
          <cell r="D298">
            <v>661.5</v>
          </cell>
          <cell r="E298">
            <v>895.5</v>
          </cell>
          <cell r="F298">
            <v>639</v>
          </cell>
          <cell r="G298">
            <v>602.5</v>
          </cell>
          <cell r="H298">
            <v>760.5</v>
          </cell>
          <cell r="I298">
            <v>657</v>
          </cell>
          <cell r="J298">
            <v>621</v>
          </cell>
          <cell r="K298">
            <v>477</v>
          </cell>
          <cell r="L298">
            <v>759.5</v>
          </cell>
          <cell r="M298">
            <v>612</v>
          </cell>
          <cell r="N298">
            <v>508.5</v>
          </cell>
          <cell r="O298">
            <v>391.5</v>
          </cell>
          <cell r="P298">
            <v>477</v>
          </cell>
          <cell r="Q298">
            <v>744.5</v>
          </cell>
          <cell r="R298">
            <v>355.5</v>
          </cell>
          <cell r="S298">
            <v>594</v>
          </cell>
          <cell r="T298">
            <v>354.5</v>
          </cell>
          <cell r="U298">
            <v>472.5</v>
          </cell>
          <cell r="V298">
            <v>571.5</v>
          </cell>
          <cell r="W298">
            <v>342</v>
          </cell>
          <cell r="X298">
            <v>225</v>
          </cell>
          <cell r="Y298">
            <v>193.5</v>
          </cell>
          <cell r="Z298">
            <v>571.5</v>
          </cell>
          <cell r="AA298">
            <v>405</v>
          </cell>
          <cell r="AB298">
            <v>243</v>
          </cell>
          <cell r="AC298">
            <v>562.5</v>
          </cell>
          <cell r="AD298">
            <v>130.5</v>
          </cell>
          <cell r="AE298">
            <v>94.5</v>
          </cell>
          <cell r="AF298">
            <v>301.5</v>
          </cell>
          <cell r="AG298">
            <v>292.5</v>
          </cell>
          <cell r="AH298">
            <v>139.5</v>
          </cell>
          <cell r="AI298">
            <v>365.5</v>
          </cell>
          <cell r="AJ298">
            <v>454.5</v>
          </cell>
          <cell r="AK298">
            <v>135</v>
          </cell>
          <cell r="AL298">
            <v>308</v>
          </cell>
          <cell r="AM298">
            <v>297.5</v>
          </cell>
          <cell r="AN298">
            <v>216.5</v>
          </cell>
          <cell r="AO298">
            <v>643.5</v>
          </cell>
          <cell r="AP298">
            <v>715.5</v>
          </cell>
          <cell r="AQ298">
            <v>459</v>
          </cell>
          <cell r="AR298">
            <v>288</v>
          </cell>
          <cell r="AS298">
            <v>342</v>
          </cell>
          <cell r="AT298">
            <v>274.5</v>
          </cell>
          <cell r="AU298">
            <v>157.5</v>
          </cell>
          <cell r="AV298">
            <v>355.5</v>
          </cell>
          <cell r="AW298">
            <v>616.5</v>
          </cell>
          <cell r="AX298">
            <v>328.5</v>
          </cell>
          <cell r="AY298">
            <v>283.5</v>
          </cell>
          <cell r="AZ298">
            <v>436.5</v>
          </cell>
          <cell r="BA298">
            <v>409.5</v>
          </cell>
          <cell r="BB298">
            <v>630</v>
          </cell>
          <cell r="BC298">
            <v>540</v>
          </cell>
          <cell r="BD298">
            <v>411</v>
          </cell>
          <cell r="BE298">
            <v>418.5</v>
          </cell>
          <cell r="BF298">
            <v>396</v>
          </cell>
          <cell r="BG298">
            <v>306</v>
          </cell>
          <cell r="BH298">
            <v>328.5</v>
          </cell>
          <cell r="BI298">
            <v>432</v>
          </cell>
          <cell r="BJ298">
            <v>436.5</v>
          </cell>
          <cell r="BK298">
            <v>270</v>
          </cell>
          <cell r="BL298">
            <v>324</v>
          </cell>
          <cell r="BM298">
            <v>715.5</v>
          </cell>
          <cell r="BN298">
            <v>229.5</v>
          </cell>
          <cell r="BO298">
            <v>238.5</v>
          </cell>
          <cell r="BP298">
            <v>121.5</v>
          </cell>
          <cell r="BQ298">
            <v>405</v>
          </cell>
          <cell r="BR298">
            <v>211.5</v>
          </cell>
          <cell r="BS298">
            <v>274.5</v>
          </cell>
          <cell r="BT298">
            <v>225</v>
          </cell>
          <cell r="BU298">
            <v>310.5</v>
          </cell>
          <cell r="BV298">
            <v>171</v>
          </cell>
          <cell r="BW298">
            <v>319.5</v>
          </cell>
          <cell r="BX298">
            <v>153</v>
          </cell>
          <cell r="BY298">
            <v>360</v>
          </cell>
          <cell r="BZ298">
            <v>414</v>
          </cell>
          <cell r="CA298">
            <v>207</v>
          </cell>
          <cell r="CB298">
            <v>184.5</v>
          </cell>
          <cell r="CC298">
            <v>274.5</v>
          </cell>
          <cell r="CD298">
            <v>238.5</v>
          </cell>
          <cell r="CE298">
            <v>90</v>
          </cell>
          <cell r="CF298">
            <v>49.5</v>
          </cell>
          <cell r="CG298">
            <v>346.5</v>
          </cell>
          <cell r="CH298">
            <v>211.5</v>
          </cell>
          <cell r="CI298">
            <v>265.5</v>
          </cell>
          <cell r="CJ298">
            <v>324</v>
          </cell>
          <cell r="CK298">
            <v>184.5</v>
          </cell>
          <cell r="CL298">
            <v>279</v>
          </cell>
          <cell r="CM298">
            <v>153</v>
          </cell>
          <cell r="CN298">
            <v>441</v>
          </cell>
          <cell r="CO298">
            <v>234</v>
          </cell>
          <cell r="CP298">
            <v>364.5</v>
          </cell>
          <cell r="CQ298">
            <v>207</v>
          </cell>
          <cell r="CR298">
            <v>585</v>
          </cell>
          <cell r="CS298">
            <v>351</v>
          </cell>
          <cell r="CT298">
            <v>306</v>
          </cell>
          <cell r="CU298">
            <v>238.5</v>
          </cell>
          <cell r="CV298">
            <v>202.5</v>
          </cell>
          <cell r="CW298">
            <v>166.5</v>
          </cell>
          <cell r="CX298">
            <v>220.5</v>
          </cell>
          <cell r="CY298">
            <v>382.5</v>
          </cell>
          <cell r="CZ298">
            <v>400.5</v>
          </cell>
          <cell r="DA298">
            <v>288</v>
          </cell>
          <cell r="DB298" t="str">
            <v>ACTIVO</v>
          </cell>
          <cell r="DC298" t="str">
            <v>B</v>
          </cell>
          <cell r="DE298">
            <v>279</v>
          </cell>
          <cell r="DF298">
            <v>46.5</v>
          </cell>
          <cell r="DG298">
            <v>149.19590840780904</v>
          </cell>
          <cell r="DH298">
            <v>1237.5</v>
          </cell>
          <cell r="DI298">
            <v>2263857.75</v>
          </cell>
          <cell r="DJ298">
            <v>4.435483870967742</v>
          </cell>
          <cell r="DK298" t="str">
            <v>OK</v>
          </cell>
          <cell r="DL298">
            <v>186</v>
          </cell>
          <cell r="DM298">
            <v>93</v>
          </cell>
          <cell r="DN298">
            <v>279</v>
          </cell>
        </row>
        <row r="299">
          <cell r="B299">
            <v>107295</v>
          </cell>
          <cell r="C299" t="str">
            <v>PASTA MEL DE MARACUYÁ BALDE 5 KG</v>
          </cell>
          <cell r="I299">
            <v>10</v>
          </cell>
          <cell r="Y299">
            <v>225</v>
          </cell>
          <cell r="DB299" t="str">
            <v>SIN USO</v>
          </cell>
          <cell r="DC299" t="str">
            <v/>
          </cell>
          <cell r="DE299">
            <v>0</v>
          </cell>
          <cell r="DF299">
            <v>0</v>
          </cell>
          <cell r="DG299">
            <v>0</v>
          </cell>
          <cell r="DH299">
            <v>0</v>
          </cell>
          <cell r="DI299" t="str">
            <v>0</v>
          </cell>
          <cell r="DJ299">
            <v>0</v>
          </cell>
          <cell r="DK299" t="str">
            <v>INACTIVO</v>
          </cell>
          <cell r="DL299">
            <v>0</v>
          </cell>
          <cell r="DM299">
            <v>0</v>
          </cell>
          <cell r="DN299">
            <v>0</v>
          </cell>
        </row>
        <row r="300">
          <cell r="B300">
            <v>170173</v>
          </cell>
          <cell r="C300" t="str">
            <v>MERM. EBEL GRANDES CONSUMIDORES FRUTILLA BALDE 5 Kg</v>
          </cell>
          <cell r="K300">
            <v>30</v>
          </cell>
          <cell r="L300">
            <v>100</v>
          </cell>
          <cell r="M300">
            <v>66</v>
          </cell>
          <cell r="N300">
            <v>5</v>
          </cell>
          <cell r="O300">
            <v>29</v>
          </cell>
          <cell r="P300">
            <v>45</v>
          </cell>
          <cell r="Q300">
            <v>60</v>
          </cell>
          <cell r="R300">
            <v>55</v>
          </cell>
          <cell r="S300">
            <v>115</v>
          </cell>
          <cell r="T300">
            <v>35</v>
          </cell>
          <cell r="U300">
            <v>110</v>
          </cell>
          <cell r="V300">
            <v>80</v>
          </cell>
          <cell r="W300">
            <v>35</v>
          </cell>
          <cell r="X300">
            <v>70</v>
          </cell>
          <cell r="Y300">
            <v>160</v>
          </cell>
          <cell r="Z300">
            <v>50</v>
          </cell>
          <cell r="AA300">
            <v>45</v>
          </cell>
          <cell r="AB300">
            <v>120</v>
          </cell>
          <cell r="AC300">
            <v>55</v>
          </cell>
          <cell r="AD300">
            <v>30</v>
          </cell>
          <cell r="AE300">
            <v>60</v>
          </cell>
          <cell r="AF300">
            <v>95</v>
          </cell>
          <cell r="AG300">
            <v>105</v>
          </cell>
          <cell r="AH300">
            <v>40</v>
          </cell>
          <cell r="AI300">
            <v>138</v>
          </cell>
          <cell r="AJ300">
            <v>65</v>
          </cell>
          <cell r="AK300">
            <v>5</v>
          </cell>
          <cell r="AL300">
            <v>100</v>
          </cell>
          <cell r="AM300">
            <v>70</v>
          </cell>
          <cell r="AN300">
            <v>75</v>
          </cell>
          <cell r="AO300">
            <v>75</v>
          </cell>
          <cell r="AP300">
            <v>105</v>
          </cell>
          <cell r="AQ300">
            <v>100</v>
          </cell>
          <cell r="AR300">
            <v>95</v>
          </cell>
          <cell r="AS300">
            <v>70</v>
          </cell>
          <cell r="AT300">
            <v>230</v>
          </cell>
          <cell r="AU300">
            <v>65</v>
          </cell>
          <cell r="AV300">
            <v>710</v>
          </cell>
          <cell r="AW300">
            <v>100</v>
          </cell>
          <cell r="AX300">
            <v>80</v>
          </cell>
          <cell r="AY300">
            <v>65</v>
          </cell>
          <cell r="AZ300">
            <v>61</v>
          </cell>
          <cell r="BA300">
            <v>99</v>
          </cell>
          <cell r="BB300">
            <v>55</v>
          </cell>
          <cell r="BC300">
            <v>125</v>
          </cell>
          <cell r="BD300">
            <v>80</v>
          </cell>
          <cell r="BE300">
            <v>80</v>
          </cell>
          <cell r="BF300">
            <v>20</v>
          </cell>
          <cell r="BG300">
            <v>115</v>
          </cell>
          <cell r="BH300">
            <v>80</v>
          </cell>
          <cell r="BI300">
            <v>95</v>
          </cell>
          <cell r="BJ300">
            <v>85</v>
          </cell>
          <cell r="BK300">
            <v>75</v>
          </cell>
          <cell r="BL300">
            <v>75</v>
          </cell>
          <cell r="BM300">
            <v>85</v>
          </cell>
          <cell r="BN300">
            <v>100</v>
          </cell>
          <cell r="BO300">
            <v>65</v>
          </cell>
          <cell r="BP300">
            <v>40</v>
          </cell>
          <cell r="BQ300">
            <v>80</v>
          </cell>
          <cell r="BR300">
            <v>40</v>
          </cell>
          <cell r="BS300">
            <v>100</v>
          </cell>
          <cell r="BT300">
            <v>65</v>
          </cell>
          <cell r="BU300">
            <v>65</v>
          </cell>
          <cell r="BV300">
            <v>60</v>
          </cell>
          <cell r="BW300">
            <v>65</v>
          </cell>
          <cell r="BX300">
            <v>30</v>
          </cell>
          <cell r="BY300">
            <v>55</v>
          </cell>
          <cell r="BZ300">
            <v>115</v>
          </cell>
          <cell r="CA300">
            <v>65</v>
          </cell>
          <cell r="CB300">
            <v>45</v>
          </cell>
          <cell r="CC300">
            <v>70</v>
          </cell>
          <cell r="CD300">
            <v>85</v>
          </cell>
          <cell r="CE300">
            <v>35</v>
          </cell>
          <cell r="CF300">
            <v>20</v>
          </cell>
          <cell r="CG300">
            <v>75</v>
          </cell>
          <cell r="CH300">
            <v>75</v>
          </cell>
          <cell r="CI300">
            <v>80</v>
          </cell>
          <cell r="CJ300">
            <v>40</v>
          </cell>
          <cell r="CK300">
            <v>120</v>
          </cell>
          <cell r="CL300">
            <v>75</v>
          </cell>
          <cell r="CM300">
            <v>80</v>
          </cell>
          <cell r="CN300">
            <v>85</v>
          </cell>
          <cell r="CO300">
            <v>75</v>
          </cell>
          <cell r="CP300">
            <v>95</v>
          </cell>
          <cell r="CQ300">
            <v>45</v>
          </cell>
          <cell r="CR300">
            <v>75</v>
          </cell>
          <cell r="CS300">
            <v>40</v>
          </cell>
          <cell r="CT300">
            <v>85</v>
          </cell>
          <cell r="CU300">
            <v>70</v>
          </cell>
          <cell r="CV300">
            <v>40</v>
          </cell>
          <cell r="CX300">
            <v>135</v>
          </cell>
          <cell r="CY300">
            <v>100</v>
          </cell>
          <cell r="CZ300">
            <v>60</v>
          </cell>
          <cell r="DA300">
            <v>70</v>
          </cell>
          <cell r="DB300" t="str">
            <v>ACTIVO</v>
          </cell>
          <cell r="DC300" t="str">
            <v>C</v>
          </cell>
          <cell r="DE300">
            <v>69.117647058823536</v>
          </cell>
          <cell r="DF300">
            <v>11.519607843137257</v>
          </cell>
          <cell r="DG300">
            <v>93.121434678148574</v>
          </cell>
          <cell r="DH300">
            <v>620</v>
          </cell>
          <cell r="DI300">
            <v>1261997.6000000001</v>
          </cell>
          <cell r="DJ300">
            <v>8.9702127659574451</v>
          </cell>
          <cell r="DK300" t="str">
            <v>OK</v>
          </cell>
          <cell r="DL300">
            <v>23.039215686274513</v>
          </cell>
          <cell r="DM300">
            <v>23.039215686274513</v>
          </cell>
          <cell r="DN300">
            <v>46.078431372549026</v>
          </cell>
        </row>
        <row r="301">
          <cell r="B301">
            <v>405399</v>
          </cell>
          <cell r="C301" t="str">
            <v>RELLENO AVELLANA CERRILLOS</v>
          </cell>
          <cell r="N301">
            <v>162</v>
          </cell>
          <cell r="Q301">
            <v>111</v>
          </cell>
          <cell r="R301">
            <v>129</v>
          </cell>
          <cell r="Y301">
            <v>360</v>
          </cell>
          <cell r="AH301">
            <v>288</v>
          </cell>
          <cell r="AO301">
            <v>6</v>
          </cell>
          <cell r="AP301">
            <v>93</v>
          </cell>
          <cell r="AR301">
            <v>132</v>
          </cell>
          <cell r="AS301">
            <v>60</v>
          </cell>
          <cell r="AW301">
            <v>80</v>
          </cell>
          <cell r="AX301">
            <v>56</v>
          </cell>
          <cell r="AY301">
            <v>50</v>
          </cell>
          <cell r="AZ301">
            <v>72</v>
          </cell>
          <cell r="BB301">
            <v>60</v>
          </cell>
          <cell r="BD301">
            <v>78</v>
          </cell>
          <cell r="BE301">
            <v>18</v>
          </cell>
          <cell r="BF301">
            <v>60</v>
          </cell>
          <cell r="BG301">
            <v>34</v>
          </cell>
          <cell r="BI301">
            <v>57</v>
          </cell>
          <cell r="BJ301">
            <v>51</v>
          </cell>
          <cell r="BK301">
            <v>42</v>
          </cell>
          <cell r="BL301">
            <v>54</v>
          </cell>
          <cell r="BO301">
            <v>3</v>
          </cell>
          <cell r="BS301">
            <v>4</v>
          </cell>
          <cell r="BW301">
            <v>3</v>
          </cell>
          <cell r="DB301" t="str">
            <v>SIN USO</v>
          </cell>
          <cell r="DC301" t="str">
            <v>B</v>
          </cell>
          <cell r="DE301">
            <v>0</v>
          </cell>
          <cell r="DF301">
            <v>0</v>
          </cell>
          <cell r="DG301">
            <v>61.074115786048175</v>
          </cell>
          <cell r="DH301">
            <v>0</v>
          </cell>
          <cell r="DI301" t="str">
            <v>0</v>
          </cell>
          <cell r="DJ301">
            <v>0</v>
          </cell>
          <cell r="DK301" t="str">
            <v>INACTIVO</v>
          </cell>
          <cell r="DL301">
            <v>0</v>
          </cell>
          <cell r="DM301">
            <v>0</v>
          </cell>
          <cell r="DN301">
            <v>0</v>
          </cell>
        </row>
        <row r="302">
          <cell r="D302">
            <v>12201.5</v>
          </cell>
          <cell r="E302">
            <v>9894</v>
          </cell>
          <cell r="F302">
            <v>12007</v>
          </cell>
          <cell r="G302">
            <v>9014.5</v>
          </cell>
          <cell r="H302">
            <v>12024</v>
          </cell>
          <cell r="I302">
            <v>13154</v>
          </cell>
          <cell r="J302">
            <v>11888</v>
          </cell>
          <cell r="K302">
            <v>11159.5</v>
          </cell>
          <cell r="L302">
            <v>15312.7</v>
          </cell>
          <cell r="M302">
            <v>12632.5</v>
          </cell>
          <cell r="N302">
            <v>13237.5</v>
          </cell>
          <cell r="O302">
            <v>5911</v>
          </cell>
          <cell r="P302">
            <v>12232.5</v>
          </cell>
          <cell r="Q302">
            <v>12953</v>
          </cell>
          <cell r="R302">
            <v>12182</v>
          </cell>
          <cell r="S302">
            <v>10769</v>
          </cell>
          <cell r="T302">
            <v>13534</v>
          </cell>
          <cell r="U302">
            <v>12905.5</v>
          </cell>
          <cell r="V302">
            <v>13799.5</v>
          </cell>
          <cell r="W302">
            <v>9841.5</v>
          </cell>
          <cell r="X302">
            <v>10863</v>
          </cell>
          <cell r="Y302">
            <v>16829</v>
          </cell>
          <cell r="Z302">
            <v>9008.5</v>
          </cell>
          <cell r="AA302">
            <v>8759.5</v>
          </cell>
          <cell r="AB302">
            <v>10293.5</v>
          </cell>
          <cell r="AC302">
            <v>7077</v>
          </cell>
          <cell r="AD302">
            <v>4025.5</v>
          </cell>
          <cell r="AE302">
            <v>4245</v>
          </cell>
          <cell r="AF302">
            <v>11981.4</v>
          </cell>
          <cell r="AG302">
            <v>9638.6</v>
          </cell>
          <cell r="AH302">
            <v>10292.6</v>
          </cell>
          <cell r="AI302">
            <v>15417.45</v>
          </cell>
          <cell r="AJ302">
            <v>13003</v>
          </cell>
          <cell r="AK302">
            <v>9037.2999999999993</v>
          </cell>
          <cell r="AL302">
            <v>10393.5</v>
          </cell>
          <cell r="AM302">
            <v>8809.5</v>
          </cell>
          <cell r="AN302">
            <v>9798</v>
          </cell>
          <cell r="AO302">
            <v>11920</v>
          </cell>
          <cell r="AP302">
            <v>11387</v>
          </cell>
          <cell r="AQ302">
            <v>13662</v>
          </cell>
          <cell r="AR302">
            <v>13714.4</v>
          </cell>
          <cell r="AS302">
            <v>13552.5</v>
          </cell>
          <cell r="AT302">
            <v>13641.5</v>
          </cell>
          <cell r="AU302">
            <v>18208.5</v>
          </cell>
          <cell r="AV302">
            <v>18724.25</v>
          </cell>
          <cell r="AW302">
            <v>15867</v>
          </cell>
          <cell r="AX302">
            <v>15018</v>
          </cell>
          <cell r="AY302">
            <v>12446</v>
          </cell>
          <cell r="AZ302">
            <v>17106</v>
          </cell>
          <cell r="BA302">
            <v>18237.5</v>
          </cell>
          <cell r="BB302">
            <v>9615</v>
          </cell>
          <cell r="BC302">
            <v>15677.3</v>
          </cell>
          <cell r="BD302">
            <v>14910.5</v>
          </cell>
          <cell r="BE302">
            <v>10296.5</v>
          </cell>
          <cell r="BF302">
            <v>10354</v>
          </cell>
          <cell r="BG302">
            <v>8542.5</v>
          </cell>
          <cell r="BH302">
            <v>15784.5</v>
          </cell>
          <cell r="BI302">
            <v>11223.5</v>
          </cell>
          <cell r="BJ302">
            <v>11334.5</v>
          </cell>
          <cell r="BK302">
            <v>9553.15</v>
          </cell>
          <cell r="BL302">
            <v>10393.5</v>
          </cell>
          <cell r="BM302">
            <v>12225</v>
          </cell>
          <cell r="BN302">
            <v>13286.5</v>
          </cell>
          <cell r="BO302">
            <v>10305</v>
          </cell>
          <cell r="BP302">
            <v>3619.5</v>
          </cell>
          <cell r="BQ302">
            <v>13782</v>
          </cell>
          <cell r="BR302">
            <v>9350.5</v>
          </cell>
          <cell r="BS302">
            <v>12757</v>
          </cell>
          <cell r="BT302">
            <v>9076.5</v>
          </cell>
          <cell r="BU302">
            <v>10908</v>
          </cell>
          <cell r="BV302">
            <v>9693.5</v>
          </cell>
          <cell r="BW302">
            <v>9114.5</v>
          </cell>
          <cell r="BX302">
            <v>8417</v>
          </cell>
          <cell r="BY302">
            <v>8064.5</v>
          </cell>
          <cell r="BZ302">
            <v>9716.5</v>
          </cell>
          <cell r="CA302">
            <v>9254.5</v>
          </cell>
          <cell r="CB302">
            <v>7126</v>
          </cell>
          <cell r="CC302">
            <v>11458</v>
          </cell>
          <cell r="CD302">
            <v>8357</v>
          </cell>
          <cell r="CE302">
            <v>4595.5</v>
          </cell>
          <cell r="CF302">
            <v>4368</v>
          </cell>
          <cell r="CG302">
            <v>10620.5</v>
          </cell>
          <cell r="CH302">
            <v>9796.5</v>
          </cell>
          <cell r="CI302">
            <v>10556.7</v>
          </cell>
          <cell r="CJ302">
            <v>10245</v>
          </cell>
          <cell r="CK302">
            <v>9479.5</v>
          </cell>
          <cell r="CL302">
            <v>12881.5</v>
          </cell>
          <cell r="CM302">
            <v>10036</v>
          </cell>
          <cell r="CN302">
            <v>9616.2999999999993</v>
          </cell>
          <cell r="CO302">
            <v>9217.5</v>
          </cell>
          <cell r="CP302">
            <v>10910</v>
          </cell>
          <cell r="CQ302">
            <v>10430</v>
          </cell>
          <cell r="CR302">
            <v>11332</v>
          </cell>
          <cell r="CS302">
            <v>8271.5</v>
          </cell>
          <cell r="CT302">
            <v>14866</v>
          </cell>
          <cell r="CU302">
            <v>14401.7</v>
          </cell>
          <cell r="CV302">
            <v>14165.5</v>
          </cell>
          <cell r="CW302">
            <v>12725</v>
          </cell>
          <cell r="CX302">
            <v>7887</v>
          </cell>
          <cell r="CY302">
            <v>12270</v>
          </cell>
          <cell r="CZ302">
            <v>8971</v>
          </cell>
          <cell r="DA302">
            <v>12043.5</v>
          </cell>
          <cell r="DB302" t="str">
            <v>ACTIVO</v>
          </cell>
          <cell r="DC302" t="str">
            <v/>
          </cell>
          <cell r="DE302">
            <v>10658.482352941177</v>
          </cell>
          <cell r="DF302">
            <v>1776.4137254901962</v>
          </cell>
          <cell r="DG302">
            <v>3354.1261267714194</v>
          </cell>
          <cell r="DH302">
            <v>0</v>
          </cell>
          <cell r="DI302" t="str">
            <v>0</v>
          </cell>
          <cell r="DJ302">
            <v>0</v>
          </cell>
          <cell r="DK302" t="str">
            <v>INACTIVO</v>
          </cell>
          <cell r="DL302">
            <v>0</v>
          </cell>
          <cell r="DM302">
            <v>3552.8274509803923</v>
          </cell>
          <cell r="DN302">
            <v>3552.8274509803923</v>
          </cell>
        </row>
        <row r="303">
          <cell r="B303">
            <v>100303</v>
          </cell>
          <cell r="C303" t="str">
            <v>JARABE DE REMOJO 35° TOTEM 1000 Lt</v>
          </cell>
          <cell r="D303">
            <v>5000</v>
          </cell>
          <cell r="E303">
            <v>5000</v>
          </cell>
          <cell r="F303">
            <v>7000</v>
          </cell>
          <cell r="G303">
            <v>7000</v>
          </cell>
          <cell r="H303">
            <v>6000</v>
          </cell>
          <cell r="I303">
            <v>7000</v>
          </cell>
          <cell r="J303">
            <v>8000</v>
          </cell>
          <cell r="K303">
            <v>10000</v>
          </cell>
          <cell r="L303">
            <v>7000</v>
          </cell>
          <cell r="M303">
            <v>8000</v>
          </cell>
          <cell r="N303">
            <v>6000</v>
          </cell>
          <cell r="O303">
            <v>4000</v>
          </cell>
          <cell r="P303">
            <v>9000</v>
          </cell>
          <cell r="Q303">
            <v>6000</v>
          </cell>
          <cell r="R303">
            <v>8000</v>
          </cell>
          <cell r="S303">
            <v>8000</v>
          </cell>
          <cell r="T303">
            <v>9000</v>
          </cell>
          <cell r="U303">
            <v>7000</v>
          </cell>
          <cell r="V303">
            <v>8000</v>
          </cell>
          <cell r="W303">
            <v>9000</v>
          </cell>
          <cell r="X303">
            <v>9000</v>
          </cell>
          <cell r="Y303">
            <v>6000</v>
          </cell>
          <cell r="Z303">
            <v>8000</v>
          </cell>
          <cell r="AA303">
            <v>8000</v>
          </cell>
          <cell r="AB303">
            <v>6000</v>
          </cell>
          <cell r="AC303">
            <v>6000</v>
          </cell>
          <cell r="AD303">
            <v>2000</v>
          </cell>
          <cell r="AE303">
            <v>2000</v>
          </cell>
          <cell r="AF303">
            <v>3000</v>
          </cell>
          <cell r="AG303">
            <v>6000</v>
          </cell>
          <cell r="AH303">
            <v>4000</v>
          </cell>
          <cell r="AI303">
            <v>6000</v>
          </cell>
          <cell r="AJ303">
            <v>10000</v>
          </cell>
          <cell r="AK303">
            <v>5000</v>
          </cell>
          <cell r="AL303">
            <v>5000</v>
          </cell>
          <cell r="AM303">
            <v>6000</v>
          </cell>
          <cell r="AN303">
            <v>6000</v>
          </cell>
          <cell r="AO303">
            <v>8000</v>
          </cell>
          <cell r="AP303">
            <v>6000</v>
          </cell>
          <cell r="AQ303">
            <v>11000</v>
          </cell>
          <cell r="AR303">
            <v>6000</v>
          </cell>
          <cell r="AS303">
            <v>8000</v>
          </cell>
          <cell r="AT303">
            <v>7000</v>
          </cell>
          <cell r="AU303">
            <v>8000</v>
          </cell>
          <cell r="AV303">
            <v>7000</v>
          </cell>
          <cell r="AW303">
            <v>7000</v>
          </cell>
          <cell r="AX303">
            <v>8055</v>
          </cell>
          <cell r="AY303">
            <v>7000</v>
          </cell>
          <cell r="AZ303">
            <v>11000</v>
          </cell>
          <cell r="BA303">
            <v>8000</v>
          </cell>
          <cell r="BB303">
            <v>11000</v>
          </cell>
          <cell r="BC303">
            <v>7000</v>
          </cell>
          <cell r="BD303">
            <v>6000</v>
          </cell>
          <cell r="BE303">
            <v>5000</v>
          </cell>
          <cell r="BF303">
            <v>8000</v>
          </cell>
          <cell r="BG303">
            <v>5000</v>
          </cell>
          <cell r="BH303">
            <v>9000</v>
          </cell>
          <cell r="BI303">
            <v>5000</v>
          </cell>
          <cell r="BJ303">
            <v>10000</v>
          </cell>
          <cell r="BK303">
            <v>5000</v>
          </cell>
          <cell r="BL303">
            <v>8000</v>
          </cell>
          <cell r="BM303">
            <v>8000</v>
          </cell>
          <cell r="BN303">
            <v>5000</v>
          </cell>
          <cell r="BO303">
            <v>4000</v>
          </cell>
          <cell r="BP303">
            <v>4000</v>
          </cell>
          <cell r="BQ303">
            <v>6050</v>
          </cell>
          <cell r="BR303">
            <v>4000</v>
          </cell>
          <cell r="BS303">
            <v>8000</v>
          </cell>
          <cell r="BT303">
            <v>3000</v>
          </cell>
          <cell r="BU303">
            <v>6000</v>
          </cell>
          <cell r="BV303">
            <v>5000</v>
          </cell>
          <cell r="BW303">
            <v>3000</v>
          </cell>
          <cell r="BX303">
            <v>5000</v>
          </cell>
          <cell r="BY303">
            <v>3000</v>
          </cell>
          <cell r="BZ303">
            <v>3000</v>
          </cell>
          <cell r="CA303">
            <v>4000</v>
          </cell>
          <cell r="CB303">
            <v>3000</v>
          </cell>
          <cell r="CC303">
            <v>4000</v>
          </cell>
          <cell r="CD303">
            <v>4000</v>
          </cell>
          <cell r="CE303">
            <v>2000</v>
          </cell>
          <cell r="CF303">
            <v>1000</v>
          </cell>
          <cell r="CG303">
            <v>5000</v>
          </cell>
          <cell r="CH303">
            <v>5000</v>
          </cell>
          <cell r="CI303">
            <v>4000</v>
          </cell>
          <cell r="CJ303">
            <v>5000</v>
          </cell>
          <cell r="CK303">
            <v>2000</v>
          </cell>
          <cell r="CL303">
            <v>4000</v>
          </cell>
          <cell r="CM303">
            <v>4000</v>
          </cell>
          <cell r="CN303">
            <v>3000</v>
          </cell>
          <cell r="CO303">
            <v>4000</v>
          </cell>
          <cell r="CP303">
            <v>5000</v>
          </cell>
          <cell r="CQ303">
            <v>4000</v>
          </cell>
          <cell r="CR303">
            <v>7000</v>
          </cell>
          <cell r="CS303">
            <v>3000</v>
          </cell>
          <cell r="CT303">
            <v>4000</v>
          </cell>
          <cell r="CU303">
            <v>4015</v>
          </cell>
          <cell r="CV303">
            <v>5000</v>
          </cell>
          <cell r="CW303">
            <v>3000</v>
          </cell>
          <cell r="CX303">
            <v>1000</v>
          </cell>
          <cell r="CY303">
            <v>1000</v>
          </cell>
          <cell r="CZ303">
            <v>1000</v>
          </cell>
          <cell r="DA303">
            <v>6000</v>
          </cell>
          <cell r="DB303" t="str">
            <v>ACTIVO</v>
          </cell>
          <cell r="DC303" t="str">
            <v>A</v>
          </cell>
          <cell r="DE303">
            <v>4059.705882352941</v>
          </cell>
          <cell r="DF303">
            <v>676.61764705882354</v>
          </cell>
          <cell r="DG303">
            <v>2321.410864858547</v>
          </cell>
          <cell r="DH303">
            <v>3000</v>
          </cell>
          <cell r="DI303">
            <v>2067000</v>
          </cell>
          <cell r="DJ303">
            <v>0.7389697891762661</v>
          </cell>
          <cell r="DK303" t="str">
            <v>OK</v>
          </cell>
          <cell r="DL303">
            <v>1353.2352941176471</v>
          </cell>
          <cell r="DM303">
            <v>1353.2352941176471</v>
          </cell>
          <cell r="DN303">
            <v>2706.4705882352941</v>
          </cell>
        </row>
        <row r="304">
          <cell r="B304">
            <v>107259</v>
          </cell>
          <cell r="C304" t="str">
            <v>JARABE 3 LECHES SCHOLLE 10LT DIWATTS</v>
          </cell>
          <cell r="D304">
            <v>340</v>
          </cell>
          <cell r="E304">
            <v>500</v>
          </cell>
          <cell r="F304">
            <v>270</v>
          </cell>
          <cell r="G304">
            <v>750</v>
          </cell>
          <cell r="H304">
            <v>180</v>
          </cell>
          <cell r="I304">
            <v>170</v>
          </cell>
          <cell r="J304">
            <v>230</v>
          </cell>
          <cell r="K304">
            <v>200</v>
          </cell>
          <cell r="L304">
            <v>250</v>
          </cell>
          <cell r="M304">
            <v>230</v>
          </cell>
          <cell r="N304">
            <v>230</v>
          </cell>
          <cell r="O304">
            <v>10</v>
          </cell>
          <cell r="P304">
            <v>110</v>
          </cell>
          <cell r="Q304">
            <v>270</v>
          </cell>
          <cell r="R304">
            <v>180</v>
          </cell>
          <cell r="S304">
            <v>180</v>
          </cell>
          <cell r="T304">
            <v>150</v>
          </cell>
          <cell r="U304">
            <v>160</v>
          </cell>
          <cell r="V304">
            <v>210</v>
          </cell>
          <cell r="W304">
            <v>150</v>
          </cell>
          <cell r="X304">
            <v>110</v>
          </cell>
          <cell r="Y304">
            <v>10</v>
          </cell>
          <cell r="Z304">
            <v>140</v>
          </cell>
          <cell r="AA304">
            <v>210</v>
          </cell>
          <cell r="AB304">
            <v>190</v>
          </cell>
          <cell r="AC304">
            <v>150</v>
          </cell>
          <cell r="AD304">
            <v>60</v>
          </cell>
          <cell r="AE304">
            <v>50</v>
          </cell>
          <cell r="AF304">
            <v>191</v>
          </cell>
          <cell r="AG304">
            <v>230</v>
          </cell>
          <cell r="AH304">
            <v>198</v>
          </cell>
          <cell r="AI304">
            <v>230</v>
          </cell>
          <cell r="AJ304">
            <v>180</v>
          </cell>
          <cell r="AK304">
            <v>170</v>
          </cell>
          <cell r="AL304">
            <v>210</v>
          </cell>
          <cell r="AM304">
            <v>210</v>
          </cell>
          <cell r="AN304">
            <v>260</v>
          </cell>
          <cell r="AO304">
            <v>230</v>
          </cell>
          <cell r="AP304">
            <v>150</v>
          </cell>
          <cell r="AQ304">
            <v>210</v>
          </cell>
          <cell r="AR304">
            <v>260</v>
          </cell>
          <cell r="AS304">
            <v>200</v>
          </cell>
          <cell r="AT304">
            <v>200</v>
          </cell>
          <cell r="AU304">
            <v>160</v>
          </cell>
          <cell r="AV304">
            <v>180</v>
          </cell>
          <cell r="AW304">
            <v>200</v>
          </cell>
          <cell r="AX304">
            <v>210</v>
          </cell>
          <cell r="AY304">
            <v>170</v>
          </cell>
          <cell r="AZ304">
            <v>190</v>
          </cell>
          <cell r="BA304">
            <v>190</v>
          </cell>
          <cell r="BB304">
            <v>180</v>
          </cell>
          <cell r="BC304">
            <v>220</v>
          </cell>
          <cell r="BD304">
            <v>220</v>
          </cell>
          <cell r="BE304">
            <v>180</v>
          </cell>
          <cell r="BF304">
            <v>160</v>
          </cell>
          <cell r="BG304">
            <v>220</v>
          </cell>
          <cell r="BH304">
            <v>190</v>
          </cell>
          <cell r="BI304">
            <v>200</v>
          </cell>
          <cell r="BJ304">
            <v>180</v>
          </cell>
          <cell r="BK304">
            <v>180</v>
          </cell>
          <cell r="BL304">
            <v>170</v>
          </cell>
          <cell r="BM304">
            <v>180</v>
          </cell>
          <cell r="BN304">
            <v>160</v>
          </cell>
          <cell r="BO304">
            <v>150</v>
          </cell>
          <cell r="BP304">
            <v>20</v>
          </cell>
          <cell r="BQ304">
            <v>210</v>
          </cell>
          <cell r="BR304">
            <v>150</v>
          </cell>
          <cell r="BS304">
            <v>200</v>
          </cell>
          <cell r="BT304">
            <v>160</v>
          </cell>
          <cell r="BU304">
            <v>180</v>
          </cell>
          <cell r="BV304">
            <v>190</v>
          </cell>
          <cell r="BW304">
            <v>200</v>
          </cell>
          <cell r="BX304">
            <v>140</v>
          </cell>
          <cell r="BY304">
            <v>180</v>
          </cell>
          <cell r="BZ304">
            <v>210</v>
          </cell>
          <cell r="CA304">
            <v>180</v>
          </cell>
          <cell r="CB304">
            <v>140</v>
          </cell>
          <cell r="CC304">
            <v>310</v>
          </cell>
          <cell r="CD304">
            <v>420</v>
          </cell>
          <cell r="CE304">
            <v>70</v>
          </cell>
          <cell r="CF304">
            <v>50</v>
          </cell>
          <cell r="CG304">
            <v>150</v>
          </cell>
          <cell r="CH304">
            <v>160</v>
          </cell>
          <cell r="CI304">
            <v>160</v>
          </cell>
          <cell r="CJ304">
            <v>150</v>
          </cell>
          <cell r="CK304">
            <v>170</v>
          </cell>
          <cell r="CL304">
            <v>150</v>
          </cell>
          <cell r="CM304">
            <v>140</v>
          </cell>
          <cell r="CN304">
            <v>190</v>
          </cell>
          <cell r="CO304">
            <v>140</v>
          </cell>
          <cell r="CP304">
            <v>150</v>
          </cell>
          <cell r="CQ304">
            <v>150</v>
          </cell>
          <cell r="CR304">
            <v>190</v>
          </cell>
          <cell r="CS304">
            <v>160</v>
          </cell>
          <cell r="CT304">
            <v>390</v>
          </cell>
          <cell r="CU304">
            <v>200</v>
          </cell>
          <cell r="CV304">
            <v>180</v>
          </cell>
          <cell r="CW304">
            <v>180</v>
          </cell>
          <cell r="CX304">
            <v>150</v>
          </cell>
          <cell r="CY304">
            <v>200</v>
          </cell>
          <cell r="CZ304">
            <v>190</v>
          </cell>
          <cell r="DA304">
            <v>220</v>
          </cell>
          <cell r="DB304" t="str">
            <v>ACTIVO</v>
          </cell>
          <cell r="DC304" t="str">
            <v>B</v>
          </cell>
          <cell r="DE304">
            <v>169.41176470588235</v>
          </cell>
          <cell r="DF304">
            <v>28.235294117647058</v>
          </cell>
          <cell r="DG304">
            <v>56.523188403397079</v>
          </cell>
          <cell r="DH304">
            <v>450</v>
          </cell>
          <cell r="DI304">
            <v>985243.5</v>
          </cell>
          <cell r="DJ304">
            <v>2.65625</v>
          </cell>
          <cell r="DK304" t="str">
            <v>OK</v>
          </cell>
          <cell r="DL304">
            <v>56.470588235294116</v>
          </cell>
          <cell r="DM304">
            <v>56.470588235294116</v>
          </cell>
          <cell r="DN304">
            <v>112.94117647058823</v>
          </cell>
        </row>
        <row r="305">
          <cell r="B305">
            <v>107278</v>
          </cell>
          <cell r="C305" t="str">
            <v>JARABE DE REMOJO RON-NJA 40 BIDÓN 5 Lt</v>
          </cell>
          <cell r="D305">
            <v>2430</v>
          </cell>
          <cell r="E305">
            <v>2815</v>
          </cell>
          <cell r="F305">
            <v>2575</v>
          </cell>
          <cell r="G305">
            <v>2830</v>
          </cell>
          <cell r="H305">
            <v>3660</v>
          </cell>
          <cell r="I305">
            <v>2930</v>
          </cell>
          <cell r="J305">
            <v>3175</v>
          </cell>
          <cell r="K305">
            <v>3435</v>
          </cell>
          <cell r="L305">
            <v>3109</v>
          </cell>
          <cell r="M305">
            <v>2690</v>
          </cell>
          <cell r="N305">
            <v>2380</v>
          </cell>
          <cell r="O305">
            <v>2800</v>
          </cell>
          <cell r="P305">
            <v>2335</v>
          </cell>
          <cell r="Q305">
            <v>2755</v>
          </cell>
          <cell r="R305">
            <v>2790</v>
          </cell>
          <cell r="S305">
            <v>2620</v>
          </cell>
          <cell r="T305">
            <v>2355</v>
          </cell>
          <cell r="U305">
            <v>2750</v>
          </cell>
          <cell r="V305">
            <v>2765</v>
          </cell>
          <cell r="W305">
            <v>2950</v>
          </cell>
          <cell r="X305">
            <v>2310</v>
          </cell>
          <cell r="Y305">
            <v>3820</v>
          </cell>
          <cell r="Z305">
            <v>2045</v>
          </cell>
          <cell r="AA305">
            <v>2215</v>
          </cell>
          <cell r="AB305">
            <v>2050</v>
          </cell>
          <cell r="AC305">
            <v>1410</v>
          </cell>
          <cell r="AD305">
            <v>280</v>
          </cell>
          <cell r="AE305">
            <v>335</v>
          </cell>
          <cell r="AF305">
            <v>2040</v>
          </cell>
          <cell r="AG305">
            <v>1319</v>
          </cell>
          <cell r="AH305">
            <v>981</v>
          </cell>
          <cell r="AI305">
            <v>1860</v>
          </cell>
          <cell r="AJ305">
            <v>2280</v>
          </cell>
          <cell r="AK305">
            <v>955</v>
          </cell>
          <cell r="AL305">
            <v>1405</v>
          </cell>
          <cell r="AM305">
            <v>1500</v>
          </cell>
          <cell r="AN305">
            <v>1120</v>
          </cell>
          <cell r="AO305">
            <v>2810</v>
          </cell>
          <cell r="AP305">
            <v>1585</v>
          </cell>
          <cell r="AQ305">
            <v>2155</v>
          </cell>
          <cell r="AR305">
            <v>1820</v>
          </cell>
          <cell r="AS305">
            <v>2280</v>
          </cell>
          <cell r="AT305">
            <v>1410</v>
          </cell>
          <cell r="AU305">
            <v>1725</v>
          </cell>
          <cell r="AV305">
            <v>3000</v>
          </cell>
          <cell r="AW305">
            <v>2030</v>
          </cell>
          <cell r="AX305">
            <v>1835</v>
          </cell>
          <cell r="AY305">
            <v>1165</v>
          </cell>
          <cell r="AZ305">
            <v>2422</v>
          </cell>
          <cell r="BA305">
            <v>4863</v>
          </cell>
          <cell r="BB305">
            <v>1045</v>
          </cell>
          <cell r="BC305">
            <v>2375</v>
          </cell>
          <cell r="BD305">
            <v>1946</v>
          </cell>
          <cell r="BE305">
            <v>1575</v>
          </cell>
          <cell r="BF305">
            <v>1980</v>
          </cell>
          <cell r="BG305">
            <v>915</v>
          </cell>
          <cell r="BH305">
            <v>2320</v>
          </cell>
          <cell r="BI305">
            <v>1685</v>
          </cell>
          <cell r="BJ305">
            <v>1180</v>
          </cell>
          <cell r="BK305">
            <v>1070</v>
          </cell>
          <cell r="BL305">
            <v>1420</v>
          </cell>
          <cell r="BM305">
            <v>2140</v>
          </cell>
          <cell r="BN305">
            <v>1420</v>
          </cell>
          <cell r="BO305">
            <v>1415</v>
          </cell>
          <cell r="BP305">
            <v>330</v>
          </cell>
          <cell r="BQ305">
            <v>1650</v>
          </cell>
          <cell r="BR305">
            <v>1540</v>
          </cell>
          <cell r="BS305">
            <v>2575</v>
          </cell>
          <cell r="BT305">
            <v>955</v>
          </cell>
          <cell r="BU305">
            <v>830</v>
          </cell>
          <cell r="BV305">
            <v>1060</v>
          </cell>
          <cell r="BW305">
            <v>1400</v>
          </cell>
          <cell r="BX305">
            <v>750</v>
          </cell>
          <cell r="BY305">
            <v>1560</v>
          </cell>
          <cell r="BZ305">
            <v>1675</v>
          </cell>
          <cell r="CA305">
            <v>805</v>
          </cell>
          <cell r="CB305">
            <v>1025</v>
          </cell>
          <cell r="CC305">
            <v>1810</v>
          </cell>
          <cell r="CD305">
            <v>1040</v>
          </cell>
          <cell r="CE305">
            <v>260</v>
          </cell>
          <cell r="CF305">
            <v>665</v>
          </cell>
          <cell r="CG305">
            <v>1335</v>
          </cell>
          <cell r="CH305">
            <v>1595</v>
          </cell>
          <cell r="CI305">
            <v>1510</v>
          </cell>
          <cell r="CJ305">
            <v>1750</v>
          </cell>
          <cell r="CK305">
            <v>1065</v>
          </cell>
          <cell r="CL305">
            <v>1465</v>
          </cell>
          <cell r="CM305">
            <v>1430</v>
          </cell>
          <cell r="CN305">
            <v>1600</v>
          </cell>
          <cell r="CO305">
            <v>670</v>
          </cell>
          <cell r="CP305">
            <v>1120</v>
          </cell>
          <cell r="CQ305">
            <v>2315</v>
          </cell>
          <cell r="CR305">
            <v>2450</v>
          </cell>
          <cell r="CS305">
            <v>310</v>
          </cell>
          <cell r="CT305">
            <v>380</v>
          </cell>
          <cell r="CU305">
            <v>445</v>
          </cell>
          <cell r="CV305">
            <v>295</v>
          </cell>
          <cell r="CW305">
            <v>155</v>
          </cell>
          <cell r="CX305">
            <v>35</v>
          </cell>
          <cell r="CY305">
            <v>4375</v>
          </cell>
          <cell r="CZ305">
            <v>3020</v>
          </cell>
          <cell r="DA305">
            <v>1105</v>
          </cell>
          <cell r="DB305" t="str">
            <v>ACTIVO</v>
          </cell>
          <cell r="DC305" t="str">
            <v>A</v>
          </cell>
          <cell r="DE305">
            <v>1200</v>
          </cell>
          <cell r="DF305">
            <v>200</v>
          </cell>
          <cell r="DG305">
            <v>763.33048755868185</v>
          </cell>
          <cell r="DH305">
            <v>1180</v>
          </cell>
          <cell r="DI305">
            <v>850544</v>
          </cell>
          <cell r="DJ305">
            <v>0.98333333333333328</v>
          </cell>
          <cell r="DK305" t="str">
            <v>OK</v>
          </cell>
          <cell r="DL305">
            <v>400</v>
          </cell>
          <cell r="DM305">
            <v>400</v>
          </cell>
          <cell r="DN305">
            <v>800</v>
          </cell>
        </row>
        <row r="306">
          <cell r="B306">
            <v>107262</v>
          </cell>
          <cell r="C306" t="str">
            <v>REMOJO 3 LECHES RICHI</v>
          </cell>
          <cell r="D306">
            <v>3697</v>
          </cell>
          <cell r="E306">
            <v>1178</v>
          </cell>
          <cell r="F306">
            <v>1988</v>
          </cell>
          <cell r="G306">
            <v>304</v>
          </cell>
          <cell r="H306">
            <v>1973</v>
          </cell>
          <cell r="I306">
            <v>2617</v>
          </cell>
          <cell r="J306">
            <v>1777</v>
          </cell>
          <cell r="K306">
            <v>1120</v>
          </cell>
          <cell r="L306">
            <v>2790</v>
          </cell>
          <cell r="M306">
            <v>939</v>
          </cell>
          <cell r="N306">
            <v>2308</v>
          </cell>
          <cell r="O306">
            <v>1178</v>
          </cell>
          <cell r="P306">
            <v>1676</v>
          </cell>
          <cell r="Q306">
            <v>2077</v>
          </cell>
          <cell r="R306">
            <v>1798</v>
          </cell>
          <cell r="S306">
            <v>2271</v>
          </cell>
          <cell r="T306">
            <v>2188</v>
          </cell>
          <cell r="U306">
            <v>1440</v>
          </cell>
          <cell r="V306">
            <v>3075</v>
          </cell>
          <cell r="W306">
            <v>60</v>
          </cell>
          <cell r="X306">
            <v>1854</v>
          </cell>
          <cell r="Y306">
            <v>6029</v>
          </cell>
          <cell r="Z306">
            <v>1158</v>
          </cell>
          <cell r="AA306">
            <v>81</v>
          </cell>
          <cell r="AB306">
            <v>3316</v>
          </cell>
          <cell r="AC306">
            <v>34</v>
          </cell>
          <cell r="AD306">
            <v>2289</v>
          </cell>
          <cell r="AF306">
            <v>2388</v>
          </cell>
          <cell r="AG306">
            <v>1644</v>
          </cell>
          <cell r="AH306">
            <v>3731</v>
          </cell>
          <cell r="AI306">
            <v>2305</v>
          </cell>
          <cell r="AJ306">
            <v>1858</v>
          </cell>
          <cell r="AK306">
            <v>771</v>
          </cell>
          <cell r="AL306">
            <v>73</v>
          </cell>
          <cell r="AM306">
            <v>88</v>
          </cell>
          <cell r="AN306">
            <v>736</v>
          </cell>
          <cell r="AO306">
            <v>83</v>
          </cell>
          <cell r="AP306">
            <v>197</v>
          </cell>
          <cell r="AQ306">
            <v>1426</v>
          </cell>
          <cell r="AR306">
            <v>1458</v>
          </cell>
          <cell r="AS306">
            <v>2340</v>
          </cell>
          <cell r="AT306">
            <v>1894</v>
          </cell>
          <cell r="AU306">
            <v>2914</v>
          </cell>
          <cell r="AV306">
            <v>2329</v>
          </cell>
          <cell r="AW306">
            <v>977</v>
          </cell>
          <cell r="AX306">
            <v>2090</v>
          </cell>
          <cell r="AY306">
            <v>2313</v>
          </cell>
          <cell r="AZ306">
            <v>1820</v>
          </cell>
          <cell r="BA306">
            <v>1583</v>
          </cell>
          <cell r="BB306">
            <v>2100</v>
          </cell>
          <cell r="BC306">
            <v>2398</v>
          </cell>
          <cell r="BD306">
            <v>2376</v>
          </cell>
          <cell r="BE306">
            <v>2047</v>
          </cell>
          <cell r="BF306">
            <v>1265</v>
          </cell>
          <cell r="BG306">
            <v>1815</v>
          </cell>
          <cell r="BH306">
            <v>3042</v>
          </cell>
          <cell r="BI306">
            <v>1611</v>
          </cell>
          <cell r="BJ306">
            <v>3151</v>
          </cell>
          <cell r="BK306">
            <v>1325</v>
          </cell>
          <cell r="BL306">
            <v>2283</v>
          </cell>
          <cell r="BM306">
            <v>3170</v>
          </cell>
          <cell r="BN306">
            <v>685</v>
          </cell>
          <cell r="BO306">
            <v>2288</v>
          </cell>
          <cell r="BP306">
            <v>644</v>
          </cell>
          <cell r="BQ306">
            <v>2014</v>
          </cell>
          <cell r="BR306">
            <v>1478</v>
          </cell>
          <cell r="BS306">
            <v>2548</v>
          </cell>
          <cell r="BT306">
            <v>2548</v>
          </cell>
          <cell r="BU306">
            <v>1482</v>
          </cell>
          <cell r="BV306">
            <v>1164</v>
          </cell>
          <cell r="BW306">
            <v>46</v>
          </cell>
          <cell r="BX306">
            <v>2351</v>
          </cell>
          <cell r="BY306">
            <v>1647</v>
          </cell>
          <cell r="BZ306">
            <v>2181</v>
          </cell>
          <cell r="CA306">
            <v>1068</v>
          </cell>
          <cell r="CB306">
            <v>1826</v>
          </cell>
          <cell r="CC306">
            <v>823</v>
          </cell>
          <cell r="CD306">
            <v>757</v>
          </cell>
          <cell r="CE306">
            <v>1424</v>
          </cell>
          <cell r="CF306">
            <v>54</v>
          </cell>
          <cell r="CG306">
            <v>2212</v>
          </cell>
          <cell r="CH306">
            <v>2369</v>
          </cell>
          <cell r="CI306">
            <v>1720</v>
          </cell>
          <cell r="CJ306">
            <v>1704</v>
          </cell>
          <cell r="CK306">
            <v>54</v>
          </cell>
          <cell r="CL306">
            <v>3126</v>
          </cell>
          <cell r="CM306">
            <v>2364</v>
          </cell>
          <cell r="CN306">
            <v>766</v>
          </cell>
          <cell r="CO306">
            <v>2072</v>
          </cell>
          <cell r="CP306">
            <v>1518</v>
          </cell>
          <cell r="CQ306">
            <v>1363</v>
          </cell>
          <cell r="CR306">
            <v>1599</v>
          </cell>
          <cell r="CS306">
            <v>41</v>
          </cell>
          <cell r="CT306">
            <v>2904</v>
          </cell>
          <cell r="CU306">
            <v>946</v>
          </cell>
          <cell r="CV306">
            <v>3640</v>
          </cell>
          <cell r="CW306">
            <v>424</v>
          </cell>
          <cell r="CX306">
            <v>2202</v>
          </cell>
          <cell r="CY306">
            <v>1407</v>
          </cell>
          <cell r="CZ306">
            <v>1584</v>
          </cell>
          <cell r="DA306">
            <v>1513</v>
          </cell>
          <cell r="DB306" t="str">
            <v>ACTIVO</v>
          </cell>
          <cell r="DC306" t="str">
            <v>A</v>
          </cell>
          <cell r="DE306">
            <v>1673.6470588235295</v>
          </cell>
          <cell r="DF306">
            <v>278.94117647058823</v>
          </cell>
          <cell r="DG306">
            <v>867.39232882912563</v>
          </cell>
          <cell r="DH306">
            <v>1300</v>
          </cell>
          <cell r="DI306">
            <v>2584270</v>
          </cell>
          <cell r="DJ306">
            <v>0.77674680163081677</v>
          </cell>
          <cell r="DK306" t="str">
            <v>OK</v>
          </cell>
          <cell r="DL306">
            <v>836.82352941176464</v>
          </cell>
          <cell r="DM306">
            <v>557.88235294117646</v>
          </cell>
          <cell r="DN306">
            <v>1394.705882352941</v>
          </cell>
        </row>
        <row r="307">
          <cell r="B307">
            <v>201103</v>
          </cell>
          <cell r="C307" t="str">
            <v>PROTEKTOR PURATOS</v>
          </cell>
          <cell r="H307">
            <v>10</v>
          </cell>
          <cell r="T307">
            <v>10</v>
          </cell>
          <cell r="V307">
            <v>30</v>
          </cell>
          <cell r="X307">
            <v>10</v>
          </cell>
          <cell r="Z307">
            <v>15</v>
          </cell>
          <cell r="AA307">
            <v>5</v>
          </cell>
          <cell r="AC307">
            <v>35</v>
          </cell>
          <cell r="AF307">
            <v>10</v>
          </cell>
          <cell r="AG307">
            <v>10</v>
          </cell>
          <cell r="AH307">
            <v>5</v>
          </cell>
          <cell r="AI307">
            <v>10</v>
          </cell>
          <cell r="AK307">
            <v>5</v>
          </cell>
          <cell r="AL307">
            <v>5</v>
          </cell>
          <cell r="AN307">
            <v>5</v>
          </cell>
          <cell r="AO307">
            <v>20</v>
          </cell>
          <cell r="AP307">
            <v>20</v>
          </cell>
          <cell r="AS307">
            <v>5</v>
          </cell>
          <cell r="AV307">
            <v>10</v>
          </cell>
          <cell r="AW307">
            <v>5</v>
          </cell>
          <cell r="AX307">
            <v>5</v>
          </cell>
          <cell r="AY307">
            <v>5</v>
          </cell>
          <cell r="AZ307">
            <v>5</v>
          </cell>
          <cell r="BA307">
            <v>10</v>
          </cell>
          <cell r="BC307">
            <v>5</v>
          </cell>
          <cell r="BD307">
            <v>10</v>
          </cell>
          <cell r="BE307">
            <v>5</v>
          </cell>
          <cell r="BF307">
            <v>5</v>
          </cell>
          <cell r="BG307">
            <v>5</v>
          </cell>
          <cell r="BH307">
            <v>10</v>
          </cell>
          <cell r="BI307">
            <v>10</v>
          </cell>
          <cell r="BJ307">
            <v>10</v>
          </cell>
          <cell r="BL307">
            <v>5</v>
          </cell>
          <cell r="BM307">
            <v>5</v>
          </cell>
          <cell r="BN307">
            <v>5</v>
          </cell>
          <cell r="BO307">
            <v>5</v>
          </cell>
          <cell r="BQ307">
            <v>5</v>
          </cell>
          <cell r="BR307">
            <v>10</v>
          </cell>
          <cell r="BS307">
            <v>5</v>
          </cell>
          <cell r="BU307">
            <v>5</v>
          </cell>
          <cell r="BV307">
            <v>10</v>
          </cell>
          <cell r="BX307">
            <v>5</v>
          </cell>
          <cell r="BY307">
            <v>10</v>
          </cell>
          <cell r="BZ307">
            <v>15</v>
          </cell>
          <cell r="CA307">
            <v>15</v>
          </cell>
          <cell r="CB307">
            <v>10</v>
          </cell>
          <cell r="CC307">
            <v>10</v>
          </cell>
          <cell r="CD307">
            <v>15</v>
          </cell>
          <cell r="CG307">
            <v>4</v>
          </cell>
          <cell r="CH307">
            <v>10</v>
          </cell>
          <cell r="CI307">
            <v>10</v>
          </cell>
          <cell r="CJ307">
            <v>10</v>
          </cell>
          <cell r="CK307">
            <v>10</v>
          </cell>
          <cell r="CL307">
            <v>5</v>
          </cell>
          <cell r="CM307">
            <v>10</v>
          </cell>
          <cell r="CN307">
            <v>5</v>
          </cell>
          <cell r="CO307">
            <v>10</v>
          </cell>
          <cell r="CP307">
            <v>5</v>
          </cell>
          <cell r="CQ307">
            <v>5</v>
          </cell>
          <cell r="CR307">
            <v>10</v>
          </cell>
          <cell r="CS307">
            <v>5</v>
          </cell>
          <cell r="CT307">
            <v>5</v>
          </cell>
          <cell r="CU307">
            <v>5</v>
          </cell>
          <cell r="CV307">
            <v>10</v>
          </cell>
          <cell r="CW307">
            <v>5</v>
          </cell>
          <cell r="CX307">
            <v>5</v>
          </cell>
          <cell r="CY307">
            <v>10</v>
          </cell>
          <cell r="CZ307">
            <v>5</v>
          </cell>
          <cell r="DA307">
            <v>5</v>
          </cell>
          <cell r="DB307" t="str">
            <v>ACTIVO</v>
          </cell>
          <cell r="DC307" t="str">
            <v>C</v>
          </cell>
          <cell r="DE307">
            <v>7.4375</v>
          </cell>
          <cell r="DF307">
            <v>1.2395833333333333</v>
          </cell>
          <cell r="DG307">
            <v>4.1679485207707243</v>
          </cell>
          <cell r="DH307">
            <v>25</v>
          </cell>
          <cell r="DI307">
            <v>141825</v>
          </cell>
          <cell r="DJ307">
            <v>3.3613445378151261</v>
          </cell>
          <cell r="DK307" t="str">
            <v>OK</v>
          </cell>
          <cell r="DL307">
            <v>4.958333333333333</v>
          </cell>
          <cell r="DM307">
            <v>2.4791666666666665</v>
          </cell>
          <cell r="DN307">
            <v>7.4375</v>
          </cell>
        </row>
        <row r="308">
          <cell r="B308">
            <v>107260</v>
          </cell>
          <cell r="C308" t="str">
            <v>JARABE DE REMOJO OCTOBINS</v>
          </cell>
          <cell r="AR308">
            <v>975</v>
          </cell>
          <cell r="AS308">
            <v>1950</v>
          </cell>
          <cell r="DB308" t="str">
            <v>SIN USO</v>
          </cell>
          <cell r="DC308" t="str">
            <v>C</v>
          </cell>
          <cell r="DE308">
            <v>0</v>
          </cell>
          <cell r="DF308">
            <v>0</v>
          </cell>
          <cell r="DG308">
            <v>689.42911165688383</v>
          </cell>
          <cell r="DH308">
            <v>0</v>
          </cell>
          <cell r="DI308" t="str">
            <v>0</v>
          </cell>
          <cell r="DJ308">
            <v>0</v>
          </cell>
          <cell r="DK308" t="str">
            <v>INACTIVO</v>
          </cell>
          <cell r="DL308">
            <v>0</v>
          </cell>
          <cell r="DM308">
            <v>0</v>
          </cell>
          <cell r="DN308">
            <v>0</v>
          </cell>
        </row>
        <row r="309">
          <cell r="B309">
            <v>501147</v>
          </cell>
          <cell r="C309" t="str">
            <v>JARABE DE REMOJO 35° BIDON</v>
          </cell>
          <cell r="DA309">
            <v>1020</v>
          </cell>
          <cell r="DB309" t="str">
            <v>ACTIVO</v>
          </cell>
          <cell r="DC309" t="str">
            <v/>
          </cell>
          <cell r="DE309">
            <v>0</v>
          </cell>
          <cell r="DF309">
            <v>0</v>
          </cell>
          <cell r="DG309">
            <v>0</v>
          </cell>
          <cell r="DH309">
            <v>3250</v>
          </cell>
          <cell r="DI309">
            <v>2239250</v>
          </cell>
          <cell r="DJ309">
            <v>0</v>
          </cell>
          <cell r="DK309" t="str">
            <v>OK</v>
          </cell>
          <cell r="DL309">
            <v>0</v>
          </cell>
          <cell r="DM309">
            <v>0</v>
          </cell>
          <cell r="DN309">
            <v>0</v>
          </cell>
        </row>
        <row r="310">
          <cell r="D310">
            <v>11467</v>
          </cell>
          <cell r="E310">
            <v>9493</v>
          </cell>
          <cell r="F310">
            <v>11833</v>
          </cell>
          <cell r="G310">
            <v>10884</v>
          </cell>
          <cell r="H310">
            <v>11823</v>
          </cell>
          <cell r="I310">
            <v>12717</v>
          </cell>
          <cell r="J310">
            <v>13182</v>
          </cell>
          <cell r="K310">
            <v>14755</v>
          </cell>
          <cell r="L310">
            <v>13149</v>
          </cell>
          <cell r="M310">
            <v>11859</v>
          </cell>
          <cell r="N310">
            <v>10918</v>
          </cell>
          <cell r="O310">
            <v>7988</v>
          </cell>
          <cell r="P310">
            <v>13121</v>
          </cell>
          <cell r="Q310">
            <v>11102</v>
          </cell>
          <cell r="R310">
            <v>12768</v>
          </cell>
          <cell r="S310">
            <v>13071</v>
          </cell>
          <cell r="T310">
            <v>13703</v>
          </cell>
          <cell r="U310">
            <v>11350</v>
          </cell>
          <cell r="V310">
            <v>14080</v>
          </cell>
          <cell r="W310">
            <v>12160</v>
          </cell>
          <cell r="X310">
            <v>13284</v>
          </cell>
          <cell r="Y310">
            <v>15859</v>
          </cell>
          <cell r="Z310">
            <v>11358</v>
          </cell>
          <cell r="AA310">
            <v>10511</v>
          </cell>
          <cell r="AB310">
            <v>11556</v>
          </cell>
          <cell r="AC310">
            <v>7629</v>
          </cell>
          <cell r="AD310">
            <v>4629</v>
          </cell>
          <cell r="AE310">
            <v>2385</v>
          </cell>
          <cell r="AF310">
            <v>7629</v>
          </cell>
          <cell r="AG310">
            <v>9203</v>
          </cell>
          <cell r="AH310">
            <v>8915</v>
          </cell>
          <cell r="AI310">
            <v>10405</v>
          </cell>
          <cell r="AJ310">
            <v>14318</v>
          </cell>
          <cell r="AK310">
            <v>6901</v>
          </cell>
          <cell r="AL310">
            <v>6693</v>
          </cell>
          <cell r="AM310">
            <v>7798</v>
          </cell>
          <cell r="AN310">
            <v>8121</v>
          </cell>
          <cell r="AO310">
            <v>11143</v>
          </cell>
          <cell r="AP310">
            <v>7952</v>
          </cell>
          <cell r="AQ310">
            <v>14791</v>
          </cell>
          <cell r="AR310">
            <v>10513</v>
          </cell>
          <cell r="AS310">
            <v>14775</v>
          </cell>
          <cell r="AT310">
            <v>10504</v>
          </cell>
          <cell r="AU310">
            <v>12799</v>
          </cell>
          <cell r="AV310">
            <v>12519</v>
          </cell>
          <cell r="AW310">
            <v>10212</v>
          </cell>
          <cell r="AX310">
            <v>12195</v>
          </cell>
          <cell r="AY310">
            <v>10653</v>
          </cell>
          <cell r="AZ310">
            <v>15437</v>
          </cell>
          <cell r="BA310">
            <v>14646</v>
          </cell>
          <cell r="BB310">
            <v>14325</v>
          </cell>
          <cell r="BC310">
            <v>11998</v>
          </cell>
          <cell r="BD310">
            <v>10552</v>
          </cell>
          <cell r="BE310">
            <v>8807</v>
          </cell>
          <cell r="BF310">
            <v>11410</v>
          </cell>
          <cell r="BG310">
            <v>7955</v>
          </cell>
          <cell r="BH310">
            <v>14562</v>
          </cell>
          <cell r="BI310">
            <v>8506</v>
          </cell>
          <cell r="BJ310">
            <v>14521</v>
          </cell>
          <cell r="BK310">
            <v>7575</v>
          </cell>
          <cell r="BL310">
            <v>11878</v>
          </cell>
          <cell r="BM310">
            <v>13495</v>
          </cell>
          <cell r="BN310">
            <v>7270</v>
          </cell>
          <cell r="BO310">
            <v>7858</v>
          </cell>
          <cell r="BP310">
            <v>4994</v>
          </cell>
          <cell r="BQ310">
            <v>9929</v>
          </cell>
          <cell r="BR310">
            <v>7178</v>
          </cell>
          <cell r="BS310">
            <v>13328</v>
          </cell>
          <cell r="BT310">
            <v>6663</v>
          </cell>
          <cell r="BU310">
            <v>8497</v>
          </cell>
          <cell r="BV310">
            <v>7424</v>
          </cell>
          <cell r="BW310">
            <v>4646</v>
          </cell>
          <cell r="BX310">
            <v>8246</v>
          </cell>
          <cell r="BY310">
            <v>6397</v>
          </cell>
          <cell r="BZ310">
            <v>7081</v>
          </cell>
          <cell r="CA310">
            <v>6068</v>
          </cell>
          <cell r="CB310">
            <v>6001</v>
          </cell>
          <cell r="CC310">
            <v>6953</v>
          </cell>
          <cell r="CD310">
            <v>6232</v>
          </cell>
          <cell r="CE310">
            <v>3754</v>
          </cell>
          <cell r="CF310">
            <v>1769</v>
          </cell>
          <cell r="CG310">
            <v>8701</v>
          </cell>
          <cell r="CH310">
            <v>9134</v>
          </cell>
          <cell r="CI310">
            <v>7400</v>
          </cell>
          <cell r="CJ310">
            <v>8614</v>
          </cell>
          <cell r="CK310">
            <v>3299</v>
          </cell>
          <cell r="CL310">
            <v>8746</v>
          </cell>
          <cell r="CM310">
            <v>7944</v>
          </cell>
          <cell r="CN310">
            <v>5561</v>
          </cell>
          <cell r="CO310">
            <v>6892</v>
          </cell>
          <cell r="CP310">
            <v>7793</v>
          </cell>
          <cell r="CQ310">
            <v>7833</v>
          </cell>
          <cell r="CR310">
            <v>11249</v>
          </cell>
          <cell r="CS310">
            <v>3516</v>
          </cell>
          <cell r="CT310">
            <v>7679</v>
          </cell>
          <cell r="CU310">
            <v>5611</v>
          </cell>
          <cell r="CV310">
            <v>9125</v>
          </cell>
          <cell r="CW310">
            <v>3764</v>
          </cell>
          <cell r="CX310">
            <v>3392</v>
          </cell>
          <cell r="CY310">
            <v>6992</v>
          </cell>
          <cell r="CZ310">
            <v>5799</v>
          </cell>
          <cell r="DA310">
            <v>9863</v>
          </cell>
          <cell r="DB310" t="str">
            <v>ACTIVO</v>
          </cell>
          <cell r="DC310" t="str">
            <v/>
          </cell>
          <cell r="DE310">
            <v>7109.7647058823532</v>
          </cell>
          <cell r="DF310">
            <v>1184.9607843137255</v>
          </cell>
          <cell r="DG310">
            <v>3229.800740550023</v>
          </cell>
          <cell r="DH310">
            <v>0</v>
          </cell>
          <cell r="DI310" t="str">
            <v>0</v>
          </cell>
          <cell r="DJ310">
            <v>0</v>
          </cell>
          <cell r="DK310" t="str">
            <v>INACTIVO</v>
          </cell>
          <cell r="DL310">
            <v>0</v>
          </cell>
          <cell r="DM310">
            <v>2369.9215686274511</v>
          </cell>
          <cell r="DN310">
            <v>2369.9215686274511</v>
          </cell>
        </row>
        <row r="311">
          <cell r="B311">
            <v>405771</v>
          </cell>
          <cell r="C311" t="str">
            <v>ETIQUETA 300X57 TORTA HOJA MERENGUE SMU</v>
          </cell>
          <cell r="DA311">
            <v>2000</v>
          </cell>
          <cell r="DB311" t="str">
            <v>ACTIVO</v>
          </cell>
          <cell r="DC311" t="str">
            <v/>
          </cell>
          <cell r="DE311">
            <v>0</v>
          </cell>
          <cell r="DF311">
            <v>0</v>
          </cell>
          <cell r="DG311">
            <v>0</v>
          </cell>
          <cell r="DH311">
            <v>8000</v>
          </cell>
          <cell r="DI311">
            <v>364000</v>
          </cell>
          <cell r="DJ311">
            <v>0</v>
          </cell>
          <cell r="DK311" t="str">
            <v>OK</v>
          </cell>
          <cell r="DL311">
            <v>0</v>
          </cell>
          <cell r="DM311">
            <v>0</v>
          </cell>
          <cell r="DN311">
            <v>0</v>
          </cell>
        </row>
        <row r="312">
          <cell r="DA312">
            <v>2000</v>
          </cell>
          <cell r="DB312" t="str">
            <v>ACTIVO</v>
          </cell>
          <cell r="DC312" t="str">
            <v/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 t="str">
            <v>0</v>
          </cell>
          <cell r="DJ312">
            <v>0</v>
          </cell>
          <cell r="DK312" t="str">
            <v>INACTIVO</v>
          </cell>
          <cell r="DL312">
            <v>0</v>
          </cell>
          <cell r="DM312">
            <v>0</v>
          </cell>
          <cell r="DN312">
            <v>0</v>
          </cell>
        </row>
        <row r="313">
          <cell r="B313">
            <v>404309</v>
          </cell>
          <cell r="C313" t="str">
            <v>CINTA NEGRA GC ZUKKER</v>
          </cell>
          <cell r="D313">
            <v>44</v>
          </cell>
          <cell r="E313">
            <v>28</v>
          </cell>
          <cell r="F313">
            <v>48</v>
          </cell>
          <cell r="G313">
            <v>40</v>
          </cell>
          <cell r="H313">
            <v>104</v>
          </cell>
          <cell r="I313">
            <v>100</v>
          </cell>
          <cell r="J313">
            <v>47</v>
          </cell>
          <cell r="K313">
            <v>79</v>
          </cell>
          <cell r="L313">
            <v>82</v>
          </cell>
          <cell r="M313">
            <v>109</v>
          </cell>
          <cell r="N313">
            <v>60</v>
          </cell>
          <cell r="P313">
            <v>95</v>
          </cell>
          <cell r="Q313">
            <v>56</v>
          </cell>
          <cell r="R313">
            <v>72</v>
          </cell>
          <cell r="S313">
            <v>39</v>
          </cell>
          <cell r="T313">
            <v>82</v>
          </cell>
          <cell r="U313">
            <v>48</v>
          </cell>
          <cell r="V313">
            <v>55</v>
          </cell>
          <cell r="W313">
            <v>40</v>
          </cell>
          <cell r="X313">
            <v>51</v>
          </cell>
          <cell r="Y313">
            <v>136</v>
          </cell>
          <cell r="Z313">
            <v>32</v>
          </cell>
          <cell r="AA313">
            <v>88</v>
          </cell>
          <cell r="AB313">
            <v>64</v>
          </cell>
          <cell r="AC313">
            <v>31</v>
          </cell>
          <cell r="AD313">
            <v>8</v>
          </cell>
          <cell r="AE313">
            <v>20</v>
          </cell>
          <cell r="AF313">
            <v>38</v>
          </cell>
          <cell r="AG313">
            <v>24</v>
          </cell>
          <cell r="AH313">
            <v>55</v>
          </cell>
          <cell r="AI313">
            <v>4</v>
          </cell>
          <cell r="BH313">
            <v>440</v>
          </cell>
          <cell r="DB313" t="str">
            <v>SIN USO</v>
          </cell>
          <cell r="DC313" t="str">
            <v>C</v>
          </cell>
          <cell r="DE313">
            <v>0</v>
          </cell>
          <cell r="DF313">
            <v>0</v>
          </cell>
          <cell r="DG313">
            <v>168.99753449878099</v>
          </cell>
          <cell r="DH313">
            <v>0</v>
          </cell>
          <cell r="DI313" t="str">
            <v>0</v>
          </cell>
          <cell r="DJ313">
            <v>0</v>
          </cell>
          <cell r="DK313" t="str">
            <v>INACTIVO</v>
          </cell>
          <cell r="DL313">
            <v>0</v>
          </cell>
          <cell r="DM313">
            <v>0</v>
          </cell>
          <cell r="DN313">
            <v>0</v>
          </cell>
        </row>
        <row r="314">
          <cell r="B314">
            <v>107249</v>
          </cell>
          <cell r="C314" t="str">
            <v>COBERTURA CHOCOLATES MONEDAS PURATOS</v>
          </cell>
          <cell r="BH314">
            <v>24</v>
          </cell>
          <cell r="DB314" t="str">
            <v>SIN USO</v>
          </cell>
          <cell r="DC314" t="str">
            <v>C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 t="str">
            <v>0</v>
          </cell>
          <cell r="DJ314">
            <v>0</v>
          </cell>
          <cell r="DK314" t="str">
            <v>INACTIVO</v>
          </cell>
          <cell r="DL314">
            <v>0</v>
          </cell>
          <cell r="DM314">
            <v>0</v>
          </cell>
          <cell r="DN314">
            <v>0</v>
          </cell>
        </row>
        <row r="315">
          <cell r="B315">
            <v>405541</v>
          </cell>
          <cell r="C315" t="str">
            <v>CÍRCULO BLANCO #80 DDM JUMBO 2025</v>
          </cell>
          <cell r="CE315">
            <v>2792</v>
          </cell>
          <cell r="DB315" t="str">
            <v>SIN USO</v>
          </cell>
          <cell r="DC315" t="str">
            <v>C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 t="str">
            <v>0</v>
          </cell>
          <cell r="DJ315">
            <v>0</v>
          </cell>
          <cell r="DK315" t="str">
            <v>INACTIVO</v>
          </cell>
          <cell r="DL315">
            <v>0</v>
          </cell>
          <cell r="DM315">
            <v>0</v>
          </cell>
          <cell r="DN315">
            <v>0</v>
          </cell>
        </row>
        <row r="316">
          <cell r="B316">
            <v>405730</v>
          </cell>
          <cell r="C316" t="str">
            <v>PLACA TORTA VIENA ZUKKER</v>
          </cell>
          <cell r="CR316">
            <v>3040</v>
          </cell>
          <cell r="CS316">
            <v>3040</v>
          </cell>
          <cell r="CT316">
            <v>3230</v>
          </cell>
          <cell r="CU316">
            <v>4750</v>
          </cell>
          <cell r="CV316">
            <v>2280</v>
          </cell>
          <cell r="CW316">
            <v>2660</v>
          </cell>
          <cell r="DA316">
            <v>3630</v>
          </cell>
          <cell r="DB316" t="str">
            <v>ACTIVO</v>
          </cell>
          <cell r="DC316" t="str">
            <v/>
          </cell>
          <cell r="DE316">
            <v>3268</v>
          </cell>
          <cell r="DF316">
            <v>544.66666666666663</v>
          </cell>
          <cell r="DG316">
            <v>0</v>
          </cell>
          <cell r="DH316">
            <v>9120</v>
          </cell>
          <cell r="DI316">
            <v>1413600</v>
          </cell>
          <cell r="DJ316">
            <v>2.7906976744186047</v>
          </cell>
          <cell r="DK316" t="str">
            <v>OK</v>
          </cell>
          <cell r="DL316">
            <v>3268</v>
          </cell>
          <cell r="DM316">
            <v>1089.3333333333333</v>
          </cell>
          <cell r="DN316">
            <v>4357.333333333333</v>
          </cell>
        </row>
        <row r="317">
          <cell r="B317">
            <v>405728</v>
          </cell>
          <cell r="C317" t="str">
            <v>CINTA BICOLOR NARANJA ZUKKER</v>
          </cell>
          <cell r="CR317">
            <v>12</v>
          </cell>
          <cell r="CS317">
            <v>15</v>
          </cell>
          <cell r="CT317">
            <v>21</v>
          </cell>
          <cell r="CU317">
            <v>45</v>
          </cell>
          <cell r="CV317">
            <v>51</v>
          </cell>
          <cell r="CW317">
            <v>15</v>
          </cell>
          <cell r="CX317">
            <v>60</v>
          </cell>
          <cell r="CY317">
            <v>15</v>
          </cell>
          <cell r="CZ317">
            <v>40</v>
          </cell>
          <cell r="DA317">
            <v>30</v>
          </cell>
          <cell r="DB317" t="str">
            <v>ACTIVO</v>
          </cell>
          <cell r="DC317" t="str">
            <v/>
          </cell>
          <cell r="DE317">
            <v>28.8</v>
          </cell>
          <cell r="DF317">
            <v>4.8</v>
          </cell>
          <cell r="DG317">
            <v>0</v>
          </cell>
          <cell r="DH317">
            <v>68</v>
          </cell>
          <cell r="DI317">
            <v>917772.2</v>
          </cell>
          <cell r="DJ317">
            <v>2.3611111111111112</v>
          </cell>
          <cell r="DK317" t="str">
            <v>OK</v>
          </cell>
          <cell r="DL317">
            <v>28.799999999999997</v>
          </cell>
          <cell r="DM317">
            <v>9.6</v>
          </cell>
          <cell r="DN317">
            <v>38.4</v>
          </cell>
        </row>
        <row r="318">
          <cell r="B318">
            <v>405731</v>
          </cell>
          <cell r="C318" t="str">
            <v>ROSA GANACHE ROSADO CLARO AMBROSIA</v>
          </cell>
          <cell r="CT318">
            <v>1200</v>
          </cell>
          <cell r="CU318">
            <v>4600</v>
          </cell>
          <cell r="CV318">
            <v>6400</v>
          </cell>
          <cell r="CW318">
            <v>3600</v>
          </cell>
          <cell r="DB318" t="str">
            <v>ACTIVO</v>
          </cell>
          <cell r="DC318" t="str">
            <v/>
          </cell>
          <cell r="DE318">
            <v>4066.6666666666665</v>
          </cell>
          <cell r="DF318">
            <v>677.77777777777771</v>
          </cell>
          <cell r="DG318">
            <v>0</v>
          </cell>
          <cell r="DH318">
            <v>0</v>
          </cell>
          <cell r="DI318" t="str">
            <v>0</v>
          </cell>
          <cell r="DJ318">
            <v>0</v>
          </cell>
          <cell r="DK318" t="str">
            <v>COMPRAR</v>
          </cell>
          <cell r="DL318">
            <v>4066.6666666666661</v>
          </cell>
          <cell r="DM318">
            <v>1355.5555555555554</v>
          </cell>
          <cell r="DN318">
            <v>5422.2222222222217</v>
          </cell>
        </row>
        <row r="319">
          <cell r="B319">
            <v>405732</v>
          </cell>
          <cell r="C319" t="str">
            <v>MOSTACILLA CORAZÓN VALENTÍN AMBROSIA</v>
          </cell>
          <cell r="CT319">
            <v>10</v>
          </cell>
          <cell r="CU319">
            <v>45</v>
          </cell>
          <cell r="CV319">
            <v>70</v>
          </cell>
          <cell r="CW319">
            <v>105</v>
          </cell>
          <cell r="DB319" t="str">
            <v>SIN USO</v>
          </cell>
          <cell r="DC319" t="str">
            <v/>
          </cell>
          <cell r="DE319">
            <v>41.666666666666664</v>
          </cell>
          <cell r="DF319">
            <v>6.9444444444444438</v>
          </cell>
          <cell r="DG319">
            <v>0</v>
          </cell>
          <cell r="DH319">
            <v>55</v>
          </cell>
          <cell r="DI319">
            <v>935000</v>
          </cell>
          <cell r="DJ319">
            <v>1.32</v>
          </cell>
          <cell r="DK319" t="str">
            <v>INACTIVO</v>
          </cell>
          <cell r="DL319">
            <v>41.666666666666664</v>
          </cell>
          <cell r="DM319">
            <v>13.888888888888888</v>
          </cell>
          <cell r="DN319">
            <v>55.55555555555555</v>
          </cell>
        </row>
        <row r="320">
          <cell r="B320">
            <v>405311</v>
          </cell>
          <cell r="C320" t="str">
            <v>TRIANGULO BLANCO RAYADO ROJO</v>
          </cell>
          <cell r="D320">
            <v>2280</v>
          </cell>
          <cell r="E320">
            <v>2888</v>
          </cell>
          <cell r="G320">
            <v>2394</v>
          </cell>
          <cell r="I320">
            <v>1824</v>
          </cell>
          <cell r="J320">
            <v>5738</v>
          </cell>
          <cell r="K320">
            <v>2888</v>
          </cell>
          <cell r="L320">
            <v>3040</v>
          </cell>
          <cell r="O320">
            <v>3192</v>
          </cell>
          <cell r="Q320">
            <v>2432</v>
          </cell>
          <cell r="R320">
            <v>2280</v>
          </cell>
          <cell r="S320">
            <v>3040</v>
          </cell>
          <cell r="U320">
            <v>4408</v>
          </cell>
          <cell r="X320">
            <v>4864</v>
          </cell>
          <cell r="Z320">
            <v>4864</v>
          </cell>
          <cell r="AB320">
            <v>4560</v>
          </cell>
          <cell r="AC320">
            <v>304</v>
          </cell>
          <cell r="AI320">
            <v>5552</v>
          </cell>
          <cell r="AJ320">
            <v>5216</v>
          </cell>
          <cell r="AM320">
            <v>5608</v>
          </cell>
          <cell r="AN320">
            <v>2672</v>
          </cell>
          <cell r="AP320">
            <v>10010</v>
          </cell>
          <cell r="AS320">
            <v>4864</v>
          </cell>
          <cell r="AW320">
            <v>5168</v>
          </cell>
          <cell r="AZ320">
            <v>2584</v>
          </cell>
          <cell r="BA320">
            <v>2432</v>
          </cell>
          <cell r="BB320">
            <v>2736</v>
          </cell>
          <cell r="BC320">
            <v>5472</v>
          </cell>
          <cell r="BE320">
            <v>5744</v>
          </cell>
          <cell r="BI320">
            <v>2432</v>
          </cell>
          <cell r="BJ320">
            <v>2432</v>
          </cell>
          <cell r="BK320">
            <v>1976</v>
          </cell>
          <cell r="BL320">
            <v>1672</v>
          </cell>
          <cell r="BM320">
            <v>2432</v>
          </cell>
          <cell r="BN320">
            <v>608</v>
          </cell>
          <cell r="BO320">
            <v>1976</v>
          </cell>
          <cell r="BQ320">
            <v>2128</v>
          </cell>
          <cell r="BR320">
            <v>760</v>
          </cell>
          <cell r="BS320">
            <v>3648</v>
          </cell>
          <cell r="BT320">
            <v>4256</v>
          </cell>
          <cell r="BY320">
            <v>2584</v>
          </cell>
          <cell r="BZ320">
            <v>2432</v>
          </cell>
          <cell r="CA320">
            <v>2128</v>
          </cell>
          <cell r="CB320">
            <v>2128</v>
          </cell>
          <cell r="CD320">
            <v>4864</v>
          </cell>
          <cell r="CH320">
            <v>4864</v>
          </cell>
          <cell r="CI320">
            <v>378</v>
          </cell>
          <cell r="CL320">
            <v>4864</v>
          </cell>
          <cell r="CN320">
            <v>4864</v>
          </cell>
          <cell r="CO320">
            <v>720</v>
          </cell>
          <cell r="CQ320">
            <v>152</v>
          </cell>
          <cell r="CR320">
            <v>4864</v>
          </cell>
          <cell r="CS320">
            <v>540</v>
          </cell>
          <cell r="CT320">
            <v>4032</v>
          </cell>
          <cell r="CW320">
            <v>1368</v>
          </cell>
          <cell r="CY320">
            <v>1672</v>
          </cell>
          <cell r="CZ320">
            <v>1064</v>
          </cell>
          <cell r="DA320">
            <v>3402</v>
          </cell>
          <cell r="DB320" t="str">
            <v>ACTIVO</v>
          </cell>
          <cell r="DC320" t="str">
            <v>C</v>
          </cell>
          <cell r="DE320">
            <v>2808.6666666666665</v>
          </cell>
          <cell r="DF320">
            <v>468.11111111111109</v>
          </cell>
          <cell r="DG320">
            <v>2000.711909010676</v>
          </cell>
          <cell r="DH320">
            <v>1979</v>
          </cell>
          <cell r="DI320">
            <v>205816</v>
          </cell>
          <cell r="DJ320">
            <v>0.70460479468312365</v>
          </cell>
          <cell r="DK320" t="str">
            <v>OK</v>
          </cell>
          <cell r="DL320">
            <v>2808.6666666666665</v>
          </cell>
          <cell r="DM320">
            <v>936.22222222222217</v>
          </cell>
          <cell r="DN320">
            <v>3744.8888888888887</v>
          </cell>
        </row>
        <row r="321">
          <cell r="B321">
            <v>405133</v>
          </cell>
          <cell r="C321" t="str">
            <v>RALLADO NEGRO 3mm ZUKKER</v>
          </cell>
          <cell r="D321">
            <v>330</v>
          </cell>
          <cell r="E321">
            <v>180</v>
          </cell>
          <cell r="F321">
            <v>120</v>
          </cell>
          <cell r="G321">
            <v>255</v>
          </cell>
          <cell r="H321">
            <v>150</v>
          </cell>
          <cell r="I321">
            <v>210</v>
          </cell>
          <cell r="J321">
            <v>195</v>
          </cell>
          <cell r="K321">
            <v>180</v>
          </cell>
          <cell r="L321">
            <v>210</v>
          </cell>
          <cell r="M321">
            <v>195</v>
          </cell>
          <cell r="N321">
            <v>180</v>
          </cell>
          <cell r="O321">
            <v>105</v>
          </cell>
          <cell r="P321">
            <v>135</v>
          </cell>
          <cell r="Q321">
            <v>240</v>
          </cell>
          <cell r="R321">
            <v>150</v>
          </cell>
          <cell r="S321">
            <v>270</v>
          </cell>
          <cell r="T321">
            <v>355</v>
          </cell>
          <cell r="U321">
            <v>345</v>
          </cell>
          <cell r="V321">
            <v>135</v>
          </cell>
          <cell r="W321">
            <v>180</v>
          </cell>
          <cell r="X321">
            <v>225</v>
          </cell>
          <cell r="Y321">
            <v>165</v>
          </cell>
          <cell r="Z321">
            <v>225</v>
          </cell>
          <cell r="AA321">
            <v>225</v>
          </cell>
          <cell r="AB321">
            <v>105</v>
          </cell>
          <cell r="AC321">
            <v>73.5</v>
          </cell>
          <cell r="AD321">
            <v>30</v>
          </cell>
          <cell r="AE321">
            <v>45</v>
          </cell>
          <cell r="AF321">
            <v>280</v>
          </cell>
          <cell r="AG321">
            <v>375</v>
          </cell>
          <cell r="AH321">
            <v>81.5</v>
          </cell>
          <cell r="AI321">
            <v>300</v>
          </cell>
          <cell r="AJ321">
            <v>620</v>
          </cell>
          <cell r="AK321">
            <v>195</v>
          </cell>
          <cell r="AL321">
            <v>315</v>
          </cell>
          <cell r="AM321">
            <v>270</v>
          </cell>
          <cell r="AN321">
            <v>375</v>
          </cell>
          <cell r="AO321">
            <v>300</v>
          </cell>
          <cell r="AP321">
            <v>169</v>
          </cell>
          <cell r="AQ321">
            <v>408</v>
          </cell>
          <cell r="AR321">
            <v>380</v>
          </cell>
          <cell r="AS321">
            <v>460</v>
          </cell>
          <cell r="AT321">
            <v>325</v>
          </cell>
          <cell r="AU321">
            <v>270</v>
          </cell>
          <cell r="AV321">
            <v>270</v>
          </cell>
          <cell r="AW321">
            <v>240</v>
          </cell>
          <cell r="AX321">
            <v>440</v>
          </cell>
          <cell r="AY321">
            <v>432</v>
          </cell>
          <cell r="AZ321">
            <v>270</v>
          </cell>
          <cell r="BA321">
            <v>265</v>
          </cell>
          <cell r="BB321">
            <v>300</v>
          </cell>
          <cell r="BC321">
            <v>327</v>
          </cell>
          <cell r="BD321">
            <v>165</v>
          </cell>
          <cell r="BE321">
            <v>225</v>
          </cell>
          <cell r="BF321">
            <v>210</v>
          </cell>
          <cell r="BG321">
            <v>300</v>
          </cell>
          <cell r="BH321">
            <v>285</v>
          </cell>
          <cell r="BI321">
            <v>270</v>
          </cell>
          <cell r="BJ321">
            <v>360</v>
          </cell>
          <cell r="BK321">
            <v>360</v>
          </cell>
          <cell r="BL321">
            <v>420</v>
          </cell>
          <cell r="BM321">
            <v>140</v>
          </cell>
          <cell r="BN321">
            <v>375</v>
          </cell>
          <cell r="BO321">
            <v>215</v>
          </cell>
          <cell r="BP321">
            <v>15</v>
          </cell>
          <cell r="BQ321">
            <v>300</v>
          </cell>
          <cell r="BR321">
            <v>170</v>
          </cell>
          <cell r="BS321">
            <v>255</v>
          </cell>
          <cell r="BT321">
            <v>210</v>
          </cell>
          <cell r="BU321">
            <v>312</v>
          </cell>
          <cell r="BV321">
            <v>195</v>
          </cell>
          <cell r="BW321">
            <v>305</v>
          </cell>
          <cell r="BX321">
            <v>135</v>
          </cell>
          <cell r="BY321">
            <v>150</v>
          </cell>
          <cell r="BZ321">
            <v>165</v>
          </cell>
          <cell r="CA321">
            <v>120</v>
          </cell>
          <cell r="CB321">
            <v>180</v>
          </cell>
          <cell r="CC321">
            <v>285</v>
          </cell>
          <cell r="CD321">
            <v>225</v>
          </cell>
          <cell r="CE321">
            <v>105</v>
          </cell>
          <cell r="CF321">
            <v>120</v>
          </cell>
          <cell r="CG321">
            <v>315</v>
          </cell>
          <cell r="CH321">
            <v>180</v>
          </cell>
          <cell r="CI321">
            <v>301</v>
          </cell>
          <cell r="CJ321">
            <v>75</v>
          </cell>
          <cell r="CK321">
            <v>165</v>
          </cell>
          <cell r="CL321">
            <v>150</v>
          </cell>
          <cell r="CM321">
            <v>90</v>
          </cell>
          <cell r="CN321">
            <v>385</v>
          </cell>
          <cell r="CO321">
            <v>210</v>
          </cell>
          <cell r="CP321">
            <v>210</v>
          </cell>
          <cell r="CQ321">
            <v>120</v>
          </cell>
          <cell r="CR321">
            <v>245</v>
          </cell>
          <cell r="CS321">
            <v>150</v>
          </cell>
          <cell r="CT321">
            <v>120</v>
          </cell>
          <cell r="CU321">
            <v>375</v>
          </cell>
          <cell r="CV321">
            <v>285</v>
          </cell>
          <cell r="CW321">
            <v>225</v>
          </cell>
          <cell r="CX321">
            <v>105</v>
          </cell>
          <cell r="CY321">
            <v>275</v>
          </cell>
          <cell r="CZ321">
            <v>130</v>
          </cell>
          <cell r="DA321">
            <v>230</v>
          </cell>
          <cell r="DB321" t="str">
            <v>ACTIVO</v>
          </cell>
          <cell r="DC321" t="str">
            <v>A</v>
          </cell>
          <cell r="DE321">
            <v>205.64705882352942</v>
          </cell>
          <cell r="DF321">
            <v>34.274509803921568</v>
          </cell>
          <cell r="DG321">
            <v>112.66524712623016</v>
          </cell>
          <cell r="DH321">
            <v>690</v>
          </cell>
          <cell r="DI321">
            <v>4062030</v>
          </cell>
          <cell r="DJ321">
            <v>3.3552631578947367</v>
          </cell>
          <cell r="DK321" t="str">
            <v>OK</v>
          </cell>
          <cell r="DL321">
            <v>205.64705882352939</v>
          </cell>
          <cell r="DM321">
            <v>68.549019607843135</v>
          </cell>
          <cell r="DN321">
            <v>274.19607843137254</v>
          </cell>
        </row>
        <row r="322">
          <cell r="B322">
            <v>405134</v>
          </cell>
          <cell r="C322" t="str">
            <v>TRIANGULO NEGRO 45mm ZUKKER</v>
          </cell>
          <cell r="D322">
            <v>24000</v>
          </cell>
          <cell r="E322">
            <v>34000</v>
          </cell>
          <cell r="F322">
            <v>26400</v>
          </cell>
          <cell r="G322">
            <v>32000</v>
          </cell>
          <cell r="H322">
            <v>53200</v>
          </cell>
          <cell r="I322">
            <v>37200</v>
          </cell>
          <cell r="J322">
            <v>63600</v>
          </cell>
          <cell r="K322">
            <v>39600</v>
          </cell>
          <cell r="L322">
            <v>37600</v>
          </cell>
          <cell r="M322">
            <v>40400</v>
          </cell>
          <cell r="N322">
            <v>38400</v>
          </cell>
          <cell r="O322">
            <v>9600</v>
          </cell>
          <cell r="P322">
            <v>40000</v>
          </cell>
          <cell r="Q322">
            <v>26800</v>
          </cell>
          <cell r="R322">
            <v>44000</v>
          </cell>
          <cell r="S322">
            <v>22400</v>
          </cell>
          <cell r="T322">
            <v>37200</v>
          </cell>
          <cell r="U322">
            <v>24000</v>
          </cell>
          <cell r="V322">
            <v>24000</v>
          </cell>
          <cell r="W322">
            <v>31200</v>
          </cell>
          <cell r="X322">
            <v>30400</v>
          </cell>
          <cell r="Y322">
            <v>42400</v>
          </cell>
          <cell r="Z322">
            <v>19600</v>
          </cell>
          <cell r="AA322">
            <v>39600</v>
          </cell>
          <cell r="AB322">
            <v>24800</v>
          </cell>
          <cell r="AC322">
            <v>17600</v>
          </cell>
          <cell r="AD322">
            <v>9200</v>
          </cell>
          <cell r="AE322">
            <v>3600</v>
          </cell>
          <cell r="AF322">
            <v>30800</v>
          </cell>
          <cell r="AG322">
            <v>15600</v>
          </cell>
          <cell r="AH322">
            <v>10400</v>
          </cell>
          <cell r="AI322">
            <v>6400</v>
          </cell>
          <cell r="AJ322">
            <v>19200</v>
          </cell>
          <cell r="AK322">
            <v>3600</v>
          </cell>
          <cell r="AL322">
            <v>8800</v>
          </cell>
          <cell r="AM322">
            <v>8800</v>
          </cell>
          <cell r="AN322">
            <v>10800</v>
          </cell>
          <cell r="AO322">
            <v>24400</v>
          </cell>
          <cell r="AP322">
            <v>11600</v>
          </cell>
          <cell r="AQ322">
            <v>8000</v>
          </cell>
          <cell r="AR322">
            <v>10800</v>
          </cell>
          <cell r="AS322">
            <v>15600.2</v>
          </cell>
          <cell r="AT322">
            <v>30400</v>
          </cell>
          <cell r="AU322">
            <v>15199.8</v>
          </cell>
          <cell r="AV322">
            <v>27200</v>
          </cell>
          <cell r="AW322">
            <v>16400</v>
          </cell>
          <cell r="AX322">
            <v>19200</v>
          </cell>
          <cell r="AY322">
            <v>10000</v>
          </cell>
          <cell r="AZ322">
            <v>29600</v>
          </cell>
          <cell r="BA322">
            <v>41600</v>
          </cell>
          <cell r="BB322">
            <v>6800</v>
          </cell>
          <cell r="BC322">
            <v>14000</v>
          </cell>
          <cell r="BD322">
            <v>25200</v>
          </cell>
          <cell r="BE322">
            <v>4800</v>
          </cell>
          <cell r="BF322">
            <v>32800</v>
          </cell>
          <cell r="BG322">
            <v>4800</v>
          </cell>
          <cell r="BH322">
            <v>38000</v>
          </cell>
          <cell r="BI322">
            <v>4800</v>
          </cell>
          <cell r="BJ322">
            <v>6400</v>
          </cell>
          <cell r="BK322">
            <v>5200</v>
          </cell>
          <cell r="BL322">
            <v>5200</v>
          </cell>
          <cell r="BM322">
            <v>8800</v>
          </cell>
          <cell r="BN322">
            <v>5200</v>
          </cell>
          <cell r="BO322">
            <v>18000</v>
          </cell>
          <cell r="BP322">
            <v>3600</v>
          </cell>
          <cell r="BQ322">
            <v>15600</v>
          </cell>
          <cell r="BR322">
            <v>21600</v>
          </cell>
          <cell r="BS322">
            <v>41600</v>
          </cell>
          <cell r="BT322">
            <v>6000</v>
          </cell>
          <cell r="BU322">
            <v>3600</v>
          </cell>
          <cell r="BV322">
            <v>15200</v>
          </cell>
          <cell r="BW322">
            <v>7600</v>
          </cell>
          <cell r="BX322">
            <v>4400</v>
          </cell>
          <cell r="BY322">
            <v>5600</v>
          </cell>
          <cell r="BZ322">
            <v>15200</v>
          </cell>
          <cell r="CA322">
            <v>8400</v>
          </cell>
          <cell r="CB322">
            <v>9600</v>
          </cell>
          <cell r="CC322">
            <v>11600</v>
          </cell>
          <cell r="CD322">
            <v>4400</v>
          </cell>
          <cell r="CE322">
            <v>1200</v>
          </cell>
          <cell r="CF322">
            <v>15200</v>
          </cell>
          <cell r="CG322">
            <v>6800</v>
          </cell>
          <cell r="CH322">
            <v>14400</v>
          </cell>
          <cell r="CI322">
            <v>19400</v>
          </cell>
          <cell r="CJ322">
            <v>17600</v>
          </cell>
          <cell r="CK322">
            <v>4000</v>
          </cell>
          <cell r="CL322">
            <v>19600</v>
          </cell>
          <cell r="CM322">
            <v>18800</v>
          </cell>
          <cell r="CN322">
            <v>9600</v>
          </cell>
          <cell r="CO322">
            <v>2400</v>
          </cell>
          <cell r="CP322">
            <v>4000</v>
          </cell>
          <cell r="CQ322">
            <v>36800</v>
          </cell>
          <cell r="CR322">
            <v>15200</v>
          </cell>
          <cell r="CS322">
            <v>3200</v>
          </cell>
          <cell r="CT322">
            <v>5200</v>
          </cell>
          <cell r="CU322">
            <v>5600</v>
          </cell>
          <cell r="CV322">
            <v>9200</v>
          </cell>
          <cell r="CW322">
            <v>3200</v>
          </cell>
          <cell r="CX322">
            <v>3600</v>
          </cell>
          <cell r="CY322">
            <v>16800</v>
          </cell>
          <cell r="CZ322">
            <v>9600</v>
          </cell>
          <cell r="DA322">
            <v>18800</v>
          </cell>
          <cell r="DB322" t="str">
            <v>ACTIVO</v>
          </cell>
          <cell r="DC322" t="str">
            <v>B</v>
          </cell>
          <cell r="DE322">
            <v>12176.470588235294</v>
          </cell>
          <cell r="DF322">
            <v>2029.4117647058822</v>
          </cell>
          <cell r="DG322">
            <v>10412.842503374719</v>
          </cell>
          <cell r="DH322">
            <v>15600</v>
          </cell>
          <cell r="DI322">
            <v>561600</v>
          </cell>
          <cell r="DJ322">
            <v>1.2811594202898551</v>
          </cell>
          <cell r="DK322" t="str">
            <v>OK</v>
          </cell>
          <cell r="DL322">
            <v>12176.470588235294</v>
          </cell>
          <cell r="DM322">
            <v>4058.8235294117644</v>
          </cell>
          <cell r="DN322">
            <v>16235.294117647058</v>
          </cell>
        </row>
        <row r="323">
          <cell r="B323">
            <v>405508</v>
          </cell>
          <cell r="C323" t="str">
            <v>ZANAHORIA GANACHE CHOCOLATE AMBROSIA</v>
          </cell>
          <cell r="AR323">
            <v>9120</v>
          </cell>
          <cell r="AS323">
            <v>260</v>
          </cell>
          <cell r="BQ323">
            <v>2640</v>
          </cell>
          <cell r="DB323" t="str">
            <v>SIN USO</v>
          </cell>
          <cell r="DC323" t="str">
            <v>C</v>
          </cell>
          <cell r="DE323">
            <v>0</v>
          </cell>
          <cell r="DF323">
            <v>0</v>
          </cell>
          <cell r="DG323">
            <v>4585.3825721888606</v>
          </cell>
          <cell r="DH323">
            <v>0</v>
          </cell>
          <cell r="DI323" t="str">
            <v>0</v>
          </cell>
          <cell r="DJ323">
            <v>0</v>
          </cell>
          <cell r="DK323" t="str">
            <v>INACTIVO</v>
          </cell>
          <cell r="DL323">
            <v>0</v>
          </cell>
          <cell r="DM323">
            <v>0</v>
          </cell>
          <cell r="DN323">
            <v>0</v>
          </cell>
        </row>
        <row r="324">
          <cell r="B324">
            <v>107349</v>
          </cell>
          <cell r="C324" t="str">
            <v>FLOR DE LOTO CHOCOLATE MORADA AMBROSIA</v>
          </cell>
          <cell r="AT324">
            <v>1500</v>
          </cell>
          <cell r="AV324">
            <v>6500</v>
          </cell>
          <cell r="BQ324">
            <v>432</v>
          </cell>
          <cell r="DB324" t="str">
            <v>SIN USO</v>
          </cell>
          <cell r="DC324" t="str">
            <v>C</v>
          </cell>
          <cell r="DE324">
            <v>0</v>
          </cell>
          <cell r="DF324">
            <v>0</v>
          </cell>
          <cell r="DG324">
            <v>3239.3736019998269</v>
          </cell>
          <cell r="DH324">
            <v>0</v>
          </cell>
          <cell r="DI324" t="str">
            <v>0</v>
          </cell>
          <cell r="DJ324">
            <v>0</v>
          </cell>
          <cell r="DK324" t="str">
            <v>INACTIVO</v>
          </cell>
          <cell r="DL324">
            <v>0</v>
          </cell>
          <cell r="DM324">
            <v>0</v>
          </cell>
          <cell r="DN324">
            <v>0</v>
          </cell>
        </row>
        <row r="325">
          <cell r="B325">
            <v>405531</v>
          </cell>
          <cell r="C325" t="str">
            <v>RALLADO 3mm BICOLOR BLANCO-ROSADO ZUKKER</v>
          </cell>
          <cell r="AT325">
            <v>55</v>
          </cell>
          <cell r="AV325">
            <v>215</v>
          </cell>
          <cell r="BQ325">
            <v>40</v>
          </cell>
          <cell r="DB325" t="str">
            <v>SIN USO</v>
          </cell>
          <cell r="DC325" t="str">
            <v>C</v>
          </cell>
          <cell r="DE325">
            <v>0</v>
          </cell>
          <cell r="DF325">
            <v>0</v>
          </cell>
          <cell r="DG325">
            <v>96.996563513009747</v>
          </cell>
          <cell r="DH325">
            <v>0</v>
          </cell>
          <cell r="DI325" t="str">
            <v>0</v>
          </cell>
          <cell r="DJ325">
            <v>0</v>
          </cell>
          <cell r="DK325" t="str">
            <v>INACTIVO</v>
          </cell>
          <cell r="DL325">
            <v>0</v>
          </cell>
          <cell r="DM325">
            <v>0</v>
          </cell>
          <cell r="DN325">
            <v>0</v>
          </cell>
        </row>
        <row r="326">
          <cell r="B326">
            <v>107221</v>
          </cell>
          <cell r="C326" t="str">
            <v>CONJUNTO DISEÑO DÍA DEL PADRE AMBROSIA</v>
          </cell>
          <cell r="AZ326">
            <v>2800</v>
          </cell>
          <cell r="BA326">
            <v>600</v>
          </cell>
          <cell r="BB326">
            <v>928</v>
          </cell>
          <cell r="DB326" t="str">
            <v>SIN USO</v>
          </cell>
          <cell r="DC326" t="str">
            <v>C</v>
          </cell>
          <cell r="DE326">
            <v>0</v>
          </cell>
          <cell r="DF326">
            <v>0</v>
          </cell>
          <cell r="DG326">
            <v>1186.8703944969448</v>
          </cell>
          <cell r="DH326">
            <v>0</v>
          </cell>
          <cell r="DI326" t="str">
            <v>0</v>
          </cell>
          <cell r="DJ326">
            <v>0</v>
          </cell>
          <cell r="DK326" t="str">
            <v>INACTIVO</v>
          </cell>
          <cell r="DL326">
            <v>0</v>
          </cell>
          <cell r="DM326">
            <v>0</v>
          </cell>
          <cell r="DN326">
            <v>0</v>
          </cell>
        </row>
        <row r="327">
          <cell r="B327">
            <v>405332</v>
          </cell>
          <cell r="C327" t="str">
            <v>GRANILLO DE COLORES MANAR</v>
          </cell>
          <cell r="G327">
            <v>80</v>
          </cell>
          <cell r="H327">
            <v>20</v>
          </cell>
          <cell r="I327">
            <v>20</v>
          </cell>
          <cell r="Z327">
            <v>20.399999999999999</v>
          </cell>
          <cell r="DB327" t="str">
            <v>SIN USO</v>
          </cell>
          <cell r="DC327" t="str">
            <v/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 t="str">
            <v>0</v>
          </cell>
          <cell r="DJ327">
            <v>0</v>
          </cell>
          <cell r="DK327" t="str">
            <v>INACTIVO</v>
          </cell>
          <cell r="DL327">
            <v>0</v>
          </cell>
          <cell r="DM327">
            <v>0</v>
          </cell>
          <cell r="DN327">
            <v>0</v>
          </cell>
        </row>
        <row r="328">
          <cell r="B328">
            <v>107108</v>
          </cell>
          <cell r="C328" t="str">
            <v>DECORCREM NEGRO PURATOS</v>
          </cell>
          <cell r="D328">
            <v>778.5</v>
          </cell>
          <cell r="E328">
            <v>1012.5</v>
          </cell>
          <cell r="F328">
            <v>1084.5</v>
          </cell>
          <cell r="G328">
            <v>735</v>
          </cell>
          <cell r="H328">
            <v>1593</v>
          </cell>
          <cell r="I328">
            <v>985.5</v>
          </cell>
          <cell r="J328">
            <v>1360</v>
          </cell>
          <cell r="K328">
            <v>571.5</v>
          </cell>
          <cell r="L328">
            <v>1471.5</v>
          </cell>
          <cell r="M328">
            <v>1048.5</v>
          </cell>
          <cell r="N328">
            <v>972</v>
          </cell>
          <cell r="O328">
            <v>328.5</v>
          </cell>
          <cell r="P328">
            <v>1188</v>
          </cell>
          <cell r="Q328">
            <v>1184.5</v>
          </cell>
          <cell r="R328">
            <v>1044</v>
          </cell>
          <cell r="S328">
            <v>1143</v>
          </cell>
          <cell r="T328">
            <v>715</v>
          </cell>
          <cell r="U328">
            <v>1879</v>
          </cell>
          <cell r="V328">
            <v>1642.5</v>
          </cell>
          <cell r="W328">
            <v>76.5</v>
          </cell>
          <cell r="X328">
            <v>1219.5</v>
          </cell>
          <cell r="Y328">
            <v>1316</v>
          </cell>
          <cell r="Z328">
            <v>1288</v>
          </cell>
          <cell r="AA328">
            <v>589.5</v>
          </cell>
          <cell r="AB328">
            <v>1462.5</v>
          </cell>
          <cell r="AC328">
            <v>648</v>
          </cell>
          <cell r="AD328">
            <v>31.5</v>
          </cell>
          <cell r="AE328">
            <v>567</v>
          </cell>
          <cell r="AF328">
            <v>769.5</v>
          </cell>
          <cell r="AG328">
            <v>157.5</v>
          </cell>
          <cell r="AH328">
            <v>108</v>
          </cell>
          <cell r="AI328">
            <v>720</v>
          </cell>
          <cell r="AJ328">
            <v>292.5</v>
          </cell>
          <cell r="AK328">
            <v>1039.5</v>
          </cell>
          <cell r="AL328">
            <v>1491.5</v>
          </cell>
          <cell r="AM328">
            <v>1003.5</v>
          </cell>
          <cell r="AN328">
            <v>310.5</v>
          </cell>
          <cell r="AO328">
            <v>873</v>
          </cell>
          <cell r="AP328">
            <v>693</v>
          </cell>
          <cell r="AQ328">
            <v>1318.5</v>
          </cell>
          <cell r="AR328">
            <v>900</v>
          </cell>
          <cell r="AS328">
            <v>1264.5</v>
          </cell>
          <cell r="AT328">
            <v>981</v>
          </cell>
          <cell r="AU328">
            <v>1426.5</v>
          </cell>
          <cell r="AV328">
            <v>436.5</v>
          </cell>
          <cell r="AW328">
            <v>909</v>
          </cell>
          <cell r="AX328">
            <v>580.5</v>
          </cell>
          <cell r="AY328">
            <v>1521</v>
          </cell>
          <cell r="AZ328">
            <v>715.5</v>
          </cell>
          <cell r="BA328">
            <v>1917</v>
          </cell>
          <cell r="BB328">
            <v>396</v>
          </cell>
          <cell r="BC328">
            <v>1063</v>
          </cell>
          <cell r="BD328">
            <v>958.5</v>
          </cell>
          <cell r="BE328">
            <v>1071</v>
          </cell>
          <cell r="BF328">
            <v>576</v>
          </cell>
          <cell r="BG328">
            <v>337.5</v>
          </cell>
          <cell r="BH328">
            <v>796.5</v>
          </cell>
          <cell r="BI328">
            <v>823.5</v>
          </cell>
          <cell r="BJ328">
            <v>751.5</v>
          </cell>
          <cell r="BK328">
            <v>445.5</v>
          </cell>
          <cell r="BL328">
            <v>661.5</v>
          </cell>
          <cell r="BM328">
            <v>652.5</v>
          </cell>
          <cell r="BN328">
            <v>662.5</v>
          </cell>
          <cell r="BO328">
            <v>496</v>
          </cell>
          <cell r="BP328">
            <v>162</v>
          </cell>
          <cell r="BQ328">
            <v>792</v>
          </cell>
          <cell r="BR328">
            <v>139.5</v>
          </cell>
          <cell r="BS328">
            <v>1287</v>
          </cell>
          <cell r="BT328">
            <v>135</v>
          </cell>
          <cell r="BU328">
            <v>288</v>
          </cell>
          <cell r="BV328">
            <v>733.5</v>
          </cell>
          <cell r="BW328">
            <v>216</v>
          </cell>
          <cell r="BX328">
            <v>202.5</v>
          </cell>
          <cell r="BY328">
            <v>202.5</v>
          </cell>
          <cell r="BZ328">
            <v>320.5</v>
          </cell>
          <cell r="CA328">
            <v>234</v>
          </cell>
          <cell r="CB328">
            <v>220.5</v>
          </cell>
          <cell r="CC328">
            <v>1346.5</v>
          </cell>
          <cell r="CD328">
            <v>415</v>
          </cell>
          <cell r="CE328">
            <v>55</v>
          </cell>
          <cell r="CF328">
            <v>72</v>
          </cell>
          <cell r="CG328">
            <v>639</v>
          </cell>
          <cell r="CH328">
            <v>292.5</v>
          </cell>
          <cell r="CI328">
            <v>274.5</v>
          </cell>
          <cell r="CJ328">
            <v>180</v>
          </cell>
          <cell r="CK328">
            <v>225</v>
          </cell>
          <cell r="CL328">
            <v>189</v>
          </cell>
          <cell r="CM328">
            <v>175.5</v>
          </cell>
          <cell r="CN328">
            <v>477</v>
          </cell>
          <cell r="CO328">
            <v>229.5</v>
          </cell>
          <cell r="CP328">
            <v>229.5</v>
          </cell>
          <cell r="CQ328">
            <v>188</v>
          </cell>
          <cell r="CR328">
            <v>634.5</v>
          </cell>
          <cell r="CS328">
            <v>684</v>
          </cell>
          <cell r="CT328">
            <v>783</v>
          </cell>
          <cell r="CU328">
            <v>715.5</v>
          </cell>
          <cell r="CV328">
            <v>463.5</v>
          </cell>
          <cell r="CW328">
            <v>535.5</v>
          </cell>
          <cell r="CX328">
            <v>463.5</v>
          </cell>
          <cell r="CY328">
            <v>369</v>
          </cell>
          <cell r="CZ328">
            <v>639</v>
          </cell>
          <cell r="DA328">
            <v>787.5</v>
          </cell>
          <cell r="DB328" t="str">
            <v>ACTIVO</v>
          </cell>
          <cell r="DC328" t="str">
            <v>A</v>
          </cell>
          <cell r="DE328">
            <v>379.52941176470586</v>
          </cell>
          <cell r="DF328">
            <v>63.254901960784309</v>
          </cell>
          <cell r="DG328">
            <v>435.62920853572592</v>
          </cell>
          <cell r="DH328">
            <v>558</v>
          </cell>
          <cell r="DI328">
            <v>2340882.54</v>
          </cell>
          <cell r="DJ328">
            <v>1.4702417854928704</v>
          </cell>
          <cell r="DK328" t="str">
            <v>OK</v>
          </cell>
          <cell r="DL328">
            <v>253.01960784313724</v>
          </cell>
          <cell r="DM328">
            <v>126.50980392156862</v>
          </cell>
          <cell r="DN328">
            <v>379.52941176470586</v>
          </cell>
        </row>
        <row r="329">
          <cell r="B329">
            <v>107127</v>
          </cell>
          <cell r="C329" t="str">
            <v>DECORCREM BLANCO 4k PURATOS</v>
          </cell>
          <cell r="D329">
            <v>204</v>
          </cell>
          <cell r="E329">
            <v>96</v>
          </cell>
          <cell r="F329">
            <v>284</v>
          </cell>
          <cell r="G329">
            <v>180</v>
          </cell>
          <cell r="H329">
            <v>68</v>
          </cell>
          <cell r="I329">
            <v>148</v>
          </cell>
          <cell r="J329">
            <v>32</v>
          </cell>
          <cell r="K329">
            <v>124</v>
          </cell>
          <cell r="L329">
            <v>104</v>
          </cell>
          <cell r="N329">
            <v>99</v>
          </cell>
          <cell r="P329">
            <v>104</v>
          </cell>
          <cell r="Q329">
            <v>96</v>
          </cell>
          <cell r="R329">
            <v>80</v>
          </cell>
          <cell r="V329">
            <v>73.5</v>
          </cell>
          <cell r="W329">
            <v>112</v>
          </cell>
          <cell r="X329">
            <v>18</v>
          </cell>
          <cell r="Y329">
            <v>24</v>
          </cell>
          <cell r="Z329">
            <v>28</v>
          </cell>
          <cell r="AA329">
            <v>18</v>
          </cell>
          <cell r="AC329">
            <v>29</v>
          </cell>
          <cell r="AE329">
            <v>12</v>
          </cell>
          <cell r="AF329">
            <v>21.5</v>
          </cell>
          <cell r="AG329">
            <v>4</v>
          </cell>
          <cell r="AH329">
            <v>8</v>
          </cell>
          <cell r="AI329">
            <v>9</v>
          </cell>
          <cell r="AJ329">
            <v>21</v>
          </cell>
          <cell r="AK329">
            <v>16</v>
          </cell>
          <cell r="AL329">
            <v>8</v>
          </cell>
          <cell r="AM329">
            <v>4.5</v>
          </cell>
          <cell r="AN329">
            <v>8</v>
          </cell>
          <cell r="AO329">
            <v>4</v>
          </cell>
          <cell r="AW329">
            <v>336</v>
          </cell>
          <cell r="BT329">
            <v>8</v>
          </cell>
          <cell r="BU329">
            <v>12</v>
          </cell>
          <cell r="BV329">
            <v>16</v>
          </cell>
          <cell r="BW329">
            <v>16</v>
          </cell>
          <cell r="BX329">
            <v>21</v>
          </cell>
          <cell r="BY329">
            <v>25</v>
          </cell>
          <cell r="BZ329">
            <v>12</v>
          </cell>
          <cell r="CA329">
            <v>16</v>
          </cell>
          <cell r="CB329">
            <v>24</v>
          </cell>
          <cell r="CC329">
            <v>16</v>
          </cell>
          <cell r="CD329">
            <v>16</v>
          </cell>
          <cell r="CF329">
            <v>12</v>
          </cell>
          <cell r="CG329">
            <v>33</v>
          </cell>
          <cell r="CH329">
            <v>20</v>
          </cell>
          <cell r="CI329">
            <v>20</v>
          </cell>
          <cell r="CJ329">
            <v>24</v>
          </cell>
          <cell r="CK329">
            <v>20</v>
          </cell>
          <cell r="CL329">
            <v>20</v>
          </cell>
          <cell r="CM329">
            <v>24.5</v>
          </cell>
          <cell r="CN329">
            <v>28</v>
          </cell>
          <cell r="CO329">
            <v>24</v>
          </cell>
          <cell r="CP329">
            <v>28</v>
          </cell>
          <cell r="CQ329">
            <v>16</v>
          </cell>
          <cell r="CR329">
            <v>261</v>
          </cell>
          <cell r="CS329">
            <v>16</v>
          </cell>
          <cell r="CT329">
            <v>16</v>
          </cell>
          <cell r="CU329">
            <v>24</v>
          </cell>
          <cell r="CX329">
            <v>120</v>
          </cell>
          <cell r="CY329">
            <v>44</v>
          </cell>
          <cell r="CZ329">
            <v>12</v>
          </cell>
          <cell r="DB329" t="str">
            <v>ACTIVO</v>
          </cell>
          <cell r="DC329" t="str">
            <v>C</v>
          </cell>
          <cell r="DE329">
            <v>36.65625</v>
          </cell>
          <cell r="DF329">
            <v>6.109375</v>
          </cell>
          <cell r="DG329">
            <v>67.528496400312036</v>
          </cell>
          <cell r="DH329">
            <v>492</v>
          </cell>
          <cell r="DI329">
            <v>3093164.64</v>
          </cell>
          <cell r="DJ329">
            <v>13.421994884910486</v>
          </cell>
          <cell r="DK329" t="str">
            <v>OK</v>
          </cell>
          <cell r="DL329">
            <v>24.4375</v>
          </cell>
          <cell r="DM329">
            <v>12.21875</v>
          </cell>
          <cell r="DN329">
            <v>36.65625</v>
          </cell>
        </row>
        <row r="330">
          <cell r="B330">
            <v>107197</v>
          </cell>
          <cell r="C330" t="str">
            <v>COBERTURA CHOCOLATE BLANCO</v>
          </cell>
          <cell r="BI330">
            <v>12</v>
          </cell>
          <cell r="BJ330">
            <v>36</v>
          </cell>
          <cell r="BK330">
            <v>24</v>
          </cell>
          <cell r="BL330">
            <v>24</v>
          </cell>
          <cell r="BM330">
            <v>24</v>
          </cell>
          <cell r="BN330">
            <v>16</v>
          </cell>
          <cell r="BO330">
            <v>12</v>
          </cell>
          <cell r="BP330">
            <v>24</v>
          </cell>
          <cell r="BQ330">
            <v>36</v>
          </cell>
          <cell r="BR330">
            <v>12</v>
          </cell>
          <cell r="BS330">
            <v>12</v>
          </cell>
          <cell r="BU330">
            <v>48</v>
          </cell>
          <cell r="BV330">
            <v>12</v>
          </cell>
          <cell r="BW330">
            <v>24</v>
          </cell>
          <cell r="BY330">
            <v>24</v>
          </cell>
          <cell r="BZ330">
            <v>12</v>
          </cell>
          <cell r="CD330">
            <v>24</v>
          </cell>
          <cell r="CJ330">
            <v>108</v>
          </cell>
          <cell r="DB330" t="str">
            <v>SIN USO</v>
          </cell>
          <cell r="DC330" t="str">
            <v>C</v>
          </cell>
          <cell r="DE330">
            <v>108</v>
          </cell>
          <cell r="DF330">
            <v>18</v>
          </cell>
          <cell r="DG330">
            <v>10.403619279733716</v>
          </cell>
          <cell r="DH330">
            <v>0</v>
          </cell>
          <cell r="DI330" t="str">
            <v>0</v>
          </cell>
          <cell r="DJ330">
            <v>0</v>
          </cell>
          <cell r="DK330" t="str">
            <v>INACTIVO</v>
          </cell>
          <cell r="DL330">
            <v>72</v>
          </cell>
          <cell r="DM330">
            <v>36</v>
          </cell>
          <cell r="DN330">
            <v>108</v>
          </cell>
        </row>
        <row r="331">
          <cell r="B331">
            <v>107325</v>
          </cell>
          <cell r="C331" t="str">
            <v>CHOCOLATE ARCOÍRIS  AMBROSIA</v>
          </cell>
          <cell r="D331">
            <v>800</v>
          </cell>
          <cell r="E331">
            <v>800</v>
          </cell>
          <cell r="F331">
            <v>800</v>
          </cell>
          <cell r="G331">
            <v>800</v>
          </cell>
          <cell r="I331">
            <v>1000</v>
          </cell>
          <cell r="K331">
            <v>1000</v>
          </cell>
          <cell r="L331">
            <v>1200</v>
          </cell>
          <cell r="N331">
            <v>1000</v>
          </cell>
          <cell r="P331">
            <v>1000</v>
          </cell>
          <cell r="Q331">
            <v>1250</v>
          </cell>
          <cell r="R331">
            <v>1000</v>
          </cell>
          <cell r="V331">
            <v>750</v>
          </cell>
          <cell r="X331">
            <v>1500</v>
          </cell>
          <cell r="Z331">
            <v>400</v>
          </cell>
          <cell r="DB331" t="str">
            <v>SIN USO</v>
          </cell>
          <cell r="DC331" t="str">
            <v/>
          </cell>
          <cell r="DE331">
            <v>0</v>
          </cell>
          <cell r="DF331">
            <v>0</v>
          </cell>
          <cell r="DG331">
            <v>0</v>
          </cell>
          <cell r="DH331">
            <v>0</v>
          </cell>
          <cell r="DI331" t="str">
            <v>0</v>
          </cell>
          <cell r="DJ331">
            <v>0</v>
          </cell>
          <cell r="DK331" t="str">
            <v>INACTIVO</v>
          </cell>
          <cell r="DL331">
            <v>0</v>
          </cell>
          <cell r="DM331">
            <v>0</v>
          </cell>
          <cell r="DN331">
            <v>0</v>
          </cell>
        </row>
        <row r="332">
          <cell r="B332">
            <v>107296</v>
          </cell>
          <cell r="C332" t="str">
            <v>CINTA COLOR NIÑO ZUKKER</v>
          </cell>
          <cell r="I332">
            <v>147</v>
          </cell>
          <cell r="DB332" t="str">
            <v>SIN USO</v>
          </cell>
          <cell r="DC332" t="str">
            <v/>
          </cell>
          <cell r="DE332">
            <v>0</v>
          </cell>
          <cell r="DF332">
            <v>0</v>
          </cell>
          <cell r="DG332">
            <v>0</v>
          </cell>
          <cell r="DH332">
            <v>0</v>
          </cell>
          <cell r="DI332" t="str">
            <v>0</v>
          </cell>
          <cell r="DJ332">
            <v>0</v>
          </cell>
          <cell r="DK332" t="str">
            <v>INACTIVO</v>
          </cell>
          <cell r="DL332">
            <v>0</v>
          </cell>
          <cell r="DM332">
            <v>0</v>
          </cell>
          <cell r="DN332">
            <v>0</v>
          </cell>
        </row>
        <row r="333">
          <cell r="B333">
            <v>101002</v>
          </cell>
          <cell r="C333" t="str">
            <v>CACAO AMARGO PURATOS</v>
          </cell>
          <cell r="K333">
            <v>25</v>
          </cell>
          <cell r="AA333">
            <v>25</v>
          </cell>
          <cell r="AN333">
            <v>50</v>
          </cell>
          <cell r="AU333">
            <v>25</v>
          </cell>
          <cell r="BD333">
            <v>5</v>
          </cell>
          <cell r="BH333">
            <v>25</v>
          </cell>
          <cell r="BR333">
            <v>125</v>
          </cell>
          <cell r="BZ333">
            <v>50</v>
          </cell>
          <cell r="CG333">
            <v>25</v>
          </cell>
          <cell r="DB333" t="str">
            <v>SIN USO</v>
          </cell>
          <cell r="DC333" t="str">
            <v>C</v>
          </cell>
          <cell r="DE333">
            <v>25</v>
          </cell>
          <cell r="DF333">
            <v>4.166666666666667</v>
          </cell>
          <cell r="DG333">
            <v>42.03173404306164</v>
          </cell>
          <cell r="DH333">
            <v>0</v>
          </cell>
          <cell r="DI333" t="str">
            <v>0</v>
          </cell>
          <cell r="DJ333">
            <v>0</v>
          </cell>
          <cell r="DK333" t="str">
            <v>INACTIVO</v>
          </cell>
          <cell r="DL333">
            <v>16.666666666666668</v>
          </cell>
          <cell r="DM333">
            <v>8.3333333333333339</v>
          </cell>
          <cell r="DN333">
            <v>25</v>
          </cell>
        </row>
        <row r="334">
          <cell r="B334">
            <v>107406</v>
          </cell>
          <cell r="C334" t="str">
            <v>OJITOS HALLOWEEN AMBROSIA</v>
          </cell>
          <cell r="Q334">
            <v>500</v>
          </cell>
          <cell r="S334">
            <v>11500</v>
          </cell>
          <cell r="DB334" t="str">
            <v>SIN USO</v>
          </cell>
          <cell r="DC334" t="str">
            <v/>
          </cell>
          <cell r="DE334">
            <v>0</v>
          </cell>
          <cell r="DF334">
            <v>0</v>
          </cell>
          <cell r="DG334">
            <v>0</v>
          </cell>
          <cell r="DH334">
            <v>0</v>
          </cell>
          <cell r="DI334" t="str">
            <v>0</v>
          </cell>
          <cell r="DJ334">
            <v>0</v>
          </cell>
          <cell r="DK334" t="str">
            <v>INACTIVO</v>
          </cell>
          <cell r="DL334">
            <v>0</v>
          </cell>
          <cell r="DM334">
            <v>0</v>
          </cell>
          <cell r="DN334">
            <v>0</v>
          </cell>
        </row>
        <row r="335">
          <cell r="B335">
            <v>107356</v>
          </cell>
          <cell r="C335" t="str">
            <v>CHOCOLATE SEMI AMARGO 54% MEL</v>
          </cell>
          <cell r="DA335">
            <v>200</v>
          </cell>
          <cell r="DB335" t="str">
            <v>ACTIVO</v>
          </cell>
          <cell r="DC335" t="str">
            <v/>
          </cell>
          <cell r="DE335">
            <v>0</v>
          </cell>
          <cell r="DF335">
            <v>0</v>
          </cell>
          <cell r="DG335">
            <v>0</v>
          </cell>
          <cell r="DH335">
            <v>0</v>
          </cell>
          <cell r="DI335" t="str">
            <v>0</v>
          </cell>
          <cell r="DJ335">
            <v>0</v>
          </cell>
          <cell r="DK335" t="str">
            <v>COMPRAR</v>
          </cell>
          <cell r="DL335">
            <v>0</v>
          </cell>
          <cell r="DM335">
            <v>0</v>
          </cell>
          <cell r="DN335">
            <v>0</v>
          </cell>
        </row>
        <row r="336">
          <cell r="D336">
            <v>28436.5</v>
          </cell>
          <cell r="E336">
            <v>39004.5</v>
          </cell>
          <cell r="F336">
            <v>28736.5</v>
          </cell>
          <cell r="G336">
            <v>36484</v>
          </cell>
          <cell r="H336">
            <v>55135</v>
          </cell>
          <cell r="I336">
            <v>41634.5</v>
          </cell>
          <cell r="J336">
            <v>70972</v>
          </cell>
          <cell r="K336">
            <v>44467.5</v>
          </cell>
          <cell r="L336">
            <v>43707.5</v>
          </cell>
          <cell r="M336">
            <v>41752.5</v>
          </cell>
          <cell r="N336">
            <v>40711</v>
          </cell>
          <cell r="O336">
            <v>13225.5</v>
          </cell>
          <cell r="P336">
            <v>42522</v>
          </cell>
          <cell r="Q336">
            <v>32558.5</v>
          </cell>
          <cell r="R336">
            <v>48626</v>
          </cell>
          <cell r="S336">
            <v>38392</v>
          </cell>
          <cell r="T336">
            <v>38352</v>
          </cell>
          <cell r="U336">
            <v>30680</v>
          </cell>
          <cell r="V336">
            <v>26656</v>
          </cell>
          <cell r="W336">
            <v>31608.5</v>
          </cell>
          <cell r="X336">
            <v>38277.5</v>
          </cell>
          <cell r="Y336">
            <v>44041</v>
          </cell>
          <cell r="Z336">
            <v>26457.4</v>
          </cell>
          <cell r="AA336">
            <v>40545.5</v>
          </cell>
          <cell r="AB336">
            <v>30991.5</v>
          </cell>
          <cell r="AC336">
            <v>18685.5</v>
          </cell>
          <cell r="AD336">
            <v>9269.5</v>
          </cell>
          <cell r="AE336">
            <v>4244</v>
          </cell>
          <cell r="AF336">
            <v>31909</v>
          </cell>
          <cell r="AG336">
            <v>16160.5</v>
          </cell>
          <cell r="AH336">
            <v>10652.5</v>
          </cell>
          <cell r="AI336">
            <v>12985</v>
          </cell>
          <cell r="AJ336">
            <v>25349.5</v>
          </cell>
          <cell r="AK336">
            <v>4850.5</v>
          </cell>
          <cell r="AL336">
            <v>10614.5</v>
          </cell>
          <cell r="AM336">
            <v>15686</v>
          </cell>
          <cell r="AN336">
            <v>14215.5</v>
          </cell>
          <cell r="AO336">
            <v>25577</v>
          </cell>
          <cell r="AP336">
            <v>22472</v>
          </cell>
          <cell r="AQ336">
            <v>9726.5</v>
          </cell>
          <cell r="AR336">
            <v>21200</v>
          </cell>
          <cell r="AS336">
            <v>22448.7</v>
          </cell>
          <cell r="AT336">
            <v>33261</v>
          </cell>
          <cell r="AU336">
            <v>16921.3</v>
          </cell>
          <cell r="AV336">
            <v>34621.5</v>
          </cell>
          <cell r="AW336">
            <v>23053</v>
          </cell>
          <cell r="AX336">
            <v>20220.5</v>
          </cell>
          <cell r="AY336">
            <v>11953</v>
          </cell>
          <cell r="AZ336">
            <v>35969.5</v>
          </cell>
          <cell r="BA336">
            <v>46814</v>
          </cell>
          <cell r="BB336">
            <v>11160</v>
          </cell>
          <cell r="BC336">
            <v>20862</v>
          </cell>
          <cell r="BD336">
            <v>26328.5</v>
          </cell>
          <cell r="BE336">
            <v>11840</v>
          </cell>
          <cell r="BF336">
            <v>33586</v>
          </cell>
          <cell r="BG336">
            <v>5437.5</v>
          </cell>
          <cell r="BH336">
            <v>39570.5</v>
          </cell>
          <cell r="BI336">
            <v>8337.5</v>
          </cell>
          <cell r="BJ336">
            <v>9979.5</v>
          </cell>
          <cell r="BK336">
            <v>8005.5</v>
          </cell>
          <cell r="BL336">
            <v>7977.5</v>
          </cell>
          <cell r="BM336">
            <v>12048.5</v>
          </cell>
          <cell r="BN336">
            <v>6861.5</v>
          </cell>
          <cell r="BO336">
            <v>20699</v>
          </cell>
          <cell r="BP336">
            <v>3801</v>
          </cell>
          <cell r="BQ336">
            <v>21968</v>
          </cell>
          <cell r="BR336">
            <v>22806.5</v>
          </cell>
          <cell r="BS336">
            <v>46802</v>
          </cell>
          <cell r="BT336">
            <v>10609</v>
          </cell>
          <cell r="BU336">
            <v>4260</v>
          </cell>
          <cell r="BV336">
            <v>16156.5</v>
          </cell>
          <cell r="BW336">
            <v>8161</v>
          </cell>
          <cell r="BX336">
            <v>4758.5</v>
          </cell>
          <cell r="BY336">
            <v>8585.5</v>
          </cell>
          <cell r="BZ336">
            <v>18191.5</v>
          </cell>
          <cell r="CA336">
            <v>10898</v>
          </cell>
          <cell r="CB336">
            <v>12152.5</v>
          </cell>
          <cell r="CC336">
            <v>13247.5</v>
          </cell>
          <cell r="CD336">
            <v>9944</v>
          </cell>
          <cell r="CE336">
            <v>4152</v>
          </cell>
          <cell r="CF336">
            <v>15404</v>
          </cell>
          <cell r="CG336">
            <v>7812</v>
          </cell>
          <cell r="CH336">
            <v>19756.5</v>
          </cell>
          <cell r="CI336">
            <v>20373.5</v>
          </cell>
          <cell r="CJ336">
            <v>17987</v>
          </cell>
          <cell r="CK336">
            <v>4410</v>
          </cell>
          <cell r="CL336">
            <v>24823</v>
          </cell>
          <cell r="CM336">
            <v>19090</v>
          </cell>
          <cell r="CN336">
            <v>15354</v>
          </cell>
          <cell r="CO336">
            <v>3583.5</v>
          </cell>
          <cell r="CP336">
            <v>4467.5</v>
          </cell>
          <cell r="CQ336">
            <v>37276</v>
          </cell>
          <cell r="CR336">
            <v>24256.5</v>
          </cell>
          <cell r="CS336">
            <v>7645</v>
          </cell>
          <cell r="CT336">
            <v>14612</v>
          </cell>
          <cell r="CU336">
            <v>16154.5</v>
          </cell>
          <cell r="CV336">
            <v>18749.5</v>
          </cell>
          <cell r="CW336">
            <v>11708.5</v>
          </cell>
          <cell r="CX336">
            <v>4348.5</v>
          </cell>
          <cell r="CY336">
            <v>19175</v>
          </cell>
          <cell r="CZ336">
            <v>11485</v>
          </cell>
          <cell r="DA336">
            <v>27079.5</v>
          </cell>
          <cell r="DB336" t="str">
            <v>ACTIVO</v>
          </cell>
          <cell r="DC336" t="str">
            <v/>
          </cell>
          <cell r="DE336">
            <v>15985.558823529413</v>
          </cell>
          <cell r="DF336">
            <v>2664.2598039215686</v>
          </cell>
          <cell r="DG336">
            <v>10946.571417055378</v>
          </cell>
          <cell r="DH336">
            <v>0</v>
          </cell>
          <cell r="DI336" t="str">
            <v>0</v>
          </cell>
          <cell r="DJ336">
            <v>0</v>
          </cell>
          <cell r="DK336" t="str">
            <v>INACTIVO</v>
          </cell>
          <cell r="DL336">
            <v>0</v>
          </cell>
          <cell r="DM336">
            <v>5328.5196078431372</v>
          </cell>
          <cell r="DN336">
            <v>5328.5196078431372</v>
          </cell>
        </row>
        <row r="337">
          <cell r="B337">
            <v>104001</v>
          </cell>
          <cell r="C337" t="str">
            <v>AZUCAR FLOR ALTO LA CRUZ</v>
          </cell>
          <cell r="D337">
            <v>417</v>
          </cell>
          <cell r="E337">
            <v>359</v>
          </cell>
          <cell r="F337">
            <v>452</v>
          </cell>
          <cell r="G337">
            <v>348</v>
          </cell>
          <cell r="H337">
            <v>462</v>
          </cell>
          <cell r="I337">
            <v>375</v>
          </cell>
          <cell r="J337">
            <v>353</v>
          </cell>
          <cell r="K337">
            <v>426</v>
          </cell>
          <cell r="L337">
            <v>777</v>
          </cell>
          <cell r="M337">
            <v>457</v>
          </cell>
          <cell r="N337">
            <v>546</v>
          </cell>
          <cell r="O337">
            <v>221</v>
          </cell>
          <cell r="P337">
            <v>507</v>
          </cell>
          <cell r="Q337">
            <v>510</v>
          </cell>
          <cell r="R337">
            <v>270</v>
          </cell>
          <cell r="S337">
            <v>19</v>
          </cell>
          <cell r="T337">
            <v>388</v>
          </cell>
          <cell r="U337">
            <v>704</v>
          </cell>
          <cell r="V337">
            <v>745</v>
          </cell>
          <cell r="W337">
            <v>333</v>
          </cell>
          <cell r="Y337">
            <v>245</v>
          </cell>
          <cell r="AC337">
            <v>241</v>
          </cell>
          <cell r="AD337">
            <v>192</v>
          </cell>
          <cell r="AE337">
            <v>192</v>
          </cell>
          <cell r="AF337">
            <v>596</v>
          </cell>
          <cell r="AH337">
            <v>5</v>
          </cell>
          <cell r="AI337">
            <v>20</v>
          </cell>
          <cell r="AM337">
            <v>28</v>
          </cell>
          <cell r="AN337">
            <v>23</v>
          </cell>
          <cell r="DB337" t="str">
            <v>SIN USO</v>
          </cell>
          <cell r="DC337" t="str">
            <v>C</v>
          </cell>
          <cell r="DE337">
            <v>0</v>
          </cell>
          <cell r="DF337">
            <v>0</v>
          </cell>
          <cell r="DG337">
            <v>232.12151989852211</v>
          </cell>
          <cell r="DH337">
            <v>0</v>
          </cell>
          <cell r="DI337" t="str">
            <v>0</v>
          </cell>
          <cell r="DJ337">
            <v>0</v>
          </cell>
          <cell r="DK337" t="str">
            <v>INACTIVO</v>
          </cell>
          <cell r="DL337">
            <v>0</v>
          </cell>
          <cell r="DM337">
            <v>0</v>
          </cell>
          <cell r="DN337">
            <v>0</v>
          </cell>
        </row>
        <row r="338">
          <cell r="B338">
            <v>405418</v>
          </cell>
          <cell r="C338" t="str">
            <v>AZUCAR FLOR 5KG MEL ALIMENTOS</v>
          </cell>
          <cell r="Q338">
            <v>232</v>
          </cell>
          <cell r="R338">
            <v>661</v>
          </cell>
          <cell r="S338">
            <v>769</v>
          </cell>
          <cell r="T338">
            <v>63</v>
          </cell>
          <cell r="W338">
            <v>45</v>
          </cell>
          <cell r="X338">
            <v>860</v>
          </cell>
          <cell r="Y338">
            <v>400</v>
          </cell>
          <cell r="Z338">
            <v>645</v>
          </cell>
          <cell r="AA338">
            <v>60</v>
          </cell>
          <cell r="AB338">
            <v>680</v>
          </cell>
          <cell r="AC338">
            <v>20</v>
          </cell>
          <cell r="AF338">
            <v>55</v>
          </cell>
          <cell r="AG338">
            <v>735</v>
          </cell>
          <cell r="AH338">
            <v>456</v>
          </cell>
          <cell r="AI338">
            <v>595</v>
          </cell>
          <cell r="AJ338">
            <v>365</v>
          </cell>
          <cell r="AK338">
            <v>480</v>
          </cell>
          <cell r="AL338">
            <v>505</v>
          </cell>
          <cell r="AM338">
            <v>445</v>
          </cell>
          <cell r="AN338">
            <v>370</v>
          </cell>
          <cell r="AO338">
            <v>645</v>
          </cell>
          <cell r="AP338">
            <v>515</v>
          </cell>
          <cell r="AQ338">
            <v>555</v>
          </cell>
          <cell r="AR338">
            <v>845</v>
          </cell>
          <cell r="AS338">
            <v>582</v>
          </cell>
          <cell r="AT338">
            <v>613</v>
          </cell>
          <cell r="AU338">
            <v>420</v>
          </cell>
          <cell r="AV338">
            <v>555</v>
          </cell>
          <cell r="AW338">
            <v>630</v>
          </cell>
          <cell r="AX338">
            <v>687</v>
          </cell>
          <cell r="AY338">
            <v>385</v>
          </cell>
          <cell r="AZ338">
            <v>519</v>
          </cell>
          <cell r="BA338">
            <v>855</v>
          </cell>
          <cell r="BB338">
            <v>506</v>
          </cell>
          <cell r="BC338">
            <v>525</v>
          </cell>
          <cell r="BD338">
            <v>65</v>
          </cell>
          <cell r="BE338">
            <v>650</v>
          </cell>
          <cell r="BF338">
            <v>635</v>
          </cell>
          <cell r="BG338">
            <v>615</v>
          </cell>
          <cell r="BH338">
            <v>740</v>
          </cell>
          <cell r="BI338">
            <v>710</v>
          </cell>
          <cell r="BJ338">
            <v>715</v>
          </cell>
          <cell r="BK338">
            <v>505</v>
          </cell>
          <cell r="BL338">
            <v>720</v>
          </cell>
          <cell r="BM338">
            <v>880</v>
          </cell>
          <cell r="BN338">
            <v>620</v>
          </cell>
          <cell r="BO338">
            <v>580</v>
          </cell>
          <cell r="BP338">
            <v>340</v>
          </cell>
          <cell r="BQ338">
            <v>745</v>
          </cell>
          <cell r="BR338">
            <v>431</v>
          </cell>
          <cell r="BS338">
            <v>850</v>
          </cell>
          <cell r="BT338">
            <v>850</v>
          </cell>
          <cell r="BU338">
            <v>624</v>
          </cell>
          <cell r="BV338">
            <v>625</v>
          </cell>
          <cell r="BW338">
            <v>390</v>
          </cell>
          <cell r="BX338">
            <v>335</v>
          </cell>
          <cell r="BY338">
            <v>410</v>
          </cell>
          <cell r="BZ338">
            <v>590</v>
          </cell>
          <cell r="CA338">
            <v>570</v>
          </cell>
          <cell r="CB338">
            <v>130</v>
          </cell>
          <cell r="CC338">
            <v>450</v>
          </cell>
          <cell r="CD338">
            <v>295</v>
          </cell>
          <cell r="CE338">
            <v>195</v>
          </cell>
          <cell r="CF338">
            <v>115</v>
          </cell>
          <cell r="CG338">
            <v>580</v>
          </cell>
          <cell r="CH338">
            <v>445</v>
          </cell>
          <cell r="CI338">
            <v>660</v>
          </cell>
          <cell r="CJ338">
            <v>460</v>
          </cell>
          <cell r="CK338">
            <v>480</v>
          </cell>
          <cell r="CL338">
            <v>295</v>
          </cell>
          <cell r="CM338">
            <v>365</v>
          </cell>
          <cell r="CN338">
            <v>590</v>
          </cell>
          <cell r="CO338">
            <v>375</v>
          </cell>
          <cell r="CP338">
            <v>380</v>
          </cell>
          <cell r="CQ338">
            <v>385</v>
          </cell>
          <cell r="CR338">
            <v>495</v>
          </cell>
          <cell r="CS338">
            <v>270</v>
          </cell>
          <cell r="CT338">
            <v>515</v>
          </cell>
          <cell r="CU338">
            <v>420</v>
          </cell>
          <cell r="CV338">
            <v>615</v>
          </cell>
          <cell r="CW338">
            <v>625</v>
          </cell>
          <cell r="CX338">
            <v>505</v>
          </cell>
          <cell r="CY338">
            <v>750</v>
          </cell>
          <cell r="CZ338">
            <v>370</v>
          </cell>
          <cell r="DA338">
            <v>345</v>
          </cell>
          <cell r="DB338" t="str">
            <v>ACTIVO</v>
          </cell>
          <cell r="DC338" t="str">
            <v>B</v>
          </cell>
          <cell r="DE338">
            <v>437.94117647058823</v>
          </cell>
          <cell r="DF338">
            <v>72.990196078431367</v>
          </cell>
          <cell r="DG338">
            <v>192.38833904763644</v>
          </cell>
          <cell r="DH338">
            <v>555</v>
          </cell>
          <cell r="DI338">
            <v>761210.25</v>
          </cell>
          <cell r="DJ338">
            <v>1.2672934855607791</v>
          </cell>
          <cell r="DK338" t="str">
            <v>OK</v>
          </cell>
          <cell r="DL338">
            <v>145.98039215686273</v>
          </cell>
          <cell r="DM338">
            <v>145.98039215686273</v>
          </cell>
          <cell r="DN338">
            <v>291.96078431372547</v>
          </cell>
        </row>
        <row r="339">
          <cell r="B339">
            <v>104003</v>
          </cell>
          <cell r="C339" t="str">
            <v>AZUCAR FLOR ANTI-HUMEDAD MANAR</v>
          </cell>
          <cell r="E339">
            <v>30</v>
          </cell>
          <cell r="F339">
            <v>48</v>
          </cell>
          <cell r="H339">
            <v>21.5</v>
          </cell>
          <cell r="I339">
            <v>10</v>
          </cell>
          <cell r="J339">
            <v>28</v>
          </cell>
          <cell r="K339">
            <v>84</v>
          </cell>
          <cell r="M339">
            <v>44</v>
          </cell>
          <cell r="P339">
            <v>40</v>
          </cell>
          <cell r="Q339">
            <v>50</v>
          </cell>
          <cell r="R339">
            <v>50</v>
          </cell>
          <cell r="S339">
            <v>50</v>
          </cell>
          <cell r="T339">
            <v>40</v>
          </cell>
          <cell r="W339">
            <v>108</v>
          </cell>
          <cell r="AA339">
            <v>50</v>
          </cell>
          <cell r="AB339">
            <v>92</v>
          </cell>
          <cell r="AC339">
            <v>25</v>
          </cell>
          <cell r="AN339">
            <v>40</v>
          </cell>
          <cell r="AO339">
            <v>87</v>
          </cell>
          <cell r="AP339">
            <v>90.72</v>
          </cell>
          <cell r="AT339">
            <v>40</v>
          </cell>
          <cell r="AX339">
            <v>166</v>
          </cell>
          <cell r="BA339">
            <v>46</v>
          </cell>
          <cell r="BN339">
            <v>204.12</v>
          </cell>
          <cell r="DB339" t="str">
            <v>SIN USO</v>
          </cell>
          <cell r="DC339" t="str">
            <v>C</v>
          </cell>
          <cell r="DE339">
            <v>0</v>
          </cell>
          <cell r="DF339">
            <v>0</v>
          </cell>
          <cell r="DG339">
            <v>65.154085498477031</v>
          </cell>
          <cell r="DH339">
            <v>0</v>
          </cell>
          <cell r="DI339" t="str">
            <v>0</v>
          </cell>
          <cell r="DJ339">
            <v>0</v>
          </cell>
          <cell r="DK339" t="str">
            <v>INACTIVO</v>
          </cell>
          <cell r="DL339">
            <v>0</v>
          </cell>
          <cell r="DM339">
            <v>0</v>
          </cell>
          <cell r="DN339">
            <v>0</v>
          </cell>
        </row>
        <row r="340">
          <cell r="B340">
            <v>104004</v>
          </cell>
          <cell r="C340" t="str">
            <v>AZUCAR RUBIA EGC</v>
          </cell>
          <cell r="D340">
            <v>8</v>
          </cell>
          <cell r="E340">
            <v>10</v>
          </cell>
          <cell r="F340">
            <v>9</v>
          </cell>
          <cell r="G340">
            <v>7</v>
          </cell>
          <cell r="H340">
            <v>5.5</v>
          </cell>
          <cell r="I340">
            <v>4</v>
          </cell>
          <cell r="J340">
            <v>11</v>
          </cell>
          <cell r="K340">
            <v>4</v>
          </cell>
          <cell r="L340">
            <v>6</v>
          </cell>
          <cell r="M340">
            <v>5</v>
          </cell>
          <cell r="N340">
            <v>4.5</v>
          </cell>
          <cell r="O340">
            <v>1.5</v>
          </cell>
          <cell r="P340">
            <v>8</v>
          </cell>
          <cell r="Q340">
            <v>5</v>
          </cell>
          <cell r="R340">
            <v>4.5</v>
          </cell>
          <cell r="S340">
            <v>2</v>
          </cell>
          <cell r="X340">
            <v>2</v>
          </cell>
          <cell r="AP340">
            <v>10</v>
          </cell>
          <cell r="AU340">
            <v>38</v>
          </cell>
          <cell r="BF340">
            <v>17</v>
          </cell>
          <cell r="BI340">
            <v>10</v>
          </cell>
          <cell r="BK340">
            <v>3</v>
          </cell>
          <cell r="BQ340">
            <v>21</v>
          </cell>
          <cell r="CD340">
            <v>10</v>
          </cell>
          <cell r="DB340" t="str">
            <v>ACTIVO</v>
          </cell>
          <cell r="DC340" t="str">
            <v>C</v>
          </cell>
          <cell r="DE340">
            <v>0</v>
          </cell>
          <cell r="DF340">
            <v>0</v>
          </cell>
          <cell r="DG340">
            <v>11.443442705426587</v>
          </cell>
          <cell r="DH340">
            <v>93</v>
          </cell>
          <cell r="DI340">
            <v>115272.57</v>
          </cell>
          <cell r="DJ340">
            <v>0</v>
          </cell>
          <cell r="DK340" t="str">
            <v>OK</v>
          </cell>
          <cell r="DL340">
            <v>0</v>
          </cell>
          <cell r="DM340">
            <v>0</v>
          </cell>
          <cell r="DN340">
            <v>0</v>
          </cell>
        </row>
        <row r="341">
          <cell r="B341">
            <v>104006</v>
          </cell>
          <cell r="C341" t="str">
            <v>AZUCAR GRANULADA EGC</v>
          </cell>
          <cell r="D341">
            <v>32</v>
          </cell>
          <cell r="E341">
            <v>30</v>
          </cell>
          <cell r="F341">
            <v>37</v>
          </cell>
          <cell r="G341">
            <v>88</v>
          </cell>
          <cell r="H341">
            <v>79</v>
          </cell>
          <cell r="I341">
            <v>67</v>
          </cell>
          <cell r="J341">
            <v>106</v>
          </cell>
          <cell r="K341">
            <v>133</v>
          </cell>
          <cell r="L341">
            <v>170</v>
          </cell>
          <cell r="M341">
            <v>177</v>
          </cell>
          <cell r="N341">
            <v>157</v>
          </cell>
          <cell r="O341">
            <v>38</v>
          </cell>
          <cell r="P341">
            <v>92</v>
          </cell>
          <cell r="Q341">
            <v>126</v>
          </cell>
          <cell r="R341">
            <v>147</v>
          </cell>
          <cell r="S341">
            <v>130</v>
          </cell>
          <cell r="T341">
            <v>128</v>
          </cell>
          <cell r="U341">
            <v>155</v>
          </cell>
          <cell r="V341">
            <v>168</v>
          </cell>
          <cell r="W341">
            <v>158</v>
          </cell>
          <cell r="X341">
            <v>136</v>
          </cell>
          <cell r="Y341">
            <v>160</v>
          </cell>
          <cell r="Z341">
            <v>127</v>
          </cell>
          <cell r="AA341">
            <v>120</v>
          </cell>
          <cell r="AB341">
            <v>135</v>
          </cell>
          <cell r="AC341">
            <v>100</v>
          </cell>
          <cell r="AD341">
            <v>57</v>
          </cell>
          <cell r="AE341">
            <v>65</v>
          </cell>
          <cell r="AF341">
            <v>149</v>
          </cell>
          <cell r="AG341">
            <v>141</v>
          </cell>
          <cell r="AH341">
            <v>114</v>
          </cell>
          <cell r="AI341">
            <v>147</v>
          </cell>
          <cell r="AJ341">
            <v>1174</v>
          </cell>
          <cell r="AK341">
            <v>74</v>
          </cell>
          <cell r="AL341">
            <v>122</v>
          </cell>
          <cell r="AM341">
            <v>117</v>
          </cell>
          <cell r="AN341">
            <v>130</v>
          </cell>
          <cell r="AO341">
            <v>146</v>
          </cell>
          <cell r="AP341">
            <v>268</v>
          </cell>
          <cell r="AQ341">
            <v>214</v>
          </cell>
          <cell r="AR341">
            <v>398</v>
          </cell>
          <cell r="AS341">
            <v>224</v>
          </cell>
          <cell r="AT341">
            <v>420</v>
          </cell>
          <cell r="AU341">
            <v>290</v>
          </cell>
          <cell r="AV341">
            <v>317</v>
          </cell>
          <cell r="AW341">
            <v>328</v>
          </cell>
          <cell r="AX341">
            <v>292</v>
          </cell>
          <cell r="AY341">
            <v>322</v>
          </cell>
          <cell r="AZ341">
            <v>329</v>
          </cell>
          <cell r="BA341">
            <v>217</v>
          </cell>
          <cell r="BB341">
            <v>290</v>
          </cell>
          <cell r="BC341">
            <v>246</v>
          </cell>
          <cell r="BD341">
            <v>169</v>
          </cell>
          <cell r="BE341">
            <v>327</v>
          </cell>
          <cell r="BF341">
            <v>274</v>
          </cell>
          <cell r="BG341">
            <v>544</v>
          </cell>
          <cell r="BH341">
            <v>363</v>
          </cell>
          <cell r="BI341">
            <v>329</v>
          </cell>
          <cell r="BJ341">
            <v>367</v>
          </cell>
          <cell r="BK341">
            <v>408</v>
          </cell>
          <cell r="BL341">
            <v>425</v>
          </cell>
          <cell r="BM341">
            <v>188</v>
          </cell>
          <cell r="BN341">
            <v>337</v>
          </cell>
          <cell r="BO341">
            <v>468</v>
          </cell>
          <cell r="BP341">
            <v>97</v>
          </cell>
          <cell r="BQ341">
            <v>315</v>
          </cell>
          <cell r="BR341">
            <v>263</v>
          </cell>
          <cell r="BS341">
            <v>279</v>
          </cell>
          <cell r="BT341">
            <v>317</v>
          </cell>
          <cell r="BU341">
            <v>412</v>
          </cell>
          <cell r="BV341">
            <v>379</v>
          </cell>
          <cell r="BW341">
            <v>288</v>
          </cell>
          <cell r="BX341">
            <v>258</v>
          </cell>
          <cell r="BY341">
            <v>108</v>
          </cell>
          <cell r="BZ341">
            <v>143</v>
          </cell>
          <cell r="CA341">
            <v>319</v>
          </cell>
          <cell r="CB341">
            <v>201</v>
          </cell>
          <cell r="CC341">
            <v>205</v>
          </cell>
          <cell r="CD341">
            <v>327</v>
          </cell>
          <cell r="CE341">
            <v>247</v>
          </cell>
          <cell r="CF341">
            <v>105</v>
          </cell>
          <cell r="CG341">
            <v>383</v>
          </cell>
          <cell r="CH341">
            <v>166</v>
          </cell>
          <cell r="CI341">
            <v>257</v>
          </cell>
          <cell r="CJ341">
            <v>154</v>
          </cell>
          <cell r="CK341">
            <v>205</v>
          </cell>
          <cell r="CL341">
            <v>297</v>
          </cell>
          <cell r="CM341">
            <v>239</v>
          </cell>
          <cell r="CN341">
            <v>269</v>
          </cell>
          <cell r="CO341">
            <v>365</v>
          </cell>
          <cell r="CP341">
            <v>324</v>
          </cell>
          <cell r="CQ341">
            <v>115</v>
          </cell>
          <cell r="CR341">
            <v>149</v>
          </cell>
          <cell r="CS341">
            <v>248</v>
          </cell>
          <cell r="CT341">
            <v>357</v>
          </cell>
          <cell r="CU341">
            <v>359</v>
          </cell>
          <cell r="CV341">
            <v>419</v>
          </cell>
          <cell r="CW341">
            <v>321</v>
          </cell>
          <cell r="CX341">
            <v>240</v>
          </cell>
          <cell r="CY341">
            <v>930</v>
          </cell>
          <cell r="CZ341">
            <v>225</v>
          </cell>
          <cell r="DA341">
            <v>339</v>
          </cell>
          <cell r="DB341" t="str">
            <v>ACTIVO</v>
          </cell>
          <cell r="DC341" t="str">
            <v>B</v>
          </cell>
          <cell r="DE341">
            <v>259.47058823529414</v>
          </cell>
          <cell r="DF341">
            <v>43.245098039215691</v>
          </cell>
          <cell r="DG341">
            <v>165.87773095127707</v>
          </cell>
          <cell r="DH341">
            <v>1472</v>
          </cell>
          <cell r="DI341">
            <v>1324800</v>
          </cell>
          <cell r="DJ341">
            <v>5.6730900022670587</v>
          </cell>
          <cell r="DK341" t="str">
            <v>OK</v>
          </cell>
          <cell r="DL341">
            <v>86.490196078431381</v>
          </cell>
          <cell r="DM341">
            <v>86.490196078431381</v>
          </cell>
          <cell r="DN341">
            <v>172.98039215686276</v>
          </cell>
        </row>
        <row r="342">
          <cell r="D342">
            <v>457</v>
          </cell>
          <cell r="E342">
            <v>429</v>
          </cell>
          <cell r="F342">
            <v>546</v>
          </cell>
          <cell r="G342">
            <v>443</v>
          </cell>
          <cell r="H342">
            <v>568</v>
          </cell>
          <cell r="I342">
            <v>456</v>
          </cell>
          <cell r="J342">
            <v>498</v>
          </cell>
          <cell r="K342">
            <v>647</v>
          </cell>
          <cell r="L342">
            <v>953</v>
          </cell>
          <cell r="M342">
            <v>683</v>
          </cell>
          <cell r="N342">
            <v>707.5</v>
          </cell>
          <cell r="O342">
            <v>260.5</v>
          </cell>
          <cell r="P342">
            <v>647</v>
          </cell>
          <cell r="Q342">
            <v>923</v>
          </cell>
          <cell r="R342">
            <v>1132.5</v>
          </cell>
          <cell r="S342">
            <v>970</v>
          </cell>
          <cell r="T342">
            <v>619</v>
          </cell>
          <cell r="U342">
            <v>859</v>
          </cell>
          <cell r="V342">
            <v>913</v>
          </cell>
          <cell r="W342">
            <v>644</v>
          </cell>
          <cell r="X342">
            <v>998</v>
          </cell>
          <cell r="Y342">
            <v>805</v>
          </cell>
          <cell r="Z342">
            <v>772</v>
          </cell>
          <cell r="AA342">
            <v>230</v>
          </cell>
          <cell r="AB342">
            <v>907</v>
          </cell>
          <cell r="AC342">
            <v>386</v>
          </cell>
          <cell r="AD342">
            <v>249</v>
          </cell>
          <cell r="AE342">
            <v>257</v>
          </cell>
          <cell r="AF342">
            <v>800</v>
          </cell>
          <cell r="AG342">
            <v>876</v>
          </cell>
          <cell r="AH342">
            <v>575</v>
          </cell>
          <cell r="AI342">
            <v>762</v>
          </cell>
          <cell r="AJ342">
            <v>1539</v>
          </cell>
          <cell r="AK342">
            <v>554</v>
          </cell>
          <cell r="AL342">
            <v>627</v>
          </cell>
          <cell r="AM342">
            <v>590</v>
          </cell>
          <cell r="AN342">
            <v>563</v>
          </cell>
          <cell r="AO342">
            <v>878</v>
          </cell>
          <cell r="AP342">
            <v>883.72</v>
          </cell>
          <cell r="AQ342">
            <v>769</v>
          </cell>
          <cell r="AR342">
            <v>1243</v>
          </cell>
          <cell r="AS342">
            <v>806</v>
          </cell>
          <cell r="AT342">
            <v>1073</v>
          </cell>
          <cell r="AU342">
            <v>748</v>
          </cell>
          <cell r="AV342">
            <v>872</v>
          </cell>
          <cell r="AW342">
            <v>958</v>
          </cell>
          <cell r="AX342">
            <v>1145</v>
          </cell>
          <cell r="AY342">
            <v>707</v>
          </cell>
          <cell r="AZ342">
            <v>848</v>
          </cell>
          <cell r="BA342">
            <v>1118</v>
          </cell>
          <cell r="BB342">
            <v>796</v>
          </cell>
          <cell r="BC342">
            <v>771</v>
          </cell>
          <cell r="BD342">
            <v>234</v>
          </cell>
          <cell r="BE342">
            <v>977</v>
          </cell>
          <cell r="BF342">
            <v>926</v>
          </cell>
          <cell r="BG342">
            <v>1159</v>
          </cell>
          <cell r="BH342">
            <v>1103</v>
          </cell>
          <cell r="BI342">
            <v>1049</v>
          </cell>
          <cell r="BJ342">
            <v>1082</v>
          </cell>
          <cell r="BK342">
            <v>916</v>
          </cell>
          <cell r="BL342">
            <v>1145</v>
          </cell>
          <cell r="BM342">
            <v>1068</v>
          </cell>
          <cell r="BN342">
            <v>1161.1199999999999</v>
          </cell>
          <cell r="BO342">
            <v>1048</v>
          </cell>
          <cell r="BP342">
            <v>437</v>
          </cell>
          <cell r="BQ342">
            <v>1081</v>
          </cell>
          <cell r="BR342">
            <v>694</v>
          </cell>
          <cell r="BS342">
            <v>1129</v>
          </cell>
          <cell r="BT342">
            <v>1167</v>
          </cell>
          <cell r="BU342">
            <v>1036</v>
          </cell>
          <cell r="BV342">
            <v>1004</v>
          </cell>
          <cell r="BW342">
            <v>678</v>
          </cell>
          <cell r="BX342">
            <v>593</v>
          </cell>
          <cell r="BY342">
            <v>518</v>
          </cell>
          <cell r="BZ342">
            <v>733</v>
          </cell>
          <cell r="CA342">
            <v>889</v>
          </cell>
          <cell r="CB342">
            <v>331</v>
          </cell>
          <cell r="CC342">
            <v>655</v>
          </cell>
          <cell r="CD342">
            <v>632</v>
          </cell>
          <cell r="CE342">
            <v>442</v>
          </cell>
          <cell r="CF342">
            <v>220</v>
          </cell>
          <cell r="CG342">
            <v>963</v>
          </cell>
          <cell r="CH342">
            <v>611</v>
          </cell>
          <cell r="CI342">
            <v>917</v>
          </cell>
          <cell r="CJ342">
            <v>614</v>
          </cell>
          <cell r="CK342">
            <v>685</v>
          </cell>
          <cell r="CL342">
            <v>592</v>
          </cell>
          <cell r="CM342">
            <v>604</v>
          </cell>
          <cell r="CN342">
            <v>859</v>
          </cell>
          <cell r="CO342">
            <v>740</v>
          </cell>
          <cell r="CP342">
            <v>704</v>
          </cell>
          <cell r="CQ342">
            <v>500</v>
          </cell>
          <cell r="CR342">
            <v>644</v>
          </cell>
          <cell r="CS342">
            <v>518</v>
          </cell>
          <cell r="CT342">
            <v>872</v>
          </cell>
          <cell r="CU342">
            <v>779</v>
          </cell>
          <cell r="CV342">
            <v>1034</v>
          </cell>
          <cell r="CW342">
            <v>946</v>
          </cell>
          <cell r="CX342">
            <v>745</v>
          </cell>
          <cell r="CY342">
            <v>1680</v>
          </cell>
          <cell r="CZ342">
            <v>595</v>
          </cell>
          <cell r="DA342">
            <v>684</v>
          </cell>
          <cell r="DB342" t="str">
            <v>ACTIVO</v>
          </cell>
          <cell r="DC342" t="str">
            <v/>
          </cell>
          <cell r="DE342">
            <v>697.41176470588232</v>
          </cell>
          <cell r="DF342">
            <v>116.23529411764706</v>
          </cell>
          <cell r="DG342">
            <v>269.58956360698681</v>
          </cell>
          <cell r="DH342">
            <v>0</v>
          </cell>
          <cell r="DI342" t="str">
            <v>0</v>
          </cell>
          <cell r="DJ342">
            <v>0</v>
          </cell>
          <cell r="DK342" t="str">
            <v>INACTIVO</v>
          </cell>
          <cell r="DL342">
            <v>0</v>
          </cell>
          <cell r="DM342">
            <v>232.47058823529412</v>
          </cell>
          <cell r="DN342">
            <v>232.47058823529412</v>
          </cell>
        </row>
        <row r="343">
          <cell r="B343">
            <v>100105</v>
          </cell>
          <cell r="C343" t="str">
            <v>MIX BIZC. RED VELVET PURATOS</v>
          </cell>
          <cell r="D343">
            <v>180</v>
          </cell>
          <cell r="E343">
            <v>220</v>
          </cell>
          <cell r="F343">
            <v>220</v>
          </cell>
          <cell r="G343">
            <v>240</v>
          </cell>
          <cell r="H343">
            <v>180</v>
          </cell>
          <cell r="I343">
            <v>160</v>
          </cell>
          <cell r="J343">
            <v>220</v>
          </cell>
          <cell r="K343">
            <v>220</v>
          </cell>
          <cell r="L343">
            <v>220</v>
          </cell>
          <cell r="M343">
            <v>200</v>
          </cell>
          <cell r="N343">
            <v>140</v>
          </cell>
          <cell r="O343">
            <v>100</v>
          </cell>
          <cell r="P343">
            <v>280</v>
          </cell>
          <cell r="Q343">
            <v>160</v>
          </cell>
          <cell r="R343">
            <v>200</v>
          </cell>
          <cell r="S343">
            <v>120</v>
          </cell>
          <cell r="T343">
            <v>140</v>
          </cell>
          <cell r="U343">
            <v>140</v>
          </cell>
          <cell r="V343">
            <v>200</v>
          </cell>
          <cell r="W343">
            <v>120</v>
          </cell>
          <cell r="X343">
            <v>220</v>
          </cell>
          <cell r="Y343">
            <v>140</v>
          </cell>
          <cell r="Z343">
            <v>80</v>
          </cell>
          <cell r="AA343">
            <v>160</v>
          </cell>
          <cell r="AB343">
            <v>300</v>
          </cell>
          <cell r="AC343">
            <v>200</v>
          </cell>
          <cell r="AD343">
            <v>40</v>
          </cell>
          <cell r="AE343">
            <v>120</v>
          </cell>
          <cell r="AF343">
            <v>141</v>
          </cell>
          <cell r="AG343">
            <v>179</v>
          </cell>
          <cell r="AH343">
            <v>120</v>
          </cell>
          <cell r="AI343">
            <v>240</v>
          </cell>
          <cell r="AJ343">
            <v>280</v>
          </cell>
          <cell r="AK343">
            <v>200</v>
          </cell>
          <cell r="AL343">
            <v>300</v>
          </cell>
          <cell r="AM343">
            <v>140</v>
          </cell>
          <cell r="AN343">
            <v>210</v>
          </cell>
          <cell r="AO343">
            <v>260</v>
          </cell>
          <cell r="AP343">
            <v>200</v>
          </cell>
          <cell r="AQ343">
            <v>220</v>
          </cell>
          <cell r="AR343">
            <v>120</v>
          </cell>
          <cell r="AS343">
            <v>340</v>
          </cell>
          <cell r="AT343">
            <v>320</v>
          </cell>
          <cell r="AU343">
            <v>180</v>
          </cell>
          <cell r="AV343">
            <v>280</v>
          </cell>
          <cell r="AW343">
            <v>140</v>
          </cell>
          <cell r="AX343">
            <v>300</v>
          </cell>
          <cell r="AY343">
            <v>260</v>
          </cell>
          <cell r="AZ343">
            <v>160</v>
          </cell>
          <cell r="BA343">
            <v>280</v>
          </cell>
          <cell r="BB343">
            <v>180</v>
          </cell>
          <cell r="BC343">
            <v>260</v>
          </cell>
          <cell r="BD343">
            <v>200</v>
          </cell>
          <cell r="BE343">
            <v>240</v>
          </cell>
          <cell r="BF343">
            <v>140</v>
          </cell>
          <cell r="BG343">
            <v>260</v>
          </cell>
          <cell r="BH343">
            <v>180</v>
          </cell>
          <cell r="BI343">
            <v>160</v>
          </cell>
          <cell r="BJ343">
            <v>200</v>
          </cell>
          <cell r="BK343">
            <v>200</v>
          </cell>
          <cell r="BL343">
            <v>280</v>
          </cell>
          <cell r="BM343">
            <v>340</v>
          </cell>
          <cell r="BN343">
            <v>180</v>
          </cell>
          <cell r="BO343">
            <v>240</v>
          </cell>
          <cell r="BP343">
            <v>80</v>
          </cell>
          <cell r="BQ343">
            <v>240</v>
          </cell>
          <cell r="BR343">
            <v>300</v>
          </cell>
          <cell r="BS343">
            <v>340</v>
          </cell>
          <cell r="BT343">
            <v>180</v>
          </cell>
          <cell r="BU343">
            <v>160</v>
          </cell>
          <cell r="BV343">
            <v>160</v>
          </cell>
          <cell r="BW343">
            <v>180</v>
          </cell>
          <cell r="BX343">
            <v>200</v>
          </cell>
          <cell r="BY343">
            <v>220</v>
          </cell>
          <cell r="BZ343">
            <v>280</v>
          </cell>
          <cell r="CA343">
            <v>360</v>
          </cell>
          <cell r="CB343">
            <v>200</v>
          </cell>
          <cell r="CC343">
            <v>200</v>
          </cell>
          <cell r="CD343">
            <v>540</v>
          </cell>
          <cell r="CE343">
            <v>60</v>
          </cell>
          <cell r="CF343">
            <v>80</v>
          </cell>
          <cell r="CG343">
            <v>120</v>
          </cell>
          <cell r="CH343">
            <v>280</v>
          </cell>
          <cell r="CI343">
            <v>240</v>
          </cell>
          <cell r="CJ343">
            <v>180</v>
          </cell>
          <cell r="CK343">
            <v>360</v>
          </cell>
          <cell r="CL343">
            <v>180</v>
          </cell>
          <cell r="CM343">
            <v>140</v>
          </cell>
          <cell r="CN343">
            <v>400</v>
          </cell>
          <cell r="CO343">
            <v>300</v>
          </cell>
          <cell r="CP343">
            <v>340</v>
          </cell>
          <cell r="CQ343">
            <v>420</v>
          </cell>
          <cell r="CR343">
            <v>300</v>
          </cell>
          <cell r="CS343">
            <v>200</v>
          </cell>
          <cell r="CT343">
            <v>400</v>
          </cell>
          <cell r="CU343">
            <v>340</v>
          </cell>
          <cell r="CV343">
            <v>380</v>
          </cell>
          <cell r="CW343">
            <v>640</v>
          </cell>
          <cell r="CX343">
            <v>100</v>
          </cell>
          <cell r="CY343">
            <v>360</v>
          </cell>
          <cell r="CZ343">
            <v>300</v>
          </cell>
          <cell r="DA343">
            <v>340</v>
          </cell>
          <cell r="DB343" t="str">
            <v>ACTIVO</v>
          </cell>
          <cell r="DC343" t="str">
            <v>B</v>
          </cell>
          <cell r="DE343">
            <v>274.11764705882354</v>
          </cell>
          <cell r="DF343">
            <v>45.686274509803923</v>
          </cell>
          <cell r="DG343">
            <v>82.025930446428504</v>
          </cell>
          <cell r="DH343">
            <v>2180</v>
          </cell>
          <cell r="DI343">
            <v>4846140</v>
          </cell>
          <cell r="DJ343">
            <v>7.9527896995708156</v>
          </cell>
          <cell r="DK343" t="str">
            <v>OK</v>
          </cell>
          <cell r="DL343">
            <v>182.74509803921569</v>
          </cell>
          <cell r="DM343">
            <v>91.372549019607845</v>
          </cell>
          <cell r="DN343">
            <v>274.11764705882354</v>
          </cell>
        </row>
        <row r="344">
          <cell r="B344">
            <v>100207</v>
          </cell>
          <cell r="C344" t="str">
            <v>MIX BIZCOCHO BLANCO SAN CRISTOBAL</v>
          </cell>
          <cell r="D344">
            <v>11898</v>
          </cell>
          <cell r="E344">
            <v>11682</v>
          </cell>
          <cell r="F344">
            <v>11232</v>
          </cell>
          <cell r="G344">
            <v>13626</v>
          </cell>
          <cell r="H344">
            <v>13662</v>
          </cell>
          <cell r="I344">
            <v>16236</v>
          </cell>
          <cell r="J344">
            <v>10602</v>
          </cell>
          <cell r="K344">
            <v>13392</v>
          </cell>
          <cell r="L344">
            <v>13032</v>
          </cell>
          <cell r="M344">
            <v>13770</v>
          </cell>
          <cell r="N344">
            <v>12366</v>
          </cell>
          <cell r="O344">
            <v>9450</v>
          </cell>
          <cell r="P344">
            <v>11502</v>
          </cell>
          <cell r="Q344">
            <v>12006</v>
          </cell>
          <cell r="R344">
            <v>11520</v>
          </cell>
          <cell r="S344">
            <v>10656</v>
          </cell>
          <cell r="T344">
            <v>14400</v>
          </cell>
          <cell r="U344">
            <v>13644</v>
          </cell>
          <cell r="V344">
            <v>18126</v>
          </cell>
          <cell r="W344">
            <v>9756</v>
          </cell>
          <cell r="X344">
            <v>10782</v>
          </cell>
          <cell r="Y344">
            <v>14634</v>
          </cell>
          <cell r="Z344">
            <v>9288</v>
          </cell>
          <cell r="AA344">
            <v>11736</v>
          </cell>
          <cell r="AB344">
            <v>16434</v>
          </cell>
          <cell r="AC344">
            <v>8190</v>
          </cell>
          <cell r="AD344">
            <v>3186</v>
          </cell>
          <cell r="AE344">
            <v>2898</v>
          </cell>
          <cell r="AF344">
            <v>12510</v>
          </cell>
          <cell r="AG344">
            <v>6444</v>
          </cell>
          <cell r="AH344">
            <v>8406</v>
          </cell>
          <cell r="AI344">
            <v>9072</v>
          </cell>
          <cell r="AJ344">
            <v>13554</v>
          </cell>
          <cell r="AK344">
            <v>11232</v>
          </cell>
          <cell r="AL344">
            <v>9594</v>
          </cell>
          <cell r="AM344">
            <v>7470</v>
          </cell>
          <cell r="AN344">
            <v>9468</v>
          </cell>
          <cell r="AO344">
            <v>11772</v>
          </cell>
          <cell r="AP344">
            <v>8000</v>
          </cell>
          <cell r="AQ344">
            <v>12812</v>
          </cell>
          <cell r="AR344">
            <v>11106</v>
          </cell>
          <cell r="AS344">
            <v>12799</v>
          </cell>
          <cell r="AT344">
            <v>12816</v>
          </cell>
          <cell r="AU344">
            <v>11124</v>
          </cell>
          <cell r="AV344">
            <v>15480</v>
          </cell>
          <cell r="AW344">
            <v>14130</v>
          </cell>
          <cell r="AX344">
            <v>13554</v>
          </cell>
          <cell r="AY344">
            <v>13590</v>
          </cell>
          <cell r="AZ344">
            <v>14454</v>
          </cell>
          <cell r="BA344">
            <v>12096</v>
          </cell>
          <cell r="BB344">
            <v>18072</v>
          </cell>
          <cell r="BC344">
            <v>12906</v>
          </cell>
          <cell r="BD344">
            <v>10080</v>
          </cell>
          <cell r="BE344">
            <v>11790</v>
          </cell>
          <cell r="BF344">
            <v>14256</v>
          </cell>
          <cell r="BG344">
            <v>11916</v>
          </cell>
          <cell r="BH344">
            <v>14274</v>
          </cell>
          <cell r="BI344">
            <v>11376</v>
          </cell>
          <cell r="BJ344">
            <v>13572</v>
          </cell>
          <cell r="BK344">
            <v>12420</v>
          </cell>
          <cell r="BL344">
            <v>10782</v>
          </cell>
          <cell r="BM344">
            <v>13086</v>
          </cell>
          <cell r="BN344">
            <v>12780</v>
          </cell>
          <cell r="BO344">
            <v>13320</v>
          </cell>
          <cell r="BP344">
            <v>3834</v>
          </cell>
          <cell r="BQ344">
            <v>11323</v>
          </cell>
          <cell r="BR344">
            <v>10332</v>
          </cell>
          <cell r="BS344">
            <v>10314</v>
          </cell>
          <cell r="BT344">
            <v>10266</v>
          </cell>
          <cell r="BU344">
            <v>7038</v>
          </cell>
          <cell r="BV344">
            <v>7488</v>
          </cell>
          <cell r="BW344">
            <v>9432</v>
          </cell>
          <cell r="BX344">
            <v>7866</v>
          </cell>
          <cell r="BY344">
            <v>8118</v>
          </cell>
          <cell r="BZ344">
            <v>8442</v>
          </cell>
          <cell r="CA344">
            <v>9072</v>
          </cell>
          <cell r="CB344">
            <v>8658</v>
          </cell>
          <cell r="CC344">
            <v>11790</v>
          </cell>
          <cell r="CD344">
            <v>6696</v>
          </cell>
          <cell r="CE344">
            <v>10656</v>
          </cell>
          <cell r="CF344">
            <v>1764</v>
          </cell>
          <cell r="CG344">
            <v>14760</v>
          </cell>
          <cell r="CH344">
            <v>6966</v>
          </cell>
          <cell r="CI344">
            <v>10080</v>
          </cell>
          <cell r="CJ344">
            <v>9270</v>
          </cell>
          <cell r="CK344">
            <v>10458</v>
          </cell>
          <cell r="CL344">
            <v>10422</v>
          </cell>
          <cell r="CM344">
            <v>7056</v>
          </cell>
          <cell r="CN344">
            <v>9958</v>
          </cell>
          <cell r="CO344">
            <v>11042</v>
          </cell>
          <cell r="CP344">
            <v>15444</v>
          </cell>
          <cell r="CQ344">
            <v>9144</v>
          </cell>
          <cell r="CR344">
            <v>7848</v>
          </cell>
          <cell r="CS344">
            <v>10044</v>
          </cell>
          <cell r="CT344">
            <v>9780</v>
          </cell>
          <cell r="CU344">
            <v>11496</v>
          </cell>
          <cell r="CV344">
            <v>14256</v>
          </cell>
          <cell r="CW344">
            <v>7506</v>
          </cell>
          <cell r="CX344">
            <v>10134</v>
          </cell>
          <cell r="CY344">
            <v>7344</v>
          </cell>
          <cell r="CZ344">
            <v>12348</v>
          </cell>
          <cell r="DA344">
            <v>10278</v>
          </cell>
          <cell r="DB344" t="str">
            <v>ACTIVO</v>
          </cell>
          <cell r="DC344" t="str">
            <v>A</v>
          </cell>
          <cell r="DE344">
            <v>9987.5294117647063</v>
          </cell>
          <cell r="DF344">
            <v>1664.5882352941178</v>
          </cell>
          <cell r="DG344">
            <v>2885.1739259061296</v>
          </cell>
          <cell r="DH344">
            <v>6210</v>
          </cell>
          <cell r="DI344">
            <v>8855460</v>
          </cell>
          <cell r="DJ344">
            <v>0.62177539048696018</v>
          </cell>
          <cell r="DK344" t="str">
            <v>OK</v>
          </cell>
          <cell r="DL344">
            <v>4993.7647058823532</v>
          </cell>
          <cell r="DM344">
            <v>3329.1764705882356</v>
          </cell>
          <cell r="DN344">
            <v>8322.9411764705892</v>
          </cell>
        </row>
        <row r="345">
          <cell r="B345">
            <v>100221</v>
          </cell>
          <cell r="C345" t="str">
            <v>MIX BIZCOCHO CHOCOLATE SAN CRISTOBAL</v>
          </cell>
          <cell r="D345">
            <v>14772</v>
          </cell>
          <cell r="E345">
            <v>12078</v>
          </cell>
          <cell r="F345">
            <v>9126</v>
          </cell>
          <cell r="G345">
            <v>12096</v>
          </cell>
          <cell r="H345">
            <v>16882</v>
          </cell>
          <cell r="I345">
            <v>9900</v>
          </cell>
          <cell r="J345">
            <v>14994</v>
          </cell>
          <cell r="K345">
            <v>7920</v>
          </cell>
          <cell r="L345">
            <v>15102</v>
          </cell>
          <cell r="M345">
            <v>11466</v>
          </cell>
          <cell r="N345">
            <v>12690</v>
          </cell>
          <cell r="O345">
            <v>5562</v>
          </cell>
          <cell r="P345">
            <v>7074</v>
          </cell>
          <cell r="Q345">
            <v>16758</v>
          </cell>
          <cell r="R345">
            <v>12474</v>
          </cell>
          <cell r="S345">
            <v>12708</v>
          </cell>
          <cell r="T345">
            <v>6786</v>
          </cell>
          <cell r="U345">
            <v>16218</v>
          </cell>
          <cell r="V345">
            <v>11358</v>
          </cell>
          <cell r="W345">
            <v>8208</v>
          </cell>
          <cell r="X345">
            <v>14562</v>
          </cell>
          <cell r="Y345">
            <v>16488</v>
          </cell>
          <cell r="Z345">
            <v>11214</v>
          </cell>
          <cell r="AA345">
            <v>7938</v>
          </cell>
          <cell r="AB345">
            <v>12186</v>
          </cell>
          <cell r="AC345">
            <v>4338</v>
          </cell>
          <cell r="AD345">
            <v>4896</v>
          </cell>
          <cell r="AE345">
            <v>1350</v>
          </cell>
          <cell r="AF345">
            <v>7994</v>
          </cell>
          <cell r="AG345">
            <v>9250</v>
          </cell>
          <cell r="AH345">
            <v>6084</v>
          </cell>
          <cell r="AI345">
            <v>10332</v>
          </cell>
          <cell r="AJ345">
            <v>11448</v>
          </cell>
          <cell r="AK345">
            <v>8550</v>
          </cell>
          <cell r="AL345">
            <v>11196</v>
          </cell>
          <cell r="AM345">
            <v>11916</v>
          </cell>
          <cell r="AN345">
            <v>9234</v>
          </cell>
          <cell r="AO345">
            <v>10044</v>
          </cell>
          <cell r="AP345">
            <v>8856</v>
          </cell>
          <cell r="AQ345">
            <v>12204</v>
          </cell>
          <cell r="AR345">
            <v>16452</v>
          </cell>
          <cell r="AS345">
            <v>15606</v>
          </cell>
          <cell r="AT345">
            <v>12816</v>
          </cell>
          <cell r="AU345">
            <v>9180</v>
          </cell>
          <cell r="AV345">
            <v>10692</v>
          </cell>
          <cell r="AW345">
            <v>7092</v>
          </cell>
          <cell r="AX345">
            <v>14202</v>
          </cell>
          <cell r="AY345">
            <v>10692</v>
          </cell>
          <cell r="AZ345">
            <v>13680</v>
          </cell>
          <cell r="BA345">
            <v>12690</v>
          </cell>
          <cell r="BB345">
            <v>16236</v>
          </cell>
          <cell r="BC345">
            <v>16164</v>
          </cell>
          <cell r="BD345">
            <v>14238</v>
          </cell>
          <cell r="BE345">
            <v>18708</v>
          </cell>
          <cell r="BF345">
            <v>5974</v>
          </cell>
          <cell r="BG345">
            <v>8748</v>
          </cell>
          <cell r="BH345">
            <v>13284</v>
          </cell>
          <cell r="BI345">
            <v>12510</v>
          </cell>
          <cell r="BJ345">
            <v>11124</v>
          </cell>
          <cell r="BK345">
            <v>11376</v>
          </cell>
          <cell r="BL345">
            <v>13518</v>
          </cell>
          <cell r="BM345">
            <v>13878</v>
          </cell>
          <cell r="BN345">
            <v>12150</v>
          </cell>
          <cell r="BO345">
            <v>14670</v>
          </cell>
          <cell r="BP345">
            <v>2214</v>
          </cell>
          <cell r="BQ345">
            <v>18882</v>
          </cell>
          <cell r="BR345">
            <v>7434</v>
          </cell>
          <cell r="BS345">
            <v>13806</v>
          </cell>
          <cell r="BT345">
            <v>6606</v>
          </cell>
          <cell r="BU345">
            <v>9000</v>
          </cell>
          <cell r="BV345">
            <v>4140</v>
          </cell>
          <cell r="BW345">
            <v>11214</v>
          </cell>
          <cell r="BX345">
            <v>2664</v>
          </cell>
          <cell r="BY345">
            <v>5454</v>
          </cell>
          <cell r="BZ345">
            <v>7084</v>
          </cell>
          <cell r="CA345">
            <v>4626</v>
          </cell>
          <cell r="CB345">
            <v>6948</v>
          </cell>
          <cell r="CC345">
            <v>11718</v>
          </cell>
          <cell r="CD345">
            <v>7848</v>
          </cell>
          <cell r="CE345">
            <v>3834</v>
          </cell>
          <cell r="CF345">
            <v>5490</v>
          </cell>
          <cell r="CG345">
            <v>5274</v>
          </cell>
          <cell r="CH345">
            <v>9522</v>
          </cell>
          <cell r="CI345">
            <v>10314</v>
          </cell>
          <cell r="CJ345">
            <v>6642</v>
          </cell>
          <cell r="CK345">
            <v>11610</v>
          </cell>
          <cell r="CL345">
            <v>9972</v>
          </cell>
          <cell r="CM345">
            <v>12204</v>
          </cell>
          <cell r="CN345">
            <v>6462</v>
          </cell>
          <cell r="CO345">
            <v>5850</v>
          </cell>
          <cell r="CP345">
            <v>5130</v>
          </cell>
          <cell r="CQ345">
            <v>8136</v>
          </cell>
          <cell r="CR345">
            <v>15534</v>
          </cell>
          <cell r="CS345">
            <v>5184</v>
          </cell>
          <cell r="CT345">
            <v>13212</v>
          </cell>
          <cell r="CU345">
            <v>1422</v>
          </cell>
          <cell r="CV345">
            <v>612</v>
          </cell>
          <cell r="CW345">
            <v>810</v>
          </cell>
          <cell r="CX345">
            <v>612</v>
          </cell>
          <cell r="CY345">
            <v>1188</v>
          </cell>
          <cell r="CZ345">
            <v>936</v>
          </cell>
          <cell r="DA345">
            <v>1170</v>
          </cell>
          <cell r="DB345" t="str">
            <v>ACTIVO</v>
          </cell>
          <cell r="DC345" t="str">
            <v>A</v>
          </cell>
          <cell r="DE345">
            <v>7798.2352941176468</v>
          </cell>
          <cell r="DF345">
            <v>1299.7058823529412</v>
          </cell>
          <cell r="DG345">
            <v>4096.9034467460124</v>
          </cell>
          <cell r="DH345">
            <v>3924</v>
          </cell>
          <cell r="DI345">
            <v>6372576</v>
          </cell>
          <cell r="DJ345">
            <v>0.50319076714188737</v>
          </cell>
          <cell r="DK345" t="str">
            <v>COMPRAR</v>
          </cell>
          <cell r="DL345">
            <v>3899.1176470588234</v>
          </cell>
          <cell r="DM345">
            <v>2599.4117647058824</v>
          </cell>
          <cell r="DN345">
            <v>6498.5294117647063</v>
          </cell>
        </row>
        <row r="346">
          <cell r="B346">
            <v>402124</v>
          </cell>
          <cell r="C346" t="str">
            <v>MIX TARTALETA PURATOS</v>
          </cell>
          <cell r="D346">
            <v>3330</v>
          </cell>
          <cell r="E346">
            <v>3744</v>
          </cell>
          <cell r="F346">
            <v>5166</v>
          </cell>
          <cell r="G346">
            <v>3204</v>
          </cell>
          <cell r="H346">
            <v>4716</v>
          </cell>
          <cell r="I346">
            <v>5238</v>
          </cell>
          <cell r="J346">
            <v>5238</v>
          </cell>
          <cell r="K346">
            <v>3294</v>
          </cell>
          <cell r="L346">
            <v>2646</v>
          </cell>
          <cell r="M346">
            <v>4230</v>
          </cell>
          <cell r="N346">
            <v>4428</v>
          </cell>
          <cell r="O346">
            <v>2628</v>
          </cell>
          <cell r="P346">
            <v>3582</v>
          </cell>
          <cell r="Q346">
            <v>3852</v>
          </cell>
          <cell r="R346">
            <v>3132</v>
          </cell>
          <cell r="S346">
            <v>4536</v>
          </cell>
          <cell r="T346">
            <v>4338</v>
          </cell>
          <cell r="U346">
            <v>3960</v>
          </cell>
          <cell r="V346">
            <v>4086</v>
          </cell>
          <cell r="W346">
            <v>4122</v>
          </cell>
          <cell r="X346">
            <v>3690</v>
          </cell>
          <cell r="Y346">
            <v>5508</v>
          </cell>
          <cell r="Z346">
            <v>1818</v>
          </cell>
          <cell r="AA346">
            <v>3456</v>
          </cell>
          <cell r="AB346">
            <v>3150</v>
          </cell>
          <cell r="AC346">
            <v>1872</v>
          </cell>
          <cell r="AD346">
            <v>1152</v>
          </cell>
          <cell r="AE346">
            <v>324</v>
          </cell>
          <cell r="AF346">
            <v>4644</v>
          </cell>
          <cell r="AG346">
            <v>3870</v>
          </cell>
          <cell r="AH346">
            <v>4230</v>
          </cell>
          <cell r="AI346">
            <v>4806</v>
          </cell>
          <cell r="AJ346">
            <v>3726</v>
          </cell>
          <cell r="AK346">
            <v>2880</v>
          </cell>
          <cell r="AL346">
            <v>1998</v>
          </cell>
          <cell r="AM346">
            <v>2232</v>
          </cell>
          <cell r="AN346">
            <v>362</v>
          </cell>
          <cell r="AO346">
            <v>952</v>
          </cell>
          <cell r="AP346">
            <v>2574</v>
          </cell>
          <cell r="AQ346">
            <v>2522</v>
          </cell>
          <cell r="AR346">
            <v>1458</v>
          </cell>
          <cell r="DB346" t="str">
            <v>SIN USO</v>
          </cell>
          <cell r="DC346" t="str">
            <v>B</v>
          </cell>
          <cell r="DE346">
            <v>0</v>
          </cell>
          <cell r="DF346">
            <v>0</v>
          </cell>
          <cell r="DG346">
            <v>1503.1162721068943</v>
          </cell>
          <cell r="DH346">
            <v>0</v>
          </cell>
          <cell r="DI346" t="str">
            <v>0</v>
          </cell>
          <cell r="DJ346">
            <v>0</v>
          </cell>
          <cell r="DK346" t="str">
            <v>INACTIVO</v>
          </cell>
          <cell r="DL346">
            <v>0</v>
          </cell>
          <cell r="DM346">
            <v>0</v>
          </cell>
          <cell r="DN346">
            <v>0</v>
          </cell>
        </row>
        <row r="347">
          <cell r="B347">
            <v>402128</v>
          </cell>
          <cell r="C347" t="str">
            <v>MIX BIZCOCHO SIN AZUCAR PURATOS</v>
          </cell>
          <cell r="D347">
            <v>70</v>
          </cell>
          <cell r="E347">
            <v>50</v>
          </cell>
          <cell r="F347">
            <v>60</v>
          </cell>
          <cell r="G347">
            <v>40</v>
          </cell>
          <cell r="H347">
            <v>70</v>
          </cell>
          <cell r="I347">
            <v>60</v>
          </cell>
          <cell r="J347">
            <v>50</v>
          </cell>
          <cell r="K347">
            <v>85</v>
          </cell>
          <cell r="L347">
            <v>80</v>
          </cell>
          <cell r="M347">
            <v>50</v>
          </cell>
          <cell r="N347">
            <v>60</v>
          </cell>
          <cell r="O347">
            <v>20</v>
          </cell>
          <cell r="P347">
            <v>50</v>
          </cell>
          <cell r="Q347">
            <v>70</v>
          </cell>
          <cell r="R347">
            <v>70</v>
          </cell>
          <cell r="S347">
            <v>60</v>
          </cell>
          <cell r="T347">
            <v>60</v>
          </cell>
          <cell r="U347">
            <v>50</v>
          </cell>
          <cell r="V347">
            <v>60</v>
          </cell>
          <cell r="W347">
            <v>70</v>
          </cell>
          <cell r="X347">
            <v>50</v>
          </cell>
          <cell r="Y347">
            <v>70</v>
          </cell>
          <cell r="Z347">
            <v>40</v>
          </cell>
          <cell r="AA347">
            <v>50</v>
          </cell>
          <cell r="AB347">
            <v>50</v>
          </cell>
          <cell r="AC347">
            <v>70</v>
          </cell>
          <cell r="AD347">
            <v>20</v>
          </cell>
          <cell r="AE347">
            <v>20</v>
          </cell>
          <cell r="AF347">
            <v>60</v>
          </cell>
          <cell r="AG347">
            <v>50</v>
          </cell>
          <cell r="AH347">
            <v>50</v>
          </cell>
          <cell r="AI347">
            <v>50</v>
          </cell>
          <cell r="AJ347">
            <v>80</v>
          </cell>
          <cell r="AK347">
            <v>50</v>
          </cell>
          <cell r="AL347">
            <v>90</v>
          </cell>
          <cell r="AM347">
            <v>50</v>
          </cell>
          <cell r="AN347">
            <v>50</v>
          </cell>
          <cell r="AO347">
            <v>40</v>
          </cell>
          <cell r="AP347">
            <v>40</v>
          </cell>
          <cell r="AQ347">
            <v>100</v>
          </cell>
          <cell r="AR347">
            <v>30</v>
          </cell>
          <cell r="AS347">
            <v>60</v>
          </cell>
          <cell r="AT347">
            <v>70</v>
          </cell>
          <cell r="AU347">
            <v>40</v>
          </cell>
          <cell r="AV347">
            <v>70</v>
          </cell>
          <cell r="AW347">
            <v>50</v>
          </cell>
          <cell r="AX347">
            <v>80</v>
          </cell>
          <cell r="AY347">
            <v>80</v>
          </cell>
          <cell r="AZ347">
            <v>60</v>
          </cell>
          <cell r="BA347">
            <v>50</v>
          </cell>
          <cell r="BB347">
            <v>80</v>
          </cell>
          <cell r="BC347">
            <v>50</v>
          </cell>
          <cell r="BD347">
            <v>40</v>
          </cell>
          <cell r="BE347">
            <v>60</v>
          </cell>
          <cell r="BF347">
            <v>40</v>
          </cell>
          <cell r="BG347">
            <v>40</v>
          </cell>
          <cell r="BH347">
            <v>100</v>
          </cell>
          <cell r="BI347">
            <v>40</v>
          </cell>
          <cell r="BJ347">
            <v>60</v>
          </cell>
          <cell r="BK347">
            <v>50</v>
          </cell>
          <cell r="BL347">
            <v>90</v>
          </cell>
          <cell r="BM347">
            <v>50</v>
          </cell>
          <cell r="BN347">
            <v>50</v>
          </cell>
          <cell r="BO347">
            <v>40</v>
          </cell>
          <cell r="BP347">
            <v>40</v>
          </cell>
          <cell r="BQ347">
            <v>70</v>
          </cell>
          <cell r="BR347">
            <v>40</v>
          </cell>
          <cell r="BS347">
            <v>90</v>
          </cell>
          <cell r="BT347">
            <v>40</v>
          </cell>
          <cell r="BU347">
            <v>40</v>
          </cell>
          <cell r="BV347">
            <v>40</v>
          </cell>
          <cell r="BW347">
            <v>70</v>
          </cell>
          <cell r="BX347">
            <v>50</v>
          </cell>
          <cell r="BY347">
            <v>40</v>
          </cell>
          <cell r="BZ347">
            <v>80</v>
          </cell>
          <cell r="CA347">
            <v>60</v>
          </cell>
          <cell r="CB347">
            <v>70</v>
          </cell>
          <cell r="CC347">
            <v>50</v>
          </cell>
          <cell r="CD347">
            <v>40</v>
          </cell>
          <cell r="CE347">
            <v>20</v>
          </cell>
          <cell r="CF347">
            <v>20</v>
          </cell>
          <cell r="CG347">
            <v>60</v>
          </cell>
          <cell r="CH347">
            <v>70</v>
          </cell>
          <cell r="CI347">
            <v>80</v>
          </cell>
          <cell r="CJ347">
            <v>70</v>
          </cell>
          <cell r="CK347">
            <v>101</v>
          </cell>
          <cell r="CL347">
            <v>60</v>
          </cell>
          <cell r="CM347">
            <v>30</v>
          </cell>
          <cell r="CN347">
            <v>80</v>
          </cell>
          <cell r="CO347">
            <v>90</v>
          </cell>
          <cell r="CP347">
            <v>110</v>
          </cell>
          <cell r="CQ347">
            <v>60</v>
          </cell>
          <cell r="CR347">
            <v>100</v>
          </cell>
          <cell r="CS347">
            <v>60</v>
          </cell>
          <cell r="CT347">
            <v>100</v>
          </cell>
          <cell r="CU347">
            <v>80</v>
          </cell>
          <cell r="CV347">
            <v>120</v>
          </cell>
          <cell r="CW347">
            <v>80</v>
          </cell>
          <cell r="CX347">
            <v>60</v>
          </cell>
          <cell r="CY347">
            <v>50</v>
          </cell>
          <cell r="CZ347">
            <v>70</v>
          </cell>
          <cell r="DA347">
            <v>90</v>
          </cell>
          <cell r="DB347" t="str">
            <v>ACTIVO</v>
          </cell>
          <cell r="DC347" t="str">
            <v>C</v>
          </cell>
          <cell r="DE347">
            <v>75.941176470588232</v>
          </cell>
          <cell r="DF347">
            <v>12.656862745098039</v>
          </cell>
          <cell r="DG347">
            <v>19.06561887093585</v>
          </cell>
          <cell r="DH347">
            <v>160</v>
          </cell>
          <cell r="DI347">
            <v>448006.40000000002</v>
          </cell>
          <cell r="DJ347">
            <v>2.1068938807126258</v>
          </cell>
          <cell r="DK347" t="str">
            <v>OK</v>
          </cell>
          <cell r="DL347">
            <v>50.627450980392155</v>
          </cell>
          <cell r="DM347">
            <v>25.313725490196077</v>
          </cell>
          <cell r="DN347">
            <v>75.941176470588232</v>
          </cell>
        </row>
        <row r="348">
          <cell r="B348">
            <v>107416</v>
          </cell>
          <cell r="C348" t="str">
            <v>MIX QUEQUE SATÍN SAN CRISTÓBAL</v>
          </cell>
          <cell r="AL348">
            <v>220</v>
          </cell>
          <cell r="AM348">
            <v>80</v>
          </cell>
          <cell r="DB348" t="str">
            <v>SIN USO</v>
          </cell>
          <cell r="DC348" t="str">
            <v>C</v>
          </cell>
          <cell r="DE348">
            <v>0</v>
          </cell>
          <cell r="DF348">
            <v>0</v>
          </cell>
          <cell r="DG348">
            <v>98.994949366116657</v>
          </cell>
          <cell r="DH348">
            <v>0</v>
          </cell>
          <cell r="DI348" t="str">
            <v>0</v>
          </cell>
          <cell r="DJ348">
            <v>0</v>
          </cell>
          <cell r="DK348" t="str">
            <v>INACTIVO</v>
          </cell>
          <cell r="DL348">
            <v>0</v>
          </cell>
          <cell r="DM348">
            <v>0</v>
          </cell>
          <cell r="DN348">
            <v>0</v>
          </cell>
        </row>
        <row r="349">
          <cell r="B349">
            <v>100206</v>
          </cell>
          <cell r="C349" t="str">
            <v>HARINA 061 FINA HOJA SAN CRISTOBAL</v>
          </cell>
          <cell r="AL349">
            <v>475</v>
          </cell>
          <cell r="DB349" t="str">
            <v>SIN USO</v>
          </cell>
          <cell r="DC349" t="str">
            <v>C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 t="str">
            <v>0</v>
          </cell>
          <cell r="DJ349">
            <v>0</v>
          </cell>
          <cell r="DK349" t="str">
            <v>INACTIVO</v>
          </cell>
          <cell r="DL349">
            <v>0</v>
          </cell>
          <cell r="DM349">
            <v>0</v>
          </cell>
          <cell r="DN349">
            <v>0</v>
          </cell>
        </row>
        <row r="350">
          <cell r="B350">
            <v>405528</v>
          </cell>
          <cell r="C350" t="str">
            <v>MIX QUEQUE AMERICANO SAN CRISTOBAL</v>
          </cell>
          <cell r="BD350">
            <v>420</v>
          </cell>
          <cell r="BM350">
            <v>1800</v>
          </cell>
          <cell r="BQ350">
            <v>40</v>
          </cell>
          <cell r="BR350">
            <v>160</v>
          </cell>
          <cell r="BS350">
            <v>60</v>
          </cell>
          <cell r="DB350" t="str">
            <v>SIN USO</v>
          </cell>
          <cell r="DC350" t="str">
            <v>C</v>
          </cell>
          <cell r="DE350">
            <v>0</v>
          </cell>
          <cell r="DF350">
            <v>0</v>
          </cell>
          <cell r="DG350">
            <v>744.49983210206301</v>
          </cell>
          <cell r="DH350">
            <v>0</v>
          </cell>
          <cell r="DI350" t="str">
            <v>0</v>
          </cell>
          <cell r="DJ350">
            <v>0</v>
          </cell>
          <cell r="DK350" t="str">
            <v>INACTIVO</v>
          </cell>
          <cell r="DL350">
            <v>0</v>
          </cell>
          <cell r="DM350">
            <v>0</v>
          </cell>
          <cell r="DN350">
            <v>0</v>
          </cell>
        </row>
        <row r="351">
          <cell r="B351">
            <v>405563</v>
          </cell>
          <cell r="C351" t="str">
            <v>BIZCOCHO CHOCOLATE HI MARMIX</v>
          </cell>
          <cell r="BD351">
            <v>400</v>
          </cell>
          <cell r="DB351" t="str">
            <v>SIN USO</v>
          </cell>
          <cell r="DC351" t="str">
            <v>C</v>
          </cell>
          <cell r="DE351">
            <v>0</v>
          </cell>
          <cell r="DF351">
            <v>0</v>
          </cell>
          <cell r="DG351">
            <v>0</v>
          </cell>
          <cell r="DH351">
            <v>0</v>
          </cell>
          <cell r="DI351" t="str">
            <v>0</v>
          </cell>
          <cell r="DJ351">
            <v>0</v>
          </cell>
          <cell r="DK351" t="str">
            <v>INACTIVO</v>
          </cell>
          <cell r="DL351">
            <v>0</v>
          </cell>
          <cell r="DM351">
            <v>0</v>
          </cell>
          <cell r="DN351">
            <v>0</v>
          </cell>
        </row>
        <row r="352">
          <cell r="B352">
            <v>405562</v>
          </cell>
          <cell r="C352" t="str">
            <v>MIX  BIZCOCHO 3 LECHES PURATOS</v>
          </cell>
          <cell r="BD352">
            <v>100</v>
          </cell>
          <cell r="DB352" t="str">
            <v>SIN USO</v>
          </cell>
          <cell r="DC352" t="str">
            <v>C</v>
          </cell>
          <cell r="DE352">
            <v>0</v>
          </cell>
          <cell r="DF352">
            <v>0</v>
          </cell>
          <cell r="DG352">
            <v>0</v>
          </cell>
          <cell r="DH352">
            <v>0</v>
          </cell>
          <cell r="DI352" t="str">
            <v>0</v>
          </cell>
          <cell r="DJ352">
            <v>0</v>
          </cell>
          <cell r="DK352" t="str">
            <v>INACTIVO</v>
          </cell>
          <cell r="DL352">
            <v>0</v>
          </cell>
          <cell r="DM352">
            <v>0</v>
          </cell>
          <cell r="DN352">
            <v>0</v>
          </cell>
        </row>
        <row r="353">
          <cell r="B353">
            <v>405573</v>
          </cell>
          <cell r="C353" t="str">
            <v>T. BIZCOCHO CHOCOLATE PLUS PURATOS</v>
          </cell>
          <cell r="BI353">
            <v>900</v>
          </cell>
          <cell r="BJ353">
            <v>600</v>
          </cell>
          <cell r="DB353" t="str">
            <v>SIN USO</v>
          </cell>
          <cell r="DC353" t="str">
            <v>C</v>
          </cell>
          <cell r="DE353">
            <v>0</v>
          </cell>
          <cell r="DF353">
            <v>0</v>
          </cell>
          <cell r="DG353">
            <v>212.13203435596427</v>
          </cell>
          <cell r="DH353">
            <v>0</v>
          </cell>
          <cell r="DI353" t="str">
            <v>0</v>
          </cell>
          <cell r="DJ353">
            <v>0</v>
          </cell>
          <cell r="DK353" t="str">
            <v>INACTIVO</v>
          </cell>
          <cell r="DL353">
            <v>0</v>
          </cell>
          <cell r="DM353">
            <v>0</v>
          </cell>
          <cell r="DN353">
            <v>0</v>
          </cell>
        </row>
        <row r="354">
          <cell r="B354">
            <v>405564</v>
          </cell>
          <cell r="C354" t="str">
            <v>PM BASE TARTALETAS MARMIX</v>
          </cell>
          <cell r="BU354">
            <v>500</v>
          </cell>
          <cell r="DB354" t="str">
            <v>SIN USO</v>
          </cell>
          <cell r="DC354" t="str">
            <v>C</v>
          </cell>
          <cell r="DE354">
            <v>0</v>
          </cell>
          <cell r="DF354">
            <v>0</v>
          </cell>
          <cell r="DG354">
            <v>0</v>
          </cell>
          <cell r="DH354">
            <v>0</v>
          </cell>
          <cell r="DI354" t="str">
            <v>0</v>
          </cell>
          <cell r="DJ354">
            <v>0</v>
          </cell>
          <cell r="DK354" t="str">
            <v>INACTIVO</v>
          </cell>
          <cell r="DL354">
            <v>0</v>
          </cell>
          <cell r="DM354">
            <v>0</v>
          </cell>
          <cell r="DN354">
            <v>0</v>
          </cell>
        </row>
        <row r="355">
          <cell r="B355">
            <v>170177</v>
          </cell>
          <cell r="C355" t="str">
            <v>TEGRAL MUFFINS VEGANO PURATOS</v>
          </cell>
          <cell r="D355">
            <v>330</v>
          </cell>
          <cell r="E355">
            <v>225</v>
          </cell>
          <cell r="F355">
            <v>690</v>
          </cell>
          <cell r="G355">
            <v>210</v>
          </cell>
          <cell r="H355">
            <v>210</v>
          </cell>
          <cell r="L355">
            <v>730</v>
          </cell>
          <cell r="R355">
            <v>105</v>
          </cell>
          <cell r="S355">
            <v>360</v>
          </cell>
          <cell r="T355">
            <v>240</v>
          </cell>
          <cell r="U355">
            <v>105</v>
          </cell>
          <cell r="W355">
            <v>120</v>
          </cell>
          <cell r="AA355">
            <v>190</v>
          </cell>
          <cell r="AB355">
            <v>105</v>
          </cell>
          <cell r="AE355">
            <v>210</v>
          </cell>
          <cell r="AF355">
            <v>180</v>
          </cell>
          <cell r="AG355">
            <v>280</v>
          </cell>
          <cell r="AH355">
            <v>210</v>
          </cell>
          <cell r="AI355">
            <v>415</v>
          </cell>
          <cell r="AJ355">
            <v>105</v>
          </cell>
          <cell r="AK355">
            <v>315</v>
          </cell>
          <cell r="AO355">
            <v>210</v>
          </cell>
          <cell r="BH355">
            <v>20</v>
          </cell>
          <cell r="BQ355">
            <v>120</v>
          </cell>
          <cell r="BR355">
            <v>10</v>
          </cell>
          <cell r="CC355">
            <v>20</v>
          </cell>
          <cell r="DB355" t="str">
            <v>SIN USO</v>
          </cell>
          <cell r="DC355" t="str">
            <v>C</v>
          </cell>
          <cell r="DE355">
            <v>0</v>
          </cell>
          <cell r="DF355">
            <v>0</v>
          </cell>
          <cell r="DG355">
            <v>126.17553309384175</v>
          </cell>
          <cell r="DH355">
            <v>0</v>
          </cell>
          <cell r="DI355" t="str">
            <v>0</v>
          </cell>
          <cell r="DJ355">
            <v>0</v>
          </cell>
          <cell r="DK355" t="str">
            <v>INACTIVO</v>
          </cell>
          <cell r="DL355">
            <v>0</v>
          </cell>
          <cell r="DM355">
            <v>0</v>
          </cell>
          <cell r="DN355">
            <v>0</v>
          </cell>
        </row>
        <row r="356">
          <cell r="B356">
            <v>403330</v>
          </cell>
          <cell r="C356" t="str">
            <v>MIX BIZCOCHO BLANCO PURATOS</v>
          </cell>
          <cell r="D356">
            <v>20</v>
          </cell>
          <cell r="H356">
            <v>1584</v>
          </cell>
          <cell r="CX356">
            <v>972</v>
          </cell>
          <cell r="DB356" t="str">
            <v>SIN USO</v>
          </cell>
          <cell r="DC356" t="str">
            <v/>
          </cell>
          <cell r="DE356">
            <v>0</v>
          </cell>
          <cell r="DF356">
            <v>0</v>
          </cell>
          <cell r="DG356">
            <v>0</v>
          </cell>
          <cell r="DH356">
            <v>0</v>
          </cell>
          <cell r="DI356" t="str">
            <v>0</v>
          </cell>
          <cell r="DJ356">
            <v>0</v>
          </cell>
          <cell r="DK356" t="str">
            <v>INACTIVO</v>
          </cell>
          <cell r="DL356">
            <v>0</v>
          </cell>
          <cell r="DM356">
            <v>0</v>
          </cell>
          <cell r="DN356">
            <v>0</v>
          </cell>
        </row>
        <row r="357">
          <cell r="B357">
            <v>403331</v>
          </cell>
          <cell r="C357" t="str">
            <v>MIX BIZCOCHO CHOCOLATE PURATOS</v>
          </cell>
          <cell r="D357">
            <v>100</v>
          </cell>
          <cell r="H357">
            <v>736</v>
          </cell>
          <cell r="P357">
            <v>144</v>
          </cell>
          <cell r="BJ357">
            <v>612</v>
          </cell>
          <cell r="BK357">
            <v>990</v>
          </cell>
          <cell r="BQ357">
            <v>3996</v>
          </cell>
          <cell r="BY357">
            <v>1012</v>
          </cell>
          <cell r="CD357">
            <v>972</v>
          </cell>
          <cell r="CP357">
            <v>1260</v>
          </cell>
          <cell r="CQ357">
            <v>4014</v>
          </cell>
          <cell r="CU357">
            <v>7866</v>
          </cell>
          <cell r="CV357">
            <v>8480</v>
          </cell>
          <cell r="CW357">
            <v>6612</v>
          </cell>
          <cell r="CX357">
            <v>2736</v>
          </cell>
          <cell r="CY357">
            <v>5778</v>
          </cell>
          <cell r="CZ357">
            <v>6498</v>
          </cell>
          <cell r="DA357">
            <v>13392</v>
          </cell>
          <cell r="DB357" t="str">
            <v>ACTIVO</v>
          </cell>
          <cell r="DC357" t="str">
            <v>B</v>
          </cell>
          <cell r="DE357">
            <v>5405</v>
          </cell>
          <cell r="DF357">
            <v>900.83333333333337</v>
          </cell>
          <cell r="DG357">
            <v>1395.908592995974</v>
          </cell>
          <cell r="DH357">
            <v>5904</v>
          </cell>
          <cell r="DI357">
            <v>9446400</v>
          </cell>
          <cell r="DJ357">
            <v>1.0923219241443107</v>
          </cell>
          <cell r="DK357" t="str">
            <v>OK</v>
          </cell>
          <cell r="DL357">
            <v>3603.3333333333335</v>
          </cell>
          <cell r="DM357">
            <v>1801.6666666666667</v>
          </cell>
          <cell r="DN357">
            <v>5405</v>
          </cell>
        </row>
        <row r="358">
          <cell r="B358">
            <v>100236</v>
          </cell>
          <cell r="C358" t="str">
            <v>PREMEZCLA BIZCOCHO ROJO HI SAN CRISTOBAL</v>
          </cell>
          <cell r="D358">
            <v>160</v>
          </cell>
          <cell r="E358">
            <v>80</v>
          </cell>
          <cell r="G358">
            <v>80</v>
          </cell>
          <cell r="H358">
            <v>80</v>
          </cell>
          <cell r="I358">
            <v>160</v>
          </cell>
          <cell r="J358">
            <v>80</v>
          </cell>
          <cell r="L358">
            <v>80</v>
          </cell>
          <cell r="M358">
            <v>80</v>
          </cell>
          <cell r="O358">
            <v>80</v>
          </cell>
          <cell r="Q358">
            <v>160</v>
          </cell>
          <cell r="V358">
            <v>160</v>
          </cell>
          <cell r="Y358">
            <v>40</v>
          </cell>
          <cell r="DB358" t="str">
            <v>SIN USO</v>
          </cell>
          <cell r="DC358" t="str">
            <v/>
          </cell>
          <cell r="DE358">
            <v>0</v>
          </cell>
          <cell r="DF358">
            <v>0</v>
          </cell>
          <cell r="DG358">
            <v>0</v>
          </cell>
          <cell r="DH358">
            <v>0</v>
          </cell>
          <cell r="DI358" t="str">
            <v>0</v>
          </cell>
          <cell r="DJ358">
            <v>0</v>
          </cell>
          <cell r="DK358" t="str">
            <v>INACTIVO</v>
          </cell>
          <cell r="DL358">
            <v>0</v>
          </cell>
          <cell r="DM358">
            <v>0</v>
          </cell>
          <cell r="DN358">
            <v>0</v>
          </cell>
        </row>
        <row r="359">
          <cell r="B359">
            <v>102237</v>
          </cell>
          <cell r="C359" t="str">
            <v>PREMEZCLA BIZCOCHO ANARANJADO HI SAN CRISTOBAL</v>
          </cell>
          <cell r="D359">
            <v>160</v>
          </cell>
          <cell r="E359">
            <v>80</v>
          </cell>
          <cell r="F359">
            <v>80</v>
          </cell>
          <cell r="G359">
            <v>100</v>
          </cell>
          <cell r="H359">
            <v>80</v>
          </cell>
          <cell r="I359">
            <v>160</v>
          </cell>
          <cell r="J359">
            <v>80</v>
          </cell>
          <cell r="L359">
            <v>80</v>
          </cell>
          <cell r="M359">
            <v>80</v>
          </cell>
          <cell r="O359">
            <v>80</v>
          </cell>
          <cell r="Q359">
            <v>160</v>
          </cell>
          <cell r="V359">
            <v>160</v>
          </cell>
          <cell r="Y359">
            <v>40</v>
          </cell>
          <cell r="DB359" t="str">
            <v>SIN USO</v>
          </cell>
          <cell r="DC359" t="str">
            <v/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 t="str">
            <v>0</v>
          </cell>
          <cell r="DJ359">
            <v>0</v>
          </cell>
          <cell r="DK359" t="str">
            <v>INACTIVO</v>
          </cell>
          <cell r="DL359">
            <v>0</v>
          </cell>
          <cell r="DM359">
            <v>0</v>
          </cell>
          <cell r="DN359">
            <v>0</v>
          </cell>
        </row>
        <row r="360">
          <cell r="B360">
            <v>102238</v>
          </cell>
          <cell r="C360" t="str">
            <v>PREMEZCLA BIZCOCHO VERDE HI SAN CRISTOBAL</v>
          </cell>
          <cell r="D360">
            <v>160</v>
          </cell>
          <cell r="E360">
            <v>80</v>
          </cell>
          <cell r="G360">
            <v>80</v>
          </cell>
          <cell r="H360">
            <v>80</v>
          </cell>
          <cell r="I360">
            <v>80</v>
          </cell>
          <cell r="J360">
            <v>80</v>
          </cell>
          <cell r="L360">
            <v>80</v>
          </cell>
          <cell r="M360">
            <v>80</v>
          </cell>
          <cell r="P360">
            <v>160</v>
          </cell>
          <cell r="Q360">
            <v>80</v>
          </cell>
          <cell r="V360">
            <v>160</v>
          </cell>
          <cell r="Y360">
            <v>40</v>
          </cell>
          <cell r="DB360" t="str">
            <v>SIN USO</v>
          </cell>
          <cell r="DC360" t="str">
            <v/>
          </cell>
          <cell r="DE360">
            <v>0</v>
          </cell>
          <cell r="DF360">
            <v>0</v>
          </cell>
          <cell r="DG360">
            <v>0</v>
          </cell>
          <cell r="DH360">
            <v>0</v>
          </cell>
          <cell r="DI360" t="str">
            <v>0</v>
          </cell>
          <cell r="DJ360">
            <v>0</v>
          </cell>
          <cell r="DK360" t="str">
            <v>INACTIVO</v>
          </cell>
          <cell r="DL360">
            <v>0</v>
          </cell>
          <cell r="DM360">
            <v>0</v>
          </cell>
          <cell r="DN360">
            <v>0</v>
          </cell>
        </row>
        <row r="361">
          <cell r="B361">
            <v>102239</v>
          </cell>
          <cell r="C361" t="str">
            <v>PREMEZCLA BIZCOCHO MORADO HI SAN CRISTOBAL</v>
          </cell>
          <cell r="D361">
            <v>80</v>
          </cell>
          <cell r="E361">
            <v>80</v>
          </cell>
          <cell r="F361">
            <v>60</v>
          </cell>
          <cell r="G361">
            <v>80</v>
          </cell>
          <cell r="H361">
            <v>80</v>
          </cell>
          <cell r="J361">
            <v>160</v>
          </cell>
          <cell r="L361">
            <v>80</v>
          </cell>
          <cell r="N361">
            <v>80</v>
          </cell>
          <cell r="P361">
            <v>160</v>
          </cell>
          <cell r="Q361">
            <v>80</v>
          </cell>
          <cell r="R361">
            <v>80</v>
          </cell>
          <cell r="V361">
            <v>160</v>
          </cell>
          <cell r="Y361">
            <v>40</v>
          </cell>
          <cell r="DB361" t="str">
            <v>SIN USO</v>
          </cell>
          <cell r="DC361" t="str">
            <v/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 t="str">
            <v>0</v>
          </cell>
          <cell r="DJ361">
            <v>0</v>
          </cell>
          <cell r="DK361" t="str">
            <v>INACTIVO</v>
          </cell>
          <cell r="DL361">
            <v>0</v>
          </cell>
          <cell r="DM361">
            <v>0</v>
          </cell>
          <cell r="DN361">
            <v>0</v>
          </cell>
        </row>
        <row r="362">
          <cell r="B362">
            <v>107301</v>
          </cell>
          <cell r="C362" t="str">
            <v>TEGRAL BROWNIE VEGGI PURATOS</v>
          </cell>
          <cell r="D362">
            <v>575</v>
          </cell>
          <cell r="E362">
            <v>540</v>
          </cell>
          <cell r="F362">
            <v>945</v>
          </cell>
          <cell r="G362">
            <v>345</v>
          </cell>
          <cell r="H362">
            <v>230</v>
          </cell>
          <cell r="I362">
            <v>1175</v>
          </cell>
          <cell r="J362">
            <v>115</v>
          </cell>
          <cell r="K362">
            <v>345</v>
          </cell>
          <cell r="L362">
            <v>690</v>
          </cell>
          <cell r="M362">
            <v>235</v>
          </cell>
          <cell r="N362">
            <v>345</v>
          </cell>
          <cell r="P362">
            <v>345</v>
          </cell>
          <cell r="Q362">
            <v>245</v>
          </cell>
          <cell r="R362">
            <v>345</v>
          </cell>
          <cell r="S362">
            <v>460</v>
          </cell>
          <cell r="T362">
            <v>475</v>
          </cell>
          <cell r="U362">
            <v>530</v>
          </cell>
          <cell r="V362">
            <v>345</v>
          </cell>
          <cell r="W362">
            <v>230</v>
          </cell>
          <cell r="X362">
            <v>460</v>
          </cell>
          <cell r="Y362">
            <v>230</v>
          </cell>
          <cell r="AA362">
            <v>460</v>
          </cell>
          <cell r="AB362">
            <v>135</v>
          </cell>
          <cell r="AE362">
            <v>115</v>
          </cell>
          <cell r="AF362">
            <v>250</v>
          </cell>
          <cell r="AG362">
            <v>115</v>
          </cell>
          <cell r="AH362">
            <v>540</v>
          </cell>
          <cell r="AI362">
            <v>690</v>
          </cell>
          <cell r="AJ362">
            <v>350</v>
          </cell>
          <cell r="AK362">
            <v>595</v>
          </cell>
          <cell r="AL362">
            <v>350</v>
          </cell>
          <cell r="AM362">
            <v>240</v>
          </cell>
          <cell r="AN362">
            <v>700</v>
          </cell>
          <cell r="AO362">
            <v>155</v>
          </cell>
          <cell r="AQ362">
            <v>790</v>
          </cell>
          <cell r="AR362">
            <v>575</v>
          </cell>
          <cell r="AS362">
            <v>460</v>
          </cell>
          <cell r="AT362">
            <v>470</v>
          </cell>
          <cell r="AU362">
            <v>490</v>
          </cell>
          <cell r="AV362">
            <v>690</v>
          </cell>
          <cell r="AW362">
            <v>240</v>
          </cell>
          <cell r="AX362">
            <v>470</v>
          </cell>
          <cell r="AZ362">
            <v>230</v>
          </cell>
          <cell r="BA362">
            <v>115</v>
          </cell>
          <cell r="BB362">
            <v>345</v>
          </cell>
          <cell r="BC362">
            <v>300</v>
          </cell>
          <cell r="BD362">
            <v>345</v>
          </cell>
          <cell r="BE362">
            <v>585</v>
          </cell>
          <cell r="BF362">
            <v>160</v>
          </cell>
          <cell r="BG362">
            <v>350</v>
          </cell>
          <cell r="BH362">
            <v>610</v>
          </cell>
          <cell r="BI362">
            <v>115</v>
          </cell>
          <cell r="BJ362">
            <v>230</v>
          </cell>
          <cell r="BK362">
            <v>230</v>
          </cell>
          <cell r="BL362">
            <v>460</v>
          </cell>
          <cell r="BM362">
            <v>115</v>
          </cell>
          <cell r="BN362">
            <v>345</v>
          </cell>
          <cell r="BO362">
            <v>540</v>
          </cell>
          <cell r="BP362">
            <v>290</v>
          </cell>
          <cell r="BQ362">
            <v>155</v>
          </cell>
          <cell r="BR362">
            <v>400</v>
          </cell>
          <cell r="BS362">
            <v>590</v>
          </cell>
          <cell r="BT362">
            <v>230</v>
          </cell>
          <cell r="BU362">
            <v>115</v>
          </cell>
          <cell r="BW362">
            <v>115</v>
          </cell>
          <cell r="BY362">
            <v>305</v>
          </cell>
          <cell r="BZ362">
            <v>365</v>
          </cell>
          <cell r="CA362">
            <v>420</v>
          </cell>
          <cell r="CB362">
            <v>125</v>
          </cell>
          <cell r="CC362">
            <v>345</v>
          </cell>
          <cell r="CD362">
            <v>1065</v>
          </cell>
          <cell r="CE362">
            <v>350</v>
          </cell>
          <cell r="CG362">
            <v>515</v>
          </cell>
          <cell r="CH362">
            <v>355</v>
          </cell>
          <cell r="CI362">
            <v>355</v>
          </cell>
          <cell r="CJ362">
            <v>435</v>
          </cell>
          <cell r="CK362">
            <v>675</v>
          </cell>
          <cell r="CL362">
            <v>600</v>
          </cell>
          <cell r="CN362">
            <v>450</v>
          </cell>
          <cell r="CO362">
            <v>210</v>
          </cell>
          <cell r="CP362">
            <v>270</v>
          </cell>
          <cell r="CQ362">
            <v>140</v>
          </cell>
          <cell r="CR362">
            <v>355</v>
          </cell>
          <cell r="CS362">
            <v>140</v>
          </cell>
          <cell r="CT362">
            <v>485</v>
          </cell>
          <cell r="CU362">
            <v>405</v>
          </cell>
          <cell r="CV362">
            <v>795</v>
          </cell>
          <cell r="CX362">
            <v>120</v>
          </cell>
          <cell r="CY362">
            <v>850</v>
          </cell>
          <cell r="CZ362">
            <v>355</v>
          </cell>
          <cell r="DA362">
            <v>300</v>
          </cell>
          <cell r="DB362" t="str">
            <v>ACTIVO</v>
          </cell>
          <cell r="DC362" t="str">
            <v>A</v>
          </cell>
          <cell r="DE362">
            <v>412.33333333333331</v>
          </cell>
          <cell r="DF362">
            <v>68.722222222222214</v>
          </cell>
          <cell r="DG362">
            <v>210.53483076675553</v>
          </cell>
          <cell r="DH362">
            <v>0</v>
          </cell>
          <cell r="DI362" t="str">
            <v>0</v>
          </cell>
          <cell r="DJ362">
            <v>0</v>
          </cell>
          <cell r="DK362" t="str">
            <v>COMPRAR</v>
          </cell>
          <cell r="DL362">
            <v>274.88888888888886</v>
          </cell>
          <cell r="DM362">
            <v>137.44444444444443</v>
          </cell>
          <cell r="DN362">
            <v>412.33333333333326</v>
          </cell>
        </row>
        <row r="363">
          <cell r="B363">
            <v>107311</v>
          </cell>
          <cell r="C363" t="str">
            <v>HARINA ORO 2</v>
          </cell>
          <cell r="D363">
            <v>1250</v>
          </cell>
          <cell r="E363">
            <v>2050</v>
          </cell>
          <cell r="F363">
            <v>950</v>
          </cell>
          <cell r="G363">
            <v>1150</v>
          </cell>
          <cell r="H363">
            <v>1535</v>
          </cell>
          <cell r="I363">
            <v>1425</v>
          </cell>
          <cell r="J363">
            <v>1300</v>
          </cell>
          <cell r="K363">
            <v>1615</v>
          </cell>
          <cell r="L363">
            <v>2900</v>
          </cell>
          <cell r="M363">
            <v>1750</v>
          </cell>
          <cell r="N363">
            <v>2200</v>
          </cell>
          <cell r="O363">
            <v>750</v>
          </cell>
          <cell r="P363">
            <v>1925</v>
          </cell>
          <cell r="Q363">
            <v>2300</v>
          </cell>
          <cell r="R363">
            <v>3175</v>
          </cell>
          <cell r="S363">
            <v>2700</v>
          </cell>
          <cell r="T363">
            <v>1550</v>
          </cell>
          <cell r="U363">
            <v>2325</v>
          </cell>
          <cell r="V363">
            <v>2500</v>
          </cell>
          <cell r="W363">
            <v>1225</v>
          </cell>
          <cell r="X363">
            <v>3075</v>
          </cell>
          <cell r="Y363">
            <v>3200</v>
          </cell>
          <cell r="Z363">
            <v>2010</v>
          </cell>
          <cell r="AA363">
            <v>275</v>
          </cell>
          <cell r="AB363">
            <v>1895</v>
          </cell>
          <cell r="AC363">
            <v>1000</v>
          </cell>
          <cell r="AD363">
            <v>700</v>
          </cell>
          <cell r="AE363">
            <v>775</v>
          </cell>
          <cell r="AF363">
            <v>2675</v>
          </cell>
          <cell r="AG363">
            <v>1775</v>
          </cell>
          <cell r="AH363">
            <v>1800</v>
          </cell>
          <cell r="AI363">
            <v>2025</v>
          </cell>
          <cell r="AJ363">
            <v>2275</v>
          </cell>
          <cell r="AK363">
            <v>1700</v>
          </cell>
          <cell r="AL363">
            <v>1625</v>
          </cell>
          <cell r="AM363">
            <v>1550</v>
          </cell>
          <cell r="AN363">
            <v>1440</v>
          </cell>
          <cell r="AO363">
            <v>1835</v>
          </cell>
          <cell r="AP363">
            <v>1800</v>
          </cell>
          <cell r="AQ363">
            <v>1750</v>
          </cell>
          <cell r="AR363">
            <v>2125</v>
          </cell>
          <cell r="AS363">
            <v>1525</v>
          </cell>
          <cell r="AT363">
            <v>2325</v>
          </cell>
          <cell r="AU363">
            <v>1550</v>
          </cell>
          <cell r="AV363">
            <v>1975</v>
          </cell>
          <cell r="AW363">
            <v>2000</v>
          </cell>
          <cell r="AX363">
            <v>2195</v>
          </cell>
          <cell r="AY363">
            <v>1530</v>
          </cell>
          <cell r="AZ363">
            <v>1725</v>
          </cell>
          <cell r="BA363">
            <v>2700</v>
          </cell>
          <cell r="BB363">
            <v>2050</v>
          </cell>
          <cell r="BC363">
            <v>2500</v>
          </cell>
          <cell r="BD363">
            <v>1675</v>
          </cell>
          <cell r="BE363">
            <v>1925</v>
          </cell>
          <cell r="BF363">
            <v>2300</v>
          </cell>
          <cell r="BG363">
            <v>2000</v>
          </cell>
          <cell r="BH363">
            <v>2725</v>
          </cell>
          <cell r="BI363">
            <v>2550</v>
          </cell>
          <cell r="BJ363">
            <v>2495</v>
          </cell>
          <cell r="BK363">
            <v>1775</v>
          </cell>
          <cell r="BL363">
            <v>2500</v>
          </cell>
          <cell r="BM363">
            <v>3050</v>
          </cell>
          <cell r="BN363">
            <v>2075</v>
          </cell>
          <cell r="BO363">
            <v>2050</v>
          </cell>
          <cell r="BP363">
            <v>1200</v>
          </cell>
          <cell r="BQ363">
            <v>2475</v>
          </cell>
          <cell r="BR363">
            <v>1725</v>
          </cell>
          <cell r="BS363">
            <v>2225</v>
          </cell>
          <cell r="BT363">
            <v>3775</v>
          </cell>
          <cell r="BU363">
            <v>2250</v>
          </cell>
          <cell r="BV363">
            <v>2250</v>
          </cell>
          <cell r="BW363">
            <v>1400</v>
          </cell>
          <cell r="BX363">
            <v>1225</v>
          </cell>
          <cell r="BY363">
            <v>1700</v>
          </cell>
          <cell r="BZ363">
            <v>1950</v>
          </cell>
          <cell r="CA363">
            <v>2075</v>
          </cell>
          <cell r="CB363">
            <v>625</v>
          </cell>
          <cell r="CC363">
            <v>1475</v>
          </cell>
          <cell r="CD363">
            <v>1100</v>
          </cell>
          <cell r="CE363">
            <v>725</v>
          </cell>
          <cell r="CF363">
            <v>425</v>
          </cell>
          <cell r="CG363">
            <v>1975</v>
          </cell>
          <cell r="CH363">
            <v>1550</v>
          </cell>
          <cell r="CI363">
            <v>2075</v>
          </cell>
          <cell r="CJ363">
            <v>1750</v>
          </cell>
          <cell r="CK363">
            <v>1700</v>
          </cell>
          <cell r="CL363">
            <v>1025</v>
          </cell>
          <cell r="CM363">
            <v>1300</v>
          </cell>
          <cell r="CN363">
            <v>2025</v>
          </cell>
          <cell r="CO363">
            <v>1325</v>
          </cell>
          <cell r="CP363">
            <v>1375</v>
          </cell>
          <cell r="CQ363">
            <v>1400</v>
          </cell>
          <cell r="CR363">
            <v>1850</v>
          </cell>
          <cell r="CS363">
            <v>1125</v>
          </cell>
          <cell r="CT363">
            <v>950</v>
          </cell>
          <cell r="CU363">
            <v>1875</v>
          </cell>
          <cell r="CV363">
            <v>2200</v>
          </cell>
          <cell r="CW363">
            <v>2145</v>
          </cell>
          <cell r="CX363">
            <v>1825</v>
          </cell>
          <cell r="CY363">
            <v>2550</v>
          </cell>
          <cell r="CZ363">
            <v>1400</v>
          </cell>
          <cell r="DA363">
            <v>1250</v>
          </cell>
          <cell r="DB363" t="str">
            <v>ACTIVO</v>
          </cell>
          <cell r="DC363" t="str">
            <v>A</v>
          </cell>
          <cell r="DE363">
            <v>1525</v>
          </cell>
          <cell r="DF363">
            <v>254.16666666666666</v>
          </cell>
          <cell r="DG363">
            <v>571.97199176305242</v>
          </cell>
          <cell r="DH363">
            <v>325</v>
          </cell>
          <cell r="DI363">
            <v>175500</v>
          </cell>
          <cell r="DJ363">
            <v>0.21311475409836064</v>
          </cell>
          <cell r="DK363" t="str">
            <v>OK</v>
          </cell>
          <cell r="DL363">
            <v>762.5</v>
          </cell>
          <cell r="DM363">
            <v>508.33333333333331</v>
          </cell>
          <cell r="DN363">
            <v>1270.8333333333333</v>
          </cell>
        </row>
        <row r="364">
          <cell r="B364">
            <v>100200</v>
          </cell>
          <cell r="C364" t="str">
            <v>MIX TARTALETA SAN CRISTOBAL</v>
          </cell>
          <cell r="I364">
            <v>100</v>
          </cell>
          <cell r="X364">
            <v>36</v>
          </cell>
          <cell r="AL364">
            <v>72</v>
          </cell>
          <cell r="AM364">
            <v>1560</v>
          </cell>
          <cell r="AN364">
            <v>2460</v>
          </cell>
          <cell r="AO364">
            <v>2072</v>
          </cell>
          <cell r="AP364">
            <v>988</v>
          </cell>
          <cell r="AQ364">
            <v>3530</v>
          </cell>
          <cell r="AR364">
            <v>3180</v>
          </cell>
          <cell r="AS364">
            <v>4220</v>
          </cell>
          <cell r="AT364">
            <v>5360</v>
          </cell>
          <cell r="AU364">
            <v>3820</v>
          </cell>
          <cell r="AV364">
            <v>5780</v>
          </cell>
          <cell r="AW364">
            <v>6680</v>
          </cell>
          <cell r="AX364">
            <v>6860</v>
          </cell>
          <cell r="AY364">
            <v>3580</v>
          </cell>
          <cell r="AZ364">
            <v>3580</v>
          </cell>
          <cell r="BA364">
            <v>3100</v>
          </cell>
          <cell r="BB364">
            <v>3480</v>
          </cell>
          <cell r="BC364">
            <v>4260</v>
          </cell>
          <cell r="BD364">
            <v>4370</v>
          </cell>
          <cell r="BE364">
            <v>5520</v>
          </cell>
          <cell r="BF364">
            <v>4200</v>
          </cell>
          <cell r="BG364">
            <v>3600</v>
          </cell>
          <cell r="BH364">
            <v>4980</v>
          </cell>
          <cell r="BI364">
            <v>4620</v>
          </cell>
          <cell r="BJ364">
            <v>4600</v>
          </cell>
          <cell r="BK364">
            <v>3340</v>
          </cell>
          <cell r="BL364">
            <v>3540</v>
          </cell>
          <cell r="BM364">
            <v>2600</v>
          </cell>
          <cell r="BN364">
            <v>3340</v>
          </cell>
          <cell r="BO364">
            <v>3840</v>
          </cell>
          <cell r="BP364">
            <v>1700</v>
          </cell>
          <cell r="BQ364">
            <v>4560</v>
          </cell>
          <cell r="BR364">
            <v>2560</v>
          </cell>
          <cell r="BS364">
            <v>3960</v>
          </cell>
          <cell r="BT364">
            <v>2560</v>
          </cell>
          <cell r="BU364">
            <v>3080</v>
          </cell>
          <cell r="BV364">
            <v>2940</v>
          </cell>
          <cell r="BW364">
            <v>3120</v>
          </cell>
          <cell r="BX364">
            <v>3420</v>
          </cell>
          <cell r="BY364">
            <v>2360</v>
          </cell>
          <cell r="BZ364">
            <v>3900</v>
          </cell>
          <cell r="CA364">
            <v>3200</v>
          </cell>
          <cell r="CB364">
            <v>700</v>
          </cell>
          <cell r="CC364">
            <v>2440</v>
          </cell>
          <cell r="CD364">
            <v>1980</v>
          </cell>
          <cell r="CE364">
            <v>1440</v>
          </cell>
          <cell r="CF364">
            <v>1040</v>
          </cell>
          <cell r="CG364">
            <v>1960</v>
          </cell>
          <cell r="CH364">
            <v>4500</v>
          </cell>
          <cell r="CI364">
            <v>3060</v>
          </cell>
          <cell r="CJ364">
            <v>3280</v>
          </cell>
          <cell r="CK364">
            <v>5180</v>
          </cell>
          <cell r="CL364">
            <v>2780</v>
          </cell>
          <cell r="CM364">
            <v>4380</v>
          </cell>
          <cell r="CN364">
            <v>3720</v>
          </cell>
          <cell r="CO364">
            <v>3336</v>
          </cell>
          <cell r="CP364">
            <v>1780</v>
          </cell>
          <cell r="CQ364">
            <v>1560</v>
          </cell>
          <cell r="CR364">
            <v>1020</v>
          </cell>
          <cell r="CS364">
            <v>920</v>
          </cell>
          <cell r="CT364">
            <v>2600</v>
          </cell>
          <cell r="CU364">
            <v>3500</v>
          </cell>
          <cell r="CV364">
            <v>3940</v>
          </cell>
          <cell r="CW364">
            <v>2680</v>
          </cell>
          <cell r="CX364">
            <v>3180</v>
          </cell>
          <cell r="CY364">
            <v>1220</v>
          </cell>
          <cell r="CZ364">
            <v>840</v>
          </cell>
          <cell r="DA364">
            <v>2120</v>
          </cell>
          <cell r="DB364" t="str">
            <v>ACTIVO</v>
          </cell>
          <cell r="DC364" t="str">
            <v>A</v>
          </cell>
          <cell r="DE364">
            <v>2856.2352941176468</v>
          </cell>
          <cell r="DF364">
            <v>476.03921568627447</v>
          </cell>
          <cell r="DG364">
            <v>1423.3190522991254</v>
          </cell>
          <cell r="DH364">
            <v>570</v>
          </cell>
          <cell r="DI364">
            <v>672600</v>
          </cell>
          <cell r="DJ364">
            <v>0.19956339072411239</v>
          </cell>
          <cell r="DK364" t="str">
            <v>COMPRAR</v>
          </cell>
          <cell r="DL364">
            <v>1428.1176470588234</v>
          </cell>
          <cell r="DM364">
            <v>952.07843137254895</v>
          </cell>
          <cell r="DN364">
            <v>2380.1960784313724</v>
          </cell>
        </row>
        <row r="365">
          <cell r="B365">
            <v>170178</v>
          </cell>
          <cell r="C365" t="str">
            <v>TEGRAL BIZCOCHUELO PURATOS</v>
          </cell>
          <cell r="V365">
            <v>160</v>
          </cell>
          <cell r="DB365" t="str">
            <v>SIN USO</v>
          </cell>
          <cell r="DC365" t="str">
            <v/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 t="str">
            <v>0</v>
          </cell>
          <cell r="DJ365">
            <v>0</v>
          </cell>
          <cell r="DK365" t="str">
            <v>INACTIVO</v>
          </cell>
          <cell r="DL365">
            <v>0</v>
          </cell>
          <cell r="DM365">
            <v>0</v>
          </cell>
          <cell r="DN365">
            <v>0</v>
          </cell>
        </row>
        <row r="366">
          <cell r="D366">
            <v>33085</v>
          </cell>
          <cell r="E366">
            <v>30909</v>
          </cell>
          <cell r="F366">
            <v>28529</v>
          </cell>
          <cell r="G366">
            <v>31251</v>
          </cell>
          <cell r="H366">
            <v>40125</v>
          </cell>
          <cell r="I366">
            <v>34694</v>
          </cell>
          <cell r="J366">
            <v>32919</v>
          </cell>
          <cell r="K366">
            <v>26871</v>
          </cell>
          <cell r="L366">
            <v>35720</v>
          </cell>
          <cell r="M366">
            <v>31941</v>
          </cell>
          <cell r="N366">
            <v>32309</v>
          </cell>
          <cell r="O366">
            <v>18670</v>
          </cell>
          <cell r="P366">
            <v>25222</v>
          </cell>
          <cell r="Q366">
            <v>35871</v>
          </cell>
          <cell r="R366">
            <v>31101</v>
          </cell>
          <cell r="S366">
            <v>31600</v>
          </cell>
          <cell r="T366">
            <v>27989</v>
          </cell>
          <cell r="U366">
            <v>36972</v>
          </cell>
          <cell r="V366">
            <v>37475</v>
          </cell>
          <cell r="W366">
            <v>23851</v>
          </cell>
          <cell r="X366">
            <v>32875</v>
          </cell>
          <cell r="Y366">
            <v>40430</v>
          </cell>
          <cell r="Z366">
            <v>24450</v>
          </cell>
          <cell r="AA366">
            <v>24265</v>
          </cell>
          <cell r="AB366">
            <v>34255</v>
          </cell>
          <cell r="AC366">
            <v>15670</v>
          </cell>
          <cell r="AD366">
            <v>9994</v>
          </cell>
          <cell r="AE366">
            <v>5812</v>
          </cell>
          <cell r="AF366">
            <v>28454</v>
          </cell>
          <cell r="AG366">
            <v>21963</v>
          </cell>
          <cell r="AH366">
            <v>21440</v>
          </cell>
          <cell r="AI366">
            <v>27630</v>
          </cell>
          <cell r="AJ366">
            <v>31818</v>
          </cell>
          <cell r="AK366">
            <v>25522</v>
          </cell>
          <cell r="AL366">
            <v>25920</v>
          </cell>
          <cell r="AM366">
            <v>25238</v>
          </cell>
          <cell r="AN366">
            <v>23924</v>
          </cell>
          <cell r="AO366">
            <v>27340</v>
          </cell>
          <cell r="AP366">
            <v>22458</v>
          </cell>
          <cell r="AQ366">
            <v>33928</v>
          </cell>
          <cell r="AR366">
            <v>35046</v>
          </cell>
          <cell r="AS366">
            <v>35010</v>
          </cell>
          <cell r="AT366">
            <v>34177</v>
          </cell>
          <cell r="AU366">
            <v>26384</v>
          </cell>
          <cell r="AV366">
            <v>34967</v>
          </cell>
          <cell r="AW366">
            <v>30332</v>
          </cell>
          <cell r="AX366">
            <v>37661</v>
          </cell>
          <cell r="AY366">
            <v>29732</v>
          </cell>
          <cell r="AZ366">
            <v>33889</v>
          </cell>
          <cell r="BA366">
            <v>31031</v>
          </cell>
          <cell r="BB366">
            <v>40443</v>
          </cell>
          <cell r="BC366">
            <v>36440</v>
          </cell>
          <cell r="BD366">
            <v>31868</v>
          </cell>
          <cell r="BE366">
            <v>38828</v>
          </cell>
          <cell r="BF366">
            <v>27070</v>
          </cell>
          <cell r="BG366">
            <v>26914</v>
          </cell>
          <cell r="BH366">
            <v>36173</v>
          </cell>
          <cell r="BI366">
            <v>32271</v>
          </cell>
          <cell r="BJ366">
            <v>33493</v>
          </cell>
          <cell r="BK366">
            <v>30381</v>
          </cell>
          <cell r="BL366">
            <v>31170</v>
          </cell>
          <cell r="BM366">
            <v>34919</v>
          </cell>
          <cell r="BN366">
            <v>30920</v>
          </cell>
          <cell r="BO366">
            <v>34700</v>
          </cell>
          <cell r="BP366">
            <v>9358</v>
          </cell>
          <cell r="BQ366">
            <v>41861</v>
          </cell>
          <cell r="BR366">
            <v>22961</v>
          </cell>
          <cell r="BS366">
            <v>31385</v>
          </cell>
          <cell r="BT366">
            <v>23657</v>
          </cell>
          <cell r="BU366">
            <v>22183</v>
          </cell>
          <cell r="BV366">
            <v>17018</v>
          </cell>
          <cell r="BW366">
            <v>25531</v>
          </cell>
          <cell r="BX366">
            <v>15425</v>
          </cell>
          <cell r="BY366">
            <v>19209</v>
          </cell>
          <cell r="BZ366">
            <v>22101</v>
          </cell>
          <cell r="CA366">
            <v>19813</v>
          </cell>
          <cell r="CB366">
            <v>17326</v>
          </cell>
          <cell r="CC366">
            <v>28038</v>
          </cell>
          <cell r="CD366">
            <v>20241</v>
          </cell>
          <cell r="CE366">
            <v>17085</v>
          </cell>
          <cell r="CF366">
            <v>8819</v>
          </cell>
          <cell r="CG366">
            <v>24664</v>
          </cell>
          <cell r="CH366">
            <v>23243</v>
          </cell>
          <cell r="CI366">
            <v>26204</v>
          </cell>
          <cell r="CJ366">
            <v>21627</v>
          </cell>
          <cell r="CK366">
            <v>30084</v>
          </cell>
          <cell r="CL366">
            <v>25039</v>
          </cell>
          <cell r="CM366">
            <v>25110</v>
          </cell>
          <cell r="CN366">
            <v>23095</v>
          </cell>
          <cell r="CO366">
            <v>22153</v>
          </cell>
          <cell r="CP366">
            <v>25709</v>
          </cell>
          <cell r="CQ366">
            <v>24874</v>
          </cell>
          <cell r="CR366">
            <v>27007</v>
          </cell>
          <cell r="CS366">
            <v>17673</v>
          </cell>
          <cell r="CT366">
            <v>27527</v>
          </cell>
          <cell r="CU366">
            <v>26984</v>
          </cell>
          <cell r="CV366">
            <v>30783</v>
          </cell>
          <cell r="CW366">
            <v>20473</v>
          </cell>
          <cell r="CX366">
            <v>19739</v>
          </cell>
          <cell r="CY366">
            <v>19340</v>
          </cell>
          <cell r="CZ366">
            <v>22747</v>
          </cell>
          <cell r="DA366">
            <v>28940</v>
          </cell>
          <cell r="DB366" t="str">
            <v>ACTIVO</v>
          </cell>
          <cell r="DC366" t="str">
            <v/>
          </cell>
          <cell r="DE366">
            <v>24152.647058823528</v>
          </cell>
          <cell r="DF366">
            <v>4025.4411764705878</v>
          </cell>
          <cell r="DG366">
            <v>7590.2604315957706</v>
          </cell>
          <cell r="DH366">
            <v>0</v>
          </cell>
          <cell r="DI366" t="str">
            <v>0</v>
          </cell>
          <cell r="DJ366">
            <v>0</v>
          </cell>
          <cell r="DK366" t="str">
            <v>INACTIVO</v>
          </cell>
          <cell r="DL366">
            <v>0</v>
          </cell>
          <cell r="DM366">
            <v>8050.8823529411757</v>
          </cell>
          <cell r="DN366">
            <v>8050.8823529411757</v>
          </cell>
        </row>
        <row r="367">
          <cell r="B367">
            <v>107109</v>
          </cell>
          <cell r="C367" t="str">
            <v>MANJAR ARTESANAL DIWATTS</v>
          </cell>
          <cell r="D367">
            <v>565</v>
          </cell>
          <cell r="E367">
            <v>570</v>
          </cell>
          <cell r="F367">
            <v>510</v>
          </cell>
          <cell r="G367">
            <v>530</v>
          </cell>
          <cell r="H367">
            <v>5310</v>
          </cell>
          <cell r="I367">
            <v>760</v>
          </cell>
          <cell r="J367">
            <v>445</v>
          </cell>
          <cell r="K367">
            <v>600</v>
          </cell>
          <cell r="L367">
            <v>725</v>
          </cell>
          <cell r="M367">
            <v>765</v>
          </cell>
          <cell r="N367">
            <v>505</v>
          </cell>
          <cell r="O367">
            <v>50</v>
          </cell>
          <cell r="P367">
            <v>695</v>
          </cell>
          <cell r="Q367">
            <v>569</v>
          </cell>
          <cell r="R367">
            <v>640</v>
          </cell>
          <cell r="S367">
            <v>325</v>
          </cell>
          <cell r="T367">
            <v>923</v>
          </cell>
          <cell r="U367">
            <v>470</v>
          </cell>
          <cell r="V367">
            <v>495</v>
          </cell>
          <cell r="W367">
            <v>370</v>
          </cell>
          <cell r="X367">
            <v>315</v>
          </cell>
          <cell r="Y367">
            <v>215</v>
          </cell>
          <cell r="Z367">
            <v>390</v>
          </cell>
          <cell r="AA367">
            <v>330</v>
          </cell>
          <cell r="AB367">
            <v>400</v>
          </cell>
          <cell r="AC367">
            <v>320</v>
          </cell>
          <cell r="AD367">
            <v>105</v>
          </cell>
          <cell r="AE367">
            <v>185</v>
          </cell>
          <cell r="AF367">
            <v>430</v>
          </cell>
          <cell r="AG367">
            <v>362</v>
          </cell>
          <cell r="AH367">
            <v>300</v>
          </cell>
          <cell r="AI367">
            <v>580</v>
          </cell>
          <cell r="AJ367">
            <v>620</v>
          </cell>
          <cell r="AK367">
            <v>300</v>
          </cell>
          <cell r="AL367">
            <v>530</v>
          </cell>
          <cell r="AM367">
            <v>560</v>
          </cell>
          <cell r="AN367">
            <v>1027</v>
          </cell>
          <cell r="AO367">
            <v>775</v>
          </cell>
          <cell r="AP367">
            <v>820</v>
          </cell>
          <cell r="AQ367">
            <v>525</v>
          </cell>
          <cell r="AR367">
            <v>1135</v>
          </cell>
          <cell r="AS367">
            <v>915</v>
          </cell>
          <cell r="AT367">
            <v>4630</v>
          </cell>
          <cell r="AU367">
            <v>2575</v>
          </cell>
          <cell r="AV367">
            <v>1160</v>
          </cell>
          <cell r="AW367">
            <v>1085</v>
          </cell>
          <cell r="AX367">
            <v>950</v>
          </cell>
          <cell r="AY367">
            <v>745</v>
          </cell>
          <cell r="AZ367">
            <v>965</v>
          </cell>
          <cell r="BA367">
            <v>1640</v>
          </cell>
          <cell r="BB367">
            <v>495</v>
          </cell>
          <cell r="BC367">
            <v>1350</v>
          </cell>
          <cell r="BD367">
            <v>1340</v>
          </cell>
          <cell r="BE367">
            <v>4395</v>
          </cell>
          <cell r="BF367">
            <v>2390</v>
          </cell>
          <cell r="BG367">
            <v>1075</v>
          </cell>
          <cell r="BH367">
            <v>190</v>
          </cell>
          <cell r="BI367">
            <v>170</v>
          </cell>
          <cell r="BJ367">
            <v>1005</v>
          </cell>
          <cell r="BK367">
            <v>1670</v>
          </cell>
          <cell r="BL367">
            <v>2365</v>
          </cell>
          <cell r="BM367">
            <v>210</v>
          </cell>
          <cell r="BN367">
            <v>1320</v>
          </cell>
          <cell r="BO367">
            <v>170</v>
          </cell>
          <cell r="BP367">
            <v>20</v>
          </cell>
          <cell r="BQ367">
            <v>1496</v>
          </cell>
          <cell r="BR367">
            <v>155</v>
          </cell>
          <cell r="BS367">
            <v>485</v>
          </cell>
          <cell r="BT367">
            <v>155</v>
          </cell>
          <cell r="BU367">
            <v>240</v>
          </cell>
          <cell r="BV367">
            <v>315</v>
          </cell>
          <cell r="BW367">
            <v>210</v>
          </cell>
          <cell r="BX367">
            <v>125</v>
          </cell>
          <cell r="BY367">
            <v>160</v>
          </cell>
          <cell r="BZ367">
            <v>170</v>
          </cell>
          <cell r="CA367">
            <v>1170</v>
          </cell>
          <cell r="CB367">
            <v>130</v>
          </cell>
          <cell r="CC367">
            <v>230</v>
          </cell>
          <cell r="CD367">
            <v>815</v>
          </cell>
          <cell r="CE367">
            <v>60</v>
          </cell>
          <cell r="CF367">
            <v>50</v>
          </cell>
          <cell r="CG367">
            <v>155</v>
          </cell>
          <cell r="CH367">
            <v>290</v>
          </cell>
          <cell r="CI367">
            <v>220</v>
          </cell>
          <cell r="CJ367">
            <v>300</v>
          </cell>
          <cell r="CK367">
            <v>290</v>
          </cell>
          <cell r="CL367">
            <v>245</v>
          </cell>
          <cell r="CM367">
            <v>230</v>
          </cell>
          <cell r="CN367">
            <v>280</v>
          </cell>
          <cell r="CO367">
            <v>235</v>
          </cell>
          <cell r="CP367">
            <v>240</v>
          </cell>
          <cell r="CQ367">
            <v>750</v>
          </cell>
          <cell r="CR367">
            <v>1025</v>
          </cell>
          <cell r="CS367">
            <v>1045</v>
          </cell>
          <cell r="CT367">
            <v>4075</v>
          </cell>
          <cell r="CU367">
            <v>4175</v>
          </cell>
          <cell r="CV367">
            <v>3530</v>
          </cell>
          <cell r="CW367">
            <v>4893</v>
          </cell>
          <cell r="CX367">
            <v>1715</v>
          </cell>
          <cell r="CY367">
            <v>1965</v>
          </cell>
          <cell r="CZ367">
            <v>2217</v>
          </cell>
          <cell r="DA367">
            <v>2810</v>
          </cell>
          <cell r="DB367" t="str">
            <v>ACTIVO</v>
          </cell>
          <cell r="DC367" t="str">
            <v>A</v>
          </cell>
          <cell r="DE367">
            <v>1007.9411764705883</v>
          </cell>
          <cell r="DF367">
            <v>167.99019607843138</v>
          </cell>
          <cell r="DG367">
            <v>950.38921291396298</v>
          </cell>
          <cell r="DH367">
            <v>440</v>
          </cell>
          <cell r="DI367">
            <v>1022120</v>
          </cell>
          <cell r="DJ367">
            <v>0.43653341114677557</v>
          </cell>
          <cell r="DK367" t="str">
            <v>OK</v>
          </cell>
          <cell r="DL367">
            <v>335.98039215686276</v>
          </cell>
          <cell r="DM367">
            <v>335.98039215686276</v>
          </cell>
          <cell r="DN367">
            <v>671.96078431372553</v>
          </cell>
        </row>
        <row r="368">
          <cell r="B368">
            <v>107147</v>
          </cell>
          <cell r="C368" t="str">
            <v>MANJAR GRADO 3 LANGER</v>
          </cell>
          <cell r="D368">
            <v>7584</v>
          </cell>
          <cell r="E368">
            <v>4596</v>
          </cell>
          <cell r="F368">
            <v>5856</v>
          </cell>
          <cell r="G368">
            <v>5484</v>
          </cell>
          <cell r="H368">
            <v>7224</v>
          </cell>
          <cell r="I368">
            <v>5532</v>
          </cell>
          <cell r="J368">
            <v>5808</v>
          </cell>
          <cell r="K368">
            <v>3624</v>
          </cell>
          <cell r="L368">
            <v>7926</v>
          </cell>
          <cell r="M368">
            <v>4764</v>
          </cell>
          <cell r="N368">
            <v>4536</v>
          </cell>
          <cell r="O368">
            <v>2556</v>
          </cell>
          <cell r="P368">
            <v>5304</v>
          </cell>
          <cell r="Q368">
            <v>6528</v>
          </cell>
          <cell r="R368">
            <v>4408</v>
          </cell>
          <cell r="S368">
            <v>5952</v>
          </cell>
          <cell r="T368">
            <v>4752</v>
          </cell>
          <cell r="U368">
            <v>5208</v>
          </cell>
          <cell r="V368">
            <v>7008</v>
          </cell>
          <cell r="W368">
            <v>3036</v>
          </cell>
          <cell r="X368">
            <v>4536</v>
          </cell>
          <cell r="Y368">
            <v>5544</v>
          </cell>
          <cell r="Z368">
            <v>3624</v>
          </cell>
          <cell r="AA368">
            <v>3240</v>
          </cell>
          <cell r="AB368">
            <v>5472</v>
          </cell>
          <cell r="AC368">
            <v>864</v>
          </cell>
          <cell r="AD368">
            <v>984</v>
          </cell>
          <cell r="AE368">
            <v>3144</v>
          </cell>
          <cell r="AF368">
            <v>2232</v>
          </cell>
          <cell r="AG368">
            <v>2736</v>
          </cell>
          <cell r="AH368">
            <v>2748</v>
          </cell>
          <cell r="AI368">
            <v>6456</v>
          </cell>
          <cell r="AJ368">
            <v>2700</v>
          </cell>
          <cell r="AK368">
            <v>3780</v>
          </cell>
          <cell r="AL368">
            <v>3852</v>
          </cell>
          <cell r="AM368">
            <v>3492</v>
          </cell>
          <cell r="AN368">
            <v>1776</v>
          </cell>
          <cell r="AO368">
            <v>3540</v>
          </cell>
          <cell r="AP368">
            <v>3000</v>
          </cell>
          <cell r="AQ368">
            <v>4176</v>
          </cell>
          <cell r="AR368">
            <v>5244</v>
          </cell>
          <cell r="AS368">
            <v>5484</v>
          </cell>
          <cell r="AT368">
            <v>4746</v>
          </cell>
          <cell r="AU368">
            <v>4512</v>
          </cell>
          <cell r="AV368">
            <v>3192</v>
          </cell>
          <cell r="AW368">
            <v>4056</v>
          </cell>
          <cell r="AX368">
            <v>3828</v>
          </cell>
          <cell r="AY368">
            <v>4638</v>
          </cell>
          <cell r="AZ368">
            <v>4596</v>
          </cell>
          <cell r="BA368">
            <v>5100</v>
          </cell>
          <cell r="BB368">
            <v>3120</v>
          </cell>
          <cell r="BC368">
            <v>5412</v>
          </cell>
          <cell r="BD368">
            <v>3609</v>
          </cell>
          <cell r="BE368">
            <v>3468</v>
          </cell>
          <cell r="BF368">
            <v>2220</v>
          </cell>
          <cell r="BG368">
            <v>3852</v>
          </cell>
          <cell r="BH368">
            <v>6852</v>
          </cell>
          <cell r="BI368">
            <v>5220</v>
          </cell>
          <cell r="BJ368">
            <v>5376</v>
          </cell>
          <cell r="BK368">
            <v>3612</v>
          </cell>
          <cell r="BL368">
            <v>5352</v>
          </cell>
          <cell r="BM368">
            <v>5868</v>
          </cell>
          <cell r="BN368">
            <v>2376</v>
          </cell>
          <cell r="BO368">
            <v>2880</v>
          </cell>
          <cell r="BP368">
            <v>1188</v>
          </cell>
          <cell r="BQ368">
            <v>4092</v>
          </cell>
          <cell r="BR368">
            <v>2376</v>
          </cell>
          <cell r="BS368">
            <v>3480</v>
          </cell>
          <cell r="BT368">
            <v>2808</v>
          </cell>
          <cell r="BU368">
            <v>2724</v>
          </cell>
          <cell r="BV368">
            <v>2328</v>
          </cell>
          <cell r="BW368">
            <v>1992</v>
          </cell>
          <cell r="BX368">
            <v>2472</v>
          </cell>
          <cell r="BY368">
            <v>3324</v>
          </cell>
          <cell r="BZ368">
            <v>3456</v>
          </cell>
          <cell r="CA368">
            <v>1704</v>
          </cell>
          <cell r="CB368">
            <v>2484</v>
          </cell>
          <cell r="CC368">
            <v>2760</v>
          </cell>
          <cell r="CD368">
            <v>1692</v>
          </cell>
          <cell r="CE368">
            <v>1357</v>
          </cell>
          <cell r="CF368">
            <v>516</v>
          </cell>
          <cell r="CG368">
            <v>2868</v>
          </cell>
          <cell r="CH368">
            <v>3324</v>
          </cell>
          <cell r="CI368">
            <v>2664</v>
          </cell>
          <cell r="CJ368">
            <v>2844</v>
          </cell>
          <cell r="CK368">
            <v>2184</v>
          </cell>
          <cell r="CL368">
            <v>3180</v>
          </cell>
          <cell r="CM368">
            <v>4200</v>
          </cell>
          <cell r="CN368">
            <v>3120</v>
          </cell>
          <cell r="CO368">
            <v>3012</v>
          </cell>
          <cell r="CP368">
            <v>2772</v>
          </cell>
          <cell r="CQ368">
            <v>2520</v>
          </cell>
          <cell r="CR368">
            <v>3672</v>
          </cell>
          <cell r="CS368">
            <v>2400</v>
          </cell>
          <cell r="CT368">
            <v>4320</v>
          </cell>
          <cell r="CU368">
            <v>2676</v>
          </cell>
          <cell r="CV368">
            <v>3084</v>
          </cell>
          <cell r="CW368">
            <v>1824</v>
          </cell>
          <cell r="CX368">
            <v>1584</v>
          </cell>
          <cell r="CY368">
            <v>1476</v>
          </cell>
          <cell r="CZ368">
            <v>1128</v>
          </cell>
          <cell r="DA368">
            <v>3084</v>
          </cell>
          <cell r="DB368" t="str">
            <v>ACTIVO</v>
          </cell>
          <cell r="DC368" t="str">
            <v>A</v>
          </cell>
          <cell r="DE368">
            <v>2903.294117647059</v>
          </cell>
          <cell r="DF368">
            <v>483.88235294117652</v>
          </cell>
          <cell r="DG368">
            <v>1319.4606000318026</v>
          </cell>
          <cell r="DH368">
            <v>300</v>
          </cell>
          <cell r="DI368">
            <v>459000</v>
          </cell>
          <cell r="DJ368">
            <v>0.10333090201799172</v>
          </cell>
          <cell r="DK368" t="str">
            <v>OK</v>
          </cell>
          <cell r="DL368">
            <v>1451.6470588235295</v>
          </cell>
          <cell r="DM368">
            <v>967.76470588235304</v>
          </cell>
          <cell r="DN368">
            <v>2419.4117647058824</v>
          </cell>
        </row>
        <row r="369">
          <cell r="B369">
            <v>107400</v>
          </cell>
          <cell r="C369" t="str">
            <v>MANJAR ARTESANAL DAILY</v>
          </cell>
          <cell r="I369">
            <v>100</v>
          </cell>
          <cell r="DB369" t="str">
            <v>SIN USO</v>
          </cell>
          <cell r="DC369" t="str">
            <v/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 t="str">
            <v>0</v>
          </cell>
          <cell r="DJ369">
            <v>0</v>
          </cell>
          <cell r="DK369" t="str">
            <v>INACTIVO</v>
          </cell>
          <cell r="DL369">
            <v>0</v>
          </cell>
          <cell r="DM369">
            <v>0</v>
          </cell>
          <cell r="DN369">
            <v>0</v>
          </cell>
        </row>
        <row r="370">
          <cell r="D370">
            <v>8149</v>
          </cell>
          <cell r="E370">
            <v>5166</v>
          </cell>
          <cell r="F370">
            <v>6366</v>
          </cell>
          <cell r="G370">
            <v>6014</v>
          </cell>
          <cell r="H370">
            <v>12534</v>
          </cell>
          <cell r="I370">
            <v>6392</v>
          </cell>
          <cell r="J370">
            <v>6253</v>
          </cell>
          <cell r="K370">
            <v>4224</v>
          </cell>
          <cell r="L370">
            <v>8651</v>
          </cell>
          <cell r="M370">
            <v>5529</v>
          </cell>
          <cell r="N370">
            <v>5041</v>
          </cell>
          <cell r="O370">
            <v>2606</v>
          </cell>
          <cell r="P370">
            <v>5999</v>
          </cell>
          <cell r="Q370">
            <v>7097</v>
          </cell>
          <cell r="R370">
            <v>5048</v>
          </cell>
          <cell r="S370">
            <v>6277</v>
          </cell>
          <cell r="T370">
            <v>5675</v>
          </cell>
          <cell r="U370">
            <v>5678</v>
          </cell>
          <cell r="V370">
            <v>7503</v>
          </cell>
          <cell r="W370">
            <v>3406</v>
          </cell>
          <cell r="X370">
            <v>4851</v>
          </cell>
          <cell r="Y370">
            <v>5759</v>
          </cell>
          <cell r="Z370">
            <v>4014</v>
          </cell>
          <cell r="AA370">
            <v>3570</v>
          </cell>
          <cell r="AB370">
            <v>5872</v>
          </cell>
          <cell r="AC370">
            <v>1184</v>
          </cell>
          <cell r="AD370">
            <v>1089</v>
          </cell>
          <cell r="AE370">
            <v>3329</v>
          </cell>
          <cell r="AF370">
            <v>2662</v>
          </cell>
          <cell r="AG370">
            <v>3098</v>
          </cell>
          <cell r="AH370">
            <v>3048</v>
          </cell>
          <cell r="AI370">
            <v>7036</v>
          </cell>
          <cell r="AJ370">
            <v>3320</v>
          </cell>
          <cell r="AK370">
            <v>4080</v>
          </cell>
          <cell r="AL370">
            <v>4382</v>
          </cell>
          <cell r="AM370">
            <v>4052</v>
          </cell>
          <cell r="AN370">
            <v>2803</v>
          </cell>
          <cell r="AO370">
            <v>4315</v>
          </cell>
          <cell r="AP370">
            <v>3820</v>
          </cell>
          <cell r="AQ370">
            <v>4701</v>
          </cell>
          <cell r="AR370">
            <v>6379</v>
          </cell>
          <cell r="AS370">
            <v>6399</v>
          </cell>
          <cell r="AT370">
            <v>9376</v>
          </cell>
          <cell r="AU370">
            <v>7087</v>
          </cell>
          <cell r="AV370">
            <v>4352</v>
          </cell>
          <cell r="AW370">
            <v>5141</v>
          </cell>
          <cell r="AX370">
            <v>4778</v>
          </cell>
          <cell r="AY370">
            <v>5383</v>
          </cell>
          <cell r="AZ370">
            <v>5561</v>
          </cell>
          <cell r="BA370">
            <v>6740</v>
          </cell>
          <cell r="BB370">
            <v>3615</v>
          </cell>
          <cell r="BC370">
            <v>6762</v>
          </cell>
          <cell r="BD370">
            <v>4949</v>
          </cell>
          <cell r="BE370">
            <v>7863</v>
          </cell>
          <cell r="BF370">
            <v>4610</v>
          </cell>
          <cell r="BG370">
            <v>4927</v>
          </cell>
          <cell r="BH370">
            <v>7042</v>
          </cell>
          <cell r="BI370">
            <v>5390</v>
          </cell>
          <cell r="BJ370">
            <v>6381</v>
          </cell>
          <cell r="BK370">
            <v>5282</v>
          </cell>
          <cell r="BL370">
            <v>7717</v>
          </cell>
          <cell r="BM370">
            <v>6078</v>
          </cell>
          <cell r="BN370">
            <v>3696</v>
          </cell>
          <cell r="BO370">
            <v>3050</v>
          </cell>
          <cell r="BP370">
            <v>1208</v>
          </cell>
          <cell r="BQ370">
            <v>5588</v>
          </cell>
          <cell r="BR370">
            <v>2531</v>
          </cell>
          <cell r="BS370">
            <v>3965</v>
          </cell>
          <cell r="BT370">
            <v>2963</v>
          </cell>
          <cell r="BU370">
            <v>2964</v>
          </cell>
          <cell r="BV370">
            <v>2643</v>
          </cell>
          <cell r="BW370">
            <v>2202</v>
          </cell>
          <cell r="BX370">
            <v>2597</v>
          </cell>
          <cell r="BY370">
            <v>3484</v>
          </cell>
          <cell r="BZ370">
            <v>3626</v>
          </cell>
          <cell r="CA370">
            <v>2874</v>
          </cell>
          <cell r="CB370">
            <v>2614</v>
          </cell>
          <cell r="CC370">
            <v>2990</v>
          </cell>
          <cell r="CD370">
            <v>2507</v>
          </cell>
          <cell r="CE370">
            <v>1417</v>
          </cell>
          <cell r="CF370">
            <v>566</v>
          </cell>
          <cell r="CG370">
            <v>3023</v>
          </cell>
          <cell r="CH370">
            <v>3614</v>
          </cell>
          <cell r="CI370">
            <v>2884</v>
          </cell>
          <cell r="CJ370">
            <v>3144</v>
          </cell>
          <cell r="CK370">
            <v>2474</v>
          </cell>
          <cell r="CL370">
            <v>3425</v>
          </cell>
          <cell r="CM370">
            <v>4430</v>
          </cell>
          <cell r="CN370">
            <v>3400</v>
          </cell>
          <cell r="CO370">
            <v>3247</v>
          </cell>
          <cell r="CP370">
            <v>3012</v>
          </cell>
          <cell r="CQ370">
            <v>3270</v>
          </cell>
          <cell r="CR370">
            <v>4697</v>
          </cell>
          <cell r="CS370">
            <v>3445</v>
          </cell>
          <cell r="CT370">
            <v>8395</v>
          </cell>
          <cell r="CU370">
            <v>6851</v>
          </cell>
          <cell r="CV370">
            <v>6614</v>
          </cell>
          <cell r="CW370">
            <v>6717</v>
          </cell>
          <cell r="CX370">
            <v>3299</v>
          </cell>
          <cell r="CY370">
            <v>3441</v>
          </cell>
          <cell r="CZ370">
            <v>3345</v>
          </cell>
          <cell r="DA370">
            <v>5894</v>
          </cell>
          <cell r="DB370" t="str">
            <v>ACTIVO</v>
          </cell>
          <cell r="DC370" t="str">
            <v/>
          </cell>
          <cell r="DE370">
            <v>3911.2352941176468</v>
          </cell>
          <cell r="DF370">
            <v>651.87254901960785</v>
          </cell>
          <cell r="DG370">
            <v>1791.6293921483509</v>
          </cell>
          <cell r="DH370">
            <v>0</v>
          </cell>
          <cell r="DI370" t="str">
            <v>0</v>
          </cell>
          <cell r="DJ370">
            <v>0</v>
          </cell>
          <cell r="DK370" t="str">
            <v>INACTIVO</v>
          </cell>
          <cell r="DL370">
            <v>0</v>
          </cell>
          <cell r="DM370">
            <v>1303.7450980392157</v>
          </cell>
          <cell r="DN370">
            <v>1303.7450980392157</v>
          </cell>
        </row>
        <row r="371">
          <cell r="B371">
            <v>405499</v>
          </cell>
          <cell r="C371" t="str">
            <v>MANTEQUILLA CON SAL SOPROLE</v>
          </cell>
          <cell r="AK371">
            <v>95</v>
          </cell>
          <cell r="AL371">
            <v>85</v>
          </cell>
          <cell r="AO371">
            <v>25</v>
          </cell>
          <cell r="AQ371">
            <v>21</v>
          </cell>
          <cell r="AR371">
            <v>20</v>
          </cell>
          <cell r="AV371">
            <v>20</v>
          </cell>
          <cell r="BC371">
            <v>40</v>
          </cell>
          <cell r="BU371">
            <v>40</v>
          </cell>
          <cell r="DB371" t="str">
            <v>ACTIVO</v>
          </cell>
          <cell r="DC371" t="str">
            <v>C</v>
          </cell>
          <cell r="DE371">
            <v>0</v>
          </cell>
          <cell r="DF371">
            <v>0</v>
          </cell>
          <cell r="DG371">
            <v>30.122369476140864</v>
          </cell>
          <cell r="DH371">
            <v>0</v>
          </cell>
          <cell r="DI371" t="str">
            <v>0</v>
          </cell>
          <cell r="DJ371">
            <v>0</v>
          </cell>
          <cell r="DK371" t="str">
            <v>COMPRAR</v>
          </cell>
          <cell r="DL371">
            <v>0</v>
          </cell>
          <cell r="DM371">
            <v>0</v>
          </cell>
          <cell r="DN371">
            <v>0</v>
          </cell>
        </row>
        <row r="372">
          <cell r="B372">
            <v>405638</v>
          </cell>
          <cell r="C372" t="str">
            <v>MANTEQUILLA SIN SAL WATT</v>
          </cell>
          <cell r="CB372">
            <v>20</v>
          </cell>
          <cell r="CC372">
            <v>20</v>
          </cell>
          <cell r="CV372">
            <v>15</v>
          </cell>
          <cell r="DB372" t="str">
            <v>ACTIVO</v>
          </cell>
          <cell r="DC372" t="str">
            <v>C</v>
          </cell>
          <cell r="DE372">
            <v>15</v>
          </cell>
          <cell r="DF372">
            <v>2.5</v>
          </cell>
          <cell r="DG372">
            <v>0</v>
          </cell>
          <cell r="DH372">
            <v>0</v>
          </cell>
          <cell r="DI372" t="str">
            <v>0</v>
          </cell>
          <cell r="DJ372">
            <v>0</v>
          </cell>
          <cell r="DK372" t="str">
            <v>COMPRAR</v>
          </cell>
          <cell r="DL372">
            <v>5</v>
          </cell>
          <cell r="DM372">
            <v>5</v>
          </cell>
          <cell r="DN372">
            <v>10</v>
          </cell>
        </row>
        <row r="373">
          <cell r="B373">
            <v>405745</v>
          </cell>
          <cell r="C373" t="str">
            <v>MANTEQUILLA SIN SAL ALCA</v>
          </cell>
          <cell r="CW373">
            <v>120</v>
          </cell>
          <cell r="CX373">
            <v>120</v>
          </cell>
          <cell r="CY373">
            <v>120</v>
          </cell>
          <cell r="CZ373">
            <v>90</v>
          </cell>
          <cell r="DA373">
            <v>135</v>
          </cell>
          <cell r="DB373" t="str">
            <v>ACTIVO</v>
          </cell>
          <cell r="DC373" t="str">
            <v/>
          </cell>
          <cell r="DE373">
            <v>0</v>
          </cell>
          <cell r="DF373">
            <v>0</v>
          </cell>
          <cell r="DG373">
            <v>0</v>
          </cell>
          <cell r="DH373">
            <v>125</v>
          </cell>
          <cell r="DI373">
            <v>775000</v>
          </cell>
          <cell r="DJ373">
            <v>0</v>
          </cell>
          <cell r="DK373" t="str">
            <v>OK</v>
          </cell>
          <cell r="DL373">
            <v>0</v>
          </cell>
          <cell r="DM373">
            <v>0</v>
          </cell>
          <cell r="DN373">
            <v>0</v>
          </cell>
        </row>
        <row r="374">
          <cell r="B374">
            <v>103006</v>
          </cell>
          <cell r="C374" t="str">
            <v>MARGARINA HORNITO DIWATTS</v>
          </cell>
          <cell r="D374">
            <v>760</v>
          </cell>
          <cell r="E374">
            <v>960</v>
          </cell>
          <cell r="F374">
            <v>840</v>
          </cell>
          <cell r="G374">
            <v>580</v>
          </cell>
          <cell r="H374">
            <v>1060</v>
          </cell>
          <cell r="I374">
            <v>720</v>
          </cell>
          <cell r="J374">
            <v>660</v>
          </cell>
          <cell r="K374">
            <v>860</v>
          </cell>
          <cell r="L374">
            <v>1720</v>
          </cell>
          <cell r="M374">
            <v>820</v>
          </cell>
          <cell r="N374">
            <v>1120</v>
          </cell>
          <cell r="O374">
            <v>400</v>
          </cell>
          <cell r="P374">
            <v>900.32</v>
          </cell>
          <cell r="Q374">
            <v>1140</v>
          </cell>
          <cell r="R374">
            <v>1880</v>
          </cell>
          <cell r="S374">
            <v>1180</v>
          </cell>
          <cell r="T374">
            <v>820</v>
          </cell>
          <cell r="U374">
            <v>1200</v>
          </cell>
          <cell r="V374">
            <v>1260</v>
          </cell>
          <cell r="W374">
            <v>640</v>
          </cell>
          <cell r="X374">
            <v>2100</v>
          </cell>
          <cell r="Y374">
            <v>1600</v>
          </cell>
          <cell r="Z374">
            <v>1120</v>
          </cell>
          <cell r="AA374">
            <v>40</v>
          </cell>
          <cell r="AB374">
            <v>980</v>
          </cell>
          <cell r="AC374">
            <v>460</v>
          </cell>
          <cell r="AD374">
            <v>320</v>
          </cell>
          <cell r="AE374">
            <v>420</v>
          </cell>
          <cell r="AF374">
            <v>1580</v>
          </cell>
          <cell r="AG374">
            <v>1000</v>
          </cell>
          <cell r="AH374">
            <v>840</v>
          </cell>
          <cell r="AI374">
            <v>1420</v>
          </cell>
          <cell r="AJ374">
            <v>680</v>
          </cell>
          <cell r="AK374">
            <v>920</v>
          </cell>
          <cell r="AL374">
            <v>860</v>
          </cell>
          <cell r="AM374">
            <v>760</v>
          </cell>
          <cell r="AN374">
            <v>720</v>
          </cell>
          <cell r="AO374">
            <v>1100</v>
          </cell>
          <cell r="AP374">
            <v>850</v>
          </cell>
          <cell r="AQ374">
            <v>750</v>
          </cell>
          <cell r="AR374">
            <v>1620</v>
          </cell>
          <cell r="AS374">
            <v>920</v>
          </cell>
          <cell r="AT374">
            <v>820</v>
          </cell>
          <cell r="AU374">
            <v>940</v>
          </cell>
          <cell r="AV374">
            <v>1100</v>
          </cell>
          <cell r="AW374">
            <v>1100</v>
          </cell>
          <cell r="AX374">
            <v>1120</v>
          </cell>
          <cell r="AY374">
            <v>740</v>
          </cell>
          <cell r="AZ374">
            <v>920</v>
          </cell>
          <cell r="BA374">
            <v>1680</v>
          </cell>
          <cell r="BB374">
            <v>980</v>
          </cell>
          <cell r="BC374">
            <v>1260</v>
          </cell>
          <cell r="BD374">
            <v>835</v>
          </cell>
          <cell r="BE374">
            <v>1020</v>
          </cell>
          <cell r="BF374">
            <v>1135</v>
          </cell>
          <cell r="BG374">
            <v>1025</v>
          </cell>
          <cell r="BH374">
            <v>1360</v>
          </cell>
          <cell r="BI374">
            <v>1310</v>
          </cell>
          <cell r="BJ374">
            <v>1320</v>
          </cell>
          <cell r="BK374">
            <v>920</v>
          </cell>
          <cell r="BL374">
            <v>1320</v>
          </cell>
          <cell r="BM374">
            <v>1625</v>
          </cell>
          <cell r="BN374">
            <v>1100</v>
          </cell>
          <cell r="BO374">
            <v>960</v>
          </cell>
          <cell r="BP374">
            <v>640</v>
          </cell>
          <cell r="BQ374">
            <v>1320</v>
          </cell>
          <cell r="BR374">
            <v>760</v>
          </cell>
          <cell r="BS374">
            <v>1485</v>
          </cell>
          <cell r="BT374">
            <v>1355</v>
          </cell>
          <cell r="BU374">
            <v>1040</v>
          </cell>
          <cell r="BV374">
            <v>980</v>
          </cell>
          <cell r="BW374">
            <v>600</v>
          </cell>
          <cell r="BX374">
            <v>580</v>
          </cell>
          <cell r="BY374">
            <v>740</v>
          </cell>
          <cell r="BZ374">
            <v>915</v>
          </cell>
          <cell r="CA374">
            <v>1060</v>
          </cell>
          <cell r="CB374">
            <v>200</v>
          </cell>
          <cell r="CC374">
            <v>620</v>
          </cell>
          <cell r="CD374">
            <v>460</v>
          </cell>
          <cell r="CE374">
            <v>320</v>
          </cell>
          <cell r="CF374">
            <v>180</v>
          </cell>
          <cell r="CG374">
            <v>860</v>
          </cell>
          <cell r="CH374">
            <v>760</v>
          </cell>
          <cell r="CI374">
            <v>900</v>
          </cell>
          <cell r="CJ374">
            <v>640</v>
          </cell>
          <cell r="DB374" t="str">
            <v>ACTIVO</v>
          </cell>
          <cell r="DC374" t="str">
            <v>A</v>
          </cell>
          <cell r="DE374">
            <v>668</v>
          </cell>
          <cell r="DF374">
            <v>111.33333333333333</v>
          </cell>
          <cell r="DG374">
            <v>333.29247149159443</v>
          </cell>
          <cell r="DH374">
            <v>0</v>
          </cell>
          <cell r="DI374" t="str">
            <v>0</v>
          </cell>
          <cell r="DJ374">
            <v>0</v>
          </cell>
          <cell r="DK374" t="str">
            <v>COMPRAR</v>
          </cell>
          <cell r="DL374">
            <v>222.66666666666666</v>
          </cell>
          <cell r="DM374">
            <v>222.66666666666666</v>
          </cell>
          <cell r="DN374">
            <v>445.33333333333331</v>
          </cell>
        </row>
        <row r="375">
          <cell r="B375">
            <v>103007</v>
          </cell>
          <cell r="C375" t="str">
            <v>MARGARINA HORNITO CERRILLOS</v>
          </cell>
          <cell r="D375">
            <v>835</v>
          </cell>
          <cell r="E375">
            <v>980</v>
          </cell>
          <cell r="F375">
            <v>1245</v>
          </cell>
          <cell r="G375">
            <v>1010</v>
          </cell>
          <cell r="H375">
            <v>1210</v>
          </cell>
          <cell r="I375">
            <v>1105</v>
          </cell>
          <cell r="J375">
            <v>1225</v>
          </cell>
          <cell r="K375">
            <v>835</v>
          </cell>
          <cell r="L375">
            <v>660</v>
          </cell>
          <cell r="M375">
            <v>1225</v>
          </cell>
          <cell r="N375">
            <v>1085</v>
          </cell>
          <cell r="O375">
            <v>605</v>
          </cell>
          <cell r="P375">
            <v>995</v>
          </cell>
          <cell r="Q375">
            <v>980</v>
          </cell>
          <cell r="R375">
            <v>785</v>
          </cell>
          <cell r="S375">
            <v>1640</v>
          </cell>
          <cell r="T375">
            <v>1005</v>
          </cell>
          <cell r="U375">
            <v>985</v>
          </cell>
          <cell r="V375">
            <v>1095</v>
          </cell>
          <cell r="W375">
            <v>885</v>
          </cell>
          <cell r="X375">
            <v>805</v>
          </cell>
          <cell r="Y375">
            <v>1365</v>
          </cell>
          <cell r="Z375">
            <v>415</v>
          </cell>
          <cell r="AA375">
            <v>880</v>
          </cell>
          <cell r="AB375">
            <v>770</v>
          </cell>
          <cell r="AC375">
            <v>475</v>
          </cell>
          <cell r="AD375">
            <v>295</v>
          </cell>
          <cell r="AE375">
            <v>75</v>
          </cell>
          <cell r="AF375">
            <v>1125</v>
          </cell>
          <cell r="AG375">
            <v>945</v>
          </cell>
          <cell r="AH375">
            <v>1095</v>
          </cell>
          <cell r="AI375">
            <v>1265</v>
          </cell>
          <cell r="AJ375">
            <v>865</v>
          </cell>
          <cell r="AK375">
            <v>620</v>
          </cell>
          <cell r="AL375">
            <v>505</v>
          </cell>
          <cell r="AM375">
            <v>705</v>
          </cell>
          <cell r="AN375">
            <v>815</v>
          </cell>
          <cell r="AO375">
            <v>775</v>
          </cell>
          <cell r="AP375">
            <v>715</v>
          </cell>
          <cell r="AQ375">
            <v>1120</v>
          </cell>
          <cell r="AR375">
            <v>1045</v>
          </cell>
          <cell r="AS375">
            <v>1025</v>
          </cell>
          <cell r="AT375">
            <v>1190</v>
          </cell>
          <cell r="AU375">
            <v>1070</v>
          </cell>
          <cell r="AV375">
            <v>1490</v>
          </cell>
          <cell r="AW375">
            <v>1185</v>
          </cell>
          <cell r="AX375">
            <v>1585</v>
          </cell>
          <cell r="AY375">
            <v>855</v>
          </cell>
          <cell r="AZ375">
            <v>965</v>
          </cell>
          <cell r="BA375">
            <v>925</v>
          </cell>
          <cell r="BB375">
            <v>825</v>
          </cell>
          <cell r="BC375">
            <v>1170</v>
          </cell>
          <cell r="BD375">
            <v>1085</v>
          </cell>
          <cell r="BE375">
            <v>1180</v>
          </cell>
          <cell r="BF375">
            <v>905</v>
          </cell>
          <cell r="BG375">
            <v>885</v>
          </cell>
          <cell r="BH375">
            <v>1215</v>
          </cell>
          <cell r="BI375">
            <v>1030</v>
          </cell>
          <cell r="BJ375">
            <v>1065</v>
          </cell>
          <cell r="BK375">
            <v>770</v>
          </cell>
          <cell r="BL375">
            <v>835</v>
          </cell>
          <cell r="BM375">
            <v>605</v>
          </cell>
          <cell r="BN375">
            <v>910</v>
          </cell>
          <cell r="BO375">
            <v>960</v>
          </cell>
          <cell r="BP375">
            <v>415</v>
          </cell>
          <cell r="BQ375">
            <v>1115</v>
          </cell>
          <cell r="BR375">
            <v>680</v>
          </cell>
          <cell r="BS375">
            <v>810</v>
          </cell>
          <cell r="BT375">
            <v>525</v>
          </cell>
          <cell r="BU375">
            <v>875</v>
          </cell>
          <cell r="BV375">
            <v>715</v>
          </cell>
          <cell r="BW375">
            <v>830</v>
          </cell>
          <cell r="BX375">
            <v>955</v>
          </cell>
          <cell r="BY375">
            <v>585</v>
          </cell>
          <cell r="BZ375">
            <v>945</v>
          </cell>
          <cell r="CA375">
            <v>790</v>
          </cell>
          <cell r="CB375">
            <v>195</v>
          </cell>
          <cell r="CC375">
            <v>635</v>
          </cell>
          <cell r="CD375">
            <v>495</v>
          </cell>
          <cell r="CE375">
            <v>385</v>
          </cell>
          <cell r="CF375">
            <v>270</v>
          </cell>
          <cell r="CG375">
            <v>600</v>
          </cell>
          <cell r="CH375">
            <v>1157</v>
          </cell>
          <cell r="CI375">
            <v>905</v>
          </cell>
          <cell r="CJ375">
            <v>940</v>
          </cell>
          <cell r="CK375">
            <v>2140</v>
          </cell>
          <cell r="CL375">
            <v>1190</v>
          </cell>
          <cell r="CM375">
            <v>1690</v>
          </cell>
          <cell r="CN375">
            <v>1865</v>
          </cell>
          <cell r="CO375">
            <v>1415</v>
          </cell>
          <cell r="CP375">
            <v>1065</v>
          </cell>
          <cell r="CQ375">
            <v>1010</v>
          </cell>
          <cell r="CR375">
            <v>1035</v>
          </cell>
          <cell r="CS375">
            <v>670</v>
          </cell>
          <cell r="CT375">
            <v>1495</v>
          </cell>
          <cell r="CU375">
            <v>1450</v>
          </cell>
          <cell r="CV375">
            <v>1870</v>
          </cell>
          <cell r="CW375">
            <v>1650</v>
          </cell>
          <cell r="CX375">
            <v>1555</v>
          </cell>
          <cell r="CY375">
            <v>1465</v>
          </cell>
          <cell r="CZ375">
            <v>805</v>
          </cell>
          <cell r="DA375">
            <v>1115</v>
          </cell>
          <cell r="DB375" t="str">
            <v>ACTIVO</v>
          </cell>
          <cell r="DC375" t="str">
            <v>A</v>
          </cell>
          <cell r="DE375">
            <v>1221.5882352941176</v>
          </cell>
          <cell r="DF375">
            <v>203.59803921568627</v>
          </cell>
          <cell r="DG375">
            <v>290.29703645732792</v>
          </cell>
          <cell r="DH375">
            <v>740</v>
          </cell>
          <cell r="DI375">
            <v>1295000</v>
          </cell>
          <cell r="DJ375">
            <v>0.60576876775653687</v>
          </cell>
          <cell r="DK375" t="str">
            <v>OK</v>
          </cell>
          <cell r="DL375">
            <v>407.19607843137254</v>
          </cell>
          <cell r="DM375">
            <v>407.19607843137254</v>
          </cell>
          <cell r="DN375">
            <v>814.39215686274508</v>
          </cell>
        </row>
        <row r="376">
          <cell r="B376">
            <v>107331</v>
          </cell>
          <cell r="C376" t="str">
            <v>MANTEQUILLA WATTS</v>
          </cell>
          <cell r="F376">
            <v>60</v>
          </cell>
          <cell r="G376">
            <v>60</v>
          </cell>
          <cell r="H376">
            <v>80</v>
          </cell>
          <cell r="I376">
            <v>80</v>
          </cell>
          <cell r="J376">
            <v>125</v>
          </cell>
          <cell r="K376">
            <v>205</v>
          </cell>
          <cell r="L376">
            <v>460</v>
          </cell>
          <cell r="M376">
            <v>300</v>
          </cell>
          <cell r="N376">
            <v>180</v>
          </cell>
          <cell r="O376">
            <v>40</v>
          </cell>
          <cell r="P376">
            <v>180</v>
          </cell>
          <cell r="Q376">
            <v>180</v>
          </cell>
          <cell r="R376">
            <v>200</v>
          </cell>
          <cell r="S376">
            <v>200</v>
          </cell>
          <cell r="T376">
            <v>100</v>
          </cell>
          <cell r="U376">
            <v>140</v>
          </cell>
          <cell r="V376">
            <v>100</v>
          </cell>
          <cell r="W376">
            <v>100</v>
          </cell>
          <cell r="X376">
            <v>160</v>
          </cell>
          <cell r="Y376">
            <v>160</v>
          </cell>
          <cell r="Z376">
            <v>120</v>
          </cell>
          <cell r="AA376">
            <v>120</v>
          </cell>
          <cell r="AB376">
            <v>180</v>
          </cell>
          <cell r="AC376">
            <v>80</v>
          </cell>
          <cell r="AD376">
            <v>40</v>
          </cell>
          <cell r="AE376">
            <v>40</v>
          </cell>
          <cell r="AF376">
            <v>100</v>
          </cell>
          <cell r="AG376">
            <v>60</v>
          </cell>
          <cell r="AH376">
            <v>100</v>
          </cell>
          <cell r="AI376">
            <v>240</v>
          </cell>
          <cell r="AJ376">
            <v>140</v>
          </cell>
          <cell r="AK376">
            <v>45</v>
          </cell>
          <cell r="AL376">
            <v>20</v>
          </cell>
          <cell r="AM376">
            <v>50</v>
          </cell>
          <cell r="AN376">
            <v>60</v>
          </cell>
          <cell r="AO376">
            <v>60</v>
          </cell>
          <cell r="AP376">
            <v>60</v>
          </cell>
          <cell r="AQ376">
            <v>60</v>
          </cell>
          <cell r="AR376">
            <v>100</v>
          </cell>
          <cell r="AS376">
            <v>40</v>
          </cell>
          <cell r="AT376">
            <v>120</v>
          </cell>
          <cell r="AU376">
            <v>100</v>
          </cell>
          <cell r="AV376">
            <v>20</v>
          </cell>
          <cell r="AW376">
            <v>80</v>
          </cell>
          <cell r="AX376">
            <v>160</v>
          </cell>
          <cell r="AY376">
            <v>80</v>
          </cell>
          <cell r="AZ376">
            <v>140</v>
          </cell>
          <cell r="BA376">
            <v>160</v>
          </cell>
          <cell r="BB376">
            <v>240</v>
          </cell>
          <cell r="BC376">
            <v>120</v>
          </cell>
          <cell r="BD376">
            <v>200</v>
          </cell>
          <cell r="BE376">
            <v>100</v>
          </cell>
          <cell r="BF376">
            <v>180</v>
          </cell>
          <cell r="BG376">
            <v>200</v>
          </cell>
          <cell r="BH376">
            <v>180</v>
          </cell>
          <cell r="BI376">
            <v>100</v>
          </cell>
          <cell r="BJ376">
            <v>120</v>
          </cell>
          <cell r="BK376">
            <v>160</v>
          </cell>
          <cell r="BL376">
            <v>220</v>
          </cell>
          <cell r="BM376">
            <v>200</v>
          </cell>
          <cell r="BN376">
            <v>280</v>
          </cell>
          <cell r="BO376">
            <v>180</v>
          </cell>
          <cell r="BP376">
            <v>40</v>
          </cell>
          <cell r="BQ376">
            <v>220</v>
          </cell>
          <cell r="BR376">
            <v>220</v>
          </cell>
          <cell r="BS376">
            <v>180</v>
          </cell>
          <cell r="BT376">
            <v>60</v>
          </cell>
          <cell r="BU376">
            <v>120</v>
          </cell>
          <cell r="BV376">
            <v>100</v>
          </cell>
          <cell r="BW376">
            <v>120</v>
          </cell>
          <cell r="BX376">
            <v>80</v>
          </cell>
          <cell r="BY376">
            <v>60</v>
          </cell>
          <cell r="BZ376">
            <v>120</v>
          </cell>
          <cell r="CA376">
            <v>180</v>
          </cell>
          <cell r="CB376">
            <v>60</v>
          </cell>
          <cell r="CC376">
            <v>100</v>
          </cell>
          <cell r="CD376">
            <v>100</v>
          </cell>
          <cell r="CE376">
            <v>60</v>
          </cell>
          <cell r="CG376">
            <v>100</v>
          </cell>
          <cell r="CH376">
            <v>61</v>
          </cell>
          <cell r="CI376">
            <v>100</v>
          </cell>
          <cell r="CJ376">
            <v>80</v>
          </cell>
          <cell r="CK376">
            <v>60</v>
          </cell>
          <cell r="CL376">
            <v>60</v>
          </cell>
          <cell r="CM376">
            <v>80</v>
          </cell>
          <cell r="CN376">
            <v>80</v>
          </cell>
          <cell r="CO376">
            <v>80</v>
          </cell>
          <cell r="CP376">
            <v>100</v>
          </cell>
          <cell r="CQ376">
            <v>60</v>
          </cell>
          <cell r="CR376">
            <v>120</v>
          </cell>
          <cell r="CS376">
            <v>120</v>
          </cell>
          <cell r="CT376">
            <v>140</v>
          </cell>
          <cell r="CU376">
            <v>220</v>
          </cell>
          <cell r="CV376">
            <v>100</v>
          </cell>
          <cell r="CW376">
            <v>20</v>
          </cell>
          <cell r="CX376">
            <v>20</v>
          </cell>
          <cell r="DB376" t="str">
            <v>ACTIVO</v>
          </cell>
          <cell r="DC376" t="str">
            <v>B</v>
          </cell>
          <cell r="DE376">
            <v>97.5625</v>
          </cell>
          <cell r="DF376">
            <v>16.260416666666668</v>
          </cell>
          <cell r="DG376">
            <v>64.705428310383567</v>
          </cell>
          <cell r="DH376">
            <v>380</v>
          </cell>
          <cell r="DI376">
            <v>2203889.7999999998</v>
          </cell>
          <cell r="DJ376">
            <v>3.8949391415759127</v>
          </cell>
          <cell r="DK376" t="str">
            <v>OK</v>
          </cell>
          <cell r="DL376">
            <v>32.520833333333336</v>
          </cell>
          <cell r="DM376">
            <v>32.520833333333336</v>
          </cell>
          <cell r="DN376">
            <v>65.041666666666671</v>
          </cell>
        </row>
        <row r="377">
          <cell r="D377">
            <v>1595</v>
          </cell>
          <cell r="E377">
            <v>1940</v>
          </cell>
          <cell r="F377">
            <v>2145</v>
          </cell>
          <cell r="G377">
            <v>1650</v>
          </cell>
          <cell r="H377">
            <v>2350</v>
          </cell>
          <cell r="I377">
            <v>1905</v>
          </cell>
          <cell r="J377">
            <v>2010</v>
          </cell>
          <cell r="K377">
            <v>1900</v>
          </cell>
          <cell r="L377">
            <v>2840</v>
          </cell>
          <cell r="M377">
            <v>2345</v>
          </cell>
          <cell r="N377">
            <v>2385</v>
          </cell>
          <cell r="O377">
            <v>1045</v>
          </cell>
          <cell r="P377">
            <v>2075.3200000000002</v>
          </cell>
          <cell r="Q377">
            <v>2300</v>
          </cell>
          <cell r="R377">
            <v>2865</v>
          </cell>
          <cell r="S377">
            <v>3020</v>
          </cell>
          <cell r="T377">
            <v>1925</v>
          </cell>
          <cell r="U377">
            <v>2325</v>
          </cell>
          <cell r="V377">
            <v>2455</v>
          </cell>
          <cell r="W377">
            <v>1625</v>
          </cell>
          <cell r="X377">
            <v>3065</v>
          </cell>
          <cell r="Y377">
            <v>3125</v>
          </cell>
          <cell r="Z377">
            <v>1655</v>
          </cell>
          <cell r="AA377">
            <v>1040</v>
          </cell>
          <cell r="AB377">
            <v>1930</v>
          </cell>
          <cell r="AC377">
            <v>1015</v>
          </cell>
          <cell r="AD377">
            <v>655</v>
          </cell>
          <cell r="AE377">
            <v>535</v>
          </cell>
          <cell r="AF377">
            <v>2805</v>
          </cell>
          <cell r="AG377">
            <v>2005</v>
          </cell>
          <cell r="AH377">
            <v>2035</v>
          </cell>
          <cell r="AI377">
            <v>2925</v>
          </cell>
          <cell r="AJ377">
            <v>1685</v>
          </cell>
          <cell r="AK377">
            <v>1680</v>
          </cell>
          <cell r="AL377">
            <v>1470</v>
          </cell>
          <cell r="AM377">
            <v>1515</v>
          </cell>
          <cell r="AN377">
            <v>1595</v>
          </cell>
          <cell r="AO377">
            <v>1960</v>
          </cell>
          <cell r="AP377">
            <v>1625</v>
          </cell>
          <cell r="AQ377">
            <v>1951</v>
          </cell>
          <cell r="AR377">
            <v>2785</v>
          </cell>
          <cell r="AS377">
            <v>1985</v>
          </cell>
          <cell r="AT377">
            <v>2130</v>
          </cell>
          <cell r="AU377">
            <v>2110</v>
          </cell>
          <cell r="AV377">
            <v>2630</v>
          </cell>
          <cell r="AW377">
            <v>2365</v>
          </cell>
          <cell r="AX377">
            <v>2865</v>
          </cell>
          <cell r="AY377">
            <v>1675</v>
          </cell>
          <cell r="AZ377">
            <v>2025</v>
          </cell>
          <cell r="BA377">
            <v>2765</v>
          </cell>
          <cell r="BB377">
            <v>2045</v>
          </cell>
          <cell r="BC377">
            <v>2590</v>
          </cell>
          <cell r="BD377">
            <v>2120</v>
          </cell>
          <cell r="BE377">
            <v>2300</v>
          </cell>
          <cell r="BF377">
            <v>2220</v>
          </cell>
          <cell r="BG377">
            <v>2110</v>
          </cell>
          <cell r="BH377">
            <v>2755</v>
          </cell>
          <cell r="BI377">
            <v>2440</v>
          </cell>
          <cell r="BJ377">
            <v>2505</v>
          </cell>
          <cell r="BK377">
            <v>1850</v>
          </cell>
          <cell r="BL377">
            <v>2375</v>
          </cell>
          <cell r="BM377">
            <v>2430</v>
          </cell>
          <cell r="BN377">
            <v>2290</v>
          </cell>
          <cell r="BO377">
            <v>2100</v>
          </cell>
          <cell r="BP377">
            <v>1095</v>
          </cell>
          <cell r="BQ377">
            <v>2655</v>
          </cell>
          <cell r="BR377">
            <v>1660</v>
          </cell>
          <cell r="BS377">
            <v>2475</v>
          </cell>
          <cell r="BT377">
            <v>1940</v>
          </cell>
          <cell r="BU377">
            <v>2075</v>
          </cell>
          <cell r="BV377">
            <v>1795</v>
          </cell>
          <cell r="BW377">
            <v>1550</v>
          </cell>
          <cell r="BX377">
            <v>1615</v>
          </cell>
          <cell r="BY377">
            <v>1385</v>
          </cell>
          <cell r="BZ377">
            <v>1980</v>
          </cell>
          <cell r="CA377">
            <v>2030</v>
          </cell>
          <cell r="CB377">
            <v>475</v>
          </cell>
          <cell r="CC377">
            <v>1375</v>
          </cell>
          <cell r="CD377">
            <v>1055</v>
          </cell>
          <cell r="CE377">
            <v>765</v>
          </cell>
          <cell r="CF377">
            <v>450</v>
          </cell>
          <cell r="CG377">
            <v>1560</v>
          </cell>
          <cell r="CH377">
            <v>1978</v>
          </cell>
          <cell r="CI377">
            <v>1905</v>
          </cell>
          <cell r="CJ377">
            <v>1660</v>
          </cell>
          <cell r="CK377">
            <v>2200</v>
          </cell>
          <cell r="CL377">
            <v>1250</v>
          </cell>
          <cell r="CM377">
            <v>1770</v>
          </cell>
          <cell r="CN377">
            <v>1945</v>
          </cell>
          <cell r="CO377">
            <v>1495</v>
          </cell>
          <cell r="CP377">
            <v>1165</v>
          </cell>
          <cell r="CQ377">
            <v>1070</v>
          </cell>
          <cell r="CR377">
            <v>1155</v>
          </cell>
          <cell r="CS377">
            <v>790</v>
          </cell>
          <cell r="CT377">
            <v>1635</v>
          </cell>
          <cell r="CU377">
            <v>1670</v>
          </cell>
          <cell r="CV377">
            <v>1985</v>
          </cell>
          <cell r="CW377">
            <v>1790</v>
          </cell>
          <cell r="CX377">
            <v>1695</v>
          </cell>
          <cell r="CY377">
            <v>1585</v>
          </cell>
          <cell r="CZ377">
            <v>895</v>
          </cell>
          <cell r="DA377">
            <v>1250</v>
          </cell>
          <cell r="DB377" t="str">
            <v>ACTIVO</v>
          </cell>
          <cell r="DC377" t="str">
            <v/>
          </cell>
          <cell r="DE377">
            <v>1510.7647058823529</v>
          </cell>
          <cell r="DF377">
            <v>251.79411764705881</v>
          </cell>
          <cell r="DG377">
            <v>567.73953149030922</v>
          </cell>
          <cell r="DH377">
            <v>0</v>
          </cell>
          <cell r="DI377" t="str">
            <v>0</v>
          </cell>
          <cell r="DJ377">
            <v>0</v>
          </cell>
          <cell r="DK377" t="str">
            <v>INACTIVO</v>
          </cell>
          <cell r="DL377">
            <v>0</v>
          </cell>
          <cell r="DM377">
            <v>503.58823529411762</v>
          </cell>
          <cell r="DN377">
            <v>503.58823529411762</v>
          </cell>
        </row>
        <row r="378">
          <cell r="B378">
            <v>405685</v>
          </cell>
          <cell r="C378" t="str">
            <v>HUEVO LIQUIDO BOLSA 20 KG AGRICOVIAL</v>
          </cell>
          <cell r="CB378">
            <v>1800</v>
          </cell>
          <cell r="CC378">
            <v>2300</v>
          </cell>
          <cell r="CD378">
            <v>1700</v>
          </cell>
          <cell r="CE378">
            <v>1000</v>
          </cell>
          <cell r="CF378">
            <v>760</v>
          </cell>
          <cell r="CG378">
            <v>1660</v>
          </cell>
          <cell r="CH378">
            <v>1860</v>
          </cell>
          <cell r="CI378">
            <v>2320</v>
          </cell>
          <cell r="CJ378">
            <v>1550</v>
          </cell>
          <cell r="CK378">
            <v>2190</v>
          </cell>
          <cell r="CL378">
            <v>2000</v>
          </cell>
          <cell r="CM378">
            <v>2380</v>
          </cell>
          <cell r="CN378">
            <v>2000</v>
          </cell>
          <cell r="CO378">
            <v>2160</v>
          </cell>
          <cell r="CP378">
            <v>2700</v>
          </cell>
          <cell r="CQ378">
            <v>2100</v>
          </cell>
          <cell r="CR378">
            <v>2090</v>
          </cell>
          <cell r="CS378">
            <v>1660</v>
          </cell>
          <cell r="CT378">
            <v>2940</v>
          </cell>
          <cell r="CU378">
            <v>2200</v>
          </cell>
          <cell r="CV378">
            <v>2200</v>
          </cell>
          <cell r="DB378" t="str">
            <v>ACTIVO</v>
          </cell>
          <cell r="DC378" t="str">
            <v>B</v>
          </cell>
          <cell r="DE378">
            <v>2045.2941176470588</v>
          </cell>
          <cell r="DF378">
            <v>340.88235294117646</v>
          </cell>
          <cell r="DG378">
            <v>535.41261347363366</v>
          </cell>
          <cell r="DH378">
            <v>0</v>
          </cell>
          <cell r="DI378" t="str">
            <v>0</v>
          </cell>
          <cell r="DJ378">
            <v>0</v>
          </cell>
          <cell r="DK378" t="str">
            <v>COMPRAR</v>
          </cell>
          <cell r="DL378">
            <v>681.76470588235293</v>
          </cell>
          <cell r="DM378">
            <v>681.76470588235293</v>
          </cell>
          <cell r="DN378">
            <v>1363.5294117647059</v>
          </cell>
        </row>
        <row r="379">
          <cell r="B379">
            <v>107226</v>
          </cell>
          <cell r="C379" t="str">
            <v>HUEVO LIQUIDO BALDE ARIZONA</v>
          </cell>
          <cell r="CV379">
            <v>620</v>
          </cell>
          <cell r="CW379">
            <v>2020</v>
          </cell>
          <cell r="CX379">
            <v>2400</v>
          </cell>
          <cell r="CY379">
            <v>2260</v>
          </cell>
          <cell r="CZ379">
            <v>2000</v>
          </cell>
          <cell r="DA379">
            <v>2160</v>
          </cell>
          <cell r="DB379" t="str">
            <v>ACTIVO</v>
          </cell>
          <cell r="DC379" t="str">
            <v/>
          </cell>
          <cell r="DE379">
            <v>620</v>
          </cell>
          <cell r="DF379">
            <v>103.33333333333333</v>
          </cell>
          <cell r="DG379">
            <v>0</v>
          </cell>
          <cell r="DH379">
            <v>0</v>
          </cell>
          <cell r="DI379" t="str">
            <v>0</v>
          </cell>
          <cell r="DJ379">
            <v>0</v>
          </cell>
          <cell r="DK379" t="str">
            <v>OK</v>
          </cell>
          <cell r="DL379">
            <v>206.66666666666666</v>
          </cell>
          <cell r="DM379">
            <v>206.66666666666666</v>
          </cell>
          <cell r="DN379">
            <v>413.33333333333331</v>
          </cell>
        </row>
        <row r="380">
          <cell r="B380">
            <v>201005</v>
          </cell>
          <cell r="C380" t="str">
            <v>HUEVO LIQUIDO TOTEM 1000 LT AGRICOVIAL</v>
          </cell>
          <cell r="F380">
            <v>4000</v>
          </cell>
          <cell r="I380">
            <v>4000</v>
          </cell>
          <cell r="K380">
            <v>4000</v>
          </cell>
          <cell r="M380">
            <v>2000</v>
          </cell>
          <cell r="N380">
            <v>2010</v>
          </cell>
          <cell r="O380">
            <v>390</v>
          </cell>
          <cell r="P380">
            <v>5130</v>
          </cell>
          <cell r="S380">
            <v>4000</v>
          </cell>
          <cell r="V380">
            <v>3000</v>
          </cell>
          <cell r="W380">
            <v>2000</v>
          </cell>
          <cell r="Y380">
            <v>2000</v>
          </cell>
          <cell r="AA380">
            <v>2000</v>
          </cell>
          <cell r="AG380">
            <v>2000</v>
          </cell>
          <cell r="AL380">
            <v>2000</v>
          </cell>
          <cell r="AO380">
            <v>2000</v>
          </cell>
          <cell r="AR380">
            <v>4000</v>
          </cell>
          <cell r="AU380">
            <v>3000</v>
          </cell>
          <cell r="AV380">
            <v>2000</v>
          </cell>
          <cell r="AW380">
            <v>2000</v>
          </cell>
          <cell r="AZ380">
            <v>3000</v>
          </cell>
          <cell r="BB380">
            <v>2000</v>
          </cell>
          <cell r="BC380">
            <v>3000</v>
          </cell>
          <cell r="BD380">
            <v>5000</v>
          </cell>
          <cell r="BE380">
            <v>4000</v>
          </cell>
          <cell r="BG380">
            <v>4000</v>
          </cell>
          <cell r="BH380">
            <v>1000</v>
          </cell>
          <cell r="BJ380">
            <v>6000</v>
          </cell>
          <cell r="BK380">
            <v>4000</v>
          </cell>
          <cell r="BL380">
            <v>9000</v>
          </cell>
          <cell r="BM380">
            <v>4000</v>
          </cell>
          <cell r="BN380">
            <v>4000</v>
          </cell>
          <cell r="BO380">
            <v>4000</v>
          </cell>
          <cell r="BP380">
            <v>2000</v>
          </cell>
          <cell r="BQ380">
            <v>6000</v>
          </cell>
          <cell r="BR380">
            <v>4000</v>
          </cell>
          <cell r="BS380">
            <v>4000</v>
          </cell>
          <cell r="BT380">
            <v>2000</v>
          </cell>
          <cell r="BU380">
            <v>4000</v>
          </cell>
          <cell r="BW380">
            <v>4000</v>
          </cell>
          <cell r="BX380">
            <v>4000</v>
          </cell>
          <cell r="BZ380">
            <v>2000</v>
          </cell>
          <cell r="CB380">
            <v>4000</v>
          </cell>
          <cell r="CC380">
            <v>4000</v>
          </cell>
          <cell r="CD380">
            <v>7000</v>
          </cell>
          <cell r="CE380">
            <v>3000</v>
          </cell>
          <cell r="CF380">
            <v>1000</v>
          </cell>
          <cell r="CG380">
            <v>4000</v>
          </cell>
          <cell r="CH380">
            <v>2000</v>
          </cell>
          <cell r="CI380">
            <v>2000</v>
          </cell>
          <cell r="CJ380">
            <v>2000</v>
          </cell>
          <cell r="CK380">
            <v>5000</v>
          </cell>
          <cell r="CL380">
            <v>2000</v>
          </cell>
          <cell r="CM380">
            <v>6420</v>
          </cell>
          <cell r="CN380">
            <v>6060</v>
          </cell>
          <cell r="CO380">
            <v>4000</v>
          </cell>
          <cell r="CP380">
            <v>5000</v>
          </cell>
          <cell r="CQ380">
            <v>8000</v>
          </cell>
          <cell r="CR380">
            <v>6000</v>
          </cell>
          <cell r="CS380">
            <v>4000</v>
          </cell>
          <cell r="CT380">
            <v>7000</v>
          </cell>
          <cell r="CU380">
            <v>4000</v>
          </cell>
          <cell r="CV380">
            <v>4000</v>
          </cell>
          <cell r="DB380" t="str">
            <v>ACTIVO</v>
          </cell>
          <cell r="DC380" t="str">
            <v>A</v>
          </cell>
          <cell r="DE380">
            <v>4263.5294117647063</v>
          </cell>
          <cell r="DF380">
            <v>710.58823529411768</v>
          </cell>
          <cell r="DG380">
            <v>1654.8825830361388</v>
          </cell>
          <cell r="DH380">
            <v>0</v>
          </cell>
          <cell r="DI380" t="str">
            <v>0</v>
          </cell>
          <cell r="DJ380">
            <v>0</v>
          </cell>
          <cell r="DK380" t="str">
            <v>COMPRAR</v>
          </cell>
          <cell r="DL380">
            <v>1421.1764705882354</v>
          </cell>
          <cell r="DM380">
            <v>1421.1764705882354</v>
          </cell>
          <cell r="DN380">
            <v>2842.3529411764707</v>
          </cell>
        </row>
        <row r="381">
          <cell r="B381">
            <v>105001</v>
          </cell>
          <cell r="C381" t="str">
            <v>HUEVO LIQUIDO LAS RASTRAS</v>
          </cell>
          <cell r="D381">
            <v>2290</v>
          </cell>
          <cell r="E381">
            <v>3010</v>
          </cell>
          <cell r="F381">
            <v>2180</v>
          </cell>
          <cell r="G381">
            <v>1890</v>
          </cell>
          <cell r="H381">
            <v>3130</v>
          </cell>
          <cell r="I381">
            <v>6470</v>
          </cell>
          <cell r="J381">
            <v>2260</v>
          </cell>
          <cell r="K381">
            <v>1920</v>
          </cell>
          <cell r="L381">
            <v>2410</v>
          </cell>
          <cell r="M381">
            <v>2140</v>
          </cell>
          <cell r="N381">
            <v>2120</v>
          </cell>
          <cell r="O381">
            <v>1150</v>
          </cell>
          <cell r="P381">
            <v>1630</v>
          </cell>
          <cell r="Q381">
            <v>2220</v>
          </cell>
          <cell r="R381">
            <v>1720</v>
          </cell>
          <cell r="S381">
            <v>1900</v>
          </cell>
          <cell r="T381">
            <v>1480</v>
          </cell>
          <cell r="U381">
            <v>2480</v>
          </cell>
          <cell r="V381">
            <v>2260</v>
          </cell>
          <cell r="W381">
            <v>1250</v>
          </cell>
          <cell r="X381">
            <v>1890</v>
          </cell>
          <cell r="Y381">
            <v>1320</v>
          </cell>
          <cell r="Z381">
            <v>1650</v>
          </cell>
          <cell r="AA381">
            <v>1650</v>
          </cell>
          <cell r="AB381">
            <v>2880</v>
          </cell>
          <cell r="AC381">
            <v>1550</v>
          </cell>
          <cell r="AD381">
            <v>840</v>
          </cell>
          <cell r="AE381">
            <v>520</v>
          </cell>
          <cell r="AF381">
            <v>1970</v>
          </cell>
          <cell r="AG381">
            <v>1600</v>
          </cell>
          <cell r="AH381">
            <v>1490</v>
          </cell>
          <cell r="AI381">
            <v>2380</v>
          </cell>
          <cell r="AJ381">
            <v>1750</v>
          </cell>
          <cell r="AK381">
            <v>1580</v>
          </cell>
          <cell r="AL381">
            <v>1820</v>
          </cell>
          <cell r="AM381">
            <v>1340</v>
          </cell>
          <cell r="AN381">
            <v>1850</v>
          </cell>
          <cell r="AO381">
            <v>1820</v>
          </cell>
          <cell r="AP381">
            <v>1790</v>
          </cell>
          <cell r="AQ381">
            <v>1880</v>
          </cell>
          <cell r="AR381">
            <v>4170</v>
          </cell>
          <cell r="AS381">
            <v>3296</v>
          </cell>
          <cell r="AT381">
            <v>1980</v>
          </cell>
          <cell r="AU381">
            <v>1670</v>
          </cell>
          <cell r="AV381">
            <v>2000</v>
          </cell>
          <cell r="AW381">
            <v>2300</v>
          </cell>
          <cell r="AX381">
            <v>2000</v>
          </cell>
          <cell r="AY381">
            <v>2000</v>
          </cell>
          <cell r="AZ381">
            <v>2180</v>
          </cell>
          <cell r="BA381">
            <v>2120</v>
          </cell>
          <cell r="BB381">
            <v>1690</v>
          </cell>
          <cell r="BC381">
            <v>2330</v>
          </cell>
          <cell r="BD381">
            <v>1960</v>
          </cell>
          <cell r="BE381">
            <v>2510</v>
          </cell>
          <cell r="BF381">
            <v>1490</v>
          </cell>
          <cell r="BG381">
            <v>2170</v>
          </cell>
          <cell r="BH381">
            <v>2350</v>
          </cell>
          <cell r="BI381">
            <v>2010</v>
          </cell>
          <cell r="BJ381">
            <v>1960</v>
          </cell>
          <cell r="BK381">
            <v>2040</v>
          </cell>
          <cell r="BL381">
            <v>1870</v>
          </cell>
          <cell r="BM381">
            <v>2020</v>
          </cell>
          <cell r="BN381">
            <v>2100</v>
          </cell>
          <cell r="BO381">
            <v>2100</v>
          </cell>
          <cell r="BP381">
            <v>770</v>
          </cell>
          <cell r="BQ381">
            <v>2860</v>
          </cell>
          <cell r="BR381">
            <v>1470</v>
          </cell>
          <cell r="BS381">
            <v>2120</v>
          </cell>
          <cell r="BT381">
            <v>2680</v>
          </cell>
          <cell r="BU381">
            <v>1990</v>
          </cell>
          <cell r="BV381">
            <v>1350</v>
          </cell>
          <cell r="BW381">
            <v>1860</v>
          </cell>
          <cell r="BX381">
            <v>1450</v>
          </cell>
          <cell r="BY381">
            <v>1720</v>
          </cell>
          <cell r="BZ381">
            <v>2410</v>
          </cell>
          <cell r="CA381">
            <v>1990</v>
          </cell>
          <cell r="DB381" t="str">
            <v>ACTIVO</v>
          </cell>
          <cell r="DC381" t="str">
            <v>A</v>
          </cell>
          <cell r="DE381">
            <v>0</v>
          </cell>
          <cell r="DF381">
            <v>0</v>
          </cell>
          <cell r="DG381">
            <v>560.8854788708328</v>
          </cell>
          <cell r="DH381">
            <v>0</v>
          </cell>
          <cell r="DI381" t="str">
            <v>0</v>
          </cell>
          <cell r="DJ381">
            <v>0</v>
          </cell>
          <cell r="DK381" t="str">
            <v>COMPRAR</v>
          </cell>
          <cell r="DL381">
            <v>0</v>
          </cell>
          <cell r="DM381">
            <v>0</v>
          </cell>
          <cell r="DN381">
            <v>0</v>
          </cell>
        </row>
        <row r="382">
          <cell r="B382">
            <v>105002</v>
          </cell>
          <cell r="C382" t="str">
            <v>HUEVO LIQUIDO TOTEM ARIZONA</v>
          </cell>
          <cell r="D382">
            <v>2000</v>
          </cell>
          <cell r="E382">
            <v>3000</v>
          </cell>
          <cell r="G382">
            <v>2000</v>
          </cell>
          <cell r="H382">
            <v>4000</v>
          </cell>
          <cell r="J382">
            <v>2000</v>
          </cell>
          <cell r="K382">
            <v>2000</v>
          </cell>
          <cell r="L382">
            <v>2000</v>
          </cell>
          <cell r="M382">
            <v>2000</v>
          </cell>
          <cell r="N382">
            <v>3000</v>
          </cell>
          <cell r="R382">
            <v>4000</v>
          </cell>
          <cell r="T382">
            <v>2000</v>
          </cell>
          <cell r="V382">
            <v>4000</v>
          </cell>
          <cell r="X382">
            <v>4000</v>
          </cell>
          <cell r="Z382">
            <v>2000</v>
          </cell>
          <cell r="AA382">
            <v>2000</v>
          </cell>
          <cell r="AB382">
            <v>2000</v>
          </cell>
          <cell r="AF382">
            <v>4000</v>
          </cell>
          <cell r="AI382">
            <v>2000</v>
          </cell>
          <cell r="AL382">
            <v>2000</v>
          </cell>
          <cell r="AN382">
            <v>2000</v>
          </cell>
          <cell r="AR382">
            <v>2000</v>
          </cell>
          <cell r="AS382">
            <v>2000</v>
          </cell>
          <cell r="AU382">
            <v>2000</v>
          </cell>
          <cell r="AX382">
            <v>2000</v>
          </cell>
          <cell r="BA382">
            <v>2000</v>
          </cell>
          <cell r="BC382">
            <v>3000</v>
          </cell>
          <cell r="BF382">
            <v>4000</v>
          </cell>
          <cell r="BH382">
            <v>4000</v>
          </cell>
          <cell r="BI382">
            <v>4000</v>
          </cell>
          <cell r="BJ382">
            <v>5000</v>
          </cell>
          <cell r="BK382">
            <v>2000</v>
          </cell>
          <cell r="BL382">
            <v>5000</v>
          </cell>
          <cell r="BM382">
            <v>7000</v>
          </cell>
          <cell r="BN382">
            <v>7000</v>
          </cell>
          <cell r="BO382">
            <v>4000</v>
          </cell>
          <cell r="BP382">
            <v>8000</v>
          </cell>
          <cell r="BQ382">
            <v>4000</v>
          </cell>
          <cell r="BR382">
            <v>3000</v>
          </cell>
          <cell r="BS382">
            <v>8000</v>
          </cell>
          <cell r="BT382">
            <v>4000</v>
          </cell>
          <cell r="BU382">
            <v>5000</v>
          </cell>
          <cell r="BV382">
            <v>2000</v>
          </cell>
          <cell r="BW382">
            <v>6000</v>
          </cell>
          <cell r="BX382">
            <v>4000</v>
          </cell>
          <cell r="BY382">
            <v>4000</v>
          </cell>
          <cell r="BZ382">
            <v>2000</v>
          </cell>
          <cell r="CA382">
            <v>5000</v>
          </cell>
          <cell r="CB382">
            <v>3000</v>
          </cell>
          <cell r="CC382">
            <v>4000</v>
          </cell>
          <cell r="CD382">
            <v>4000</v>
          </cell>
          <cell r="CE382">
            <v>3000</v>
          </cell>
          <cell r="CG382">
            <v>6000</v>
          </cell>
          <cell r="CH382">
            <v>5000</v>
          </cell>
          <cell r="CI382">
            <v>5000</v>
          </cell>
          <cell r="CJ382">
            <v>4000</v>
          </cell>
          <cell r="CK382">
            <v>4000</v>
          </cell>
          <cell r="CV382">
            <v>3000</v>
          </cell>
          <cell r="CW382">
            <v>4000</v>
          </cell>
          <cell r="CX382">
            <v>4000</v>
          </cell>
          <cell r="CY382">
            <v>4000</v>
          </cell>
          <cell r="CZ382">
            <v>2000</v>
          </cell>
          <cell r="DA382">
            <v>5000</v>
          </cell>
          <cell r="DB382" t="str">
            <v>ACTIVO</v>
          </cell>
          <cell r="DC382" t="str">
            <v>A</v>
          </cell>
          <cell r="DE382">
            <v>4500</v>
          </cell>
          <cell r="DF382">
            <v>750</v>
          </cell>
          <cell r="DG382">
            <v>1757.0984485745794</v>
          </cell>
          <cell r="DH382">
            <v>0</v>
          </cell>
          <cell r="DI382" t="str">
            <v>0</v>
          </cell>
          <cell r="DJ382">
            <v>0</v>
          </cell>
          <cell r="DK382" t="str">
            <v>OK</v>
          </cell>
          <cell r="DL382">
            <v>1500</v>
          </cell>
          <cell r="DM382">
            <v>1500</v>
          </cell>
          <cell r="DN382">
            <v>3000</v>
          </cell>
        </row>
        <row r="383">
          <cell r="B383">
            <v>107287</v>
          </cell>
          <cell r="C383" t="str">
            <v>HUEVO LIQUIDO TOTE LAS RASTRAS</v>
          </cell>
          <cell r="D383">
            <v>8000</v>
          </cell>
          <cell r="E383">
            <v>6000</v>
          </cell>
          <cell r="F383">
            <v>6700</v>
          </cell>
          <cell r="G383">
            <v>8000</v>
          </cell>
          <cell r="H383">
            <v>7000</v>
          </cell>
          <cell r="I383">
            <v>3000</v>
          </cell>
          <cell r="J383">
            <v>6000</v>
          </cell>
          <cell r="K383">
            <v>8000</v>
          </cell>
          <cell r="L383">
            <v>5000</v>
          </cell>
          <cell r="M383">
            <v>10000</v>
          </cell>
          <cell r="N383">
            <v>7000</v>
          </cell>
          <cell r="O383">
            <v>3000</v>
          </cell>
          <cell r="P383">
            <v>9000</v>
          </cell>
          <cell r="Q383">
            <v>5000</v>
          </cell>
          <cell r="R383">
            <v>10000</v>
          </cell>
          <cell r="S383">
            <v>9000</v>
          </cell>
          <cell r="T383">
            <v>8000</v>
          </cell>
          <cell r="V383">
            <v>12000</v>
          </cell>
          <cell r="W383">
            <v>3000</v>
          </cell>
          <cell r="X383">
            <v>14000</v>
          </cell>
          <cell r="Y383">
            <v>7000</v>
          </cell>
          <cell r="Z383">
            <v>7000</v>
          </cell>
          <cell r="AA383">
            <v>7000</v>
          </cell>
          <cell r="AB383">
            <v>5000</v>
          </cell>
          <cell r="AC383">
            <v>9000</v>
          </cell>
          <cell r="AE383">
            <v>5000</v>
          </cell>
          <cell r="AF383">
            <v>2000</v>
          </cell>
          <cell r="AG383">
            <v>6000</v>
          </cell>
          <cell r="AH383">
            <v>3000</v>
          </cell>
          <cell r="AI383">
            <v>6000</v>
          </cell>
          <cell r="AJ383">
            <v>6000</v>
          </cell>
          <cell r="AK383">
            <v>10000</v>
          </cell>
          <cell r="AL383">
            <v>6000</v>
          </cell>
          <cell r="AM383">
            <v>6000</v>
          </cell>
          <cell r="AN383">
            <v>6000</v>
          </cell>
          <cell r="AO383">
            <v>8000</v>
          </cell>
          <cell r="AP383">
            <v>8000</v>
          </cell>
          <cell r="AQ383">
            <v>8000</v>
          </cell>
          <cell r="AR383">
            <v>4300</v>
          </cell>
          <cell r="AS383">
            <v>10000</v>
          </cell>
          <cell r="AT383">
            <v>6000</v>
          </cell>
          <cell r="AU383">
            <v>11000</v>
          </cell>
          <cell r="AV383">
            <v>8000</v>
          </cell>
          <cell r="AW383">
            <v>10000</v>
          </cell>
          <cell r="AX383">
            <v>9000</v>
          </cell>
          <cell r="AY383">
            <v>7000</v>
          </cell>
          <cell r="AZ383">
            <v>8000</v>
          </cell>
          <cell r="BA383">
            <v>8000</v>
          </cell>
          <cell r="BB383">
            <v>8000</v>
          </cell>
          <cell r="BC383">
            <v>9000</v>
          </cell>
          <cell r="BD383">
            <v>7000</v>
          </cell>
          <cell r="BE383">
            <v>6000</v>
          </cell>
          <cell r="BF383">
            <v>5000</v>
          </cell>
          <cell r="BG383">
            <v>5000</v>
          </cell>
          <cell r="BH383">
            <v>4000</v>
          </cell>
          <cell r="BI383">
            <v>7000</v>
          </cell>
          <cell r="CL383">
            <v>5000</v>
          </cell>
          <cell r="CM383">
            <v>5000</v>
          </cell>
          <cell r="CN383">
            <v>2000</v>
          </cell>
          <cell r="CO383">
            <v>2000</v>
          </cell>
          <cell r="CP383">
            <v>4000</v>
          </cell>
          <cell r="CR383">
            <v>4000</v>
          </cell>
          <cell r="CS383">
            <v>5000</v>
          </cell>
          <cell r="CU383">
            <v>5000</v>
          </cell>
          <cell r="CV383">
            <v>2000</v>
          </cell>
          <cell r="CW383">
            <v>2000</v>
          </cell>
          <cell r="CX383">
            <v>2000</v>
          </cell>
          <cell r="CY383">
            <v>3000</v>
          </cell>
          <cell r="CZ383">
            <v>5000</v>
          </cell>
          <cell r="DA383">
            <v>8000</v>
          </cell>
          <cell r="DB383" t="str">
            <v>ACTIVO</v>
          </cell>
          <cell r="DC383" t="str">
            <v>A</v>
          </cell>
          <cell r="DE383">
            <v>3777.7777777777778</v>
          </cell>
          <cell r="DF383">
            <v>629.62962962962968</v>
          </cell>
          <cell r="DG383">
            <v>2117.9976342042073</v>
          </cell>
          <cell r="DH383">
            <v>0</v>
          </cell>
          <cell r="DI383" t="str">
            <v>0</v>
          </cell>
          <cell r="DJ383">
            <v>0</v>
          </cell>
          <cell r="DK383" t="str">
            <v>OK</v>
          </cell>
          <cell r="DL383">
            <v>1888.8888888888891</v>
          </cell>
          <cell r="DM383">
            <v>1259.2592592592594</v>
          </cell>
          <cell r="DN383">
            <v>3148.1481481481487</v>
          </cell>
        </row>
        <row r="384">
          <cell r="D384">
            <v>12290</v>
          </cell>
          <cell r="E384">
            <v>12010</v>
          </cell>
          <cell r="F384">
            <v>12880</v>
          </cell>
          <cell r="G384">
            <v>11890</v>
          </cell>
          <cell r="H384">
            <v>14130</v>
          </cell>
          <cell r="I384">
            <v>13470</v>
          </cell>
          <cell r="J384">
            <v>10260</v>
          </cell>
          <cell r="K384">
            <v>15920</v>
          </cell>
          <cell r="L384">
            <v>9410</v>
          </cell>
          <cell r="M384">
            <v>16140</v>
          </cell>
          <cell r="N384">
            <v>14130</v>
          </cell>
          <cell r="O384">
            <v>4540</v>
          </cell>
          <cell r="P384">
            <v>15760</v>
          </cell>
          <cell r="Q384">
            <v>7220</v>
          </cell>
          <cell r="R384">
            <v>15720</v>
          </cell>
          <cell r="S384">
            <v>14900</v>
          </cell>
          <cell r="T384">
            <v>11480</v>
          </cell>
          <cell r="U384">
            <v>2480</v>
          </cell>
          <cell r="V384">
            <v>21260</v>
          </cell>
          <cell r="W384">
            <v>6250</v>
          </cell>
          <cell r="X384">
            <v>19890</v>
          </cell>
          <cell r="Y384">
            <v>10320</v>
          </cell>
          <cell r="Z384">
            <v>10650</v>
          </cell>
          <cell r="AA384">
            <v>12650</v>
          </cell>
          <cell r="AB384">
            <v>9880</v>
          </cell>
          <cell r="AC384">
            <v>10550</v>
          </cell>
          <cell r="AD384">
            <v>840</v>
          </cell>
          <cell r="AE384">
            <v>5520</v>
          </cell>
          <cell r="AF384">
            <v>7970</v>
          </cell>
          <cell r="AG384">
            <v>9600</v>
          </cell>
          <cell r="AH384">
            <v>4490</v>
          </cell>
          <cell r="AI384">
            <v>10380</v>
          </cell>
          <cell r="AJ384">
            <v>7750</v>
          </cell>
          <cell r="AK384">
            <v>11580</v>
          </cell>
          <cell r="AL384">
            <v>11820</v>
          </cell>
          <cell r="AM384">
            <v>7340</v>
          </cell>
          <cell r="AN384">
            <v>9850</v>
          </cell>
          <cell r="AO384">
            <v>11820</v>
          </cell>
          <cell r="AP384">
            <v>9790</v>
          </cell>
          <cell r="AQ384">
            <v>9880</v>
          </cell>
          <cell r="AR384">
            <v>14470</v>
          </cell>
          <cell r="AS384">
            <v>15296</v>
          </cell>
          <cell r="AT384">
            <v>7980</v>
          </cell>
          <cell r="AU384">
            <v>17670</v>
          </cell>
          <cell r="AV384">
            <v>12000</v>
          </cell>
          <cell r="AW384">
            <v>14300</v>
          </cell>
          <cell r="AX384">
            <v>13000</v>
          </cell>
          <cell r="AY384">
            <v>9000</v>
          </cell>
          <cell r="AZ384">
            <v>13180</v>
          </cell>
          <cell r="BA384">
            <v>12120</v>
          </cell>
          <cell r="BB384">
            <v>11690</v>
          </cell>
          <cell r="BC384">
            <v>17330</v>
          </cell>
          <cell r="BD384">
            <v>13960</v>
          </cell>
          <cell r="BE384">
            <v>12510</v>
          </cell>
          <cell r="BF384">
            <v>10490</v>
          </cell>
          <cell r="BG384">
            <v>11170</v>
          </cell>
          <cell r="BH384">
            <v>11350</v>
          </cell>
          <cell r="BI384">
            <v>13010</v>
          </cell>
          <cell r="BJ384">
            <v>12960</v>
          </cell>
          <cell r="BK384">
            <v>8040</v>
          </cell>
          <cell r="BL384">
            <v>15870</v>
          </cell>
          <cell r="BM384">
            <v>13020</v>
          </cell>
          <cell r="BN384">
            <v>13100</v>
          </cell>
          <cell r="BO384">
            <v>10100</v>
          </cell>
          <cell r="BP384">
            <v>10770</v>
          </cell>
          <cell r="BQ384">
            <v>12860</v>
          </cell>
          <cell r="BR384">
            <v>8470</v>
          </cell>
          <cell r="BS384">
            <v>14120</v>
          </cell>
          <cell r="BT384">
            <v>8680</v>
          </cell>
          <cell r="BU384">
            <v>10990</v>
          </cell>
          <cell r="BV384">
            <v>3350</v>
          </cell>
          <cell r="BW384">
            <v>11860</v>
          </cell>
          <cell r="BX384">
            <v>9450</v>
          </cell>
          <cell r="BY384">
            <v>5720</v>
          </cell>
          <cell r="BZ384">
            <v>6410</v>
          </cell>
          <cell r="CA384">
            <v>6990</v>
          </cell>
          <cell r="CB384">
            <v>8800</v>
          </cell>
          <cell r="CC384">
            <v>10300</v>
          </cell>
          <cell r="CD384">
            <v>12700</v>
          </cell>
          <cell r="CE384">
            <v>7000</v>
          </cell>
          <cell r="CF384">
            <v>1760</v>
          </cell>
          <cell r="CG384">
            <v>11660</v>
          </cell>
          <cell r="CH384">
            <v>8860</v>
          </cell>
          <cell r="CI384">
            <v>9320</v>
          </cell>
          <cell r="CJ384">
            <v>7550</v>
          </cell>
          <cell r="CK384">
            <v>11190</v>
          </cell>
          <cell r="CL384">
            <v>9000</v>
          </cell>
          <cell r="CM384">
            <v>13800</v>
          </cell>
          <cell r="CN384">
            <v>10060</v>
          </cell>
          <cell r="CO384">
            <v>8160</v>
          </cell>
          <cell r="CP384">
            <v>11700</v>
          </cell>
          <cell r="CQ384">
            <v>10100</v>
          </cell>
          <cell r="CR384">
            <v>12090</v>
          </cell>
          <cell r="CS384">
            <v>10660</v>
          </cell>
          <cell r="CT384">
            <v>9940</v>
          </cell>
          <cell r="CU384">
            <v>11200</v>
          </cell>
          <cell r="CV384">
            <v>11820</v>
          </cell>
          <cell r="CW384">
            <v>8020</v>
          </cell>
          <cell r="CX384">
            <v>8400</v>
          </cell>
          <cell r="CY384">
            <v>9260</v>
          </cell>
          <cell r="CZ384">
            <v>9000</v>
          </cell>
          <cell r="DA384">
            <v>15160</v>
          </cell>
          <cell r="DB384" t="str">
            <v>ACTIVO</v>
          </cell>
          <cell r="DC384" t="str">
            <v/>
          </cell>
          <cell r="DE384">
            <v>9933.5294117647063</v>
          </cell>
          <cell r="DF384">
            <v>1655.5882352941178</v>
          </cell>
          <cell r="DG384">
            <v>3094.5647651376357</v>
          </cell>
          <cell r="DH384">
            <v>0</v>
          </cell>
          <cell r="DI384" t="str">
            <v>0</v>
          </cell>
          <cell r="DJ384">
            <v>0</v>
          </cell>
          <cell r="DK384" t="str">
            <v>INACTIVO</v>
          </cell>
          <cell r="DL384">
            <v>0</v>
          </cell>
          <cell r="DM384">
            <v>3311.1764705882356</v>
          </cell>
          <cell r="DN384">
            <v>3311.1764705882356</v>
          </cell>
        </row>
        <row r="385">
          <cell r="B385">
            <v>405320</v>
          </cell>
          <cell r="C385" t="str">
            <v>JUGO DE LIMÓN CONGELADO WATT</v>
          </cell>
          <cell r="BH385">
            <v>2</v>
          </cell>
          <cell r="BN385">
            <v>3</v>
          </cell>
          <cell r="BP385">
            <v>3</v>
          </cell>
          <cell r="BR385">
            <v>3</v>
          </cell>
          <cell r="BS385">
            <v>3</v>
          </cell>
          <cell r="BT385">
            <v>2</v>
          </cell>
          <cell r="BU385">
            <v>1</v>
          </cell>
          <cell r="BV385">
            <v>3</v>
          </cell>
          <cell r="BW385">
            <v>5</v>
          </cell>
          <cell r="BX385">
            <v>4</v>
          </cell>
          <cell r="BY385">
            <v>1</v>
          </cell>
          <cell r="BZ385">
            <v>5</v>
          </cell>
          <cell r="CB385">
            <v>1</v>
          </cell>
          <cell r="DB385" t="str">
            <v>ACTIVO</v>
          </cell>
          <cell r="DC385" t="str">
            <v>C</v>
          </cell>
          <cell r="DE385">
            <v>0</v>
          </cell>
          <cell r="DF385">
            <v>0</v>
          </cell>
          <cell r="DG385">
            <v>1.3634420996046583</v>
          </cell>
          <cell r="DH385">
            <v>0</v>
          </cell>
          <cell r="DI385" t="str">
            <v>0</v>
          </cell>
          <cell r="DJ385">
            <v>0</v>
          </cell>
          <cell r="DK385" t="str">
            <v>COMPRAR</v>
          </cell>
          <cell r="DL385">
            <v>0</v>
          </cell>
          <cell r="DM385">
            <v>0</v>
          </cell>
          <cell r="DN385">
            <v>0</v>
          </cell>
        </row>
        <row r="386">
          <cell r="B386">
            <v>405465</v>
          </cell>
          <cell r="C386" t="str">
            <v>JUGO POLVO FRUTILLA</v>
          </cell>
          <cell r="BQ386">
            <v>2.1</v>
          </cell>
          <cell r="BR386">
            <v>3.75</v>
          </cell>
          <cell r="DB386" t="str">
            <v>SIN USO</v>
          </cell>
          <cell r="DC386" t="str">
            <v>C</v>
          </cell>
          <cell r="DE386">
            <v>0</v>
          </cell>
          <cell r="DF386">
            <v>0</v>
          </cell>
          <cell r="DG386">
            <v>1.1667261889578042</v>
          </cell>
          <cell r="DH386">
            <v>0</v>
          </cell>
          <cell r="DI386" t="str">
            <v>0</v>
          </cell>
          <cell r="DJ386">
            <v>0</v>
          </cell>
          <cell r="DK386" t="str">
            <v>INACTIVO</v>
          </cell>
          <cell r="DL386">
            <v>0</v>
          </cell>
          <cell r="DM386">
            <v>0</v>
          </cell>
          <cell r="DN386">
            <v>0</v>
          </cell>
        </row>
        <row r="387">
          <cell r="B387">
            <v>405593</v>
          </cell>
          <cell r="C387" t="str">
            <v>JUGO EN POLVO ZUKO DURAZNO</v>
          </cell>
          <cell r="BW387">
            <v>0.15</v>
          </cell>
          <cell r="BZ387">
            <v>8</v>
          </cell>
          <cell r="CA387">
            <v>5.9</v>
          </cell>
          <cell r="CB387">
            <v>2.7800000000000002</v>
          </cell>
          <cell r="CC387">
            <v>2.1</v>
          </cell>
          <cell r="CD387">
            <v>1.5</v>
          </cell>
          <cell r="CE387">
            <v>0.46500000000000002</v>
          </cell>
          <cell r="CF387">
            <v>1.4999999999999999E-2</v>
          </cell>
          <cell r="CG387">
            <v>17.25</v>
          </cell>
          <cell r="CH387">
            <v>0.9</v>
          </cell>
          <cell r="CI387">
            <v>1.3499999999999996</v>
          </cell>
          <cell r="CJ387">
            <v>2.4</v>
          </cell>
          <cell r="CK387">
            <v>0.15</v>
          </cell>
          <cell r="CL387">
            <v>0.44999999999999996</v>
          </cell>
          <cell r="CM387">
            <v>2.5500000000000003</v>
          </cell>
          <cell r="CN387">
            <v>0.44999999999999996</v>
          </cell>
          <cell r="CO387">
            <v>0.75</v>
          </cell>
          <cell r="CP387">
            <v>2.25</v>
          </cell>
          <cell r="CQ387">
            <v>0.44999999999999996</v>
          </cell>
          <cell r="CR387">
            <v>0.75</v>
          </cell>
          <cell r="CS387">
            <v>3.15</v>
          </cell>
          <cell r="CT387">
            <v>1.9500000000000002</v>
          </cell>
          <cell r="CU387">
            <v>1.6499999999999997</v>
          </cell>
          <cell r="CV387">
            <v>2.9</v>
          </cell>
          <cell r="CW387">
            <v>0.9</v>
          </cell>
          <cell r="CX387">
            <v>1.7999999999999998</v>
          </cell>
          <cell r="CY387">
            <v>3.0599999999999996</v>
          </cell>
          <cell r="CZ387">
            <v>1.75</v>
          </cell>
          <cell r="DA387">
            <v>1.9499999999999997</v>
          </cell>
          <cell r="DB387" t="str">
            <v>ACTIVO</v>
          </cell>
          <cell r="DC387" t="str">
            <v>C</v>
          </cell>
          <cell r="DE387">
            <v>2.3155882352941175</v>
          </cell>
          <cell r="DF387">
            <v>0.3859313725490196</v>
          </cell>
          <cell r="DG387">
            <v>2.917348967813072</v>
          </cell>
          <cell r="DH387">
            <v>26.4</v>
          </cell>
          <cell r="DI387">
            <v>195329.90400000001</v>
          </cell>
          <cell r="DJ387">
            <v>11.400990727803887</v>
          </cell>
          <cell r="DK387" t="str">
            <v>OK</v>
          </cell>
          <cell r="DL387">
            <v>1.1577941176470588</v>
          </cell>
          <cell r="DM387">
            <v>0.7718627450980392</v>
          </cell>
          <cell r="DN387">
            <v>1.9296568627450981</v>
          </cell>
        </row>
        <row r="388">
          <cell r="B388">
            <v>405330</v>
          </cell>
          <cell r="C388" t="str">
            <v>JUGO EN POLVO FRUTILLA</v>
          </cell>
          <cell r="G388">
            <v>0.1</v>
          </cell>
          <cell r="H388">
            <v>1.1900000000000002</v>
          </cell>
          <cell r="I388">
            <v>0.43</v>
          </cell>
          <cell r="J388">
            <v>0.58499999999999996</v>
          </cell>
          <cell r="K388">
            <v>1.7050000000000001</v>
          </cell>
          <cell r="L388">
            <v>0.09</v>
          </cell>
          <cell r="N388">
            <v>1.1100000000000001</v>
          </cell>
          <cell r="O388">
            <v>0.24</v>
          </cell>
          <cell r="P388">
            <v>0.39</v>
          </cell>
          <cell r="Q388">
            <v>1.6850000000000001</v>
          </cell>
          <cell r="R388">
            <v>0.18</v>
          </cell>
          <cell r="S388">
            <v>0.48000000000000004</v>
          </cell>
          <cell r="T388">
            <v>1.0349999999999999</v>
          </cell>
          <cell r="U388">
            <v>0.60000000000000009</v>
          </cell>
          <cell r="V388">
            <v>0.44999999999999996</v>
          </cell>
          <cell r="W388">
            <v>0.96</v>
          </cell>
          <cell r="X388">
            <v>1.095</v>
          </cell>
          <cell r="Z388">
            <v>0.15</v>
          </cell>
          <cell r="AA388">
            <v>1.65</v>
          </cell>
          <cell r="AT388">
            <v>0.15</v>
          </cell>
          <cell r="DB388" t="str">
            <v>SIN USO</v>
          </cell>
          <cell r="DC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 t="str">
            <v>0</v>
          </cell>
          <cell r="DJ388">
            <v>0</v>
          </cell>
          <cell r="DK388" t="str">
            <v>INACTIVO</v>
          </cell>
          <cell r="DL388">
            <v>0</v>
          </cell>
          <cell r="DM388">
            <v>0</v>
          </cell>
          <cell r="DN388">
            <v>0</v>
          </cell>
        </row>
        <row r="389">
          <cell r="B389">
            <v>107404</v>
          </cell>
          <cell r="C389" t="str">
            <v>JUGO EN POLVO SABOR FRUTILLA</v>
          </cell>
          <cell r="K389">
            <v>1.5449999999999999</v>
          </cell>
          <cell r="L389">
            <v>0.55499999999999994</v>
          </cell>
          <cell r="M389">
            <v>0.76500000000000001</v>
          </cell>
          <cell r="P389">
            <v>0.63</v>
          </cell>
          <cell r="R389">
            <v>0.15</v>
          </cell>
          <cell r="S389">
            <v>0.28500000000000003</v>
          </cell>
          <cell r="T389">
            <v>0.21</v>
          </cell>
          <cell r="W389">
            <v>0.15</v>
          </cell>
          <cell r="AH389">
            <v>0.02</v>
          </cell>
          <cell r="DB389" t="str">
            <v>SIN USO</v>
          </cell>
          <cell r="DC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 t="str">
            <v>0</v>
          </cell>
          <cell r="DJ389">
            <v>0</v>
          </cell>
          <cell r="DK389" t="str">
            <v>INACTIVO</v>
          </cell>
          <cell r="DL389">
            <v>0</v>
          </cell>
          <cell r="DM389">
            <v>0</v>
          </cell>
          <cell r="DN389">
            <v>0</v>
          </cell>
        </row>
        <row r="390">
          <cell r="B390">
            <v>405446</v>
          </cell>
          <cell r="C390" t="str">
            <v>JUGO POLVO DURAZNO</v>
          </cell>
          <cell r="U390">
            <v>0.60000000000000009</v>
          </cell>
          <cell r="V390">
            <v>2.6000000000000005</v>
          </cell>
          <cell r="W390">
            <v>3.0999999999999996</v>
          </cell>
          <cell r="X390">
            <v>0.9</v>
          </cell>
          <cell r="Y390">
            <v>1.4</v>
          </cell>
          <cell r="Z390">
            <v>3.7</v>
          </cell>
          <cell r="AA390">
            <v>0.25</v>
          </cell>
          <cell r="AD390">
            <v>0.4</v>
          </cell>
          <cell r="AF390">
            <v>1.66</v>
          </cell>
          <cell r="AG390">
            <v>0.66</v>
          </cell>
          <cell r="DB390" t="str">
            <v>SIN USO</v>
          </cell>
          <cell r="DC390" t="str">
            <v>C</v>
          </cell>
          <cell r="DE390">
            <v>0</v>
          </cell>
          <cell r="DF390">
            <v>0</v>
          </cell>
          <cell r="DG390">
            <v>0.70710678118654757</v>
          </cell>
          <cell r="DH390">
            <v>0</v>
          </cell>
          <cell r="DI390" t="str">
            <v>0</v>
          </cell>
          <cell r="DJ390">
            <v>0</v>
          </cell>
          <cell r="DK390" t="str">
            <v>INACTIVO</v>
          </cell>
          <cell r="DL390">
            <v>0</v>
          </cell>
          <cell r="DM390">
            <v>0</v>
          </cell>
          <cell r="DN390">
            <v>0</v>
          </cell>
        </row>
        <row r="391">
          <cell r="B391">
            <v>405331</v>
          </cell>
          <cell r="C391" t="str">
            <v>JUGO EN POLVO DURAZNO</v>
          </cell>
          <cell r="G391">
            <v>4.5400000000000009</v>
          </cell>
          <cell r="H391">
            <v>0.34</v>
          </cell>
          <cell r="I391">
            <v>0.62</v>
          </cell>
          <cell r="J391">
            <v>0.86</v>
          </cell>
          <cell r="K391">
            <v>6.3400000000000007</v>
          </cell>
          <cell r="L391">
            <v>1.02</v>
          </cell>
          <cell r="M391">
            <v>2.5800000000000005</v>
          </cell>
          <cell r="N391">
            <v>2.6</v>
          </cell>
          <cell r="O391">
            <v>0.22</v>
          </cell>
          <cell r="P391">
            <v>2.08</v>
          </cell>
          <cell r="Q391">
            <v>3.6599999999999997</v>
          </cell>
          <cell r="R391">
            <v>2.5100000000000002</v>
          </cell>
          <cell r="S391">
            <v>1.4</v>
          </cell>
          <cell r="T391">
            <v>1.165</v>
          </cell>
          <cell r="AH391">
            <v>1</v>
          </cell>
          <cell r="AI391">
            <v>17.399999999999999</v>
          </cell>
          <cell r="AJ391">
            <v>5.0999999999999996</v>
          </cell>
          <cell r="AO391">
            <v>1.2</v>
          </cell>
          <cell r="AP391">
            <v>6.4</v>
          </cell>
          <cell r="AQ391">
            <v>0.4</v>
          </cell>
          <cell r="AR391">
            <v>0.35</v>
          </cell>
          <cell r="AS391">
            <v>3.5600000000000005</v>
          </cell>
          <cell r="AT391">
            <v>23</v>
          </cell>
          <cell r="AU391">
            <v>0.24000000000000002</v>
          </cell>
          <cell r="AV391">
            <v>4</v>
          </cell>
          <cell r="AW391">
            <v>2.75</v>
          </cell>
          <cell r="AX391">
            <v>0.32</v>
          </cell>
          <cell r="AY391">
            <v>5.5</v>
          </cell>
          <cell r="AZ391">
            <v>0.2</v>
          </cell>
          <cell r="BA391">
            <v>1</v>
          </cell>
          <cell r="BB391">
            <v>7.1</v>
          </cell>
          <cell r="BC391">
            <v>4.8000000000000007</v>
          </cell>
          <cell r="BD391">
            <v>8.15</v>
          </cell>
          <cell r="BE391">
            <v>34.5</v>
          </cell>
          <cell r="BG391">
            <v>2.1</v>
          </cell>
          <cell r="BH391">
            <v>4.8000000000000007</v>
          </cell>
          <cell r="BI391">
            <v>4.8</v>
          </cell>
          <cell r="BJ391">
            <v>0.315</v>
          </cell>
          <cell r="BK391">
            <v>2.1750000000000003</v>
          </cell>
          <cell r="BL391">
            <v>1.7999999999999998</v>
          </cell>
          <cell r="BM391">
            <v>1.2</v>
          </cell>
          <cell r="BN391">
            <v>0.3</v>
          </cell>
          <cell r="BO391">
            <v>2.5499999999999998</v>
          </cell>
          <cell r="BP391">
            <v>0.3</v>
          </cell>
          <cell r="BQ391">
            <v>0.75</v>
          </cell>
          <cell r="BR391">
            <v>0.44999999999999996</v>
          </cell>
          <cell r="BS391">
            <v>2.6999999999999997</v>
          </cell>
          <cell r="BT391">
            <v>1.9500000000000002</v>
          </cell>
          <cell r="BU391">
            <v>1.4999999999999998</v>
          </cell>
          <cell r="BV391">
            <v>0.82500000000000007</v>
          </cell>
          <cell r="BW391">
            <v>1.6499999999999997</v>
          </cell>
          <cell r="BX391">
            <v>0.6</v>
          </cell>
          <cell r="BY391">
            <v>0.3</v>
          </cell>
          <cell r="BZ391">
            <v>10.875</v>
          </cell>
          <cell r="DB391" t="str">
            <v>ACTIVO</v>
          </cell>
          <cell r="DC391" t="str">
            <v>C</v>
          </cell>
          <cell r="DE391">
            <v>0</v>
          </cell>
          <cell r="DF391">
            <v>0</v>
          </cell>
          <cell r="DG391">
            <v>6.7726921464257028</v>
          </cell>
          <cell r="DH391">
            <v>0</v>
          </cell>
          <cell r="DI391" t="str">
            <v>0</v>
          </cell>
          <cell r="DJ391">
            <v>0</v>
          </cell>
          <cell r="DK391" t="str">
            <v>COMPRAR</v>
          </cell>
          <cell r="DL391">
            <v>0</v>
          </cell>
          <cell r="DM391">
            <v>0</v>
          </cell>
          <cell r="DN391">
            <v>0</v>
          </cell>
        </row>
        <row r="392">
          <cell r="G392">
            <v>4.6400000000000006</v>
          </cell>
          <cell r="H392">
            <v>1.5300000000000002</v>
          </cell>
          <cell r="I392">
            <v>1.05</v>
          </cell>
          <cell r="J392">
            <v>1.4449999999999998</v>
          </cell>
          <cell r="K392">
            <v>9.59</v>
          </cell>
          <cell r="L392">
            <v>1.665</v>
          </cell>
          <cell r="M392">
            <v>3.3450000000000006</v>
          </cell>
          <cell r="N392">
            <v>3.71</v>
          </cell>
          <cell r="O392">
            <v>0.45999999999999996</v>
          </cell>
          <cell r="P392">
            <v>3.1</v>
          </cell>
          <cell r="Q392">
            <v>5.3449999999999998</v>
          </cell>
          <cell r="R392">
            <v>2.8400000000000003</v>
          </cell>
          <cell r="S392">
            <v>2.165</v>
          </cell>
          <cell r="T392">
            <v>2.41</v>
          </cell>
          <cell r="U392">
            <v>1.2000000000000002</v>
          </cell>
          <cell r="V392">
            <v>3.0500000000000007</v>
          </cell>
          <cell r="W392">
            <v>4.2099999999999991</v>
          </cell>
          <cell r="X392">
            <v>1.9950000000000001</v>
          </cell>
          <cell r="Y392">
            <v>1.4</v>
          </cell>
          <cell r="Z392">
            <v>3.85</v>
          </cell>
          <cell r="AA392">
            <v>1.9</v>
          </cell>
          <cell r="AD392">
            <v>0.4</v>
          </cell>
          <cell r="AF392">
            <v>1.66</v>
          </cell>
          <cell r="AG392">
            <v>0.66</v>
          </cell>
          <cell r="AH392">
            <v>1.02</v>
          </cell>
          <cell r="AI392">
            <v>17.399999999999999</v>
          </cell>
          <cell r="AJ392">
            <v>5.0999999999999996</v>
          </cell>
          <cell r="AO392">
            <v>1.2</v>
          </cell>
          <cell r="AP392">
            <v>6.4</v>
          </cell>
          <cell r="AQ392">
            <v>0.4</v>
          </cell>
          <cell r="AR392">
            <v>0.35</v>
          </cell>
          <cell r="AS392">
            <v>3.5600000000000005</v>
          </cell>
          <cell r="AT392">
            <v>23.15</v>
          </cell>
          <cell r="AU392">
            <v>0.24000000000000002</v>
          </cell>
          <cell r="AV392">
            <v>4</v>
          </cell>
          <cell r="AW392">
            <v>2.75</v>
          </cell>
          <cell r="AX392">
            <v>0.32</v>
          </cell>
          <cell r="AY392">
            <v>5.5</v>
          </cell>
          <cell r="AZ392">
            <v>0.2</v>
          </cell>
          <cell r="BA392">
            <v>1</v>
          </cell>
          <cell r="BB392">
            <v>7.1</v>
          </cell>
          <cell r="BC392">
            <v>4.8000000000000007</v>
          </cell>
          <cell r="BD392">
            <v>8.15</v>
          </cell>
          <cell r="BE392">
            <v>34.5</v>
          </cell>
          <cell r="BG392">
            <v>2.1</v>
          </cell>
          <cell r="BH392">
            <v>6.8000000000000007</v>
          </cell>
          <cell r="BI392">
            <v>4.8</v>
          </cell>
          <cell r="BJ392">
            <v>0.315</v>
          </cell>
          <cell r="BK392">
            <v>2.1750000000000003</v>
          </cell>
          <cell r="BL392">
            <v>1.7999999999999998</v>
          </cell>
          <cell r="BM392">
            <v>1.2</v>
          </cell>
          <cell r="BN392">
            <v>3.3</v>
          </cell>
          <cell r="BO392">
            <v>2.5499999999999998</v>
          </cell>
          <cell r="BP392">
            <v>3.3</v>
          </cell>
          <cell r="BQ392">
            <v>2.85</v>
          </cell>
          <cell r="BR392">
            <v>7.2</v>
          </cell>
          <cell r="BS392">
            <v>5.6999999999999993</v>
          </cell>
          <cell r="BT392">
            <v>3.95</v>
          </cell>
          <cell r="BU392">
            <v>2.5</v>
          </cell>
          <cell r="BV392">
            <v>3.8250000000000002</v>
          </cell>
          <cell r="BW392">
            <v>6.8</v>
          </cell>
          <cell r="BX392">
            <v>4.5999999999999996</v>
          </cell>
          <cell r="BY392">
            <v>1.3</v>
          </cell>
          <cell r="BZ392">
            <v>23.875</v>
          </cell>
          <cell r="CA392">
            <v>5.9</v>
          </cell>
          <cell r="CB392">
            <v>3.7800000000000002</v>
          </cell>
          <cell r="CC392">
            <v>2.1</v>
          </cell>
          <cell r="CD392">
            <v>1.5</v>
          </cell>
          <cell r="CE392">
            <v>0.46500000000000002</v>
          </cell>
          <cell r="CF392">
            <v>1.4999999999999999E-2</v>
          </cell>
          <cell r="CG392">
            <v>17.25</v>
          </cell>
          <cell r="CH392">
            <v>0.9</v>
          </cell>
          <cell r="CI392">
            <v>1.3499999999999996</v>
          </cell>
          <cell r="CJ392">
            <v>2.4</v>
          </cell>
          <cell r="CK392">
            <v>0.15</v>
          </cell>
          <cell r="CL392">
            <v>0.44999999999999996</v>
          </cell>
          <cell r="CM392">
            <v>2.5500000000000003</v>
          </cell>
          <cell r="CN392">
            <v>0.44999999999999996</v>
          </cell>
          <cell r="CO392">
            <v>0.75</v>
          </cell>
          <cell r="CP392">
            <v>2.25</v>
          </cell>
          <cell r="CQ392">
            <v>0.44999999999999996</v>
          </cell>
          <cell r="CR392">
            <v>0.75</v>
          </cell>
          <cell r="CS392">
            <v>3.15</v>
          </cell>
          <cell r="CT392">
            <v>1.9500000000000002</v>
          </cell>
          <cell r="CU392">
            <v>1.6499999999999997</v>
          </cell>
          <cell r="CV392">
            <v>2.9</v>
          </cell>
          <cell r="CW392">
            <v>0.9</v>
          </cell>
          <cell r="CX392">
            <v>1.7999999999999998</v>
          </cell>
          <cell r="CY392">
            <v>3.0599999999999996</v>
          </cell>
          <cell r="CZ392">
            <v>1.75</v>
          </cell>
          <cell r="DA392">
            <v>1.9499999999999997</v>
          </cell>
          <cell r="DB392" t="str">
            <v>ACTIVO</v>
          </cell>
          <cell r="DC392" t="str">
            <v/>
          </cell>
          <cell r="DE392">
            <v>2.3155882352941175</v>
          </cell>
          <cell r="DF392">
            <v>0.3859313725490196</v>
          </cell>
          <cell r="DG392">
            <v>6.7218784112462284</v>
          </cell>
          <cell r="DH392">
            <v>0</v>
          </cell>
          <cell r="DI392" t="str">
            <v>0</v>
          </cell>
          <cell r="DJ392">
            <v>0</v>
          </cell>
          <cell r="DK392" t="str">
            <v>INACTIVO</v>
          </cell>
          <cell r="DL392">
            <v>0</v>
          </cell>
          <cell r="DM392">
            <v>0.7718627450980392</v>
          </cell>
          <cell r="DN392">
            <v>0.7718627450980392</v>
          </cell>
        </row>
        <row r="393">
          <cell r="B393">
            <v>402255</v>
          </cell>
          <cell r="C393" t="str">
            <v>CINTA DE EMBALAJE 72x100 SOLUTION</v>
          </cell>
          <cell r="D393">
            <v>85</v>
          </cell>
          <cell r="E393">
            <v>140</v>
          </cell>
          <cell r="F393">
            <v>114</v>
          </cell>
          <cell r="G393">
            <v>117</v>
          </cell>
          <cell r="H393">
            <v>106</v>
          </cell>
          <cell r="I393">
            <v>136</v>
          </cell>
          <cell r="J393">
            <v>108</v>
          </cell>
          <cell r="K393">
            <v>84</v>
          </cell>
          <cell r="U393">
            <v>6</v>
          </cell>
          <cell r="V393">
            <v>148</v>
          </cell>
          <cell r="W393">
            <v>38</v>
          </cell>
          <cell r="X393">
            <v>323</v>
          </cell>
          <cell r="Y393">
            <v>70</v>
          </cell>
          <cell r="Z393">
            <v>93</v>
          </cell>
          <cell r="AA393">
            <v>73</v>
          </cell>
          <cell r="AB393">
            <v>93</v>
          </cell>
          <cell r="AC393">
            <v>104</v>
          </cell>
          <cell r="AD393">
            <v>20</v>
          </cell>
          <cell r="AE393">
            <v>15</v>
          </cell>
          <cell r="AF393">
            <v>58</v>
          </cell>
          <cell r="AG393">
            <v>128</v>
          </cell>
          <cell r="AH393">
            <v>100</v>
          </cell>
          <cell r="AI393">
            <v>80</v>
          </cell>
          <cell r="AJ393">
            <v>311</v>
          </cell>
          <cell r="AK393">
            <v>65</v>
          </cell>
          <cell r="AL393">
            <v>79</v>
          </cell>
          <cell r="AM393">
            <v>71</v>
          </cell>
          <cell r="AN393">
            <v>69</v>
          </cell>
          <cell r="AO393">
            <v>73</v>
          </cell>
          <cell r="AP393">
            <v>35</v>
          </cell>
          <cell r="AQ393">
            <v>348</v>
          </cell>
          <cell r="AR393">
            <v>62</v>
          </cell>
          <cell r="AS393">
            <v>43</v>
          </cell>
          <cell r="AT393">
            <v>89</v>
          </cell>
          <cell r="AU393">
            <v>60</v>
          </cell>
          <cell r="AV393">
            <v>62</v>
          </cell>
          <cell r="AW393">
            <v>64</v>
          </cell>
          <cell r="AX393">
            <v>76</v>
          </cell>
          <cell r="AY393">
            <v>47</v>
          </cell>
          <cell r="AZ393">
            <v>53</v>
          </cell>
          <cell r="BA393">
            <v>65</v>
          </cell>
          <cell r="BB393">
            <v>78</v>
          </cell>
          <cell r="BC393">
            <v>62</v>
          </cell>
          <cell r="BD393">
            <v>55</v>
          </cell>
          <cell r="BE393">
            <v>36</v>
          </cell>
          <cell r="BF393">
            <v>65</v>
          </cell>
          <cell r="BG393">
            <v>78</v>
          </cell>
          <cell r="BH393">
            <v>74</v>
          </cell>
          <cell r="BI393">
            <v>779</v>
          </cell>
          <cell r="BJ393">
            <v>59</v>
          </cell>
          <cell r="BK393">
            <v>94</v>
          </cell>
          <cell r="BL393">
            <v>73</v>
          </cell>
          <cell r="BM393">
            <v>64</v>
          </cell>
          <cell r="BN393">
            <v>46</v>
          </cell>
          <cell r="BO393">
            <v>53</v>
          </cell>
          <cell r="BP393">
            <v>353</v>
          </cell>
          <cell r="BQ393">
            <v>71</v>
          </cell>
          <cell r="BR393">
            <v>65</v>
          </cell>
          <cell r="BS393">
            <v>68</v>
          </cell>
          <cell r="BT393">
            <v>35</v>
          </cell>
          <cell r="BU393">
            <v>74</v>
          </cell>
          <cell r="BV393">
            <v>47</v>
          </cell>
          <cell r="BW393">
            <v>48</v>
          </cell>
          <cell r="BX393">
            <v>50</v>
          </cell>
          <cell r="BY393">
            <v>45</v>
          </cell>
          <cell r="BZ393">
            <v>84</v>
          </cell>
          <cell r="CA393">
            <v>48</v>
          </cell>
          <cell r="CB393">
            <v>59</v>
          </cell>
          <cell r="CC393">
            <v>49</v>
          </cell>
          <cell r="CD393">
            <v>58</v>
          </cell>
          <cell r="CE393">
            <v>22</v>
          </cell>
          <cell r="CF393">
            <v>8</v>
          </cell>
          <cell r="CG393">
            <v>29</v>
          </cell>
          <cell r="CH393">
            <v>44</v>
          </cell>
          <cell r="CI393">
            <v>70</v>
          </cell>
          <cell r="CJ393">
            <v>56</v>
          </cell>
          <cell r="CK393">
            <v>81</v>
          </cell>
          <cell r="CL393">
            <v>66</v>
          </cell>
          <cell r="CM393">
            <v>58</v>
          </cell>
          <cell r="CN393">
            <v>47</v>
          </cell>
          <cell r="CO393">
            <v>79</v>
          </cell>
          <cell r="CP393">
            <v>57</v>
          </cell>
          <cell r="CQ393">
            <v>665</v>
          </cell>
          <cell r="CR393">
            <v>62</v>
          </cell>
          <cell r="CS393">
            <v>63</v>
          </cell>
          <cell r="CT393">
            <v>44</v>
          </cell>
          <cell r="CU393">
            <v>62</v>
          </cell>
          <cell r="CV393">
            <v>62</v>
          </cell>
          <cell r="CW393">
            <v>52</v>
          </cell>
          <cell r="CX393">
            <v>55</v>
          </cell>
          <cell r="CY393">
            <v>62</v>
          </cell>
          <cell r="CZ393">
            <v>40</v>
          </cell>
          <cell r="DA393">
            <v>80</v>
          </cell>
          <cell r="DB393" t="str">
            <v>ACTIVO</v>
          </cell>
          <cell r="DC393" t="str">
            <v>C</v>
          </cell>
          <cell r="DE393">
            <v>91.352941176470594</v>
          </cell>
          <cell r="DF393">
            <v>15.225490196078432</v>
          </cell>
          <cell r="DG393">
            <v>117.27325650316151</v>
          </cell>
          <cell r="DH393">
            <v>1202</v>
          </cell>
          <cell r="DI393">
            <v>1550580</v>
          </cell>
          <cell r="DJ393">
            <v>13.157759175788796</v>
          </cell>
          <cell r="DK393" t="str">
            <v>OK</v>
          </cell>
          <cell r="DL393">
            <v>45.676470588235297</v>
          </cell>
          <cell r="DM393">
            <v>30.450980392156865</v>
          </cell>
          <cell r="DN393">
            <v>76.127450980392155</v>
          </cell>
        </row>
        <row r="394">
          <cell r="B394">
            <v>405336</v>
          </cell>
          <cell r="C394" t="str">
            <v>CINTA DE EMBALAJE 72x100 REMINISEN</v>
          </cell>
          <cell r="K394">
            <v>47</v>
          </cell>
          <cell r="L394">
            <v>111</v>
          </cell>
          <cell r="M394">
            <v>99</v>
          </cell>
          <cell r="N394">
            <v>115</v>
          </cell>
          <cell r="O394">
            <v>53</v>
          </cell>
          <cell r="P394">
            <v>118</v>
          </cell>
          <cell r="Q394">
            <v>108</v>
          </cell>
          <cell r="R394">
            <v>125</v>
          </cell>
          <cell r="S394">
            <v>83</v>
          </cell>
          <cell r="T394">
            <v>151</v>
          </cell>
          <cell r="U394">
            <v>84</v>
          </cell>
          <cell r="V394">
            <v>106</v>
          </cell>
          <cell r="W394">
            <v>55</v>
          </cell>
          <cell r="X394">
            <v>10</v>
          </cell>
          <cell r="DB394" t="str">
            <v>ACTIVO</v>
          </cell>
          <cell r="DC394" t="str">
            <v/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 t="str">
            <v>0</v>
          </cell>
          <cell r="DJ394">
            <v>0</v>
          </cell>
          <cell r="DK394" t="str">
            <v>COMPRAR</v>
          </cell>
          <cell r="DL394">
            <v>0</v>
          </cell>
          <cell r="DM394">
            <v>0</v>
          </cell>
          <cell r="DN394">
            <v>0</v>
          </cell>
        </row>
        <row r="395">
          <cell r="D395">
            <v>85</v>
          </cell>
          <cell r="E395">
            <v>140</v>
          </cell>
          <cell r="F395">
            <v>114</v>
          </cell>
          <cell r="G395">
            <v>117</v>
          </cell>
          <cell r="H395">
            <v>106</v>
          </cell>
          <cell r="I395">
            <v>136</v>
          </cell>
          <cell r="J395">
            <v>108</v>
          </cell>
          <cell r="K395">
            <v>131</v>
          </cell>
          <cell r="L395">
            <v>111</v>
          </cell>
          <cell r="M395">
            <v>99</v>
          </cell>
          <cell r="N395">
            <v>115</v>
          </cell>
          <cell r="O395">
            <v>53</v>
          </cell>
          <cell r="P395">
            <v>118</v>
          </cell>
          <cell r="Q395">
            <v>108</v>
          </cell>
          <cell r="R395">
            <v>125</v>
          </cell>
          <cell r="S395">
            <v>83</v>
          </cell>
          <cell r="T395">
            <v>151</v>
          </cell>
          <cell r="U395">
            <v>90</v>
          </cell>
          <cell r="V395">
            <v>254</v>
          </cell>
          <cell r="W395">
            <v>93</v>
          </cell>
          <cell r="X395">
            <v>333</v>
          </cell>
          <cell r="Y395">
            <v>70</v>
          </cell>
          <cell r="Z395">
            <v>93</v>
          </cell>
          <cell r="AA395">
            <v>73</v>
          </cell>
          <cell r="AB395">
            <v>93</v>
          </cell>
          <cell r="AC395">
            <v>104</v>
          </cell>
          <cell r="AD395">
            <v>20</v>
          </cell>
          <cell r="AE395">
            <v>15</v>
          </cell>
          <cell r="AF395">
            <v>58</v>
          </cell>
          <cell r="AG395">
            <v>128</v>
          </cell>
          <cell r="AH395">
            <v>100</v>
          </cell>
          <cell r="AI395">
            <v>80</v>
          </cell>
          <cell r="AJ395">
            <v>311</v>
          </cell>
          <cell r="AK395">
            <v>65</v>
          </cell>
          <cell r="AL395">
            <v>79</v>
          </cell>
          <cell r="AM395">
            <v>71</v>
          </cell>
          <cell r="AN395">
            <v>69</v>
          </cell>
          <cell r="AO395">
            <v>73</v>
          </cell>
          <cell r="AP395">
            <v>35</v>
          </cell>
          <cell r="AQ395">
            <v>348</v>
          </cell>
          <cell r="AR395">
            <v>62</v>
          </cell>
          <cell r="AS395">
            <v>43</v>
          </cell>
          <cell r="AT395">
            <v>89</v>
          </cell>
          <cell r="AU395">
            <v>60</v>
          </cell>
          <cell r="AV395">
            <v>62</v>
          </cell>
          <cell r="AW395">
            <v>64</v>
          </cell>
          <cell r="AX395">
            <v>76</v>
          </cell>
          <cell r="AY395">
            <v>47</v>
          </cell>
          <cell r="AZ395">
            <v>53</v>
          </cell>
          <cell r="BA395">
            <v>65</v>
          </cell>
          <cell r="BB395">
            <v>78</v>
          </cell>
          <cell r="BC395">
            <v>62</v>
          </cell>
          <cell r="BD395">
            <v>55</v>
          </cell>
          <cell r="BE395">
            <v>36</v>
          </cell>
          <cell r="BF395">
            <v>65</v>
          </cell>
          <cell r="BG395">
            <v>78</v>
          </cell>
          <cell r="BH395">
            <v>74</v>
          </cell>
          <cell r="BI395">
            <v>779</v>
          </cell>
          <cell r="BJ395">
            <v>59</v>
          </cell>
          <cell r="BK395">
            <v>94</v>
          </cell>
          <cell r="BL395">
            <v>73</v>
          </cell>
          <cell r="BM395">
            <v>64</v>
          </cell>
          <cell r="BN395">
            <v>46</v>
          </cell>
          <cell r="BO395">
            <v>53</v>
          </cell>
          <cell r="BP395">
            <v>353</v>
          </cell>
          <cell r="BQ395">
            <v>71</v>
          </cell>
          <cell r="BR395">
            <v>65</v>
          </cell>
          <cell r="BS395">
            <v>68</v>
          </cell>
          <cell r="BT395">
            <v>35</v>
          </cell>
          <cell r="BU395">
            <v>74</v>
          </cell>
          <cell r="BV395">
            <v>47</v>
          </cell>
          <cell r="BW395">
            <v>48</v>
          </cell>
          <cell r="BX395">
            <v>50</v>
          </cell>
          <cell r="BY395">
            <v>45</v>
          </cell>
          <cell r="BZ395">
            <v>84</v>
          </cell>
          <cell r="CA395">
            <v>48</v>
          </cell>
          <cell r="CB395">
            <v>59</v>
          </cell>
          <cell r="CC395">
            <v>49</v>
          </cell>
          <cell r="CD395">
            <v>58</v>
          </cell>
          <cell r="CE395">
            <v>22</v>
          </cell>
          <cell r="CF395">
            <v>8</v>
          </cell>
          <cell r="CG395">
            <v>29</v>
          </cell>
          <cell r="CH395">
            <v>44</v>
          </cell>
          <cell r="CI395">
            <v>70</v>
          </cell>
          <cell r="CJ395">
            <v>56</v>
          </cell>
          <cell r="CK395">
            <v>81</v>
          </cell>
          <cell r="CL395">
            <v>66</v>
          </cell>
          <cell r="CM395">
            <v>58</v>
          </cell>
          <cell r="CN395">
            <v>47</v>
          </cell>
          <cell r="CO395">
            <v>79</v>
          </cell>
          <cell r="CP395">
            <v>57</v>
          </cell>
          <cell r="CQ395">
            <v>665</v>
          </cell>
          <cell r="CR395">
            <v>62</v>
          </cell>
          <cell r="CS395">
            <v>63</v>
          </cell>
          <cell r="CT395">
            <v>44</v>
          </cell>
          <cell r="CU395">
            <v>62</v>
          </cell>
          <cell r="CV395">
            <v>62</v>
          </cell>
          <cell r="CW395">
            <v>52</v>
          </cell>
          <cell r="CX395">
            <v>55</v>
          </cell>
          <cell r="CY395">
            <v>62</v>
          </cell>
          <cell r="CZ395">
            <v>40</v>
          </cell>
          <cell r="DA395">
            <v>80</v>
          </cell>
          <cell r="DB395" t="str">
            <v>ACTIVO</v>
          </cell>
          <cell r="DC395" t="str">
            <v/>
          </cell>
          <cell r="DE395">
            <v>91.352941176470594</v>
          </cell>
          <cell r="DF395">
            <v>15.225490196078432</v>
          </cell>
          <cell r="DG395">
            <v>117.27325650316151</v>
          </cell>
          <cell r="DH395">
            <v>0</v>
          </cell>
          <cell r="DI395" t="str">
            <v>0</v>
          </cell>
          <cell r="DJ395">
            <v>0</v>
          </cell>
          <cell r="DK395" t="str">
            <v>INACTIVO</v>
          </cell>
          <cell r="DL395">
            <v>0</v>
          </cell>
          <cell r="DM395">
            <v>30.450980392156865</v>
          </cell>
          <cell r="DN395">
            <v>30.450980392156865</v>
          </cell>
        </row>
        <row r="396">
          <cell r="B396">
            <v>103105</v>
          </cell>
          <cell r="C396" t="str">
            <v>ACEITE VEGETAL 1000 CC. EGC</v>
          </cell>
          <cell r="CH396">
            <v>12</v>
          </cell>
          <cell r="CJ396">
            <v>27</v>
          </cell>
          <cell r="CK396">
            <v>258</v>
          </cell>
          <cell r="CL396">
            <v>68</v>
          </cell>
          <cell r="CM396">
            <v>6</v>
          </cell>
          <cell r="CO396">
            <v>17</v>
          </cell>
          <cell r="CT396">
            <v>35</v>
          </cell>
          <cell r="CU396">
            <v>75</v>
          </cell>
          <cell r="CV396">
            <v>40</v>
          </cell>
          <cell r="CW396">
            <v>25</v>
          </cell>
          <cell r="CX396">
            <v>25</v>
          </cell>
          <cell r="DB396" t="str">
            <v>ACTIVO</v>
          </cell>
          <cell r="DC396" t="str">
            <v/>
          </cell>
          <cell r="DE396">
            <v>59.777777777777779</v>
          </cell>
          <cell r="DF396">
            <v>9.9629629629629637</v>
          </cell>
          <cell r="DG396">
            <v>0</v>
          </cell>
          <cell r="DH396">
            <v>0</v>
          </cell>
          <cell r="DI396" t="str">
            <v>0</v>
          </cell>
          <cell r="DJ396">
            <v>0</v>
          </cell>
          <cell r="DK396" t="str">
            <v>COMPRAR</v>
          </cell>
          <cell r="DL396">
            <v>19.925925925925927</v>
          </cell>
          <cell r="DM396">
            <v>19.925925925925927</v>
          </cell>
          <cell r="DN396">
            <v>39.851851851851855</v>
          </cell>
        </row>
        <row r="397">
          <cell r="B397">
            <v>103104</v>
          </cell>
          <cell r="C397" t="str">
            <v>ACEITE VEGETAL 5000 CC. EGC</v>
          </cell>
          <cell r="D397">
            <v>145</v>
          </cell>
          <cell r="E397">
            <v>215</v>
          </cell>
          <cell r="F397">
            <v>260</v>
          </cell>
          <cell r="G397">
            <v>165</v>
          </cell>
          <cell r="H397">
            <v>90</v>
          </cell>
          <cell r="I397">
            <v>130</v>
          </cell>
          <cell r="J397">
            <v>65</v>
          </cell>
          <cell r="K397">
            <v>100</v>
          </cell>
          <cell r="L397">
            <v>215</v>
          </cell>
          <cell r="M397">
            <v>95</v>
          </cell>
          <cell r="N397">
            <v>85</v>
          </cell>
          <cell r="O397">
            <v>10</v>
          </cell>
          <cell r="P397">
            <v>135</v>
          </cell>
          <cell r="Q397">
            <v>70</v>
          </cell>
          <cell r="R397">
            <v>120</v>
          </cell>
          <cell r="S397">
            <v>120</v>
          </cell>
          <cell r="T397">
            <v>110</v>
          </cell>
          <cell r="U397">
            <v>135</v>
          </cell>
          <cell r="V397">
            <v>90</v>
          </cell>
          <cell r="W397">
            <v>75</v>
          </cell>
          <cell r="X397">
            <v>110</v>
          </cell>
          <cell r="Y397">
            <v>70</v>
          </cell>
          <cell r="Z397">
            <v>20</v>
          </cell>
          <cell r="AA397">
            <v>100</v>
          </cell>
          <cell r="AB397">
            <v>105</v>
          </cell>
          <cell r="AC397">
            <v>40</v>
          </cell>
          <cell r="AD397">
            <v>10</v>
          </cell>
          <cell r="AE397">
            <v>65</v>
          </cell>
          <cell r="AF397">
            <v>71</v>
          </cell>
          <cell r="AG397">
            <v>89</v>
          </cell>
          <cell r="AH397">
            <v>110</v>
          </cell>
          <cell r="AI397">
            <v>175</v>
          </cell>
          <cell r="AJ397">
            <v>110</v>
          </cell>
          <cell r="AK397">
            <v>140</v>
          </cell>
          <cell r="AL397">
            <v>110</v>
          </cell>
          <cell r="AM397">
            <v>95</v>
          </cell>
          <cell r="AN397">
            <v>155</v>
          </cell>
          <cell r="AO397">
            <v>65</v>
          </cell>
          <cell r="AP397">
            <v>45</v>
          </cell>
          <cell r="AQ397">
            <v>150</v>
          </cell>
          <cell r="AR397">
            <v>105</v>
          </cell>
          <cell r="AS397">
            <v>135</v>
          </cell>
          <cell r="AT397">
            <v>145</v>
          </cell>
          <cell r="AU397">
            <v>180</v>
          </cell>
          <cell r="AV397">
            <v>140</v>
          </cell>
          <cell r="AW397">
            <v>60</v>
          </cell>
          <cell r="AX397">
            <v>115</v>
          </cell>
          <cell r="AY397">
            <v>50</v>
          </cell>
          <cell r="AZ397">
            <v>60</v>
          </cell>
          <cell r="BA397">
            <v>100</v>
          </cell>
          <cell r="BB397">
            <v>80</v>
          </cell>
          <cell r="BC397">
            <v>95</v>
          </cell>
          <cell r="BD397">
            <v>85</v>
          </cell>
          <cell r="BE397">
            <v>160</v>
          </cell>
          <cell r="BF397">
            <v>55</v>
          </cell>
          <cell r="BG397">
            <v>120</v>
          </cell>
          <cell r="BH397">
            <v>140</v>
          </cell>
          <cell r="BI397">
            <v>45</v>
          </cell>
          <cell r="BJ397">
            <v>130</v>
          </cell>
          <cell r="BK397">
            <v>65</v>
          </cell>
          <cell r="BL397">
            <v>190</v>
          </cell>
          <cell r="BM397">
            <v>165</v>
          </cell>
          <cell r="BN397">
            <v>145</v>
          </cell>
          <cell r="BO397">
            <v>205</v>
          </cell>
          <cell r="BP397">
            <v>95</v>
          </cell>
          <cell r="BQ397">
            <v>125</v>
          </cell>
          <cell r="BR397">
            <v>245</v>
          </cell>
          <cell r="BS397">
            <v>250</v>
          </cell>
          <cell r="BT397">
            <v>190</v>
          </cell>
          <cell r="BU397">
            <v>225</v>
          </cell>
          <cell r="BV397">
            <v>145</v>
          </cell>
          <cell r="BW397">
            <v>160</v>
          </cell>
          <cell r="BX397">
            <v>155</v>
          </cell>
          <cell r="BY397">
            <v>195</v>
          </cell>
          <cell r="BZ397">
            <v>185</v>
          </cell>
          <cell r="CA397">
            <v>253.5</v>
          </cell>
          <cell r="CB397">
            <v>105</v>
          </cell>
          <cell r="CC397">
            <v>185</v>
          </cell>
          <cell r="CD397">
            <v>266.5</v>
          </cell>
          <cell r="CE397">
            <v>100</v>
          </cell>
          <cell r="CF397">
            <v>20</v>
          </cell>
          <cell r="CG397">
            <v>235</v>
          </cell>
          <cell r="CH397">
            <v>179</v>
          </cell>
          <cell r="CI397">
            <v>202</v>
          </cell>
          <cell r="CJ397">
            <v>188</v>
          </cell>
          <cell r="CK397">
            <v>68</v>
          </cell>
          <cell r="CL397">
            <v>209</v>
          </cell>
          <cell r="CM397">
            <v>127</v>
          </cell>
          <cell r="CN397">
            <v>225</v>
          </cell>
          <cell r="CO397">
            <v>181</v>
          </cell>
          <cell r="CP397">
            <v>222</v>
          </cell>
          <cell r="CQ397">
            <v>188</v>
          </cell>
          <cell r="CR397">
            <v>203</v>
          </cell>
          <cell r="CS397">
            <v>157</v>
          </cell>
          <cell r="CT397">
            <v>243</v>
          </cell>
          <cell r="CU397">
            <v>231</v>
          </cell>
          <cell r="CV397">
            <v>315</v>
          </cell>
          <cell r="CW397">
            <v>310</v>
          </cell>
          <cell r="CX397">
            <v>145</v>
          </cell>
          <cell r="CY397">
            <v>390</v>
          </cell>
          <cell r="CZ397">
            <v>225</v>
          </cell>
          <cell r="DA397">
            <v>215</v>
          </cell>
          <cell r="DB397" t="str">
            <v>ACTIVO</v>
          </cell>
          <cell r="DC397" t="str">
            <v>B</v>
          </cell>
          <cell r="DE397">
            <v>187.8235294117647</v>
          </cell>
          <cell r="DF397">
            <v>31.303921568627448</v>
          </cell>
          <cell r="DG397">
            <v>57.240499493742881</v>
          </cell>
          <cell r="DH397">
            <v>3375</v>
          </cell>
          <cell r="DI397">
            <v>5400000</v>
          </cell>
          <cell r="DJ397">
            <v>17.96899467585343</v>
          </cell>
          <cell r="DK397" t="str">
            <v>OK</v>
          </cell>
          <cell r="DL397">
            <v>62.607843137254896</v>
          </cell>
          <cell r="DM397">
            <v>62.607843137254896</v>
          </cell>
          <cell r="DN397">
            <v>125.21568627450979</v>
          </cell>
        </row>
        <row r="398">
          <cell r="D398">
            <v>145</v>
          </cell>
          <cell r="E398">
            <v>215</v>
          </cell>
          <cell r="F398">
            <v>260</v>
          </cell>
          <cell r="G398">
            <v>165</v>
          </cell>
          <cell r="H398">
            <v>90</v>
          </cell>
          <cell r="I398">
            <v>130</v>
          </cell>
          <cell r="J398">
            <v>65</v>
          </cell>
          <cell r="K398">
            <v>100</v>
          </cell>
          <cell r="L398">
            <v>215</v>
          </cell>
          <cell r="M398">
            <v>95</v>
          </cell>
          <cell r="N398">
            <v>85</v>
          </cell>
          <cell r="O398">
            <v>10</v>
          </cell>
          <cell r="P398">
            <v>135</v>
          </cell>
          <cell r="Q398">
            <v>70</v>
          </cell>
          <cell r="R398">
            <v>120</v>
          </cell>
          <cell r="S398">
            <v>120</v>
          </cell>
          <cell r="T398">
            <v>110</v>
          </cell>
          <cell r="U398">
            <v>135</v>
          </cell>
          <cell r="V398">
            <v>90</v>
          </cell>
          <cell r="W398">
            <v>75</v>
          </cell>
          <cell r="X398">
            <v>110</v>
          </cell>
          <cell r="Y398">
            <v>70</v>
          </cell>
          <cell r="Z398">
            <v>20</v>
          </cell>
          <cell r="AA398">
            <v>100</v>
          </cell>
          <cell r="AB398">
            <v>105</v>
          </cell>
          <cell r="AC398">
            <v>40</v>
          </cell>
          <cell r="AD398">
            <v>10</v>
          </cell>
          <cell r="AE398">
            <v>65</v>
          </cell>
          <cell r="AF398">
            <v>71</v>
          </cell>
          <cell r="AG398">
            <v>89</v>
          </cell>
          <cell r="AH398">
            <v>110</v>
          </cell>
          <cell r="AI398">
            <v>175</v>
          </cell>
          <cell r="AJ398">
            <v>110</v>
          </cell>
          <cell r="AK398">
            <v>140</v>
          </cell>
          <cell r="AL398">
            <v>110</v>
          </cell>
          <cell r="AM398">
            <v>95</v>
          </cell>
          <cell r="AN398">
            <v>155</v>
          </cell>
          <cell r="AO398">
            <v>65</v>
          </cell>
          <cell r="AP398">
            <v>45</v>
          </cell>
          <cell r="AQ398">
            <v>150</v>
          </cell>
          <cell r="AR398">
            <v>105</v>
          </cell>
          <cell r="AS398">
            <v>135</v>
          </cell>
          <cell r="AT398">
            <v>145</v>
          </cell>
          <cell r="AU398">
            <v>180</v>
          </cell>
          <cell r="AV398">
            <v>140</v>
          </cell>
          <cell r="AW398">
            <v>60</v>
          </cell>
          <cell r="AX398">
            <v>115</v>
          </cell>
          <cell r="AY398">
            <v>50</v>
          </cell>
          <cell r="AZ398">
            <v>60</v>
          </cell>
          <cell r="BA398">
            <v>100</v>
          </cell>
          <cell r="BB398">
            <v>80</v>
          </cell>
          <cell r="BC398">
            <v>95</v>
          </cell>
          <cell r="BD398">
            <v>85</v>
          </cell>
          <cell r="BE398">
            <v>160</v>
          </cell>
          <cell r="BF398">
            <v>55</v>
          </cell>
          <cell r="BG398">
            <v>120</v>
          </cell>
          <cell r="BH398">
            <v>140</v>
          </cell>
          <cell r="BI398">
            <v>45</v>
          </cell>
          <cell r="BJ398">
            <v>130</v>
          </cell>
          <cell r="BK398">
            <v>65</v>
          </cell>
          <cell r="BL398">
            <v>190</v>
          </cell>
          <cell r="BM398">
            <v>165</v>
          </cell>
          <cell r="BN398">
            <v>145</v>
          </cell>
          <cell r="BO398">
            <v>205</v>
          </cell>
          <cell r="BP398">
            <v>95</v>
          </cell>
          <cell r="BQ398">
            <v>125</v>
          </cell>
          <cell r="BR398">
            <v>245</v>
          </cell>
          <cell r="BS398">
            <v>250</v>
          </cell>
          <cell r="BT398">
            <v>190</v>
          </cell>
          <cell r="BU398">
            <v>225</v>
          </cell>
          <cell r="BV398">
            <v>145</v>
          </cell>
          <cell r="BW398">
            <v>160</v>
          </cell>
          <cell r="BX398">
            <v>155</v>
          </cell>
          <cell r="BY398">
            <v>195</v>
          </cell>
          <cell r="BZ398">
            <v>185</v>
          </cell>
          <cell r="CA398">
            <v>253.5</v>
          </cell>
          <cell r="CB398">
            <v>105</v>
          </cell>
          <cell r="CC398">
            <v>185</v>
          </cell>
          <cell r="CD398">
            <v>266.5</v>
          </cell>
          <cell r="CE398">
            <v>100</v>
          </cell>
          <cell r="CF398">
            <v>20</v>
          </cell>
          <cell r="CG398">
            <v>235</v>
          </cell>
          <cell r="CH398">
            <v>191</v>
          </cell>
          <cell r="CI398">
            <v>202</v>
          </cell>
          <cell r="CJ398">
            <v>215</v>
          </cell>
          <cell r="CK398">
            <v>326</v>
          </cell>
          <cell r="CL398">
            <v>277</v>
          </cell>
          <cell r="CM398">
            <v>133</v>
          </cell>
          <cell r="CN398">
            <v>225</v>
          </cell>
          <cell r="CO398">
            <v>198</v>
          </cell>
          <cell r="CP398">
            <v>222</v>
          </cell>
          <cell r="CQ398">
            <v>188</v>
          </cell>
          <cell r="CR398">
            <v>203</v>
          </cell>
          <cell r="CS398">
            <v>157</v>
          </cell>
          <cell r="CT398">
            <v>278</v>
          </cell>
          <cell r="CU398">
            <v>306</v>
          </cell>
          <cell r="CV398">
            <v>355</v>
          </cell>
          <cell r="CW398">
            <v>335</v>
          </cell>
          <cell r="CX398">
            <v>170</v>
          </cell>
          <cell r="CY398">
            <v>390</v>
          </cell>
          <cell r="CZ398">
            <v>225</v>
          </cell>
          <cell r="DA398">
            <v>215</v>
          </cell>
          <cell r="DB398" t="str">
            <v>ACTIVO</v>
          </cell>
          <cell r="DC398" t="str">
            <v/>
          </cell>
          <cell r="DE398">
            <v>219.47058823529412</v>
          </cell>
          <cell r="DF398">
            <v>36.578431372549019</v>
          </cell>
          <cell r="DG398">
            <v>57.240499493742881</v>
          </cell>
          <cell r="DH398">
            <v>0</v>
          </cell>
          <cell r="DI398" t="str">
            <v>0</v>
          </cell>
          <cell r="DJ398">
            <v>0</v>
          </cell>
          <cell r="DK398" t="str">
            <v>INACTIVO</v>
          </cell>
          <cell r="DL398">
            <v>0</v>
          </cell>
          <cell r="DM398">
            <v>73.156862745098039</v>
          </cell>
          <cell r="DN398">
            <v>73.156862745098039</v>
          </cell>
        </row>
        <row r="399">
          <cell r="B399">
            <v>107176</v>
          </cell>
          <cell r="C399" t="str">
            <v>RON TILICURA</v>
          </cell>
          <cell r="AC399">
            <v>20</v>
          </cell>
          <cell r="AO399">
            <v>16</v>
          </cell>
          <cell r="AP399">
            <v>4</v>
          </cell>
          <cell r="DB399" t="str">
            <v>SIN USO</v>
          </cell>
          <cell r="DC399" t="str">
            <v>C</v>
          </cell>
          <cell r="DE399">
            <v>0</v>
          </cell>
          <cell r="DF399">
            <v>0</v>
          </cell>
          <cell r="DG399">
            <v>8.4852813742385695</v>
          </cell>
          <cell r="DH399">
            <v>0</v>
          </cell>
          <cell r="DI399" t="str">
            <v>0</v>
          </cell>
          <cell r="DJ399">
            <v>0</v>
          </cell>
          <cell r="DK399" t="str">
            <v>INACTIVO</v>
          </cell>
          <cell r="DL399">
            <v>0</v>
          </cell>
          <cell r="DM399">
            <v>0</v>
          </cell>
          <cell r="DN399">
            <v>0</v>
          </cell>
        </row>
        <row r="400">
          <cell r="B400">
            <v>170174</v>
          </cell>
          <cell r="C400" t="str">
            <v>RON DORADO</v>
          </cell>
          <cell r="G400">
            <v>20</v>
          </cell>
          <cell r="H400">
            <v>8</v>
          </cell>
          <cell r="I400">
            <v>2</v>
          </cell>
          <cell r="J400">
            <v>8</v>
          </cell>
          <cell r="K400">
            <v>17</v>
          </cell>
          <cell r="N400">
            <v>10</v>
          </cell>
          <cell r="P400">
            <v>11</v>
          </cell>
          <cell r="AX400">
            <v>12</v>
          </cell>
          <cell r="BA400">
            <v>9</v>
          </cell>
          <cell r="DB400" t="str">
            <v>SIN USO</v>
          </cell>
          <cell r="DC400" t="str">
            <v>C</v>
          </cell>
          <cell r="DE400">
            <v>0</v>
          </cell>
          <cell r="DF400">
            <v>0</v>
          </cell>
          <cell r="DG400">
            <v>2.1213203435596424</v>
          </cell>
          <cell r="DH400">
            <v>0</v>
          </cell>
          <cell r="DI400" t="str">
            <v>0</v>
          </cell>
          <cell r="DJ400">
            <v>0</v>
          </cell>
          <cell r="DK400" t="str">
            <v>INACTIVO</v>
          </cell>
          <cell r="DL400">
            <v>0</v>
          </cell>
          <cell r="DM400">
            <v>0</v>
          </cell>
          <cell r="DN400">
            <v>0</v>
          </cell>
        </row>
        <row r="401">
          <cell r="B401">
            <v>405398</v>
          </cell>
          <cell r="C401" t="str">
            <v>RON DORADO CABO VIEJO 750CC</v>
          </cell>
          <cell r="P401">
            <v>4</v>
          </cell>
          <cell r="S401">
            <v>13</v>
          </cell>
          <cell r="T401">
            <v>14</v>
          </cell>
          <cell r="W401">
            <v>12</v>
          </cell>
          <cell r="X401">
            <v>8</v>
          </cell>
          <cell r="AU401">
            <v>15</v>
          </cell>
          <cell r="BA401">
            <v>1</v>
          </cell>
          <cell r="DB401" t="str">
            <v>SIN USO</v>
          </cell>
          <cell r="DC401" t="str">
            <v>C</v>
          </cell>
          <cell r="DE401">
            <v>0</v>
          </cell>
          <cell r="DF401">
            <v>0</v>
          </cell>
          <cell r="DG401">
            <v>9.8994949366116654</v>
          </cell>
          <cell r="DH401">
            <v>0</v>
          </cell>
          <cell r="DI401" t="str">
            <v>0</v>
          </cell>
          <cell r="DJ401">
            <v>0</v>
          </cell>
          <cell r="DK401" t="str">
            <v>INACTIVO</v>
          </cell>
          <cell r="DL401">
            <v>0</v>
          </cell>
          <cell r="DM401">
            <v>0</v>
          </cell>
          <cell r="DN401">
            <v>0</v>
          </cell>
        </row>
        <row r="402">
          <cell r="G402">
            <v>20</v>
          </cell>
          <cell r="H402">
            <v>8</v>
          </cell>
          <cell r="I402">
            <v>2</v>
          </cell>
          <cell r="J402">
            <v>8</v>
          </cell>
          <cell r="K402">
            <v>17</v>
          </cell>
          <cell r="N402">
            <v>10</v>
          </cell>
          <cell r="P402">
            <v>15</v>
          </cell>
          <cell r="S402">
            <v>13</v>
          </cell>
          <cell r="T402">
            <v>14</v>
          </cell>
          <cell r="W402">
            <v>12</v>
          </cell>
          <cell r="X402">
            <v>8</v>
          </cell>
          <cell r="AC402">
            <v>20</v>
          </cell>
          <cell r="AO402">
            <v>16</v>
          </cell>
          <cell r="AP402">
            <v>4</v>
          </cell>
          <cell r="AU402">
            <v>15</v>
          </cell>
          <cell r="AX402">
            <v>12</v>
          </cell>
          <cell r="BA402">
            <v>10</v>
          </cell>
          <cell r="DB402" t="str">
            <v>ACTIVO</v>
          </cell>
          <cell r="DC402" t="str">
            <v/>
          </cell>
          <cell r="DE402">
            <v>0</v>
          </cell>
          <cell r="DF402">
            <v>0</v>
          </cell>
          <cell r="DG402">
            <v>4.7749345545253297</v>
          </cell>
          <cell r="DH402">
            <v>0</v>
          </cell>
          <cell r="DI402" t="str">
            <v>0</v>
          </cell>
          <cell r="DJ402">
            <v>0</v>
          </cell>
          <cell r="DK402" t="str">
            <v>INACTIVO</v>
          </cell>
          <cell r="DL402">
            <v>0</v>
          </cell>
          <cell r="DM402">
            <v>0</v>
          </cell>
          <cell r="DN402">
            <v>0</v>
          </cell>
        </row>
        <row r="403">
          <cell r="B403">
            <v>402130</v>
          </cell>
          <cell r="C403" t="str">
            <v>NUEZ PICADILLO LAS TRES ERRES</v>
          </cell>
          <cell r="F403">
            <v>35</v>
          </cell>
          <cell r="G403">
            <v>30</v>
          </cell>
          <cell r="H403">
            <v>20</v>
          </cell>
          <cell r="I403">
            <v>25</v>
          </cell>
          <cell r="J403">
            <v>35</v>
          </cell>
          <cell r="K403">
            <v>45</v>
          </cell>
          <cell r="L403">
            <v>50</v>
          </cell>
          <cell r="M403">
            <v>50</v>
          </cell>
          <cell r="N403">
            <v>80</v>
          </cell>
          <cell r="O403">
            <v>10</v>
          </cell>
          <cell r="P403">
            <v>25</v>
          </cell>
          <cell r="Q403">
            <v>65</v>
          </cell>
          <cell r="R403">
            <v>105</v>
          </cell>
          <cell r="S403">
            <v>35</v>
          </cell>
          <cell r="T403">
            <v>25</v>
          </cell>
          <cell r="U403">
            <v>25</v>
          </cell>
          <cell r="V403">
            <v>40</v>
          </cell>
          <cell r="W403">
            <v>40</v>
          </cell>
          <cell r="X403">
            <v>35</v>
          </cell>
          <cell r="Y403">
            <v>115</v>
          </cell>
          <cell r="Z403">
            <v>45</v>
          </cell>
          <cell r="AA403">
            <v>25</v>
          </cell>
          <cell r="AB403">
            <v>30</v>
          </cell>
          <cell r="AC403">
            <v>25</v>
          </cell>
          <cell r="AD403">
            <v>15</v>
          </cell>
          <cell r="AE403">
            <v>15</v>
          </cell>
          <cell r="AF403">
            <v>40</v>
          </cell>
          <cell r="AG403">
            <v>40</v>
          </cell>
          <cell r="AH403">
            <v>95</v>
          </cell>
          <cell r="AI403">
            <v>35</v>
          </cell>
          <cell r="AJ403">
            <v>55</v>
          </cell>
          <cell r="AK403">
            <v>35</v>
          </cell>
          <cell r="AL403">
            <v>40</v>
          </cell>
          <cell r="AM403">
            <v>35</v>
          </cell>
          <cell r="AN403">
            <v>25</v>
          </cell>
          <cell r="AO403">
            <v>30</v>
          </cell>
          <cell r="AP403">
            <v>55</v>
          </cell>
          <cell r="AQ403">
            <v>25</v>
          </cell>
          <cell r="AR403">
            <v>35</v>
          </cell>
          <cell r="AS403">
            <v>55</v>
          </cell>
          <cell r="AT403">
            <v>45</v>
          </cell>
          <cell r="AU403">
            <v>35</v>
          </cell>
          <cell r="AV403">
            <v>40</v>
          </cell>
          <cell r="AW403">
            <v>30</v>
          </cell>
          <cell r="AX403">
            <v>35</v>
          </cell>
          <cell r="AY403">
            <v>60</v>
          </cell>
          <cell r="AZ403">
            <v>45</v>
          </cell>
          <cell r="BA403">
            <v>20</v>
          </cell>
          <cell r="BJ403">
            <v>10</v>
          </cell>
          <cell r="BK403">
            <v>25</v>
          </cell>
          <cell r="BL403">
            <v>45</v>
          </cell>
          <cell r="BM403">
            <v>65</v>
          </cell>
          <cell r="BN403">
            <v>45</v>
          </cell>
          <cell r="BO403">
            <v>5</v>
          </cell>
          <cell r="CA403">
            <v>40</v>
          </cell>
          <cell r="CB403">
            <v>35</v>
          </cell>
          <cell r="CC403">
            <v>10</v>
          </cell>
          <cell r="CD403">
            <v>15</v>
          </cell>
          <cell r="CP403">
            <v>40</v>
          </cell>
          <cell r="CQ403">
            <v>55</v>
          </cell>
          <cell r="CR403">
            <v>55</v>
          </cell>
          <cell r="CS403">
            <v>20</v>
          </cell>
          <cell r="CT403">
            <v>15</v>
          </cell>
          <cell r="CU403">
            <v>55</v>
          </cell>
          <cell r="CV403">
            <v>50</v>
          </cell>
          <cell r="CW403">
            <v>45</v>
          </cell>
          <cell r="CX403">
            <v>40</v>
          </cell>
          <cell r="CY403">
            <v>60</v>
          </cell>
          <cell r="CZ403">
            <v>55</v>
          </cell>
          <cell r="DA403">
            <v>65</v>
          </cell>
          <cell r="DB403" t="str">
            <v>ACTIVO</v>
          </cell>
          <cell r="DC403" t="str">
            <v>C</v>
          </cell>
          <cell r="DE403">
            <v>41.428571428571431</v>
          </cell>
          <cell r="DF403">
            <v>6.9047619047619051</v>
          </cell>
          <cell r="DG403">
            <v>17.894630564230798</v>
          </cell>
          <cell r="DH403">
            <v>115</v>
          </cell>
          <cell r="DI403">
            <v>575000</v>
          </cell>
          <cell r="DJ403">
            <v>2.7758620689655169</v>
          </cell>
          <cell r="DK403" t="str">
            <v>OK</v>
          </cell>
          <cell r="DL403">
            <v>20.714285714285715</v>
          </cell>
          <cell r="DM403">
            <v>13.80952380952381</v>
          </cell>
          <cell r="DN403">
            <v>34.523809523809526</v>
          </cell>
        </row>
        <row r="404">
          <cell r="B404">
            <v>405543</v>
          </cell>
          <cell r="C404" t="str">
            <v>NUEZ PICADILLO CAMPOS</v>
          </cell>
          <cell r="BB404">
            <v>100</v>
          </cell>
          <cell r="BC404">
            <v>35</v>
          </cell>
          <cell r="BD404">
            <v>123.69</v>
          </cell>
          <cell r="BE404">
            <v>45</v>
          </cell>
          <cell r="BF404">
            <v>50</v>
          </cell>
          <cell r="BG404">
            <v>60</v>
          </cell>
          <cell r="BH404">
            <v>65</v>
          </cell>
          <cell r="BI404">
            <v>80</v>
          </cell>
          <cell r="BJ404">
            <v>50</v>
          </cell>
          <cell r="BK404">
            <v>20</v>
          </cell>
          <cell r="BL404">
            <v>20</v>
          </cell>
          <cell r="BO404">
            <v>65</v>
          </cell>
          <cell r="BP404">
            <v>20</v>
          </cell>
          <cell r="BQ404">
            <v>70</v>
          </cell>
          <cell r="BR404">
            <v>85</v>
          </cell>
          <cell r="BS404">
            <v>80</v>
          </cell>
          <cell r="BT404">
            <v>45</v>
          </cell>
          <cell r="BU404">
            <v>70</v>
          </cell>
          <cell r="BV404">
            <v>45</v>
          </cell>
          <cell r="BW404">
            <v>45</v>
          </cell>
          <cell r="BX404">
            <v>45</v>
          </cell>
          <cell r="BY404">
            <v>45</v>
          </cell>
          <cell r="BZ404">
            <v>60</v>
          </cell>
          <cell r="CA404">
            <v>15</v>
          </cell>
          <cell r="CB404">
            <v>5</v>
          </cell>
          <cell r="CC404">
            <v>55</v>
          </cell>
          <cell r="CD404">
            <v>25</v>
          </cell>
          <cell r="CE404">
            <v>25</v>
          </cell>
          <cell r="CF404">
            <v>10</v>
          </cell>
          <cell r="CG404">
            <v>50</v>
          </cell>
          <cell r="CH404">
            <v>45</v>
          </cell>
          <cell r="CI404">
            <v>110</v>
          </cell>
          <cell r="CJ404">
            <v>45</v>
          </cell>
          <cell r="CK404">
            <v>60</v>
          </cell>
          <cell r="CL404">
            <v>50</v>
          </cell>
          <cell r="CM404">
            <v>50</v>
          </cell>
          <cell r="CN404">
            <v>45</v>
          </cell>
          <cell r="CO404">
            <v>65</v>
          </cell>
          <cell r="CP404">
            <v>10</v>
          </cell>
          <cell r="CQ404">
            <v>5</v>
          </cell>
          <cell r="CS404">
            <v>40</v>
          </cell>
          <cell r="CT404">
            <v>75</v>
          </cell>
          <cell r="CV404">
            <v>5</v>
          </cell>
          <cell r="CW404">
            <v>10</v>
          </cell>
          <cell r="CX404">
            <v>10</v>
          </cell>
          <cell r="DB404" t="str">
            <v>ACTIVO</v>
          </cell>
          <cell r="DC404" t="str">
            <v>B</v>
          </cell>
          <cell r="DE404">
            <v>44.333333333333336</v>
          </cell>
          <cell r="DF404">
            <v>7.3888888888888893</v>
          </cell>
          <cell r="DG404">
            <v>27.162438435686997</v>
          </cell>
          <cell r="DH404">
            <v>0</v>
          </cell>
          <cell r="DI404" t="str">
            <v>0</v>
          </cell>
          <cell r="DJ404">
            <v>0</v>
          </cell>
          <cell r="DK404" t="str">
            <v>COMPRAR</v>
          </cell>
          <cell r="DL404">
            <v>22.166666666666668</v>
          </cell>
          <cell r="DM404">
            <v>14.777777777777779</v>
          </cell>
          <cell r="DN404">
            <v>36.944444444444443</v>
          </cell>
        </row>
        <row r="405">
          <cell r="B405">
            <v>107351</v>
          </cell>
          <cell r="C405" t="str">
            <v>PASA MORENA</v>
          </cell>
          <cell r="G405">
            <v>10</v>
          </cell>
          <cell r="H405">
            <v>20</v>
          </cell>
          <cell r="I405">
            <v>20</v>
          </cell>
          <cell r="J405">
            <v>20</v>
          </cell>
          <cell r="K405">
            <v>40</v>
          </cell>
          <cell r="L405">
            <v>30</v>
          </cell>
          <cell r="M405">
            <v>140</v>
          </cell>
          <cell r="N405">
            <v>50</v>
          </cell>
          <cell r="O405">
            <v>10</v>
          </cell>
          <cell r="P405">
            <v>61</v>
          </cell>
          <cell r="Q405">
            <v>80</v>
          </cell>
          <cell r="R405">
            <v>30</v>
          </cell>
          <cell r="S405">
            <v>60</v>
          </cell>
          <cell r="T405">
            <v>30</v>
          </cell>
          <cell r="U405">
            <v>50</v>
          </cell>
          <cell r="V405">
            <v>50</v>
          </cell>
          <cell r="W405">
            <v>40</v>
          </cell>
          <cell r="X405">
            <v>60</v>
          </cell>
          <cell r="Y405">
            <v>40</v>
          </cell>
          <cell r="Z405">
            <v>40</v>
          </cell>
          <cell r="AA405">
            <v>41</v>
          </cell>
          <cell r="AB405">
            <v>40</v>
          </cell>
          <cell r="AC405">
            <v>50</v>
          </cell>
          <cell r="AD405">
            <v>10</v>
          </cell>
          <cell r="AF405">
            <v>70</v>
          </cell>
          <cell r="AG405">
            <v>40</v>
          </cell>
          <cell r="AH405">
            <v>20</v>
          </cell>
          <cell r="AI405">
            <v>42</v>
          </cell>
          <cell r="AJ405">
            <v>40</v>
          </cell>
          <cell r="AK405">
            <v>52</v>
          </cell>
          <cell r="AL405">
            <v>38</v>
          </cell>
          <cell r="AM405">
            <v>44</v>
          </cell>
          <cell r="AN405">
            <v>53</v>
          </cell>
          <cell r="AO405">
            <v>26</v>
          </cell>
          <cell r="AP405">
            <v>34</v>
          </cell>
          <cell r="AQ405">
            <v>60</v>
          </cell>
          <cell r="AR405">
            <v>26</v>
          </cell>
          <cell r="AS405">
            <v>58</v>
          </cell>
          <cell r="AT405">
            <v>50</v>
          </cell>
          <cell r="AU405">
            <v>70</v>
          </cell>
          <cell r="AV405">
            <v>30</v>
          </cell>
          <cell r="AW405">
            <v>46</v>
          </cell>
          <cell r="AX405">
            <v>25</v>
          </cell>
          <cell r="AY405">
            <v>19</v>
          </cell>
          <cell r="AZ405">
            <v>31</v>
          </cell>
          <cell r="BA405">
            <v>58</v>
          </cell>
          <cell r="BB405">
            <v>58</v>
          </cell>
          <cell r="BC405">
            <v>49</v>
          </cell>
          <cell r="BD405">
            <v>44</v>
          </cell>
          <cell r="BE405">
            <v>48</v>
          </cell>
          <cell r="BF405">
            <v>63</v>
          </cell>
          <cell r="BG405">
            <v>40</v>
          </cell>
          <cell r="BH405">
            <v>74</v>
          </cell>
          <cell r="BI405">
            <v>50</v>
          </cell>
          <cell r="BJ405">
            <v>41</v>
          </cell>
          <cell r="BK405">
            <v>48</v>
          </cell>
          <cell r="BL405">
            <v>53</v>
          </cell>
          <cell r="BM405">
            <v>47</v>
          </cell>
          <cell r="BN405">
            <v>45</v>
          </cell>
          <cell r="BO405">
            <v>50</v>
          </cell>
          <cell r="BP405">
            <v>6</v>
          </cell>
          <cell r="BQ405">
            <v>72</v>
          </cell>
          <cell r="BR405">
            <v>66</v>
          </cell>
          <cell r="BS405">
            <v>50</v>
          </cell>
          <cell r="BT405">
            <v>45</v>
          </cell>
          <cell r="BU405">
            <v>62</v>
          </cell>
          <cell r="BV405">
            <v>38</v>
          </cell>
          <cell r="BW405">
            <v>36</v>
          </cell>
          <cell r="BX405">
            <v>27</v>
          </cell>
          <cell r="BY405">
            <v>24</v>
          </cell>
          <cell r="BZ405">
            <v>133</v>
          </cell>
          <cell r="CA405">
            <v>35</v>
          </cell>
          <cell r="CB405">
            <v>40</v>
          </cell>
          <cell r="CC405">
            <v>22</v>
          </cell>
          <cell r="CD405">
            <v>29</v>
          </cell>
          <cell r="CE405">
            <v>20</v>
          </cell>
          <cell r="CF405">
            <v>10</v>
          </cell>
          <cell r="CG405">
            <v>40</v>
          </cell>
          <cell r="CH405">
            <v>30</v>
          </cell>
          <cell r="CI405">
            <v>30</v>
          </cell>
          <cell r="CJ405">
            <v>50</v>
          </cell>
          <cell r="CK405">
            <v>70</v>
          </cell>
          <cell r="CL405">
            <v>60</v>
          </cell>
          <cell r="CM405">
            <v>60</v>
          </cell>
          <cell r="CN405">
            <v>60</v>
          </cell>
          <cell r="CO405">
            <v>60</v>
          </cell>
          <cell r="CP405">
            <v>60</v>
          </cell>
          <cell r="CQ405">
            <v>60</v>
          </cell>
          <cell r="CR405">
            <v>60</v>
          </cell>
          <cell r="CS405">
            <v>50</v>
          </cell>
          <cell r="CT405">
            <v>70</v>
          </cell>
          <cell r="CU405">
            <v>60</v>
          </cell>
          <cell r="CV405">
            <v>60</v>
          </cell>
          <cell r="CW405">
            <v>51</v>
          </cell>
          <cell r="CX405">
            <v>60</v>
          </cell>
          <cell r="CY405">
            <v>70</v>
          </cell>
          <cell r="CZ405">
            <v>60</v>
          </cell>
          <cell r="DA405">
            <v>60</v>
          </cell>
          <cell r="DB405" t="str">
            <v>ACTIVO</v>
          </cell>
          <cell r="DC405" t="str">
            <v>C</v>
          </cell>
          <cell r="DE405">
            <v>52.352941176470587</v>
          </cell>
          <cell r="DF405">
            <v>8.7254901960784306</v>
          </cell>
          <cell r="DG405">
            <v>19.669852363605404</v>
          </cell>
          <cell r="DH405">
            <v>110</v>
          </cell>
          <cell r="DI405">
            <v>351998.9</v>
          </cell>
          <cell r="DJ405">
            <v>2.101123595505618</v>
          </cell>
          <cell r="DK405" t="str">
            <v>OK</v>
          </cell>
          <cell r="DL405">
            <v>26.17647058823529</v>
          </cell>
          <cell r="DM405">
            <v>17.450980392156861</v>
          </cell>
          <cell r="DN405">
            <v>43.627450980392155</v>
          </cell>
        </row>
        <row r="406">
          <cell r="B406">
            <v>106302</v>
          </cell>
          <cell r="C406" t="str">
            <v>CANELA EN POLVO ALTO LA CRUZ</v>
          </cell>
          <cell r="F406">
            <v>1</v>
          </cell>
          <cell r="G406">
            <v>3</v>
          </cell>
          <cell r="H406">
            <v>1</v>
          </cell>
          <cell r="I406">
            <v>2</v>
          </cell>
          <cell r="J406">
            <v>2</v>
          </cell>
          <cell r="K406">
            <v>1</v>
          </cell>
          <cell r="L406">
            <v>2</v>
          </cell>
          <cell r="M406">
            <v>3</v>
          </cell>
          <cell r="N406">
            <v>2</v>
          </cell>
          <cell r="O406">
            <v>1</v>
          </cell>
          <cell r="P406">
            <v>3</v>
          </cell>
          <cell r="Q406">
            <v>3</v>
          </cell>
          <cell r="R406">
            <v>3</v>
          </cell>
          <cell r="S406">
            <v>1</v>
          </cell>
          <cell r="T406">
            <v>2</v>
          </cell>
          <cell r="U406">
            <v>3</v>
          </cell>
          <cell r="V406">
            <v>2</v>
          </cell>
          <cell r="W406">
            <v>1</v>
          </cell>
          <cell r="X406">
            <v>3</v>
          </cell>
          <cell r="Y406">
            <v>1</v>
          </cell>
          <cell r="Z406">
            <v>2</v>
          </cell>
          <cell r="AA406">
            <v>3</v>
          </cell>
          <cell r="AB406">
            <v>2</v>
          </cell>
          <cell r="AC406">
            <v>2</v>
          </cell>
          <cell r="AD406">
            <v>1</v>
          </cell>
          <cell r="AF406">
            <v>2</v>
          </cell>
          <cell r="AG406">
            <v>1</v>
          </cell>
          <cell r="AH406">
            <v>1</v>
          </cell>
          <cell r="AI406">
            <v>3</v>
          </cell>
          <cell r="AJ406">
            <v>2</v>
          </cell>
          <cell r="AK406">
            <v>2</v>
          </cell>
          <cell r="AL406">
            <v>3</v>
          </cell>
          <cell r="AM406">
            <v>1</v>
          </cell>
          <cell r="AO406">
            <v>1</v>
          </cell>
          <cell r="AP406">
            <v>3</v>
          </cell>
          <cell r="AQ406">
            <v>2</v>
          </cell>
          <cell r="AR406">
            <v>1</v>
          </cell>
          <cell r="AS406">
            <v>2</v>
          </cell>
          <cell r="AT406">
            <v>2</v>
          </cell>
          <cell r="AU406">
            <v>1</v>
          </cell>
          <cell r="AV406">
            <v>2</v>
          </cell>
          <cell r="AW406">
            <v>2</v>
          </cell>
          <cell r="AX406">
            <v>2</v>
          </cell>
          <cell r="AY406">
            <v>10</v>
          </cell>
          <cell r="AZ406">
            <v>1</v>
          </cell>
          <cell r="BA406">
            <v>2</v>
          </cell>
          <cell r="BB406">
            <v>2</v>
          </cell>
          <cell r="BC406">
            <v>6</v>
          </cell>
          <cell r="BD406">
            <v>2</v>
          </cell>
          <cell r="BE406">
            <v>2</v>
          </cell>
          <cell r="BF406">
            <v>1</v>
          </cell>
          <cell r="BG406">
            <v>3</v>
          </cell>
          <cell r="BH406">
            <v>2</v>
          </cell>
          <cell r="BI406">
            <v>3</v>
          </cell>
          <cell r="BJ406">
            <v>7</v>
          </cell>
          <cell r="BK406">
            <v>8</v>
          </cell>
          <cell r="BL406">
            <v>2</v>
          </cell>
          <cell r="BM406">
            <v>7</v>
          </cell>
          <cell r="BN406">
            <v>4</v>
          </cell>
          <cell r="BO406">
            <v>3</v>
          </cell>
          <cell r="BP406">
            <v>1</v>
          </cell>
          <cell r="BQ406">
            <v>4</v>
          </cell>
          <cell r="BR406">
            <v>5</v>
          </cell>
          <cell r="BS406">
            <v>3</v>
          </cell>
          <cell r="BT406">
            <v>2</v>
          </cell>
          <cell r="BU406">
            <v>6</v>
          </cell>
          <cell r="BV406">
            <v>2</v>
          </cell>
          <cell r="BW406">
            <v>3</v>
          </cell>
          <cell r="BX406">
            <v>3</v>
          </cell>
          <cell r="BY406">
            <v>1</v>
          </cell>
          <cell r="BZ406">
            <v>5</v>
          </cell>
          <cell r="CA406">
            <v>2</v>
          </cell>
          <cell r="CB406">
            <v>2</v>
          </cell>
          <cell r="CC406">
            <v>2</v>
          </cell>
          <cell r="CD406">
            <v>3</v>
          </cell>
          <cell r="CE406">
            <v>1</v>
          </cell>
          <cell r="CG406">
            <v>2</v>
          </cell>
          <cell r="CH406">
            <v>2</v>
          </cell>
          <cell r="CI406">
            <v>2</v>
          </cell>
          <cell r="CJ406">
            <v>2</v>
          </cell>
          <cell r="CK406">
            <v>1</v>
          </cell>
          <cell r="CL406">
            <v>3</v>
          </cell>
          <cell r="CM406">
            <v>2</v>
          </cell>
          <cell r="CN406">
            <v>2</v>
          </cell>
          <cell r="CO406">
            <v>2</v>
          </cell>
          <cell r="CP406">
            <v>2</v>
          </cell>
          <cell r="CQ406">
            <v>4</v>
          </cell>
          <cell r="CR406">
            <v>4</v>
          </cell>
          <cell r="CS406">
            <v>6</v>
          </cell>
          <cell r="CT406">
            <v>2</v>
          </cell>
          <cell r="CU406">
            <v>3</v>
          </cell>
          <cell r="CV406">
            <v>2</v>
          </cell>
          <cell r="CW406">
            <v>3</v>
          </cell>
          <cell r="CX406">
            <v>3</v>
          </cell>
          <cell r="CY406">
            <v>2</v>
          </cell>
          <cell r="CZ406">
            <v>1</v>
          </cell>
          <cell r="DA406">
            <v>2</v>
          </cell>
          <cell r="DB406" t="str">
            <v>ACTIVO</v>
          </cell>
          <cell r="DC406" t="str">
            <v>C</v>
          </cell>
          <cell r="DE406">
            <v>2.5625</v>
          </cell>
          <cell r="DF406">
            <v>0.42708333333333331</v>
          </cell>
          <cell r="DG406">
            <v>1.9800970465422878</v>
          </cell>
          <cell r="DH406">
            <v>133</v>
          </cell>
          <cell r="DI406">
            <v>1300470.01</v>
          </cell>
          <cell r="DJ406">
            <v>51.902439024390247</v>
          </cell>
          <cell r="DK406" t="str">
            <v>OK</v>
          </cell>
          <cell r="DL406">
            <v>1.28125</v>
          </cell>
          <cell r="DM406">
            <v>0.85416666666666663</v>
          </cell>
          <cell r="DN406">
            <v>2.1354166666666665</v>
          </cell>
        </row>
        <row r="407">
          <cell r="B407">
            <v>106401</v>
          </cell>
          <cell r="C407" t="str">
            <v>CAFE POLVO WINKLER</v>
          </cell>
          <cell r="G407">
            <v>10</v>
          </cell>
          <cell r="H407">
            <v>4</v>
          </cell>
          <cell r="I407">
            <v>1.5</v>
          </cell>
          <cell r="J407">
            <v>7</v>
          </cell>
          <cell r="K407">
            <v>23.5</v>
          </cell>
          <cell r="N407">
            <v>10</v>
          </cell>
          <cell r="P407">
            <v>15</v>
          </cell>
          <cell r="S407">
            <v>18</v>
          </cell>
          <cell r="T407">
            <v>10</v>
          </cell>
          <cell r="W407">
            <v>1</v>
          </cell>
          <cell r="X407">
            <v>20</v>
          </cell>
          <cell r="AB407">
            <v>23</v>
          </cell>
          <cell r="AI407">
            <v>120.5</v>
          </cell>
          <cell r="AN407">
            <v>10</v>
          </cell>
          <cell r="AT407">
            <v>11</v>
          </cell>
          <cell r="AX407">
            <v>11.5</v>
          </cell>
          <cell r="AY407">
            <v>1</v>
          </cell>
          <cell r="BA407">
            <v>11.5</v>
          </cell>
          <cell r="BL407">
            <v>70</v>
          </cell>
          <cell r="CC407">
            <v>47.5</v>
          </cell>
          <cell r="DB407" t="str">
            <v>ACTIVO</v>
          </cell>
          <cell r="DC407" t="str">
            <v>C</v>
          </cell>
          <cell r="DE407">
            <v>0</v>
          </cell>
          <cell r="DF407">
            <v>0</v>
          </cell>
          <cell r="DG407">
            <v>41.665119018876482</v>
          </cell>
          <cell r="DH407">
            <v>0</v>
          </cell>
          <cell r="DI407" t="str">
            <v>0</v>
          </cell>
          <cell r="DJ407">
            <v>0</v>
          </cell>
          <cell r="DK407" t="str">
            <v>COMPRAR</v>
          </cell>
          <cell r="DL407">
            <v>0</v>
          </cell>
          <cell r="DM407">
            <v>0</v>
          </cell>
          <cell r="DN407">
            <v>0</v>
          </cell>
        </row>
        <row r="408">
          <cell r="B408">
            <v>107134</v>
          </cell>
          <cell r="C408" t="str">
            <v>COCO RALLADO ALTO LA CRUZ</v>
          </cell>
          <cell r="D408">
            <v>80</v>
          </cell>
          <cell r="E408">
            <v>40</v>
          </cell>
          <cell r="F408">
            <v>90</v>
          </cell>
          <cell r="G408">
            <v>85</v>
          </cell>
          <cell r="H408">
            <v>45</v>
          </cell>
          <cell r="I408">
            <v>10</v>
          </cell>
          <cell r="J408">
            <v>35</v>
          </cell>
          <cell r="K408">
            <v>40</v>
          </cell>
          <cell r="L408">
            <v>110</v>
          </cell>
          <cell r="M408">
            <v>60</v>
          </cell>
          <cell r="N408">
            <v>50</v>
          </cell>
          <cell r="O408">
            <v>10</v>
          </cell>
          <cell r="P408">
            <v>25</v>
          </cell>
          <cell r="Q408">
            <v>10</v>
          </cell>
          <cell r="R408">
            <v>70</v>
          </cell>
          <cell r="S408">
            <v>55</v>
          </cell>
          <cell r="T408">
            <v>90</v>
          </cell>
          <cell r="U408">
            <v>125</v>
          </cell>
          <cell r="V408">
            <v>70</v>
          </cell>
          <cell r="W408">
            <v>15</v>
          </cell>
          <cell r="X408">
            <v>135</v>
          </cell>
          <cell r="Y408">
            <v>55</v>
          </cell>
          <cell r="AA408">
            <v>60</v>
          </cell>
          <cell r="AB408">
            <v>70</v>
          </cell>
          <cell r="AC408">
            <v>20</v>
          </cell>
          <cell r="AD408">
            <v>30</v>
          </cell>
          <cell r="AE408">
            <v>10</v>
          </cell>
          <cell r="AF408">
            <v>75</v>
          </cell>
          <cell r="AG408">
            <v>75</v>
          </cell>
          <cell r="AH408">
            <v>110</v>
          </cell>
          <cell r="AI408">
            <v>116</v>
          </cell>
          <cell r="AJ408">
            <v>55</v>
          </cell>
          <cell r="AK408">
            <v>65</v>
          </cell>
          <cell r="AL408">
            <v>30</v>
          </cell>
          <cell r="AM408">
            <v>5</v>
          </cell>
          <cell r="AN408">
            <v>35</v>
          </cell>
          <cell r="AO408">
            <v>85</v>
          </cell>
          <cell r="AP408">
            <v>70</v>
          </cell>
          <cell r="AQ408">
            <v>40</v>
          </cell>
          <cell r="AR408">
            <v>20</v>
          </cell>
          <cell r="AS408">
            <v>15</v>
          </cell>
          <cell r="AU408">
            <v>40</v>
          </cell>
          <cell r="AV408">
            <v>50</v>
          </cell>
          <cell r="AW408">
            <v>45</v>
          </cell>
          <cell r="AX408">
            <v>25</v>
          </cell>
          <cell r="AY408">
            <v>55</v>
          </cell>
          <cell r="AZ408">
            <v>10</v>
          </cell>
          <cell r="BA408">
            <v>20</v>
          </cell>
          <cell r="BB408">
            <v>101</v>
          </cell>
          <cell r="BC408">
            <v>45</v>
          </cell>
          <cell r="BD408">
            <v>25</v>
          </cell>
          <cell r="BE408">
            <v>35</v>
          </cell>
          <cell r="BF408">
            <v>35</v>
          </cell>
          <cell r="BG408">
            <v>55</v>
          </cell>
          <cell r="BH408">
            <v>35</v>
          </cell>
          <cell r="BI408">
            <v>20</v>
          </cell>
          <cell r="BJ408">
            <v>80</v>
          </cell>
          <cell r="BK408">
            <v>55</v>
          </cell>
          <cell r="BL408">
            <v>20</v>
          </cell>
          <cell r="BM408">
            <v>75</v>
          </cell>
          <cell r="BN408">
            <v>25</v>
          </cell>
          <cell r="BO408">
            <v>15</v>
          </cell>
          <cell r="BP408">
            <v>30</v>
          </cell>
          <cell r="BQ408">
            <v>50</v>
          </cell>
          <cell r="BR408">
            <v>50</v>
          </cell>
          <cell r="BS408">
            <v>35</v>
          </cell>
          <cell r="BT408">
            <v>60</v>
          </cell>
          <cell r="BU408">
            <v>55</v>
          </cell>
          <cell r="BV408">
            <v>5</v>
          </cell>
          <cell r="BW408">
            <v>70</v>
          </cell>
          <cell r="BX408">
            <v>5</v>
          </cell>
          <cell r="BY408">
            <v>30</v>
          </cell>
          <cell r="BZ408">
            <v>55</v>
          </cell>
          <cell r="CA408">
            <v>65</v>
          </cell>
          <cell r="CB408">
            <v>25</v>
          </cell>
          <cell r="CC408">
            <v>50</v>
          </cell>
          <cell r="CD408">
            <v>20</v>
          </cell>
          <cell r="CE408">
            <v>15</v>
          </cell>
          <cell r="CF408">
            <v>5</v>
          </cell>
          <cell r="CG408">
            <v>40</v>
          </cell>
          <cell r="CH408">
            <v>40</v>
          </cell>
          <cell r="CI408">
            <v>60</v>
          </cell>
          <cell r="CJ408">
            <v>40</v>
          </cell>
          <cell r="CK408">
            <v>110</v>
          </cell>
          <cell r="CL408">
            <v>15</v>
          </cell>
          <cell r="CN408">
            <v>40</v>
          </cell>
          <cell r="CO408">
            <v>40</v>
          </cell>
          <cell r="CP408">
            <v>40</v>
          </cell>
          <cell r="CQ408">
            <v>25</v>
          </cell>
          <cell r="CR408">
            <v>40</v>
          </cell>
          <cell r="CS408">
            <v>20</v>
          </cell>
          <cell r="CT408">
            <v>40</v>
          </cell>
          <cell r="CU408">
            <v>80</v>
          </cell>
          <cell r="CV408">
            <v>55</v>
          </cell>
          <cell r="CW408">
            <v>10</v>
          </cell>
          <cell r="CX408">
            <v>75</v>
          </cell>
          <cell r="CY408">
            <v>60</v>
          </cell>
          <cell r="CZ408">
            <v>55</v>
          </cell>
          <cell r="DA408">
            <v>50</v>
          </cell>
          <cell r="DB408" t="str">
            <v>ACTIVO</v>
          </cell>
          <cell r="DC408" t="str">
            <v>C</v>
          </cell>
          <cell r="DE408">
            <v>43.125</v>
          </cell>
          <cell r="DF408">
            <v>7.1875</v>
          </cell>
          <cell r="DG408">
            <v>26.846583858225092</v>
          </cell>
          <cell r="DH408">
            <v>150</v>
          </cell>
          <cell r="DI408">
            <v>539994</v>
          </cell>
          <cell r="DJ408">
            <v>3.4782608695652173</v>
          </cell>
          <cell r="DK408" t="str">
            <v>OK</v>
          </cell>
          <cell r="DL408">
            <v>21.5625</v>
          </cell>
          <cell r="DM408">
            <v>14.375</v>
          </cell>
          <cell r="DN408">
            <v>35.9375</v>
          </cell>
        </row>
        <row r="409">
          <cell r="B409">
            <v>107148</v>
          </cell>
          <cell r="C409" t="str">
            <v>SABOR AROMA LUCUMA FRANCIAAROMA</v>
          </cell>
          <cell r="E409">
            <v>20</v>
          </cell>
          <cell r="I409">
            <v>20</v>
          </cell>
          <cell r="J409">
            <v>20</v>
          </cell>
          <cell r="K409">
            <v>20</v>
          </cell>
          <cell r="L409">
            <v>20</v>
          </cell>
          <cell r="M409">
            <v>20</v>
          </cell>
          <cell r="N409">
            <v>20</v>
          </cell>
          <cell r="P409">
            <v>20</v>
          </cell>
          <cell r="R409">
            <v>20</v>
          </cell>
          <cell r="U409">
            <v>20</v>
          </cell>
          <cell r="X409">
            <v>20</v>
          </cell>
          <cell r="AB409">
            <v>20</v>
          </cell>
          <cell r="AC409">
            <v>20</v>
          </cell>
          <cell r="AI409">
            <v>40</v>
          </cell>
          <cell r="AL409">
            <v>20</v>
          </cell>
          <cell r="AO409">
            <v>20</v>
          </cell>
          <cell r="AP409">
            <v>40</v>
          </cell>
          <cell r="AV409">
            <v>20</v>
          </cell>
          <cell r="AW409">
            <v>20</v>
          </cell>
          <cell r="AY409">
            <v>20</v>
          </cell>
          <cell r="BB409">
            <v>20</v>
          </cell>
          <cell r="BE409">
            <v>20</v>
          </cell>
          <cell r="BF409">
            <v>20</v>
          </cell>
          <cell r="BI409">
            <v>20</v>
          </cell>
          <cell r="BK409">
            <v>20</v>
          </cell>
          <cell r="BN409">
            <v>20</v>
          </cell>
          <cell r="BQ409">
            <v>20</v>
          </cell>
          <cell r="BS409">
            <v>20</v>
          </cell>
          <cell r="BV409">
            <v>20</v>
          </cell>
          <cell r="BW409">
            <v>20</v>
          </cell>
          <cell r="BZ409">
            <v>20</v>
          </cell>
          <cell r="CC409">
            <v>20</v>
          </cell>
          <cell r="CH409">
            <v>20</v>
          </cell>
          <cell r="CJ409">
            <v>20</v>
          </cell>
          <cell r="CM409">
            <v>20</v>
          </cell>
          <cell r="CO409">
            <v>20</v>
          </cell>
          <cell r="CS409">
            <v>20</v>
          </cell>
          <cell r="DB409" t="str">
            <v>ACTIVO</v>
          </cell>
          <cell r="DC409" t="str">
            <v>C</v>
          </cell>
          <cell r="DE409">
            <v>20</v>
          </cell>
          <cell r="DF409">
            <v>3.3333333333333335</v>
          </cell>
          <cell r="DG409">
            <v>6.3060353528461128</v>
          </cell>
          <cell r="DH409">
            <v>40</v>
          </cell>
          <cell r="DI409">
            <v>836000</v>
          </cell>
          <cell r="DJ409">
            <v>2</v>
          </cell>
          <cell r="DK409" t="str">
            <v>OK</v>
          </cell>
          <cell r="DL409">
            <v>20</v>
          </cell>
          <cell r="DM409">
            <v>6.666666666666667</v>
          </cell>
          <cell r="DN409">
            <v>26.666666666666668</v>
          </cell>
        </row>
        <row r="410">
          <cell r="B410">
            <v>107326</v>
          </cell>
          <cell r="C410" t="str">
            <v>QUINOA PERLA DE COLORES ZUKKER</v>
          </cell>
          <cell r="D410">
            <v>11</v>
          </cell>
          <cell r="E410">
            <v>22</v>
          </cell>
          <cell r="F410">
            <v>22</v>
          </cell>
          <cell r="G410">
            <v>11</v>
          </cell>
          <cell r="H410">
            <v>11</v>
          </cell>
          <cell r="I410">
            <v>22</v>
          </cell>
          <cell r="K410">
            <v>26</v>
          </cell>
          <cell r="L410">
            <v>22</v>
          </cell>
          <cell r="N410">
            <v>11</v>
          </cell>
          <cell r="P410">
            <v>22</v>
          </cell>
          <cell r="Q410">
            <v>22</v>
          </cell>
          <cell r="R410">
            <v>11</v>
          </cell>
          <cell r="S410">
            <v>11</v>
          </cell>
          <cell r="V410">
            <v>11</v>
          </cell>
          <cell r="W410">
            <v>22</v>
          </cell>
          <cell r="Z410">
            <v>11</v>
          </cell>
          <cell r="AA410">
            <v>11</v>
          </cell>
          <cell r="BR410">
            <v>66</v>
          </cell>
          <cell r="DB410" t="str">
            <v>SIN USO</v>
          </cell>
          <cell r="DC410" t="str">
            <v>C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 t="str">
            <v>0</v>
          </cell>
          <cell r="DJ410">
            <v>0</v>
          </cell>
          <cell r="DK410" t="str">
            <v>INACTIVO</v>
          </cell>
          <cell r="DL410">
            <v>0</v>
          </cell>
          <cell r="DM410">
            <v>0</v>
          </cell>
          <cell r="DN410">
            <v>0</v>
          </cell>
        </row>
        <row r="411">
          <cell r="B411">
            <v>107225</v>
          </cell>
          <cell r="C411" t="str">
            <v>CAFE POLVO ICB</v>
          </cell>
          <cell r="T411">
            <v>1.5</v>
          </cell>
          <cell r="DB411" t="str">
            <v>SIN USO</v>
          </cell>
          <cell r="DC411" t="str">
            <v/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 t="str">
            <v>0</v>
          </cell>
          <cell r="DJ411">
            <v>0</v>
          </cell>
          <cell r="DK411" t="str">
            <v>INACTIVO</v>
          </cell>
          <cell r="DL411">
            <v>0</v>
          </cell>
          <cell r="DM411">
            <v>0</v>
          </cell>
          <cell r="DN411">
            <v>0</v>
          </cell>
        </row>
        <row r="412">
          <cell r="D412">
            <v>91</v>
          </cell>
          <cell r="E412">
            <v>82</v>
          </cell>
          <cell r="F412">
            <v>148</v>
          </cell>
          <cell r="G412">
            <v>149</v>
          </cell>
          <cell r="H412">
            <v>101</v>
          </cell>
          <cell r="I412">
            <v>100.5</v>
          </cell>
          <cell r="J412">
            <v>119</v>
          </cell>
          <cell r="K412">
            <v>195.5</v>
          </cell>
          <cell r="L412">
            <v>234</v>
          </cell>
          <cell r="M412">
            <v>273</v>
          </cell>
          <cell r="N412">
            <v>223</v>
          </cell>
          <cell r="O412">
            <v>31</v>
          </cell>
          <cell r="P412">
            <v>171</v>
          </cell>
          <cell r="Q412">
            <v>180</v>
          </cell>
          <cell r="R412">
            <v>239</v>
          </cell>
          <cell r="S412">
            <v>180</v>
          </cell>
          <cell r="T412">
            <v>158.5</v>
          </cell>
          <cell r="U412">
            <v>223</v>
          </cell>
          <cell r="V412">
            <v>173</v>
          </cell>
          <cell r="W412">
            <v>119</v>
          </cell>
          <cell r="X412">
            <v>273</v>
          </cell>
          <cell r="Y412">
            <v>211</v>
          </cell>
          <cell r="Z412">
            <v>98</v>
          </cell>
          <cell r="AA412">
            <v>140</v>
          </cell>
          <cell r="AB412">
            <v>185</v>
          </cell>
          <cell r="AC412">
            <v>117</v>
          </cell>
          <cell r="AD412">
            <v>56</v>
          </cell>
          <cell r="AE412">
            <v>25</v>
          </cell>
          <cell r="AF412">
            <v>187</v>
          </cell>
          <cell r="AG412">
            <v>156</v>
          </cell>
          <cell r="AH412">
            <v>226</v>
          </cell>
          <cell r="AI412">
            <v>356.5</v>
          </cell>
          <cell r="AJ412">
            <v>152</v>
          </cell>
          <cell r="AK412">
            <v>154</v>
          </cell>
          <cell r="AL412">
            <v>131</v>
          </cell>
          <cell r="AM412">
            <v>85</v>
          </cell>
          <cell r="AN412">
            <v>123</v>
          </cell>
          <cell r="AO412">
            <v>162</v>
          </cell>
          <cell r="AP412">
            <v>202</v>
          </cell>
          <cell r="AQ412">
            <v>127</v>
          </cell>
          <cell r="AR412">
            <v>82</v>
          </cell>
          <cell r="AS412">
            <v>130</v>
          </cell>
          <cell r="AT412">
            <v>108</v>
          </cell>
          <cell r="AU412">
            <v>146</v>
          </cell>
          <cell r="AV412">
            <v>142</v>
          </cell>
          <cell r="AW412">
            <v>143</v>
          </cell>
          <cell r="AX412">
            <v>98.5</v>
          </cell>
          <cell r="AY412">
            <v>165</v>
          </cell>
          <cell r="AZ412">
            <v>87</v>
          </cell>
          <cell r="BA412">
            <v>111.5</v>
          </cell>
          <cell r="BB412">
            <v>281</v>
          </cell>
          <cell r="BC412">
            <v>135</v>
          </cell>
          <cell r="BD412">
            <v>194.69</v>
          </cell>
          <cell r="BE412">
            <v>150</v>
          </cell>
          <cell r="BF412">
            <v>169</v>
          </cell>
          <cell r="BG412">
            <v>158</v>
          </cell>
          <cell r="BH412">
            <v>176</v>
          </cell>
          <cell r="BI412">
            <v>173</v>
          </cell>
          <cell r="BJ412">
            <v>188</v>
          </cell>
          <cell r="BK412">
            <v>176</v>
          </cell>
          <cell r="BL412">
            <v>210</v>
          </cell>
          <cell r="BM412">
            <v>194</v>
          </cell>
          <cell r="BN412">
            <v>139</v>
          </cell>
          <cell r="BO412">
            <v>138</v>
          </cell>
          <cell r="BP412">
            <v>57</v>
          </cell>
          <cell r="BQ412">
            <v>216</v>
          </cell>
          <cell r="BR412">
            <v>272</v>
          </cell>
          <cell r="BS412">
            <v>188</v>
          </cell>
          <cell r="BT412">
            <v>152</v>
          </cell>
          <cell r="BU412">
            <v>193</v>
          </cell>
          <cell r="BV412">
            <v>110</v>
          </cell>
          <cell r="BW412">
            <v>174</v>
          </cell>
          <cell r="BX412">
            <v>80</v>
          </cell>
          <cell r="BY412">
            <v>100</v>
          </cell>
          <cell r="BZ412">
            <v>273</v>
          </cell>
          <cell r="CA412">
            <v>157</v>
          </cell>
          <cell r="CB412">
            <v>107</v>
          </cell>
          <cell r="CC412">
            <v>206.5</v>
          </cell>
          <cell r="CD412">
            <v>92</v>
          </cell>
          <cell r="CE412">
            <v>61</v>
          </cell>
          <cell r="CF412">
            <v>25</v>
          </cell>
          <cell r="CG412">
            <v>132</v>
          </cell>
          <cell r="CH412">
            <v>137</v>
          </cell>
          <cell r="CI412">
            <v>202</v>
          </cell>
          <cell r="CJ412">
            <v>157</v>
          </cell>
          <cell r="CK412">
            <v>241</v>
          </cell>
          <cell r="CL412">
            <v>128</v>
          </cell>
          <cell r="CM412">
            <v>132</v>
          </cell>
          <cell r="CN412">
            <v>147</v>
          </cell>
          <cell r="CO412">
            <v>187</v>
          </cell>
          <cell r="CP412">
            <v>152</v>
          </cell>
          <cell r="CQ412">
            <v>149</v>
          </cell>
          <cell r="CR412">
            <v>159</v>
          </cell>
          <cell r="CS412">
            <v>156</v>
          </cell>
          <cell r="CT412">
            <v>202</v>
          </cell>
          <cell r="CU412">
            <v>198</v>
          </cell>
          <cell r="CV412">
            <v>172</v>
          </cell>
          <cell r="CW412">
            <v>119</v>
          </cell>
          <cell r="CX412">
            <v>188</v>
          </cell>
          <cell r="CY412">
            <v>192</v>
          </cell>
          <cell r="CZ412">
            <v>171</v>
          </cell>
          <cell r="DA412">
            <v>177</v>
          </cell>
          <cell r="DB412" t="str">
            <v>ACTIVO</v>
          </cell>
          <cell r="DC412" t="str">
            <v/>
          </cell>
          <cell r="DE412">
            <v>157.41176470588235</v>
          </cell>
          <cell r="DF412">
            <v>26.235294117647058</v>
          </cell>
          <cell r="DG412">
            <v>60.325061936791997</v>
          </cell>
          <cell r="DH412">
            <v>0</v>
          </cell>
          <cell r="DI412" t="str">
            <v>0</v>
          </cell>
          <cell r="DJ412">
            <v>0</v>
          </cell>
          <cell r="DK412" t="str">
            <v>INACTIVO</v>
          </cell>
          <cell r="DL412">
            <v>0</v>
          </cell>
          <cell r="DM412">
            <v>52.470588235294116</v>
          </cell>
          <cell r="DN412">
            <v>52.470588235294116</v>
          </cell>
        </row>
        <row r="413">
          <cell r="B413">
            <v>405507</v>
          </cell>
          <cell r="C413" t="str">
            <v>OREO MEDIUM CRUMBS (TROZOS) ALCA</v>
          </cell>
          <cell r="AO413">
            <v>60</v>
          </cell>
          <cell r="AP413">
            <v>12</v>
          </cell>
          <cell r="AQ413">
            <v>108</v>
          </cell>
          <cell r="AU413">
            <v>56</v>
          </cell>
          <cell r="AY413">
            <v>64</v>
          </cell>
          <cell r="AZ413">
            <v>60</v>
          </cell>
          <cell r="BD413">
            <v>348</v>
          </cell>
          <cell r="BF413">
            <v>52</v>
          </cell>
          <cell r="BG413">
            <v>36</v>
          </cell>
          <cell r="BL413">
            <v>44</v>
          </cell>
          <cell r="BM413">
            <v>44</v>
          </cell>
          <cell r="BN413">
            <v>76</v>
          </cell>
          <cell r="BQ413">
            <v>80</v>
          </cell>
          <cell r="BR413">
            <v>80</v>
          </cell>
          <cell r="BT413">
            <v>88</v>
          </cell>
          <cell r="BU413">
            <v>48</v>
          </cell>
          <cell r="BX413">
            <v>76</v>
          </cell>
          <cell r="BY413">
            <v>4</v>
          </cell>
          <cell r="CB413">
            <v>40</v>
          </cell>
          <cell r="CG413">
            <v>40</v>
          </cell>
          <cell r="CI413">
            <v>80</v>
          </cell>
          <cell r="CK413">
            <v>92</v>
          </cell>
          <cell r="CL413">
            <v>60</v>
          </cell>
          <cell r="CM413">
            <v>58.92</v>
          </cell>
          <cell r="CN413">
            <v>40</v>
          </cell>
          <cell r="CP413">
            <v>130</v>
          </cell>
          <cell r="CR413">
            <v>60</v>
          </cell>
          <cell r="CS413">
            <v>80</v>
          </cell>
          <cell r="CT413">
            <v>40</v>
          </cell>
          <cell r="CY413">
            <v>80</v>
          </cell>
          <cell r="DB413" t="str">
            <v>ACTIVO</v>
          </cell>
          <cell r="DC413" t="str">
            <v>C</v>
          </cell>
          <cell r="DE413">
            <v>68.092000000000013</v>
          </cell>
          <cell r="DF413">
            <v>11.348666666666668</v>
          </cell>
          <cell r="DG413">
            <v>71.328906240717558</v>
          </cell>
          <cell r="DH413">
            <v>20</v>
          </cell>
          <cell r="DI413">
            <v>106250</v>
          </cell>
          <cell r="DJ413">
            <v>0.29372026082359154</v>
          </cell>
          <cell r="DK413" t="str">
            <v>COMPRAR</v>
          </cell>
          <cell r="DL413">
            <v>34.046000000000006</v>
          </cell>
          <cell r="DM413">
            <v>22.697333333333336</v>
          </cell>
          <cell r="DN413">
            <v>56.743333333333339</v>
          </cell>
        </row>
        <row r="414">
          <cell r="B414">
            <v>405506</v>
          </cell>
          <cell r="C414" t="str">
            <v>GALLETA OREO REGULAR ALCA</v>
          </cell>
          <cell r="AZ414">
            <v>44</v>
          </cell>
          <cell r="BD414">
            <v>204.12</v>
          </cell>
          <cell r="BL414">
            <v>64</v>
          </cell>
          <cell r="DB414" t="str">
            <v>ACTIVO</v>
          </cell>
          <cell r="DC414" t="str">
            <v>C</v>
          </cell>
          <cell r="DE414">
            <v>0</v>
          </cell>
          <cell r="DF414">
            <v>0</v>
          </cell>
          <cell r="DG414">
            <v>87.246803952924253</v>
          </cell>
          <cell r="DH414">
            <v>0</v>
          </cell>
          <cell r="DI414" t="str">
            <v>0</v>
          </cell>
          <cell r="DJ414">
            <v>0</v>
          </cell>
          <cell r="DK414" t="str">
            <v>COMPRAR</v>
          </cell>
          <cell r="DL414">
            <v>0</v>
          </cell>
          <cell r="DM414">
            <v>0</v>
          </cell>
          <cell r="DN414">
            <v>0</v>
          </cell>
        </row>
        <row r="415">
          <cell r="B415">
            <v>107335</v>
          </cell>
          <cell r="C415" t="str">
            <v>GALLETA VINO NESTLE</v>
          </cell>
          <cell r="AZ415">
            <v>86.19</v>
          </cell>
          <cell r="BA415">
            <v>11.09</v>
          </cell>
          <cell r="BO415">
            <v>45.84</v>
          </cell>
          <cell r="BQ415">
            <v>98.6</v>
          </cell>
          <cell r="BR415">
            <v>40</v>
          </cell>
          <cell r="BS415">
            <v>46.91</v>
          </cell>
          <cell r="BT415">
            <v>20</v>
          </cell>
          <cell r="BU415">
            <v>60</v>
          </cell>
          <cell r="BV415">
            <v>121.6</v>
          </cell>
          <cell r="BW415">
            <v>60</v>
          </cell>
          <cell r="BX415">
            <v>40</v>
          </cell>
          <cell r="BY415">
            <v>138.4</v>
          </cell>
          <cell r="CU415">
            <v>6.36</v>
          </cell>
          <cell r="CV415">
            <v>127.92</v>
          </cell>
          <cell r="DB415" t="str">
            <v>ACTIVO</v>
          </cell>
          <cell r="DC415" t="str">
            <v>C</v>
          </cell>
          <cell r="DE415">
            <v>67.14</v>
          </cell>
          <cell r="DF415">
            <v>11.19</v>
          </cell>
          <cell r="DG415">
            <v>39.409233833755721</v>
          </cell>
          <cell r="DH415">
            <v>395.8</v>
          </cell>
          <cell r="DI415">
            <v>1698108.656</v>
          </cell>
          <cell r="DJ415">
            <v>5.8951444742329464</v>
          </cell>
          <cell r="DK415" t="str">
            <v>OK</v>
          </cell>
          <cell r="DL415">
            <v>22.38</v>
          </cell>
          <cell r="DM415">
            <v>22.38</v>
          </cell>
          <cell r="DN415">
            <v>44.76</v>
          </cell>
        </row>
        <row r="416">
          <cell r="B416">
            <v>405333</v>
          </cell>
          <cell r="C416" t="str">
            <v>GALLETA OREO REGULAR BEZANILLA</v>
          </cell>
          <cell r="D416">
            <v>60.263999999999996</v>
          </cell>
          <cell r="E416">
            <v>64.8</v>
          </cell>
          <cell r="F416">
            <v>64.8</v>
          </cell>
          <cell r="G416">
            <v>60.48</v>
          </cell>
          <cell r="H416">
            <v>54</v>
          </cell>
          <cell r="I416">
            <v>3.6720000000000002</v>
          </cell>
          <cell r="J416">
            <v>55.08</v>
          </cell>
          <cell r="K416">
            <v>54</v>
          </cell>
          <cell r="L416">
            <v>62.64</v>
          </cell>
          <cell r="M416">
            <v>47.52</v>
          </cell>
          <cell r="Q416">
            <v>45.36</v>
          </cell>
          <cell r="DB416" t="str">
            <v>SIN USO</v>
          </cell>
          <cell r="DC416" t="str">
            <v/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 t="str">
            <v>0</v>
          </cell>
          <cell r="DJ416">
            <v>0</v>
          </cell>
          <cell r="DK416" t="str">
            <v>INACTIVO</v>
          </cell>
          <cell r="DL416">
            <v>0</v>
          </cell>
          <cell r="DM416">
            <v>0</v>
          </cell>
          <cell r="DN416">
            <v>0</v>
          </cell>
        </row>
        <row r="417">
          <cell r="B417">
            <v>405334</v>
          </cell>
          <cell r="C417" t="str">
            <v>OREO MEDIUM CRUMBS (TROZOS) BEZANILLA</v>
          </cell>
          <cell r="D417">
            <v>120</v>
          </cell>
          <cell r="E417">
            <v>172</v>
          </cell>
          <cell r="F417">
            <v>144</v>
          </cell>
          <cell r="G417">
            <v>132</v>
          </cell>
          <cell r="H417">
            <v>120</v>
          </cell>
          <cell r="I417">
            <v>24</v>
          </cell>
          <cell r="J417">
            <v>140</v>
          </cell>
          <cell r="K417">
            <v>148</v>
          </cell>
          <cell r="L417">
            <v>128</v>
          </cell>
          <cell r="M417">
            <v>64</v>
          </cell>
          <cell r="N417">
            <v>96</v>
          </cell>
          <cell r="O417">
            <v>44</v>
          </cell>
          <cell r="P417">
            <v>120</v>
          </cell>
          <cell r="Q417">
            <v>132</v>
          </cell>
          <cell r="R417">
            <v>84</v>
          </cell>
          <cell r="U417">
            <v>128</v>
          </cell>
          <cell r="V417">
            <v>96</v>
          </cell>
          <cell r="Y417">
            <v>120</v>
          </cell>
          <cell r="Z417">
            <v>120</v>
          </cell>
          <cell r="AE417">
            <v>56</v>
          </cell>
          <cell r="AH417">
            <v>40</v>
          </cell>
          <cell r="AL417">
            <v>40</v>
          </cell>
          <cell r="AO417">
            <v>20</v>
          </cell>
          <cell r="DB417" t="str">
            <v>ACTIVO</v>
          </cell>
          <cell r="DC417" t="str">
            <v>C</v>
          </cell>
          <cell r="DE417">
            <v>0</v>
          </cell>
          <cell r="DF417">
            <v>0</v>
          </cell>
          <cell r="DG417">
            <v>14.742229591663987</v>
          </cell>
          <cell r="DH417">
            <v>0</v>
          </cell>
          <cell r="DI417" t="str">
            <v>0</v>
          </cell>
          <cell r="DJ417">
            <v>0</v>
          </cell>
          <cell r="DK417" t="str">
            <v>COMPRAR</v>
          </cell>
          <cell r="DL417">
            <v>0</v>
          </cell>
          <cell r="DM417">
            <v>0</v>
          </cell>
          <cell r="DN417">
            <v>0</v>
          </cell>
        </row>
        <row r="418">
          <cell r="B418">
            <v>107336</v>
          </cell>
          <cell r="C418" t="str">
            <v>GALLETA VINO CAROZZI</v>
          </cell>
          <cell r="D418">
            <v>80</v>
          </cell>
          <cell r="F418">
            <v>60</v>
          </cell>
          <cell r="G418">
            <v>56.052</v>
          </cell>
          <cell r="H418">
            <v>3.24</v>
          </cell>
          <cell r="I418">
            <v>60</v>
          </cell>
          <cell r="J418">
            <v>140</v>
          </cell>
          <cell r="T418">
            <v>19.52</v>
          </cell>
          <cell r="AI418">
            <v>94.88000000000001</v>
          </cell>
          <cell r="AJ418">
            <v>50</v>
          </cell>
          <cell r="AK418">
            <v>80</v>
          </cell>
          <cell r="AL418">
            <v>120</v>
          </cell>
          <cell r="AN418">
            <v>200</v>
          </cell>
          <cell r="AP418">
            <v>220</v>
          </cell>
          <cell r="AQ418">
            <v>79.84</v>
          </cell>
          <cell r="AS418">
            <v>169.92000000000002</v>
          </cell>
          <cell r="AT418">
            <v>40</v>
          </cell>
          <cell r="AU418">
            <v>40</v>
          </cell>
          <cell r="AX418">
            <v>57.2</v>
          </cell>
          <cell r="AY418">
            <v>118.72</v>
          </cell>
          <cell r="AZ418">
            <v>53.92</v>
          </cell>
          <cell r="BA418">
            <v>49.92</v>
          </cell>
          <cell r="BB418">
            <v>64.959999999999994</v>
          </cell>
          <cell r="BC418">
            <v>114.875</v>
          </cell>
          <cell r="BD418">
            <v>34.880000000000003</v>
          </cell>
          <cell r="BE418">
            <v>34.880000000000003</v>
          </cell>
          <cell r="BF418">
            <v>94.88</v>
          </cell>
          <cell r="BG418">
            <v>20</v>
          </cell>
          <cell r="BI418">
            <v>44.96</v>
          </cell>
          <cell r="BJ418">
            <v>174.92000000000002</v>
          </cell>
          <cell r="BK418">
            <v>44.96</v>
          </cell>
          <cell r="BM418">
            <v>64.800000000000011</v>
          </cell>
          <cell r="BN418">
            <v>80</v>
          </cell>
          <cell r="BO418">
            <v>74.16</v>
          </cell>
          <cell r="BR418">
            <v>20</v>
          </cell>
          <cell r="BS418">
            <v>23.32</v>
          </cell>
          <cell r="BX418">
            <v>60</v>
          </cell>
          <cell r="BY418">
            <v>121.6</v>
          </cell>
          <cell r="BZ418">
            <v>7.84</v>
          </cell>
          <cell r="CA418">
            <v>79.989999999999995</v>
          </cell>
          <cell r="CE418">
            <v>40</v>
          </cell>
          <cell r="CG418">
            <v>60</v>
          </cell>
          <cell r="CI418">
            <v>40</v>
          </cell>
          <cell r="CJ418">
            <v>40</v>
          </cell>
          <cell r="CK418">
            <v>20</v>
          </cell>
          <cell r="CL418">
            <v>80</v>
          </cell>
          <cell r="CN418">
            <v>40</v>
          </cell>
          <cell r="CS418">
            <v>120.8</v>
          </cell>
          <cell r="CT418">
            <v>160</v>
          </cell>
          <cell r="CU418">
            <v>28.72</v>
          </cell>
          <cell r="DB418" t="str">
            <v>ACTIVO</v>
          </cell>
          <cell r="DC418" t="str">
            <v>C</v>
          </cell>
          <cell r="DE418">
            <v>65.502222222222215</v>
          </cell>
          <cell r="DF418">
            <v>10.917037037037035</v>
          </cell>
          <cell r="DG418">
            <v>52.530065733500713</v>
          </cell>
          <cell r="DH418">
            <v>0</v>
          </cell>
          <cell r="DI418" t="str">
            <v>0</v>
          </cell>
          <cell r="DJ418">
            <v>0</v>
          </cell>
          <cell r="DK418" t="str">
            <v>COMPRAR</v>
          </cell>
          <cell r="DL418">
            <v>32.751111111111108</v>
          </cell>
          <cell r="DM418">
            <v>21.834074074074071</v>
          </cell>
          <cell r="DN418">
            <v>54.585185185185182</v>
          </cell>
        </row>
        <row r="419">
          <cell r="B419">
            <v>107343</v>
          </cell>
          <cell r="C419" t="str">
            <v>OREO SMALL CRUMBS 500 GRS</v>
          </cell>
          <cell r="D419">
            <v>24</v>
          </cell>
          <cell r="DB419" t="str">
            <v>SIN USO</v>
          </cell>
          <cell r="DC419" t="str">
            <v/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 t="str">
            <v>0</v>
          </cell>
          <cell r="DJ419">
            <v>0</v>
          </cell>
          <cell r="DK419" t="str">
            <v>INACTIVO</v>
          </cell>
          <cell r="DL419">
            <v>0</v>
          </cell>
          <cell r="DM419">
            <v>0</v>
          </cell>
          <cell r="DN419">
            <v>0</v>
          </cell>
        </row>
        <row r="420">
          <cell r="D420">
            <v>284.26400000000001</v>
          </cell>
          <cell r="E420">
            <v>236.8</v>
          </cell>
          <cell r="F420">
            <v>268.8</v>
          </cell>
          <cell r="G420">
            <v>248.53199999999998</v>
          </cell>
          <cell r="H420">
            <v>177.24</v>
          </cell>
          <cell r="I420">
            <v>87.671999999999997</v>
          </cell>
          <cell r="J420">
            <v>335.08</v>
          </cell>
          <cell r="K420">
            <v>202</v>
          </cell>
          <cell r="L420">
            <v>190.64</v>
          </cell>
          <cell r="M420">
            <v>111.52000000000001</v>
          </cell>
          <cell r="N420">
            <v>96</v>
          </cell>
          <cell r="O420">
            <v>44</v>
          </cell>
          <cell r="P420">
            <v>120</v>
          </cell>
          <cell r="Q420">
            <v>177.36</v>
          </cell>
          <cell r="R420">
            <v>84</v>
          </cell>
          <cell r="T420">
            <v>19.52</v>
          </cell>
          <cell r="U420">
            <v>128</v>
          </cell>
          <cell r="V420">
            <v>96</v>
          </cell>
          <cell r="Y420">
            <v>120</v>
          </cell>
          <cell r="Z420">
            <v>120</v>
          </cell>
          <cell r="AE420">
            <v>56</v>
          </cell>
          <cell r="AH420">
            <v>40</v>
          </cell>
          <cell r="AI420">
            <v>94.88000000000001</v>
          </cell>
          <cell r="AJ420">
            <v>50</v>
          </cell>
          <cell r="AK420">
            <v>80</v>
          </cell>
          <cell r="AL420">
            <v>160</v>
          </cell>
          <cell r="AN420">
            <v>200</v>
          </cell>
          <cell r="AO420">
            <v>80</v>
          </cell>
          <cell r="AP420">
            <v>232</v>
          </cell>
          <cell r="AQ420">
            <v>187.84</v>
          </cell>
          <cell r="AS420">
            <v>169.92000000000002</v>
          </cell>
          <cell r="AT420">
            <v>40</v>
          </cell>
          <cell r="AU420">
            <v>96</v>
          </cell>
          <cell r="AX420">
            <v>57.2</v>
          </cell>
          <cell r="AY420">
            <v>182.72</v>
          </cell>
          <cell r="AZ420">
            <v>244.11</v>
          </cell>
          <cell r="BA420">
            <v>61.010000000000005</v>
          </cell>
          <cell r="BB420">
            <v>64.959999999999994</v>
          </cell>
          <cell r="BC420">
            <v>114.875</v>
          </cell>
          <cell r="BD420">
            <v>587</v>
          </cell>
          <cell r="BE420">
            <v>34.880000000000003</v>
          </cell>
          <cell r="BF420">
            <v>146.88</v>
          </cell>
          <cell r="BG420">
            <v>56</v>
          </cell>
          <cell r="BI420">
            <v>44.96</v>
          </cell>
          <cell r="BJ420">
            <v>174.92000000000002</v>
          </cell>
          <cell r="BK420">
            <v>44.96</v>
          </cell>
          <cell r="BL420">
            <v>108</v>
          </cell>
          <cell r="BM420">
            <v>108.80000000000001</v>
          </cell>
          <cell r="BN420">
            <v>156</v>
          </cell>
          <cell r="BO420">
            <v>120</v>
          </cell>
          <cell r="BQ420">
            <v>178.6</v>
          </cell>
          <cell r="BR420">
            <v>140</v>
          </cell>
          <cell r="BS420">
            <v>70.22999999999999</v>
          </cell>
          <cell r="BT420">
            <v>108</v>
          </cell>
          <cell r="BU420">
            <v>108</v>
          </cell>
          <cell r="BV420">
            <v>121.6</v>
          </cell>
          <cell r="BW420">
            <v>60</v>
          </cell>
          <cell r="BX420">
            <v>176</v>
          </cell>
          <cell r="BY420">
            <v>264</v>
          </cell>
          <cell r="BZ420">
            <v>7.84</v>
          </cell>
          <cell r="CA420">
            <v>79.989999999999995</v>
          </cell>
          <cell r="CB420">
            <v>40</v>
          </cell>
          <cell r="CE420">
            <v>40</v>
          </cell>
          <cell r="CG420">
            <v>100</v>
          </cell>
          <cell r="CI420">
            <v>120</v>
          </cell>
          <cell r="CJ420">
            <v>40</v>
          </cell>
          <cell r="CK420">
            <v>112</v>
          </cell>
          <cell r="CL420">
            <v>140</v>
          </cell>
          <cell r="CM420">
            <v>58.92</v>
          </cell>
          <cell r="CN420">
            <v>80</v>
          </cell>
          <cell r="CP420">
            <v>130</v>
          </cell>
          <cell r="CR420">
            <v>60</v>
          </cell>
          <cell r="CS420">
            <v>200.8</v>
          </cell>
          <cell r="CT420">
            <v>200</v>
          </cell>
          <cell r="CU420">
            <v>35.08</v>
          </cell>
          <cell r="CV420">
            <v>127.92</v>
          </cell>
          <cell r="CY420">
            <v>80</v>
          </cell>
          <cell r="DB420" t="str">
            <v>ACTIVO</v>
          </cell>
          <cell r="DC420" t="str">
            <v/>
          </cell>
          <cell r="DE420">
            <v>108.05538461538461</v>
          </cell>
          <cell r="DF420">
            <v>18.009230769230768</v>
          </cell>
          <cell r="DG420">
            <v>96.447627047221147</v>
          </cell>
          <cell r="DH420">
            <v>0</v>
          </cell>
          <cell r="DI420" t="str">
            <v>0</v>
          </cell>
          <cell r="DJ420">
            <v>0</v>
          </cell>
          <cell r="DK420" t="str">
            <v>INACTIVO</v>
          </cell>
          <cell r="DL420">
            <v>0</v>
          </cell>
          <cell r="DM420">
            <v>36.018461538461537</v>
          </cell>
          <cell r="DN420">
            <v>36.018461538461537</v>
          </cell>
        </row>
        <row r="421">
          <cell r="B421">
            <v>201002</v>
          </cell>
          <cell r="C421" t="str">
            <v>DESMOLDANTE PARA BATIDOS PURATOS</v>
          </cell>
          <cell r="D421">
            <v>560</v>
          </cell>
          <cell r="E421">
            <v>500</v>
          </cell>
          <cell r="F421">
            <v>600</v>
          </cell>
          <cell r="G421">
            <v>540</v>
          </cell>
          <cell r="H421">
            <v>650</v>
          </cell>
          <cell r="I421">
            <v>520</v>
          </cell>
          <cell r="J421">
            <v>560</v>
          </cell>
          <cell r="K421">
            <v>430</v>
          </cell>
          <cell r="L421">
            <v>610</v>
          </cell>
          <cell r="M421">
            <v>510</v>
          </cell>
          <cell r="N421">
            <v>540</v>
          </cell>
          <cell r="O421">
            <v>300</v>
          </cell>
          <cell r="P421">
            <v>410</v>
          </cell>
          <cell r="Q421">
            <v>610</v>
          </cell>
          <cell r="R421">
            <v>480</v>
          </cell>
          <cell r="S421">
            <v>490</v>
          </cell>
          <cell r="T421">
            <v>460</v>
          </cell>
          <cell r="U421">
            <v>630</v>
          </cell>
          <cell r="V421">
            <v>640</v>
          </cell>
          <cell r="W421">
            <v>390</v>
          </cell>
          <cell r="X421">
            <v>530</v>
          </cell>
          <cell r="Y421">
            <v>670</v>
          </cell>
          <cell r="Z421">
            <v>410</v>
          </cell>
          <cell r="AA421">
            <v>420</v>
          </cell>
          <cell r="AB421">
            <v>570</v>
          </cell>
          <cell r="AC421">
            <v>270</v>
          </cell>
          <cell r="AD421">
            <v>170</v>
          </cell>
          <cell r="AE421">
            <v>80</v>
          </cell>
          <cell r="AF421">
            <v>450</v>
          </cell>
          <cell r="AG421">
            <v>360</v>
          </cell>
          <cell r="AH421">
            <v>290</v>
          </cell>
          <cell r="AI421">
            <v>450</v>
          </cell>
          <cell r="AJ421">
            <v>430</v>
          </cell>
          <cell r="AK421">
            <v>400</v>
          </cell>
          <cell r="AL421">
            <v>490</v>
          </cell>
          <cell r="AM421">
            <v>380</v>
          </cell>
          <cell r="AN421">
            <v>390</v>
          </cell>
          <cell r="AO421">
            <v>490</v>
          </cell>
          <cell r="AP421">
            <v>350</v>
          </cell>
          <cell r="AQ421">
            <v>530</v>
          </cell>
          <cell r="AR421">
            <v>680</v>
          </cell>
          <cell r="AS421">
            <v>810</v>
          </cell>
          <cell r="AT421">
            <v>520</v>
          </cell>
          <cell r="AU421">
            <v>410</v>
          </cell>
          <cell r="AV421">
            <v>520</v>
          </cell>
          <cell r="AW421">
            <v>530</v>
          </cell>
          <cell r="AX421">
            <v>570</v>
          </cell>
          <cell r="AY421">
            <v>530</v>
          </cell>
          <cell r="AZ421">
            <v>600</v>
          </cell>
          <cell r="BA421">
            <v>650</v>
          </cell>
          <cell r="BB421">
            <v>630</v>
          </cell>
          <cell r="BC421">
            <v>600</v>
          </cell>
          <cell r="BD421">
            <v>530</v>
          </cell>
          <cell r="BE421">
            <v>620</v>
          </cell>
          <cell r="BF421">
            <v>410</v>
          </cell>
          <cell r="BG421">
            <v>470</v>
          </cell>
          <cell r="BH421">
            <v>590</v>
          </cell>
          <cell r="BI421">
            <v>480</v>
          </cell>
          <cell r="BJ421">
            <v>500</v>
          </cell>
          <cell r="BK421">
            <v>480</v>
          </cell>
          <cell r="BL421">
            <v>490</v>
          </cell>
          <cell r="BM421">
            <v>520</v>
          </cell>
          <cell r="BN421">
            <v>530</v>
          </cell>
          <cell r="BO421">
            <v>600</v>
          </cell>
          <cell r="BP421">
            <v>230</v>
          </cell>
          <cell r="BQ421">
            <v>640</v>
          </cell>
          <cell r="BR421">
            <v>390</v>
          </cell>
          <cell r="BS421">
            <v>560</v>
          </cell>
          <cell r="BT421">
            <v>310</v>
          </cell>
          <cell r="BU421">
            <v>320</v>
          </cell>
          <cell r="BV421">
            <v>210</v>
          </cell>
          <cell r="BW421">
            <v>420</v>
          </cell>
          <cell r="BX421">
            <v>220</v>
          </cell>
          <cell r="BY421">
            <v>270</v>
          </cell>
          <cell r="BZ421">
            <v>270</v>
          </cell>
          <cell r="CA421">
            <v>290</v>
          </cell>
          <cell r="CB421">
            <v>290</v>
          </cell>
          <cell r="CC421">
            <v>460</v>
          </cell>
          <cell r="CD421">
            <v>340</v>
          </cell>
          <cell r="CE421">
            <v>270</v>
          </cell>
          <cell r="CF421">
            <v>150</v>
          </cell>
          <cell r="CG421">
            <v>430</v>
          </cell>
          <cell r="CH421">
            <v>350</v>
          </cell>
          <cell r="CI421">
            <v>520</v>
          </cell>
          <cell r="CJ421">
            <v>370</v>
          </cell>
          <cell r="CK421">
            <v>450</v>
          </cell>
          <cell r="CL421">
            <v>430</v>
          </cell>
          <cell r="CM421">
            <v>390</v>
          </cell>
          <cell r="CN421">
            <v>410</v>
          </cell>
          <cell r="CO421">
            <v>340</v>
          </cell>
          <cell r="CP421">
            <v>390</v>
          </cell>
          <cell r="CQ421">
            <v>430</v>
          </cell>
          <cell r="CR421">
            <v>490</v>
          </cell>
          <cell r="CS421">
            <v>310</v>
          </cell>
          <cell r="CT421">
            <v>450</v>
          </cell>
          <cell r="CU421">
            <v>470</v>
          </cell>
          <cell r="CV421">
            <v>490</v>
          </cell>
          <cell r="CW421">
            <v>300</v>
          </cell>
          <cell r="CX421">
            <v>260</v>
          </cell>
          <cell r="CY421">
            <v>330</v>
          </cell>
          <cell r="CZ421">
            <v>430</v>
          </cell>
          <cell r="DA421">
            <v>540</v>
          </cell>
          <cell r="DB421" t="str">
            <v>ACTIVO</v>
          </cell>
          <cell r="DC421" t="str">
            <v>A</v>
          </cell>
          <cell r="DE421">
            <v>404.11764705882354</v>
          </cell>
          <cell r="DF421">
            <v>67.352941176470594</v>
          </cell>
          <cell r="DG421">
            <v>141.78803247751961</v>
          </cell>
          <cell r="DH421">
            <v>2050</v>
          </cell>
          <cell r="DI421">
            <v>6580500</v>
          </cell>
          <cell r="DJ421">
            <v>5.0727802037845704</v>
          </cell>
          <cell r="DK421" t="str">
            <v>OK</v>
          </cell>
          <cell r="DL421">
            <v>269.41176470588238</v>
          </cell>
          <cell r="DM421">
            <v>134.70588235294119</v>
          </cell>
          <cell r="DN421">
            <v>404.11764705882354</v>
          </cell>
        </row>
        <row r="422">
          <cell r="D422">
            <v>560</v>
          </cell>
          <cell r="E422">
            <v>500</v>
          </cell>
          <cell r="F422">
            <v>600</v>
          </cell>
          <cell r="G422">
            <v>540</v>
          </cell>
          <cell r="H422">
            <v>650</v>
          </cell>
          <cell r="I422">
            <v>520</v>
          </cell>
          <cell r="J422">
            <v>560</v>
          </cell>
          <cell r="K422">
            <v>430</v>
          </cell>
          <cell r="L422">
            <v>610</v>
          </cell>
          <cell r="M422">
            <v>510</v>
          </cell>
          <cell r="N422">
            <v>540</v>
          </cell>
          <cell r="O422">
            <v>300</v>
          </cell>
          <cell r="P422">
            <v>410</v>
          </cell>
          <cell r="Q422">
            <v>610</v>
          </cell>
          <cell r="R422">
            <v>480</v>
          </cell>
          <cell r="S422">
            <v>490</v>
          </cell>
          <cell r="T422">
            <v>460</v>
          </cell>
          <cell r="U422">
            <v>630</v>
          </cell>
          <cell r="V422">
            <v>640</v>
          </cell>
          <cell r="W422">
            <v>390</v>
          </cell>
          <cell r="X422">
            <v>530</v>
          </cell>
          <cell r="Y422">
            <v>670</v>
          </cell>
          <cell r="Z422">
            <v>410</v>
          </cell>
          <cell r="AA422">
            <v>420</v>
          </cell>
          <cell r="AB422">
            <v>570</v>
          </cell>
          <cell r="AC422">
            <v>270</v>
          </cell>
          <cell r="AD422">
            <v>170</v>
          </cell>
          <cell r="AE422">
            <v>80</v>
          </cell>
          <cell r="AF422">
            <v>450</v>
          </cell>
          <cell r="AG422">
            <v>360</v>
          </cell>
          <cell r="AH422">
            <v>290</v>
          </cell>
          <cell r="AI422">
            <v>450</v>
          </cell>
          <cell r="AJ422">
            <v>430</v>
          </cell>
          <cell r="AK422">
            <v>400</v>
          </cell>
          <cell r="AL422">
            <v>490</v>
          </cell>
          <cell r="AM422">
            <v>380</v>
          </cell>
          <cell r="AN422">
            <v>390</v>
          </cell>
          <cell r="AO422">
            <v>490</v>
          </cell>
          <cell r="AP422">
            <v>350</v>
          </cell>
          <cell r="AQ422">
            <v>530</v>
          </cell>
          <cell r="AR422">
            <v>680</v>
          </cell>
          <cell r="AS422">
            <v>810</v>
          </cell>
          <cell r="AT422">
            <v>520</v>
          </cell>
          <cell r="AU422">
            <v>410</v>
          </cell>
          <cell r="AV422">
            <v>520</v>
          </cell>
          <cell r="AW422">
            <v>530</v>
          </cell>
          <cell r="AX422">
            <v>570</v>
          </cell>
          <cell r="AY422">
            <v>530</v>
          </cell>
          <cell r="AZ422">
            <v>600</v>
          </cell>
          <cell r="BA422">
            <v>650</v>
          </cell>
          <cell r="BB422">
            <v>630</v>
          </cell>
          <cell r="BC422">
            <v>600</v>
          </cell>
          <cell r="BD422">
            <v>530</v>
          </cell>
          <cell r="BE422">
            <v>620</v>
          </cell>
          <cell r="BF422">
            <v>410</v>
          </cell>
          <cell r="BG422">
            <v>470</v>
          </cell>
          <cell r="BH422">
            <v>590</v>
          </cell>
          <cell r="BI422">
            <v>480</v>
          </cell>
          <cell r="BJ422">
            <v>500</v>
          </cell>
          <cell r="BK422">
            <v>480</v>
          </cell>
          <cell r="BL422">
            <v>490</v>
          </cell>
          <cell r="BM422">
            <v>520</v>
          </cell>
          <cell r="BN422">
            <v>530</v>
          </cell>
          <cell r="BO422">
            <v>600</v>
          </cell>
          <cell r="BP422">
            <v>230</v>
          </cell>
          <cell r="BQ422">
            <v>640</v>
          </cell>
          <cell r="BR422">
            <v>390</v>
          </cell>
          <cell r="BS422">
            <v>560</v>
          </cell>
          <cell r="BT422">
            <v>310</v>
          </cell>
          <cell r="BU422">
            <v>320</v>
          </cell>
          <cell r="BV422">
            <v>210</v>
          </cell>
          <cell r="BW422">
            <v>420</v>
          </cell>
          <cell r="BX422">
            <v>220</v>
          </cell>
          <cell r="BY422">
            <v>270</v>
          </cell>
          <cell r="BZ422">
            <v>270</v>
          </cell>
          <cell r="CA422">
            <v>290</v>
          </cell>
          <cell r="CB422">
            <v>290</v>
          </cell>
          <cell r="CC422">
            <v>460</v>
          </cell>
          <cell r="CD422">
            <v>340</v>
          </cell>
          <cell r="CE422">
            <v>270</v>
          </cell>
          <cell r="CF422">
            <v>150</v>
          </cell>
          <cell r="CG422">
            <v>430</v>
          </cell>
          <cell r="CH422">
            <v>350</v>
          </cell>
          <cell r="CI422">
            <v>520</v>
          </cell>
          <cell r="CJ422">
            <v>370</v>
          </cell>
          <cell r="CK422">
            <v>450</v>
          </cell>
          <cell r="CL422">
            <v>430</v>
          </cell>
          <cell r="CM422">
            <v>390</v>
          </cell>
          <cell r="CN422">
            <v>410</v>
          </cell>
          <cell r="CO422">
            <v>340</v>
          </cell>
          <cell r="CP422">
            <v>390</v>
          </cell>
          <cell r="CQ422">
            <v>430</v>
          </cell>
          <cell r="CR422">
            <v>490</v>
          </cell>
          <cell r="CS422">
            <v>310</v>
          </cell>
          <cell r="CT422">
            <v>450</v>
          </cell>
          <cell r="CU422">
            <v>470</v>
          </cell>
          <cell r="CV422">
            <v>490</v>
          </cell>
          <cell r="CW422">
            <v>300</v>
          </cell>
          <cell r="CX422">
            <v>260</v>
          </cell>
          <cell r="CY422">
            <v>330</v>
          </cell>
          <cell r="CZ422">
            <v>430</v>
          </cell>
          <cell r="DA422">
            <v>540</v>
          </cell>
          <cell r="DB422" t="str">
            <v>ACTIVO</v>
          </cell>
          <cell r="DC422" t="str">
            <v/>
          </cell>
          <cell r="DE422">
            <v>404.11764705882354</v>
          </cell>
          <cell r="DF422">
            <v>67.352941176470594</v>
          </cell>
          <cell r="DG422">
            <v>141.78803247751961</v>
          </cell>
          <cell r="DH422">
            <v>0</v>
          </cell>
          <cell r="DI422" t="str">
            <v>0</v>
          </cell>
          <cell r="DJ422">
            <v>0</v>
          </cell>
          <cell r="DK422" t="str">
            <v>INACTIVO</v>
          </cell>
          <cell r="DL422">
            <v>0</v>
          </cell>
          <cell r="DM422">
            <v>134.70588235294119</v>
          </cell>
          <cell r="DN422">
            <v>134.70588235294119</v>
          </cell>
        </row>
        <row r="423">
          <cell r="B423">
            <v>403269</v>
          </cell>
          <cell r="C423" t="str">
            <v>PROPIONATO DE CALCIO 14 KG WINKLER</v>
          </cell>
          <cell r="AO423">
            <v>3.04</v>
          </cell>
          <cell r="AP423">
            <v>1.5359999999999998</v>
          </cell>
          <cell r="AQ423">
            <v>2.8000000000000003</v>
          </cell>
          <cell r="AR423">
            <v>2.8000000000000003</v>
          </cell>
          <cell r="AS423">
            <v>2.56</v>
          </cell>
          <cell r="AT423">
            <v>3.04</v>
          </cell>
          <cell r="AU423">
            <v>2</v>
          </cell>
          <cell r="AV423">
            <v>2.4800000000000004</v>
          </cell>
          <cell r="AW423">
            <v>2.8000000000000003</v>
          </cell>
          <cell r="AX423">
            <v>3.7600000000000002</v>
          </cell>
          <cell r="AY423">
            <v>1.6800000000000002</v>
          </cell>
          <cell r="AZ423">
            <v>3.0000000000000004</v>
          </cell>
          <cell r="BA423">
            <v>3.9600000000000004</v>
          </cell>
          <cell r="BB423">
            <v>10.28</v>
          </cell>
          <cell r="BC423">
            <v>5.0000000000000009</v>
          </cell>
          <cell r="BD423">
            <v>3</v>
          </cell>
          <cell r="BE423">
            <v>2.68</v>
          </cell>
          <cell r="BF423">
            <v>3.08</v>
          </cell>
          <cell r="BG423">
            <v>3.4400000000000004</v>
          </cell>
          <cell r="BH423">
            <v>3.28</v>
          </cell>
          <cell r="BI423">
            <v>3.2800000000000002</v>
          </cell>
          <cell r="BJ423">
            <v>3.12</v>
          </cell>
          <cell r="BK423">
            <v>2.3200000000000003</v>
          </cell>
          <cell r="BL423">
            <v>3.44</v>
          </cell>
          <cell r="BM423">
            <v>4.28</v>
          </cell>
          <cell r="BN423">
            <v>2.9200000000000004</v>
          </cell>
          <cell r="BO423">
            <v>2.6</v>
          </cell>
          <cell r="BP423">
            <v>1.6800000000000002</v>
          </cell>
          <cell r="BQ423">
            <v>3.48</v>
          </cell>
          <cell r="BR423">
            <v>1.8399999999999999</v>
          </cell>
          <cell r="BS423">
            <v>4.28</v>
          </cell>
          <cell r="BT423">
            <v>3.8000000000000003</v>
          </cell>
          <cell r="BU423">
            <v>3</v>
          </cell>
          <cell r="BV423">
            <v>3.2800000000000002</v>
          </cell>
          <cell r="BW423">
            <v>1.8800000000000001</v>
          </cell>
          <cell r="BX423">
            <v>9.2800000000000011</v>
          </cell>
          <cell r="BY423">
            <v>2.7199999999999998</v>
          </cell>
          <cell r="BZ423">
            <v>7.12</v>
          </cell>
          <cell r="CA423">
            <v>2.2799999999999998</v>
          </cell>
          <cell r="CB423">
            <v>2.3200000000000003</v>
          </cell>
          <cell r="CC423">
            <v>2.2000000000000002</v>
          </cell>
          <cell r="CD423">
            <v>1.9600000000000002</v>
          </cell>
          <cell r="CG423">
            <v>3.9600000000000004</v>
          </cell>
          <cell r="CH423">
            <v>2.7600000000000002</v>
          </cell>
          <cell r="CI423">
            <v>3.12</v>
          </cell>
          <cell r="CJ423">
            <v>2.4000000000000004</v>
          </cell>
          <cell r="CK423">
            <v>2.9200000000000004</v>
          </cell>
          <cell r="CL423">
            <v>1.52</v>
          </cell>
          <cell r="CM423">
            <v>2.4000000000000004</v>
          </cell>
          <cell r="CN423">
            <v>3.0400000000000005</v>
          </cell>
          <cell r="CO423">
            <v>1.9200000000000004</v>
          </cell>
          <cell r="CP423">
            <v>1.9600000000000004</v>
          </cell>
          <cell r="CQ423">
            <v>2.0000000000000004</v>
          </cell>
          <cell r="CR423">
            <v>2.4800000000000004</v>
          </cell>
          <cell r="CS423">
            <v>1.4000000000000004</v>
          </cell>
          <cell r="CT423">
            <v>2.5600000000000005</v>
          </cell>
          <cell r="CU423">
            <v>2.4400000000000004</v>
          </cell>
          <cell r="CV423">
            <v>3.1200000000000006</v>
          </cell>
          <cell r="CW423">
            <v>3.16</v>
          </cell>
          <cell r="CX423">
            <v>2.72</v>
          </cell>
          <cell r="CY423">
            <v>3.8000000000000003</v>
          </cell>
          <cell r="CZ423">
            <v>1.9200000000000004</v>
          </cell>
          <cell r="DA423">
            <v>1.7600000000000002</v>
          </cell>
          <cell r="DB423" t="str">
            <v>ACTIVO</v>
          </cell>
          <cell r="DC423" t="str">
            <v>C</v>
          </cell>
          <cell r="DE423">
            <v>2.5</v>
          </cell>
          <cell r="DF423">
            <v>0.41666666666666669</v>
          </cell>
          <cell r="DG423">
            <v>1.7725478581430936</v>
          </cell>
          <cell r="DH423">
            <v>15</v>
          </cell>
          <cell r="DI423">
            <v>55344</v>
          </cell>
          <cell r="DJ423">
            <v>6</v>
          </cell>
          <cell r="DK423" t="str">
            <v>OK</v>
          </cell>
          <cell r="DL423">
            <v>1.25</v>
          </cell>
          <cell r="DM423">
            <v>0.83333333333333337</v>
          </cell>
          <cell r="DN423">
            <v>2.0833333333333335</v>
          </cell>
        </row>
        <row r="424">
          <cell r="B424">
            <v>102103</v>
          </cell>
          <cell r="C424" t="str">
            <v>PROPIONATO DE SODIO WINKLER</v>
          </cell>
          <cell r="D424">
            <v>2.52</v>
          </cell>
          <cell r="E424">
            <v>1.7999999999999998</v>
          </cell>
          <cell r="F424">
            <v>2.4800000000000004</v>
          </cell>
          <cell r="G424">
            <v>1.7200000000000002</v>
          </cell>
          <cell r="H424">
            <v>2.3200000000000003</v>
          </cell>
          <cell r="I424">
            <v>1.6800000000000002</v>
          </cell>
          <cell r="J424">
            <v>1.8400000000000003</v>
          </cell>
          <cell r="K424">
            <v>2.3199999999999998</v>
          </cell>
          <cell r="L424">
            <v>4.24</v>
          </cell>
          <cell r="M424">
            <v>2.2000000000000002</v>
          </cell>
          <cell r="N424">
            <v>2.9200000000000004</v>
          </cell>
          <cell r="O424">
            <v>1.044</v>
          </cell>
          <cell r="P424">
            <v>2.8839999999999999</v>
          </cell>
          <cell r="Q424">
            <v>4.16</v>
          </cell>
          <cell r="R424">
            <v>3.9200000000000004</v>
          </cell>
          <cell r="S424">
            <v>3.9600000000000004</v>
          </cell>
          <cell r="T424">
            <v>2.2800000000000002</v>
          </cell>
          <cell r="U424">
            <v>3.3600000000000003</v>
          </cell>
          <cell r="V424">
            <v>3.4400000000000004</v>
          </cell>
          <cell r="W424">
            <v>1.7200000000000002</v>
          </cell>
          <cell r="X424">
            <v>4.5600000000000005</v>
          </cell>
          <cell r="Y424">
            <v>4.16</v>
          </cell>
          <cell r="Z424">
            <v>2.96</v>
          </cell>
          <cell r="AA424">
            <v>2</v>
          </cell>
          <cell r="AB424">
            <v>4.4400000000000004</v>
          </cell>
          <cell r="AC424">
            <v>1.4000000000000001</v>
          </cell>
          <cell r="AD424">
            <v>0.56000000000000005</v>
          </cell>
          <cell r="AE424">
            <v>1.04</v>
          </cell>
          <cell r="AF424">
            <v>10.120000000000001</v>
          </cell>
          <cell r="AG424">
            <v>5.160000000000001</v>
          </cell>
          <cell r="AH424">
            <v>0.04</v>
          </cell>
          <cell r="AI424">
            <v>3.6000000000000005</v>
          </cell>
          <cell r="AJ424">
            <v>1.56</v>
          </cell>
          <cell r="AK424">
            <v>1.1600000000000001</v>
          </cell>
          <cell r="AN424">
            <v>0.44</v>
          </cell>
          <cell r="AO424">
            <v>0.12</v>
          </cell>
          <cell r="AP424">
            <v>0.2</v>
          </cell>
          <cell r="DB424" t="str">
            <v>SIN USO</v>
          </cell>
          <cell r="DC424" t="str">
            <v>C</v>
          </cell>
          <cell r="DE424">
            <v>0</v>
          </cell>
          <cell r="DF424">
            <v>0</v>
          </cell>
          <cell r="DG424">
            <v>3.2001222198882067</v>
          </cell>
          <cell r="DH424">
            <v>0</v>
          </cell>
          <cell r="DI424" t="str">
            <v>0</v>
          </cell>
          <cell r="DJ424">
            <v>0</v>
          </cell>
          <cell r="DK424" t="str">
            <v>INACTIVO</v>
          </cell>
          <cell r="DL424">
            <v>0</v>
          </cell>
          <cell r="DM424">
            <v>0</v>
          </cell>
          <cell r="DN424">
            <v>0</v>
          </cell>
        </row>
        <row r="425">
          <cell r="D425">
            <v>2.52</v>
          </cell>
          <cell r="E425">
            <v>1.7999999999999998</v>
          </cell>
          <cell r="F425">
            <v>2.4800000000000004</v>
          </cell>
          <cell r="G425">
            <v>1.7200000000000002</v>
          </cell>
          <cell r="H425">
            <v>2.3200000000000003</v>
          </cell>
          <cell r="I425">
            <v>1.6800000000000002</v>
          </cell>
          <cell r="J425">
            <v>1.8400000000000003</v>
          </cell>
          <cell r="K425">
            <v>2.3199999999999998</v>
          </cell>
          <cell r="L425">
            <v>4.24</v>
          </cell>
          <cell r="M425">
            <v>2.2000000000000002</v>
          </cell>
          <cell r="N425">
            <v>2.9200000000000004</v>
          </cell>
          <cell r="O425">
            <v>1.044</v>
          </cell>
          <cell r="P425">
            <v>2.8839999999999999</v>
          </cell>
          <cell r="Q425">
            <v>4.16</v>
          </cell>
          <cell r="R425">
            <v>3.9200000000000004</v>
          </cell>
          <cell r="S425">
            <v>3.9600000000000004</v>
          </cell>
          <cell r="T425">
            <v>2.2800000000000002</v>
          </cell>
          <cell r="U425">
            <v>3.3600000000000003</v>
          </cell>
          <cell r="V425">
            <v>3.4400000000000004</v>
          </cell>
          <cell r="W425">
            <v>1.7200000000000002</v>
          </cell>
          <cell r="X425">
            <v>4.5600000000000005</v>
          </cell>
          <cell r="Y425">
            <v>4.16</v>
          </cell>
          <cell r="Z425">
            <v>2.96</v>
          </cell>
          <cell r="AA425">
            <v>2</v>
          </cell>
          <cell r="AB425">
            <v>4.4400000000000004</v>
          </cell>
          <cell r="AC425">
            <v>1.4000000000000001</v>
          </cell>
          <cell r="AD425">
            <v>0.56000000000000005</v>
          </cell>
          <cell r="AE425">
            <v>1.04</v>
          </cell>
          <cell r="AF425">
            <v>10.120000000000001</v>
          </cell>
          <cell r="AG425">
            <v>5.160000000000001</v>
          </cell>
          <cell r="AH425">
            <v>0.04</v>
          </cell>
          <cell r="AI425">
            <v>3.6000000000000005</v>
          </cell>
          <cell r="AJ425">
            <v>1.56</v>
          </cell>
          <cell r="AK425">
            <v>1.1600000000000001</v>
          </cell>
          <cell r="AN425">
            <v>0.44</v>
          </cell>
          <cell r="AO425">
            <v>3.16</v>
          </cell>
          <cell r="AP425">
            <v>1.7359999999999998</v>
          </cell>
          <cell r="AQ425">
            <v>2.8000000000000003</v>
          </cell>
          <cell r="AR425">
            <v>2.8000000000000003</v>
          </cell>
          <cell r="AS425">
            <v>2.56</v>
          </cell>
          <cell r="AT425">
            <v>3.04</v>
          </cell>
          <cell r="AU425">
            <v>2</v>
          </cell>
          <cell r="AV425">
            <v>2.4800000000000004</v>
          </cell>
          <cell r="AW425">
            <v>2.8000000000000003</v>
          </cell>
          <cell r="AX425">
            <v>3.7600000000000002</v>
          </cell>
          <cell r="AY425">
            <v>1.6800000000000002</v>
          </cell>
          <cell r="AZ425">
            <v>3.0000000000000004</v>
          </cell>
          <cell r="BA425">
            <v>3.9600000000000004</v>
          </cell>
          <cell r="BB425">
            <v>10.28</v>
          </cell>
          <cell r="BC425">
            <v>5.0000000000000009</v>
          </cell>
          <cell r="BD425">
            <v>3</v>
          </cell>
          <cell r="BE425">
            <v>2.68</v>
          </cell>
          <cell r="BF425">
            <v>3.08</v>
          </cell>
          <cell r="BG425">
            <v>3.4400000000000004</v>
          </cell>
          <cell r="BH425">
            <v>3.28</v>
          </cell>
          <cell r="BI425">
            <v>3.2800000000000002</v>
          </cell>
          <cell r="BJ425">
            <v>3.12</v>
          </cell>
          <cell r="BK425">
            <v>2.3200000000000003</v>
          </cell>
          <cell r="BL425">
            <v>3.44</v>
          </cell>
          <cell r="BM425">
            <v>4.28</v>
          </cell>
          <cell r="BN425">
            <v>2.9200000000000004</v>
          </cell>
          <cell r="BO425">
            <v>2.6</v>
          </cell>
          <cell r="BP425">
            <v>1.6800000000000002</v>
          </cell>
          <cell r="BQ425">
            <v>3.48</v>
          </cell>
          <cell r="BR425">
            <v>1.8399999999999999</v>
          </cell>
          <cell r="BS425">
            <v>4.28</v>
          </cell>
          <cell r="BT425">
            <v>3.8000000000000003</v>
          </cell>
          <cell r="BU425">
            <v>3</v>
          </cell>
          <cell r="BV425">
            <v>3.2800000000000002</v>
          </cell>
          <cell r="BW425">
            <v>1.8800000000000001</v>
          </cell>
          <cell r="BX425">
            <v>9.2800000000000011</v>
          </cell>
          <cell r="BY425">
            <v>2.7199999999999998</v>
          </cell>
          <cell r="BZ425">
            <v>7.12</v>
          </cell>
          <cell r="CA425">
            <v>2.2799999999999998</v>
          </cell>
          <cell r="CB425">
            <v>2.3200000000000003</v>
          </cell>
          <cell r="CC425">
            <v>2.2000000000000002</v>
          </cell>
          <cell r="CD425">
            <v>1.9600000000000002</v>
          </cell>
          <cell r="CG425">
            <v>3.9600000000000004</v>
          </cell>
          <cell r="CH425">
            <v>2.7600000000000002</v>
          </cell>
          <cell r="CI425">
            <v>3.12</v>
          </cell>
          <cell r="CJ425">
            <v>2.4000000000000004</v>
          </cell>
          <cell r="CK425">
            <v>2.9200000000000004</v>
          </cell>
          <cell r="CL425">
            <v>1.52</v>
          </cell>
          <cell r="CM425">
            <v>2.4000000000000004</v>
          </cell>
          <cell r="CN425">
            <v>3.0400000000000005</v>
          </cell>
          <cell r="CO425">
            <v>1.9200000000000004</v>
          </cell>
          <cell r="CP425">
            <v>1.9600000000000004</v>
          </cell>
          <cell r="CQ425">
            <v>2.0000000000000004</v>
          </cell>
          <cell r="CR425">
            <v>2.4800000000000004</v>
          </cell>
          <cell r="CS425">
            <v>1.4000000000000004</v>
          </cell>
          <cell r="CT425">
            <v>2.5600000000000005</v>
          </cell>
          <cell r="CU425">
            <v>2.4400000000000004</v>
          </cell>
          <cell r="CV425">
            <v>3.1200000000000006</v>
          </cell>
          <cell r="CW425">
            <v>3.16</v>
          </cell>
          <cell r="CX425">
            <v>2.72</v>
          </cell>
          <cell r="CY425">
            <v>3.8000000000000003</v>
          </cell>
          <cell r="CZ425">
            <v>1.9200000000000004</v>
          </cell>
          <cell r="DA425">
            <v>1.7600000000000002</v>
          </cell>
          <cell r="DB425" t="str">
            <v>ACTIVO</v>
          </cell>
          <cell r="DC425" t="str">
            <v/>
          </cell>
          <cell r="DE425">
            <v>2.5</v>
          </cell>
          <cell r="DF425">
            <v>0.41666666666666669</v>
          </cell>
          <cell r="DG425">
            <v>2.0682161399700592</v>
          </cell>
          <cell r="DH425">
            <v>0</v>
          </cell>
          <cell r="DI425" t="str">
            <v>0</v>
          </cell>
          <cell r="DJ425">
            <v>0</v>
          </cell>
          <cell r="DK425" t="str">
            <v>INACTIVO</v>
          </cell>
          <cell r="DL425">
            <v>0</v>
          </cell>
          <cell r="DM425">
            <v>0.83333333333333337</v>
          </cell>
          <cell r="DN425">
            <v>0.83333333333333337</v>
          </cell>
        </row>
        <row r="426">
          <cell r="B426">
            <v>405539</v>
          </cell>
          <cell r="C426" t="str">
            <v>LECHE CONDENSADA WATTS</v>
          </cell>
          <cell r="BH426">
            <v>20</v>
          </cell>
          <cell r="BJ426">
            <v>15</v>
          </cell>
          <cell r="BK426">
            <v>5</v>
          </cell>
          <cell r="BL426">
            <v>10</v>
          </cell>
          <cell r="BN426">
            <v>25</v>
          </cell>
          <cell r="BP426">
            <v>15</v>
          </cell>
          <cell r="BQ426">
            <v>100</v>
          </cell>
          <cell r="BR426">
            <v>10</v>
          </cell>
          <cell r="BS426">
            <v>20</v>
          </cell>
          <cell r="BT426">
            <v>10</v>
          </cell>
          <cell r="BU426">
            <v>10</v>
          </cell>
          <cell r="BV426">
            <v>10</v>
          </cell>
          <cell r="BW426">
            <v>20</v>
          </cell>
          <cell r="BX426">
            <v>15</v>
          </cell>
          <cell r="BY426">
            <v>200</v>
          </cell>
          <cell r="BZ426">
            <v>5</v>
          </cell>
          <cell r="DB426" t="str">
            <v>SIN USO</v>
          </cell>
          <cell r="DC426" t="str">
            <v>C</v>
          </cell>
          <cell r="DE426">
            <v>0</v>
          </cell>
          <cell r="DF426">
            <v>0</v>
          </cell>
          <cell r="DG426">
            <v>50.361195378982018</v>
          </cell>
          <cell r="DH426">
            <v>0</v>
          </cell>
          <cell r="DI426" t="str">
            <v>0</v>
          </cell>
          <cell r="DJ426">
            <v>0</v>
          </cell>
          <cell r="DK426" t="str">
            <v>INACTIVO</v>
          </cell>
          <cell r="DL426">
            <v>0</v>
          </cell>
          <cell r="DM426">
            <v>0</v>
          </cell>
          <cell r="DN426">
            <v>0</v>
          </cell>
        </row>
        <row r="427">
          <cell r="BH427">
            <v>20</v>
          </cell>
          <cell r="BJ427">
            <v>15</v>
          </cell>
          <cell r="BK427">
            <v>5</v>
          </cell>
          <cell r="BL427">
            <v>10</v>
          </cell>
          <cell r="BN427">
            <v>25</v>
          </cell>
          <cell r="BP427">
            <v>15</v>
          </cell>
          <cell r="BQ427">
            <v>100</v>
          </cell>
          <cell r="BR427">
            <v>10</v>
          </cell>
          <cell r="BS427">
            <v>20</v>
          </cell>
          <cell r="BT427">
            <v>10</v>
          </cell>
          <cell r="BU427">
            <v>10</v>
          </cell>
          <cell r="BV427">
            <v>10</v>
          </cell>
          <cell r="BW427">
            <v>20</v>
          </cell>
          <cell r="BX427">
            <v>15</v>
          </cell>
          <cell r="BY427">
            <v>200</v>
          </cell>
          <cell r="BZ427">
            <v>5</v>
          </cell>
          <cell r="DB427" t="str">
            <v>ACTIVO</v>
          </cell>
          <cell r="DC427" t="str">
            <v/>
          </cell>
          <cell r="DE427">
            <v>0</v>
          </cell>
          <cell r="DF427">
            <v>0</v>
          </cell>
          <cell r="DG427">
            <v>50.361195378982018</v>
          </cell>
          <cell r="DH427">
            <v>0</v>
          </cell>
          <cell r="DI427" t="str">
            <v>0</v>
          </cell>
          <cell r="DJ427">
            <v>0</v>
          </cell>
          <cell r="DK427" t="str">
            <v>INACTIVO</v>
          </cell>
          <cell r="DL427">
            <v>0</v>
          </cell>
          <cell r="DM427">
            <v>0</v>
          </cell>
          <cell r="DN427">
            <v>0</v>
          </cell>
        </row>
        <row r="428">
          <cell r="B428">
            <v>405304</v>
          </cell>
          <cell r="C428" t="str">
            <v>COLORANTE ROJO POLVO</v>
          </cell>
          <cell r="E428">
            <v>10</v>
          </cell>
          <cell r="Q428">
            <v>5</v>
          </cell>
          <cell r="Z428">
            <v>1</v>
          </cell>
          <cell r="AM428">
            <v>5</v>
          </cell>
          <cell r="AP428">
            <v>5</v>
          </cell>
          <cell r="AZ428">
            <v>20</v>
          </cell>
          <cell r="BI428">
            <v>5</v>
          </cell>
          <cell r="BY428">
            <v>5</v>
          </cell>
          <cell r="CB428">
            <v>5</v>
          </cell>
          <cell r="CO428">
            <v>10</v>
          </cell>
          <cell r="DB428" t="str">
            <v>ACTIVO</v>
          </cell>
          <cell r="DC428" t="str">
            <v>C</v>
          </cell>
          <cell r="DE428">
            <v>10</v>
          </cell>
          <cell r="DF428">
            <v>1.6666666666666667</v>
          </cell>
          <cell r="DG428">
            <v>6.1237243569579451</v>
          </cell>
          <cell r="DH428">
            <v>55</v>
          </cell>
          <cell r="DI428">
            <v>557370</v>
          </cell>
          <cell r="DJ428">
            <v>5.5</v>
          </cell>
          <cell r="DK428" t="str">
            <v>OK</v>
          </cell>
          <cell r="DL428">
            <v>6.666666666666667</v>
          </cell>
          <cell r="DM428">
            <v>3.3333333333333335</v>
          </cell>
          <cell r="DN428">
            <v>10</v>
          </cell>
        </row>
        <row r="429">
          <cell r="B429">
            <v>405421</v>
          </cell>
          <cell r="C429" t="str">
            <v>COLORANTE NARANJA FLORAMATIC</v>
          </cell>
          <cell r="S429">
            <v>5</v>
          </cell>
          <cell r="DB429" t="str">
            <v>SIN USO</v>
          </cell>
          <cell r="DC429" t="str">
            <v/>
          </cell>
          <cell r="DE429">
            <v>0</v>
          </cell>
          <cell r="DF429">
            <v>0</v>
          </cell>
          <cell r="DG429">
            <v>0</v>
          </cell>
          <cell r="DH429">
            <v>0</v>
          </cell>
          <cell r="DI429" t="str">
            <v>0</v>
          </cell>
          <cell r="DJ429">
            <v>0</v>
          </cell>
          <cell r="DK429" t="str">
            <v>INACTIVO</v>
          </cell>
          <cell r="DL429">
            <v>0</v>
          </cell>
          <cell r="DM429">
            <v>0</v>
          </cell>
          <cell r="DN429">
            <v>0</v>
          </cell>
        </row>
        <row r="430">
          <cell r="E430">
            <v>10</v>
          </cell>
          <cell r="Q430">
            <v>5</v>
          </cell>
          <cell r="S430">
            <v>5</v>
          </cell>
          <cell r="Z430">
            <v>1</v>
          </cell>
          <cell r="AM430">
            <v>5</v>
          </cell>
          <cell r="AP430">
            <v>5</v>
          </cell>
          <cell r="AZ430">
            <v>20</v>
          </cell>
          <cell r="BI430">
            <v>5</v>
          </cell>
          <cell r="BY430">
            <v>5</v>
          </cell>
          <cell r="CB430">
            <v>5</v>
          </cell>
          <cell r="CO430">
            <v>10</v>
          </cell>
          <cell r="DB430" t="str">
            <v>ACTIVO</v>
          </cell>
          <cell r="DC430" t="str">
            <v/>
          </cell>
          <cell r="DE430">
            <v>10</v>
          </cell>
          <cell r="DF430">
            <v>1.6666666666666667</v>
          </cell>
          <cell r="DG430">
            <v>6.1237243569579451</v>
          </cell>
          <cell r="DH430">
            <v>0</v>
          </cell>
          <cell r="DI430" t="str">
            <v>0</v>
          </cell>
          <cell r="DJ430">
            <v>0</v>
          </cell>
          <cell r="DK430" t="str">
            <v>INACTIVO</v>
          </cell>
          <cell r="DL430">
            <v>0</v>
          </cell>
          <cell r="DM430">
            <v>3.3333333333333335</v>
          </cell>
          <cell r="DN430">
            <v>3.3333333333333335</v>
          </cell>
        </row>
        <row r="431">
          <cell r="B431">
            <v>107159</v>
          </cell>
          <cell r="C431" t="str">
            <v>GELATINA S/SABOR ALTO LA CRUZ</v>
          </cell>
          <cell r="J431">
            <v>15</v>
          </cell>
          <cell r="K431">
            <v>4</v>
          </cell>
          <cell r="M431">
            <v>23</v>
          </cell>
          <cell r="N431">
            <v>5</v>
          </cell>
          <cell r="O431">
            <v>5</v>
          </cell>
          <cell r="P431">
            <v>7</v>
          </cell>
          <cell r="Q431">
            <v>13</v>
          </cell>
          <cell r="R431">
            <v>13</v>
          </cell>
          <cell r="S431">
            <v>18</v>
          </cell>
          <cell r="T431">
            <v>8</v>
          </cell>
          <cell r="U431">
            <v>33</v>
          </cell>
          <cell r="V431">
            <v>21</v>
          </cell>
          <cell r="W431">
            <v>10</v>
          </cell>
          <cell r="X431">
            <v>15</v>
          </cell>
          <cell r="Y431">
            <v>30</v>
          </cell>
          <cell r="Z431">
            <v>10</v>
          </cell>
          <cell r="AA431">
            <v>10</v>
          </cell>
          <cell r="AB431">
            <v>23</v>
          </cell>
          <cell r="AC431">
            <v>15</v>
          </cell>
          <cell r="AD431">
            <v>6</v>
          </cell>
          <cell r="AE431">
            <v>12</v>
          </cell>
          <cell r="AF431">
            <v>19</v>
          </cell>
          <cell r="AG431">
            <v>21</v>
          </cell>
          <cell r="AH431">
            <v>7</v>
          </cell>
          <cell r="AI431">
            <v>28</v>
          </cell>
          <cell r="AJ431">
            <v>19</v>
          </cell>
          <cell r="AK431">
            <v>0</v>
          </cell>
          <cell r="AL431">
            <v>17</v>
          </cell>
          <cell r="AM431">
            <v>14</v>
          </cell>
          <cell r="AN431">
            <v>16</v>
          </cell>
          <cell r="AO431">
            <v>16</v>
          </cell>
          <cell r="AP431">
            <v>24</v>
          </cell>
          <cell r="AQ431">
            <v>18</v>
          </cell>
          <cell r="AR431">
            <v>19</v>
          </cell>
          <cell r="AS431">
            <v>14</v>
          </cell>
          <cell r="AT431">
            <v>17</v>
          </cell>
          <cell r="AU431">
            <v>12</v>
          </cell>
          <cell r="AV431">
            <v>24</v>
          </cell>
          <cell r="AW431">
            <v>19</v>
          </cell>
          <cell r="AX431">
            <v>18</v>
          </cell>
          <cell r="AY431">
            <v>13</v>
          </cell>
          <cell r="AZ431">
            <v>13</v>
          </cell>
          <cell r="BA431">
            <v>21</v>
          </cell>
          <cell r="BB431">
            <v>15</v>
          </cell>
          <cell r="BC431">
            <v>27</v>
          </cell>
          <cell r="BD431">
            <v>15</v>
          </cell>
          <cell r="BE431">
            <v>15</v>
          </cell>
          <cell r="BF431">
            <v>4</v>
          </cell>
          <cell r="BG431">
            <v>23</v>
          </cell>
          <cell r="BH431">
            <v>16</v>
          </cell>
          <cell r="BI431">
            <v>18</v>
          </cell>
          <cell r="BJ431">
            <v>16</v>
          </cell>
          <cell r="BK431">
            <v>16</v>
          </cell>
          <cell r="BL431">
            <v>14</v>
          </cell>
          <cell r="BM431">
            <v>17</v>
          </cell>
          <cell r="BN431">
            <v>19</v>
          </cell>
          <cell r="BO431">
            <v>14</v>
          </cell>
          <cell r="BP431">
            <v>10</v>
          </cell>
          <cell r="BQ431">
            <v>16</v>
          </cell>
          <cell r="BR431">
            <v>7</v>
          </cell>
          <cell r="BS431">
            <v>22</v>
          </cell>
          <cell r="BT431">
            <v>13</v>
          </cell>
          <cell r="BU431">
            <v>15</v>
          </cell>
          <cell r="BV431">
            <v>13</v>
          </cell>
          <cell r="BW431">
            <v>13</v>
          </cell>
          <cell r="BX431">
            <v>7</v>
          </cell>
          <cell r="BY431">
            <v>12</v>
          </cell>
          <cell r="BZ431">
            <v>23</v>
          </cell>
          <cell r="CA431">
            <v>12</v>
          </cell>
          <cell r="CB431">
            <v>9</v>
          </cell>
          <cell r="CC431">
            <v>16</v>
          </cell>
          <cell r="CD431">
            <v>15</v>
          </cell>
          <cell r="CE431">
            <v>8</v>
          </cell>
          <cell r="CF431">
            <v>4</v>
          </cell>
          <cell r="CG431">
            <v>14</v>
          </cell>
          <cell r="CH431">
            <v>15</v>
          </cell>
          <cell r="CI431">
            <v>17</v>
          </cell>
          <cell r="CJ431">
            <v>8</v>
          </cell>
          <cell r="CK431">
            <v>24</v>
          </cell>
          <cell r="CL431">
            <v>15</v>
          </cell>
          <cell r="CM431">
            <v>20</v>
          </cell>
          <cell r="CN431">
            <v>17</v>
          </cell>
          <cell r="CO431">
            <v>24</v>
          </cell>
          <cell r="CP431">
            <v>18</v>
          </cell>
          <cell r="CQ431">
            <v>9</v>
          </cell>
          <cell r="CR431">
            <v>15</v>
          </cell>
          <cell r="CS431">
            <v>9</v>
          </cell>
          <cell r="CT431">
            <v>17</v>
          </cell>
          <cell r="CU431">
            <v>14</v>
          </cell>
          <cell r="CV431">
            <v>8</v>
          </cell>
          <cell r="CX431">
            <v>27</v>
          </cell>
          <cell r="CY431">
            <v>19</v>
          </cell>
          <cell r="CZ431">
            <v>12</v>
          </cell>
          <cell r="DA431">
            <v>18</v>
          </cell>
          <cell r="DB431" t="str">
            <v>ACTIVO</v>
          </cell>
          <cell r="DC431" t="str">
            <v>C</v>
          </cell>
          <cell r="DE431">
            <v>14.588235294117647</v>
          </cell>
          <cell r="DF431">
            <v>2.4313725490196076</v>
          </cell>
          <cell r="DG431">
            <v>5.4512618211447661</v>
          </cell>
          <cell r="DH431">
            <v>132</v>
          </cell>
          <cell r="DI431">
            <v>1293600</v>
          </cell>
          <cell r="DJ431">
            <v>9.0483870967741939</v>
          </cell>
          <cell r="DK431" t="str">
            <v>OK</v>
          </cell>
          <cell r="DL431">
            <v>7.2941176470588225</v>
          </cell>
          <cell r="DM431">
            <v>4.8627450980392153</v>
          </cell>
          <cell r="DN431">
            <v>12.156862745098039</v>
          </cell>
        </row>
        <row r="432">
          <cell r="B432">
            <v>107160</v>
          </cell>
          <cell r="C432" t="str">
            <v>GELATINA FRAMBUESA ALTO LA CRUZ</v>
          </cell>
          <cell r="J432">
            <v>18</v>
          </cell>
          <cell r="K432">
            <v>7</v>
          </cell>
          <cell r="L432">
            <v>8</v>
          </cell>
          <cell r="M432">
            <v>35</v>
          </cell>
          <cell r="N432">
            <v>6</v>
          </cell>
          <cell r="O432">
            <v>7</v>
          </cell>
          <cell r="P432">
            <v>8</v>
          </cell>
          <cell r="Q432">
            <v>18</v>
          </cell>
          <cell r="R432">
            <v>18</v>
          </cell>
          <cell r="S432">
            <v>27</v>
          </cell>
          <cell r="T432">
            <v>18</v>
          </cell>
          <cell r="U432">
            <v>30</v>
          </cell>
          <cell r="V432">
            <v>24</v>
          </cell>
          <cell r="W432">
            <v>12</v>
          </cell>
          <cell r="X432">
            <v>21</v>
          </cell>
          <cell r="Y432">
            <v>60</v>
          </cell>
          <cell r="Z432">
            <v>17</v>
          </cell>
          <cell r="AA432">
            <v>15</v>
          </cell>
          <cell r="AB432">
            <v>32</v>
          </cell>
          <cell r="AC432">
            <v>16</v>
          </cell>
          <cell r="AD432">
            <v>12</v>
          </cell>
          <cell r="AE432">
            <v>19</v>
          </cell>
          <cell r="AF432">
            <v>25</v>
          </cell>
          <cell r="AG432">
            <v>31</v>
          </cell>
          <cell r="AH432">
            <v>13</v>
          </cell>
          <cell r="AI432">
            <v>27</v>
          </cell>
          <cell r="AJ432">
            <v>21</v>
          </cell>
          <cell r="AK432">
            <v>4</v>
          </cell>
          <cell r="AL432">
            <v>23</v>
          </cell>
          <cell r="AM432">
            <v>16</v>
          </cell>
          <cell r="AN432">
            <v>23</v>
          </cell>
          <cell r="AO432">
            <v>20</v>
          </cell>
          <cell r="AP432">
            <v>23</v>
          </cell>
          <cell r="AQ432">
            <v>29</v>
          </cell>
          <cell r="AR432">
            <v>32</v>
          </cell>
          <cell r="AS432">
            <v>18</v>
          </cell>
          <cell r="AT432">
            <v>21</v>
          </cell>
          <cell r="AU432">
            <v>20</v>
          </cell>
          <cell r="AV432">
            <v>39</v>
          </cell>
          <cell r="AW432">
            <v>29</v>
          </cell>
          <cell r="AX432">
            <v>24</v>
          </cell>
          <cell r="AY432">
            <v>17</v>
          </cell>
          <cell r="AZ432">
            <v>16</v>
          </cell>
          <cell r="BA432">
            <v>25</v>
          </cell>
          <cell r="BB432">
            <v>18</v>
          </cell>
          <cell r="BC432">
            <v>35</v>
          </cell>
          <cell r="BD432">
            <v>20</v>
          </cell>
          <cell r="BE432">
            <v>21</v>
          </cell>
          <cell r="BF432">
            <v>7</v>
          </cell>
          <cell r="BG432">
            <v>31</v>
          </cell>
          <cell r="BH432">
            <v>20</v>
          </cell>
          <cell r="BI432">
            <v>23</v>
          </cell>
          <cell r="BJ432">
            <v>22</v>
          </cell>
          <cell r="BK432">
            <v>22</v>
          </cell>
          <cell r="BL432">
            <v>23</v>
          </cell>
          <cell r="BM432">
            <v>25</v>
          </cell>
          <cell r="BN432">
            <v>23</v>
          </cell>
          <cell r="BO432">
            <v>21</v>
          </cell>
          <cell r="BP432">
            <v>13</v>
          </cell>
          <cell r="BQ432">
            <v>22</v>
          </cell>
          <cell r="BR432">
            <v>11</v>
          </cell>
          <cell r="BS432">
            <v>28</v>
          </cell>
          <cell r="BT432">
            <v>18</v>
          </cell>
          <cell r="BU432">
            <v>16</v>
          </cell>
          <cell r="BV432">
            <v>22</v>
          </cell>
          <cell r="BW432">
            <v>18</v>
          </cell>
          <cell r="BX432">
            <v>7</v>
          </cell>
          <cell r="BY432">
            <v>15</v>
          </cell>
          <cell r="BZ432">
            <v>30</v>
          </cell>
          <cell r="CA432">
            <v>18</v>
          </cell>
          <cell r="CB432">
            <v>12</v>
          </cell>
          <cell r="CC432">
            <v>19</v>
          </cell>
          <cell r="CD432">
            <v>19</v>
          </cell>
          <cell r="CE432">
            <v>9</v>
          </cell>
          <cell r="CF432">
            <v>5</v>
          </cell>
          <cell r="CG432">
            <v>21</v>
          </cell>
          <cell r="CH432">
            <v>20</v>
          </cell>
          <cell r="CI432">
            <v>23</v>
          </cell>
          <cell r="CJ432">
            <v>10</v>
          </cell>
          <cell r="CK432">
            <v>31</v>
          </cell>
          <cell r="CL432">
            <v>40</v>
          </cell>
          <cell r="CM432">
            <v>27</v>
          </cell>
          <cell r="CN432">
            <v>23</v>
          </cell>
          <cell r="CO432">
            <v>20</v>
          </cell>
          <cell r="CP432">
            <v>23</v>
          </cell>
          <cell r="CQ432">
            <v>13</v>
          </cell>
          <cell r="CR432">
            <v>23</v>
          </cell>
          <cell r="CS432">
            <v>11</v>
          </cell>
          <cell r="CT432">
            <v>20</v>
          </cell>
          <cell r="CU432">
            <v>19</v>
          </cell>
          <cell r="CV432">
            <v>13</v>
          </cell>
          <cell r="CX432">
            <v>39</v>
          </cell>
          <cell r="CY432">
            <v>26</v>
          </cell>
          <cell r="CZ432">
            <v>14</v>
          </cell>
          <cell r="DA432">
            <v>19</v>
          </cell>
          <cell r="DB432" t="str">
            <v>ACTIVO</v>
          </cell>
          <cell r="DC432" t="str">
            <v>C</v>
          </cell>
          <cell r="DE432">
            <v>20.117647058823529</v>
          </cell>
          <cell r="DF432">
            <v>3.3529411764705883</v>
          </cell>
          <cell r="DG432">
            <v>6.9891580976801944</v>
          </cell>
          <cell r="DH432">
            <v>180</v>
          </cell>
          <cell r="DI432">
            <v>962992.8</v>
          </cell>
          <cell r="DJ432">
            <v>8.9473684210526319</v>
          </cell>
          <cell r="DK432" t="str">
            <v>OK</v>
          </cell>
          <cell r="DL432">
            <v>10.058823529411764</v>
          </cell>
          <cell r="DM432">
            <v>6.7058823529411766</v>
          </cell>
          <cell r="DN432">
            <v>16.764705882352942</v>
          </cell>
        </row>
        <row r="433">
          <cell r="J433">
            <v>33</v>
          </cell>
          <cell r="K433">
            <v>11</v>
          </cell>
          <cell r="L433">
            <v>8</v>
          </cell>
          <cell r="M433">
            <v>58</v>
          </cell>
          <cell r="N433">
            <v>11</v>
          </cell>
          <cell r="O433">
            <v>12</v>
          </cell>
          <cell r="P433">
            <v>15</v>
          </cell>
          <cell r="Q433">
            <v>31</v>
          </cell>
          <cell r="R433">
            <v>31</v>
          </cell>
          <cell r="S433">
            <v>45</v>
          </cell>
          <cell r="T433">
            <v>26</v>
          </cell>
          <cell r="U433">
            <v>63</v>
          </cell>
          <cell r="V433">
            <v>45</v>
          </cell>
          <cell r="W433">
            <v>22</v>
          </cell>
          <cell r="X433">
            <v>36</v>
          </cell>
          <cell r="Y433">
            <v>90</v>
          </cell>
          <cell r="Z433">
            <v>27</v>
          </cell>
          <cell r="AA433">
            <v>25</v>
          </cell>
          <cell r="AB433">
            <v>55</v>
          </cell>
          <cell r="AC433">
            <v>31</v>
          </cell>
          <cell r="AD433">
            <v>18</v>
          </cell>
          <cell r="AE433">
            <v>31</v>
          </cell>
          <cell r="AF433">
            <v>44</v>
          </cell>
          <cell r="AG433">
            <v>52</v>
          </cell>
          <cell r="AH433">
            <v>20</v>
          </cell>
          <cell r="AI433">
            <v>55</v>
          </cell>
          <cell r="AJ433">
            <v>40</v>
          </cell>
          <cell r="AK433">
            <v>4</v>
          </cell>
          <cell r="AL433">
            <v>40</v>
          </cell>
          <cell r="AM433">
            <v>30</v>
          </cell>
          <cell r="AN433">
            <v>39</v>
          </cell>
          <cell r="AO433">
            <v>36</v>
          </cell>
          <cell r="AP433">
            <v>47</v>
          </cell>
          <cell r="AQ433">
            <v>47</v>
          </cell>
          <cell r="AR433">
            <v>51</v>
          </cell>
          <cell r="AS433">
            <v>32</v>
          </cell>
          <cell r="AT433">
            <v>38</v>
          </cell>
          <cell r="AU433">
            <v>32</v>
          </cell>
          <cell r="AV433">
            <v>63</v>
          </cell>
          <cell r="AW433">
            <v>48</v>
          </cell>
          <cell r="AX433">
            <v>42</v>
          </cell>
          <cell r="AY433">
            <v>30</v>
          </cell>
          <cell r="AZ433">
            <v>29</v>
          </cell>
          <cell r="BA433">
            <v>46</v>
          </cell>
          <cell r="BB433">
            <v>33</v>
          </cell>
          <cell r="BC433">
            <v>62</v>
          </cell>
          <cell r="BD433">
            <v>35</v>
          </cell>
          <cell r="BE433">
            <v>36</v>
          </cell>
          <cell r="BF433">
            <v>11</v>
          </cell>
          <cell r="BG433">
            <v>54</v>
          </cell>
          <cell r="BH433">
            <v>36</v>
          </cell>
          <cell r="BI433">
            <v>41</v>
          </cell>
          <cell r="BJ433">
            <v>38</v>
          </cell>
          <cell r="BK433">
            <v>38</v>
          </cell>
          <cell r="BL433">
            <v>37</v>
          </cell>
          <cell r="BM433">
            <v>42</v>
          </cell>
          <cell r="BN433">
            <v>42</v>
          </cell>
          <cell r="BO433">
            <v>35</v>
          </cell>
          <cell r="BP433">
            <v>23</v>
          </cell>
          <cell r="BQ433">
            <v>38</v>
          </cell>
          <cell r="BR433">
            <v>18</v>
          </cell>
          <cell r="BS433">
            <v>50</v>
          </cell>
          <cell r="BT433">
            <v>31</v>
          </cell>
          <cell r="BU433">
            <v>31</v>
          </cell>
          <cell r="BV433">
            <v>35</v>
          </cell>
          <cell r="BW433">
            <v>31</v>
          </cell>
          <cell r="BX433">
            <v>14</v>
          </cell>
          <cell r="BY433">
            <v>27</v>
          </cell>
          <cell r="BZ433">
            <v>53</v>
          </cell>
          <cell r="CA433">
            <v>30</v>
          </cell>
          <cell r="CB433">
            <v>21</v>
          </cell>
          <cell r="CC433">
            <v>35</v>
          </cell>
          <cell r="CD433">
            <v>34</v>
          </cell>
          <cell r="CE433">
            <v>17</v>
          </cell>
          <cell r="CF433">
            <v>9</v>
          </cell>
          <cell r="CG433">
            <v>35</v>
          </cell>
          <cell r="CH433">
            <v>35</v>
          </cell>
          <cell r="CI433">
            <v>40</v>
          </cell>
          <cell r="CJ433">
            <v>18</v>
          </cell>
          <cell r="CK433">
            <v>55</v>
          </cell>
          <cell r="CL433">
            <v>55</v>
          </cell>
          <cell r="CM433">
            <v>47</v>
          </cell>
          <cell r="CN433">
            <v>40</v>
          </cell>
          <cell r="CO433">
            <v>44</v>
          </cell>
          <cell r="CP433">
            <v>41</v>
          </cell>
          <cell r="CQ433">
            <v>22</v>
          </cell>
          <cell r="CR433">
            <v>38</v>
          </cell>
          <cell r="CS433">
            <v>20</v>
          </cell>
          <cell r="CT433">
            <v>37</v>
          </cell>
          <cell r="CU433">
            <v>33</v>
          </cell>
          <cell r="CV433">
            <v>21</v>
          </cell>
          <cell r="CX433">
            <v>66</v>
          </cell>
          <cell r="CY433">
            <v>45</v>
          </cell>
          <cell r="CZ433">
            <v>26</v>
          </cell>
          <cell r="DA433">
            <v>37</v>
          </cell>
          <cell r="DB433" t="str">
            <v>ACTIVO</v>
          </cell>
          <cell r="DC433" t="str">
            <v/>
          </cell>
          <cell r="DE433">
            <v>34.705882352941174</v>
          </cell>
          <cell r="DF433">
            <v>5.784313725490196</v>
          </cell>
          <cell r="DG433">
            <v>12.12686925426404</v>
          </cell>
          <cell r="DH433">
            <v>0</v>
          </cell>
          <cell r="DI433" t="str">
            <v>0</v>
          </cell>
          <cell r="DJ433">
            <v>0</v>
          </cell>
          <cell r="DK433" t="str">
            <v>INACTIVO</v>
          </cell>
          <cell r="DL433">
            <v>0</v>
          </cell>
          <cell r="DM433">
            <v>11.568627450980392</v>
          </cell>
          <cell r="DN433">
            <v>11.568627450980392</v>
          </cell>
        </row>
        <row r="434">
          <cell r="B434">
            <v>107174</v>
          </cell>
          <cell r="C434" t="str">
            <v>YOGURT FRUTILLA SOPROLE</v>
          </cell>
          <cell r="BA434">
            <v>374</v>
          </cell>
          <cell r="BB434">
            <v>248</v>
          </cell>
          <cell r="BC434">
            <v>335</v>
          </cell>
          <cell r="BD434">
            <v>18</v>
          </cell>
          <cell r="BE434">
            <v>22</v>
          </cell>
          <cell r="BF434">
            <v>26</v>
          </cell>
          <cell r="BG434">
            <v>25</v>
          </cell>
          <cell r="BH434">
            <v>18</v>
          </cell>
          <cell r="BI434">
            <v>9</v>
          </cell>
          <cell r="DB434" t="str">
            <v>ACTIVO</v>
          </cell>
          <cell r="DC434" t="str">
            <v>C</v>
          </cell>
          <cell r="DE434">
            <v>0</v>
          </cell>
          <cell r="DF434">
            <v>0</v>
          </cell>
          <cell r="DG434">
            <v>153.18135584260173</v>
          </cell>
          <cell r="DH434">
            <v>0</v>
          </cell>
          <cell r="DI434" t="str">
            <v>0</v>
          </cell>
          <cell r="DJ434">
            <v>0</v>
          </cell>
          <cell r="DK434" t="str">
            <v>COMPRAR</v>
          </cell>
          <cell r="DL434">
            <v>0</v>
          </cell>
          <cell r="DM434">
            <v>0</v>
          </cell>
          <cell r="DN434">
            <v>0</v>
          </cell>
        </row>
        <row r="435">
          <cell r="B435">
            <v>107164</v>
          </cell>
          <cell r="C435" t="str">
            <v>YOGURT FRUTILLA DIWATTS</v>
          </cell>
          <cell r="J435">
            <v>282</v>
          </cell>
          <cell r="K435">
            <v>35</v>
          </cell>
          <cell r="L435">
            <v>106</v>
          </cell>
          <cell r="M435">
            <v>499</v>
          </cell>
          <cell r="N435">
            <v>94</v>
          </cell>
          <cell r="O435">
            <v>120</v>
          </cell>
          <cell r="P435">
            <v>147</v>
          </cell>
          <cell r="Q435">
            <v>263</v>
          </cell>
          <cell r="R435">
            <v>184</v>
          </cell>
          <cell r="S435">
            <v>381</v>
          </cell>
          <cell r="T435">
            <v>147</v>
          </cell>
          <cell r="U435">
            <v>456</v>
          </cell>
          <cell r="V435">
            <v>325</v>
          </cell>
          <cell r="W435">
            <v>144</v>
          </cell>
          <cell r="X435">
            <v>313</v>
          </cell>
          <cell r="Y435">
            <v>610</v>
          </cell>
          <cell r="Z435">
            <v>256</v>
          </cell>
          <cell r="AA435">
            <v>179</v>
          </cell>
          <cell r="AB435">
            <v>506</v>
          </cell>
          <cell r="AC435">
            <v>192</v>
          </cell>
          <cell r="AD435">
            <v>151</v>
          </cell>
          <cell r="AE435">
            <v>264</v>
          </cell>
          <cell r="AF435">
            <v>374</v>
          </cell>
          <cell r="AG435">
            <v>460</v>
          </cell>
          <cell r="AH435">
            <v>129</v>
          </cell>
          <cell r="AI435">
            <v>532</v>
          </cell>
          <cell r="AJ435">
            <v>284</v>
          </cell>
          <cell r="AK435">
            <v>0</v>
          </cell>
          <cell r="AL435">
            <v>264</v>
          </cell>
          <cell r="AM435">
            <v>299</v>
          </cell>
          <cell r="AN435">
            <v>340</v>
          </cell>
          <cell r="AO435">
            <v>321</v>
          </cell>
          <cell r="AP435">
            <v>388</v>
          </cell>
          <cell r="AQ435">
            <v>394</v>
          </cell>
          <cell r="AR435">
            <v>398</v>
          </cell>
          <cell r="AS435">
            <v>290</v>
          </cell>
          <cell r="AT435">
            <v>350</v>
          </cell>
          <cell r="AU435">
            <v>249</v>
          </cell>
          <cell r="AV435">
            <v>515</v>
          </cell>
          <cell r="AW435">
            <v>394</v>
          </cell>
          <cell r="AX435">
            <v>292</v>
          </cell>
          <cell r="AY435">
            <v>216</v>
          </cell>
          <cell r="AZ435">
            <v>269</v>
          </cell>
          <cell r="BA435">
            <v>24</v>
          </cell>
          <cell r="BC435">
            <v>207</v>
          </cell>
          <cell r="BD435">
            <v>225</v>
          </cell>
          <cell r="BE435">
            <v>274</v>
          </cell>
          <cell r="BF435">
            <v>92</v>
          </cell>
          <cell r="BG435">
            <v>449</v>
          </cell>
          <cell r="BH435">
            <v>313</v>
          </cell>
          <cell r="BI435">
            <v>372</v>
          </cell>
          <cell r="BJ435">
            <v>354</v>
          </cell>
          <cell r="BK435">
            <v>337</v>
          </cell>
          <cell r="BL435">
            <v>276</v>
          </cell>
          <cell r="BM435">
            <v>313</v>
          </cell>
          <cell r="BN435">
            <v>438</v>
          </cell>
          <cell r="BO435">
            <v>278</v>
          </cell>
          <cell r="BP435">
            <v>164</v>
          </cell>
          <cell r="BQ435">
            <v>346</v>
          </cell>
          <cell r="BR435">
            <v>159</v>
          </cell>
          <cell r="BS435">
            <v>537</v>
          </cell>
          <cell r="BT435">
            <v>271</v>
          </cell>
          <cell r="BU435">
            <v>270</v>
          </cell>
          <cell r="BV435">
            <v>273</v>
          </cell>
          <cell r="BW435">
            <v>288</v>
          </cell>
          <cell r="BX435">
            <v>139</v>
          </cell>
          <cell r="BY435">
            <v>242</v>
          </cell>
          <cell r="BZ435">
            <v>477</v>
          </cell>
          <cell r="CA435">
            <v>289</v>
          </cell>
          <cell r="CB435">
            <v>205</v>
          </cell>
          <cell r="CC435">
            <v>318</v>
          </cell>
          <cell r="CD435">
            <v>382</v>
          </cell>
          <cell r="CE435">
            <v>125</v>
          </cell>
          <cell r="CF435">
            <v>90</v>
          </cell>
          <cell r="CG435">
            <v>290</v>
          </cell>
          <cell r="CH435">
            <v>323</v>
          </cell>
          <cell r="CI435">
            <v>357</v>
          </cell>
          <cell r="CJ435">
            <v>163</v>
          </cell>
          <cell r="CK435">
            <v>505</v>
          </cell>
          <cell r="CL435">
            <v>316</v>
          </cell>
          <cell r="CM435">
            <v>392</v>
          </cell>
          <cell r="CN435">
            <v>370</v>
          </cell>
          <cell r="CO435">
            <v>322</v>
          </cell>
          <cell r="CP435">
            <v>382</v>
          </cell>
          <cell r="CQ435">
            <v>193</v>
          </cell>
          <cell r="CR435">
            <v>295</v>
          </cell>
          <cell r="CS435">
            <v>177</v>
          </cell>
          <cell r="CT435">
            <v>371</v>
          </cell>
          <cell r="CU435">
            <v>290</v>
          </cell>
          <cell r="CV435">
            <v>170</v>
          </cell>
          <cell r="CX435">
            <v>564</v>
          </cell>
          <cell r="CY435">
            <v>405</v>
          </cell>
          <cell r="CZ435">
            <v>232</v>
          </cell>
          <cell r="DA435">
            <v>306</v>
          </cell>
          <cell r="DB435" t="str">
            <v>ACTIVO</v>
          </cell>
          <cell r="DC435" t="str">
            <v>B</v>
          </cell>
          <cell r="DE435">
            <v>294.47058823529414</v>
          </cell>
          <cell r="DF435">
            <v>49.078431372549026</v>
          </cell>
          <cell r="DG435">
            <v>116.85307291024536</v>
          </cell>
          <cell r="DH435">
            <v>223</v>
          </cell>
          <cell r="DI435">
            <v>251767</v>
          </cell>
          <cell r="DJ435">
            <v>0.7572912504994006</v>
          </cell>
          <cell r="DK435" t="str">
            <v>OK</v>
          </cell>
          <cell r="DL435">
            <v>98.156862745098053</v>
          </cell>
          <cell r="DM435">
            <v>98.156862745098053</v>
          </cell>
          <cell r="DN435">
            <v>196.31372549019611</v>
          </cell>
        </row>
        <row r="436">
          <cell r="J436">
            <v>282</v>
          </cell>
          <cell r="K436">
            <v>35</v>
          </cell>
          <cell r="L436">
            <v>106</v>
          </cell>
          <cell r="M436">
            <v>499</v>
          </cell>
          <cell r="N436">
            <v>94</v>
          </cell>
          <cell r="O436">
            <v>120</v>
          </cell>
          <cell r="P436">
            <v>147</v>
          </cell>
          <cell r="Q436">
            <v>263</v>
          </cell>
          <cell r="R436">
            <v>184</v>
          </cell>
          <cell r="S436">
            <v>381</v>
          </cell>
          <cell r="T436">
            <v>147</v>
          </cell>
          <cell r="U436">
            <v>456</v>
          </cell>
          <cell r="V436">
            <v>325</v>
          </cell>
          <cell r="W436">
            <v>144</v>
          </cell>
          <cell r="X436">
            <v>313</v>
          </cell>
          <cell r="Y436">
            <v>610</v>
          </cell>
          <cell r="Z436">
            <v>256</v>
          </cell>
          <cell r="AA436">
            <v>179</v>
          </cell>
          <cell r="AB436">
            <v>506</v>
          </cell>
          <cell r="AC436">
            <v>192</v>
          </cell>
          <cell r="AD436">
            <v>151</v>
          </cell>
          <cell r="AE436">
            <v>264</v>
          </cell>
          <cell r="AF436">
            <v>374</v>
          </cell>
          <cell r="AG436">
            <v>460</v>
          </cell>
          <cell r="AH436">
            <v>129</v>
          </cell>
          <cell r="AI436">
            <v>532</v>
          </cell>
          <cell r="AJ436">
            <v>284</v>
          </cell>
          <cell r="AK436">
            <v>0</v>
          </cell>
          <cell r="AL436">
            <v>264</v>
          </cell>
          <cell r="AM436">
            <v>299</v>
          </cell>
          <cell r="AN436">
            <v>340</v>
          </cell>
          <cell r="AO436">
            <v>321</v>
          </cell>
          <cell r="AP436">
            <v>388</v>
          </cell>
          <cell r="AQ436">
            <v>394</v>
          </cell>
          <cell r="AR436">
            <v>398</v>
          </cell>
          <cell r="AS436">
            <v>290</v>
          </cell>
          <cell r="AT436">
            <v>350</v>
          </cell>
          <cell r="AU436">
            <v>249</v>
          </cell>
          <cell r="AV436">
            <v>515</v>
          </cell>
          <cell r="AW436">
            <v>394</v>
          </cell>
          <cell r="AX436">
            <v>292</v>
          </cell>
          <cell r="AY436">
            <v>216</v>
          </cell>
          <cell r="AZ436">
            <v>269</v>
          </cell>
          <cell r="BA436">
            <v>398</v>
          </cell>
          <cell r="BB436">
            <v>248</v>
          </cell>
          <cell r="BC436">
            <v>542</v>
          </cell>
          <cell r="BD436">
            <v>243</v>
          </cell>
          <cell r="BE436">
            <v>296</v>
          </cell>
          <cell r="BF436">
            <v>118</v>
          </cell>
          <cell r="BG436">
            <v>474</v>
          </cell>
          <cell r="BH436">
            <v>331</v>
          </cell>
          <cell r="BI436">
            <v>381</v>
          </cell>
          <cell r="BJ436">
            <v>354</v>
          </cell>
          <cell r="BK436">
            <v>337</v>
          </cell>
          <cell r="BL436">
            <v>276</v>
          </cell>
          <cell r="BM436">
            <v>313</v>
          </cell>
          <cell r="BN436">
            <v>438</v>
          </cell>
          <cell r="BO436">
            <v>278</v>
          </cell>
          <cell r="BP436">
            <v>164</v>
          </cell>
          <cell r="BQ436">
            <v>346</v>
          </cell>
          <cell r="BR436">
            <v>159</v>
          </cell>
          <cell r="BS436">
            <v>537</v>
          </cell>
          <cell r="BT436">
            <v>271</v>
          </cell>
          <cell r="BU436">
            <v>270</v>
          </cell>
          <cell r="BV436">
            <v>273</v>
          </cell>
          <cell r="BW436">
            <v>288</v>
          </cell>
          <cell r="BX436">
            <v>139</v>
          </cell>
          <cell r="BY436">
            <v>242</v>
          </cell>
          <cell r="BZ436">
            <v>477</v>
          </cell>
          <cell r="CA436">
            <v>289</v>
          </cell>
          <cell r="CB436">
            <v>205</v>
          </cell>
          <cell r="CC436">
            <v>318</v>
          </cell>
          <cell r="CD436">
            <v>382</v>
          </cell>
          <cell r="CE436">
            <v>125</v>
          </cell>
          <cell r="CF436">
            <v>90</v>
          </cell>
          <cell r="CG436">
            <v>290</v>
          </cell>
          <cell r="CH436">
            <v>323</v>
          </cell>
          <cell r="CI436">
            <v>357</v>
          </cell>
          <cell r="CJ436">
            <v>163</v>
          </cell>
          <cell r="CK436">
            <v>505</v>
          </cell>
          <cell r="CL436">
            <v>316</v>
          </cell>
          <cell r="CM436">
            <v>392</v>
          </cell>
          <cell r="CN436">
            <v>370</v>
          </cell>
          <cell r="CO436">
            <v>322</v>
          </cell>
          <cell r="CP436">
            <v>382</v>
          </cell>
          <cell r="CQ436">
            <v>193</v>
          </cell>
          <cell r="CR436">
            <v>295</v>
          </cell>
          <cell r="CS436">
            <v>177</v>
          </cell>
          <cell r="CT436">
            <v>371</v>
          </cell>
          <cell r="CU436">
            <v>290</v>
          </cell>
          <cell r="CV436">
            <v>170</v>
          </cell>
          <cell r="CX436">
            <v>564</v>
          </cell>
          <cell r="CY436">
            <v>405</v>
          </cell>
          <cell r="CZ436">
            <v>232</v>
          </cell>
          <cell r="DA436">
            <v>306</v>
          </cell>
        </row>
        <row r="443">
          <cell r="B443" t="str">
            <v xml:space="preserve">maesta con # productos activos en las 3 plantas que no se repitan </v>
          </cell>
        </row>
        <row r="444">
          <cell r="B444" t="str">
            <v xml:space="preserve"># se comprarn por plantas </v>
          </cell>
        </row>
        <row r="445">
          <cell r="B445" t="str">
            <v xml:space="preserve"># se repiten en enea en pv </v>
          </cell>
        </row>
        <row r="446">
          <cell r="B446" t="str">
            <v xml:space="preserve">$ plata significa </v>
          </cell>
        </row>
        <row r="447">
          <cell r="B447" t="str">
            <v># cuantos se entregan directos en plantas</v>
          </cell>
        </row>
        <row r="448">
          <cell r="B448" t="str">
            <v xml:space="preserve"># se compra en enea para otras plantas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ul Tramarria Levano" refreshedDate="46180.578107638888" createdVersion="8" refreshedVersion="8" minRefreshableVersion="3" recordCount="515" xr:uid="{E704BBB7-1460-4B35-8904-E4A4BD94C518}">
  <cacheSource type="worksheet">
    <worksheetSource ref="A1:L516" sheet="Hoja1"/>
  </cacheSource>
  <cacheFields count="12">
    <cacheField name="Número de artículo" numFmtId="0">
      <sharedItems containsSemiMixedTypes="0" containsString="0" containsNumber="1" containsInteger="1" minValue="100104" maxValue="501147"/>
    </cacheField>
    <cacheField name="Descripción del artículo" numFmtId="0">
      <sharedItems count="380">
        <s v="AZUCAR FLOR 5KG MEL ALIMENTOS"/>
        <s v="AZUCAR GRANULADA EGC"/>
        <s v="ALMENDRAS FILETEADAS TOSTADAS ALTO LA CRUZ"/>
        <s v="BELCOLADE AMARGO 55% PURATOS"/>
        <s v="BIZCOCHO # 20 BLANCO C/AMAPOLAS PAVESI"/>
        <s v="BIZCOCHO CARROT CAKE PAVESI"/>
        <s v="BASE DE TARTALETA SOFT BLANCA PAVESI"/>
        <s v="BASE TORTA 15PP ALTA COEXPAN"/>
        <s v="BIGOTE CHOCOLATE BLANCO 6 GRAMOS AMBROSIA"/>
        <s v="ALMENDRAS FILETEADAS EGC"/>
        <s v="BLISTER 7189 1 PASTEL DEANDES"/>
        <s v="BOLSA PEBD 40x42 CM x35 MICRAS"/>
        <s v="BOLSA DISCO HOJA 35X35 CM x35 MICRAS"/>
        <s v="BOLSA PREPICADA BANDEJA (22+60+22)104x90"/>
        <s v="BRILLO FRIO RTU PURATOS"/>
        <s v="BOLSA PREPICADA BANDEJA  100*90 COLOR AZUL ASTRA"/>
        <s v="CACAO AMARGO PURATOS"/>
        <s v="CAFE POLVO WINKLER"/>
        <s v="CAJA DE ENCOMIENDA (EN) SYCOR"/>
        <s v="CAJA  PTG AZUL 15PP ALTA SYCOR"/>
        <s v="CAJA MADRE DE PLANCHAS (PL) SYCOR"/>
        <s v="CAJA PASTELES ASTRA"/>
        <s v="CAJA PRODUCTO SECO (PS) SYCOR"/>
        <s v="CAJA PASTELES 600X325X120 ASTRA"/>
        <s v="CARAVELLA RELL FRÍO-CALIENTE AVELLANA 13 KG MASTER MARTINI"/>
        <s v="CEREZAS AL JUGO CAMPOS"/>
        <s v="CEREZAS AL JUGO DESCAROZADAS TRES ERRES"/>
        <s v="CAPSULA OVALADA N° 10 ARRIAZA"/>
        <s v="CHOCOLATE SEMI AMARGO 54% MEL"/>
        <s v="CINTA BICOLOR BNEGRO #500"/>
        <s v="CINTA NEGRA GC ZUKKER"/>
        <s v="CINTA DE EMBALAJE 72x100 SOLUTION"/>
        <s v="COBERTURA CHOCOLATE BLANCO"/>
        <s v="COBERTURA CHOCOLATES MONEDAS PURATOS"/>
        <s v="COCO RALLADO ALTO LA CRUZ"/>
        <s v="COCTEL DE FRUTA CAMPOS"/>
        <s v="COLDFIL PIE DE LIMÓN"/>
        <s v="COLORANTE ARTIFICIAL AMARILLO DUAS RODAS"/>
        <s v="COMBO 88 ALTA 12 PP LISA MOLDES PAC"/>
        <s v="COMBO 88 ALTA 12 PP MOLDES PAC"/>
        <s v="COGÑAC TRES PALOS DE 1LT"/>
        <s v="COSTA CHOCOLATE 24X140 GRS CAROZZI"/>
        <s v="CREAM CHEESE BALDE MILKAUT SANTA ROSA"/>
        <s v="CREMA AMBIANTE NATA PURATOS"/>
        <s v="CREMA CHANTYPACK PURATOS"/>
        <s v="CREMA CHOCOLATE RICHS"/>
        <s v="CREMA LACTEA SOPROLE"/>
        <s v="COVER PASTELERÍA U2 SEMIAMARGO GOTA PURATOS"/>
        <s v="CREMA PASTELERA ESPECIAL PURATOS"/>
        <s v="CREMA RELLENO SABOR NARANJA ESP. QUINTA SC 1X5 Kg"/>
        <s v="CREMA VEGETAL AMBIANTE"/>
        <s v="CREMA VEGETAL MASTER MARTINI"/>
        <s v="CREMA LACTEA DIWATTS"/>
        <s v="CREMFIL PIE DE LIMON PURATOS"/>
        <s v="CREMA WHIP TOPPIN RICH"/>
        <s v="CUPULA 170BX DEANDES"/>
        <s v="CUPULA BRAZO REINA MONSALVE"/>
        <s v="CUPULA TARTA 1025-3 MOLDES PAC"/>
        <s v="CUPULA TORTA 15 PP ALTA COEXPAN"/>
        <s v="CUPULA TORTA 15PP (98-45) MOLDESPAC"/>
        <s v="CUPULA MEDIA TORTA FOOD PACK"/>
        <s v="CURLS CHOCOLATE PURATOS"/>
        <s v="DECORCREM BLANCO 4k PURATOS"/>
        <s v="CUPULA TORTA ALTA  15PP (98-5) MOLDESPAC"/>
        <s v="DECORCREM NEGRO PURATOS"/>
        <s v="DISCO CARTON CAFE CORRUGADO 15,5CM CM ASTRA"/>
        <s v="DISCO CARTÓN CORRUGADO 19 CM EHLAN"/>
        <s v="DISCO CARTON BLANCO 19 CM PRAGGA"/>
        <s v="DISCO DE PAPEL KRAFT 100GR 21CM PAPELERA"/>
        <s v="DISCO MERENGUE PAVESI"/>
        <s v="DISCO MICROCORRUGADO EMPLACADO 15,5 CM DIÁMETRO ASTRA"/>
        <s v="DISCO MICROCORRUGADO EMPLACADO 19 CM DIÁMETRO ASTRA"/>
        <s v="DISCO PANQUEQUE VAINILLA 19 CM. SEMI ELABORADO UND"/>
        <s v="DULCE DE LECHE MASTER MARTINI"/>
        <s v="DULCE DE RELLENO DIWATTS"/>
        <s v="DURAZNO EN CUBOS ALTO LA CRUZ"/>
        <s v="DURAZNO EN SLICE LAS PERDICES"/>
        <s v="ESENCIA CAFE CARAMELO SABORES Y FRAGANCIA"/>
        <s v="ESENCIA DE VAINILLA TRAVERSO EGC"/>
        <s v="ETIQ. CIRCULAR 90cm IMPR. JUMBO TARTA FRUTA MIXTA SURTIDA"/>
        <s v="ETIQ. CIRCULAR 90cm IMPR. OPP TORTA MIL HOJAS MANJAR ARTESANAL WALMART"/>
        <s v="ETIQ. CIRCULAR 90cm IMPR. TARTA MANJAR NUEZ ESPECIAL JUMBO"/>
        <s v="ETIQ. CIRCULAR 90cm IMPR. TARTA PISTACHO ESPECIAL JUMBO"/>
        <s v="ETIQ. CIRCULAR 90cm IMPR. TORTA BROWNIE ESPECIAL JUMBO"/>
        <s v="ETIQ. CIRCULAR 90cm IMPR. TORTA CARROT CAKE ARTESANAL JUMBO"/>
        <s v="ETIQ. CIRCULAR 90cm IMPR. TORTA CUSINE &amp; CO JUMBO COOKIES AND CREAM"/>
        <s v="ETIQ. CIRCULAR 90cm IMPR. TORTA HOJA FRAMBUESA ESPECIAL JUMBO"/>
        <s v="ETIQ. CIRCULAR 90cm IMPR. TORTA IGNACIA ARTESANAL JUMBO"/>
        <s v="ETIQ. CIRCULAR 90cm IMPR. TORTA LEMON CAKE ESPECIAL JUMBO"/>
        <s v="ETIQ. CIRCULAR 90cm IMPR. TORTA MERENGUE MANZANA FRAMBUESA ESPECIAL JUMBO"/>
        <s v="ETIQ. CIRCULAR 90cm IMPR. TORTA MERENGUE NOUGAT ESPECIAL JUMBO"/>
        <s v="ETIQ. CIRCULAR 90cm IMPR. TORTA MOUSSE CHOCOLATE BLANCO ESPECIAL JUMBO"/>
        <s v="ETIQ. CIRCULAR 9cm IMPR. PIE DE MARACUYÁ ESPECIAL JUMBO"/>
        <s v="ETIQ. CIRCULAR 9cm IMPR. TORTA CALUGA NUEZ JUMBO"/>
        <s v="ETIQ.CIRCULAR 9cm IMPR. TORTA HOJA PASTELERA JUMBO"/>
        <s v="ETIQ.CIRCULAR 9cm IMPR. TORTA SAN JORGE AVELLANA ARTESANAL JUMBO"/>
        <s v="ETIQ.CIRCULAR 9cm IMPR. TORTA SAN JORGE CHOCOLATE ARTESANAL JUMBO"/>
        <s v="ETIQ.CIRCULAR 9cm IMPR. TORTA SAN JORGE GUINDA ARTESANAL JUMBO"/>
        <s v="ETIQ. CIRCULAR 90cm IMPR. TORTA RED VELVET ARTESANAL JUMBO"/>
        <s v="ETIQ. CIRCULAR 9cm IMPR. PIE DE FRAMBUESA ESPECIAL JUMBO"/>
        <s v="ETIQ. CIRCULAR 9cm IMPR. PIE DE LIMÓN ESPECIAL JUMBO"/>
        <s v="ETIQ.CIRCULAR 9cm TORTA PANQUEQUE NARANJA JUMBO"/>
        <s v="ETIQUETA 200X50 POLIPROPILENO IMPR. QUINTA"/>
        <s v="ETIQ.CIRCULAR 9cm IMPR. TORTA SAN JORGE LÚCUMA ARTESANAL JUMBO"/>
        <s v="ETIQUETA AUTOADHESIVA 22X32 POLIPROPILENO (OPP)"/>
        <s v="ETIQUETA BLANCA 100x120 SISA"/>
        <s v="ETIQUETA BLANCA 120X100 OPP"/>
        <s v="ETIQUETA CIRCULAR 4cm IMPR. PASTEL SISA"/>
        <s v="ETIQUETA CIRCULAR 9,8cm IMPR. PIE  5 COL +UV"/>
        <s v="ETIQUETA CIRCULAR 9,8cm IMPR. TARTA  5 COL +UV"/>
        <s v="ETIQUETA CIRCULAR 90 IMPRESA TORTA MERENGUE FRAMBUESA ESPECIAL JUMBO"/>
        <s v="ETIQUETA CIRCULAR 90 IMPRESA TORTA MERENGUE LÚCUMA ESPECIAL JUMBO"/>
        <s v="ETIQUETA BLANCA 200X50 SISA OPP"/>
        <s v="ETIQUETA BLANCA 30X40"/>
        <s v="ETIQUETA BLANCA 40x200 SISA"/>
        <s v="ETIQUETA CIRCULAR 9cm IMPR. TORTA CREMA MANJAR"/>
        <s v="ETIQUETA CIRCULAR 9cm IMPR. TORTA SELVA NEGRA"/>
        <s v="ETIQUETA CIRCULAR 9cm IMPR. TORTA YOGURT FRUTILLA"/>
        <s v="ETIQUETA CIRCULAR 9cm TORTA CALUGA"/>
        <s v="ETIQUETA CIRCULAR 9cm TORTA CHOCOLATE REAL"/>
        <s v="ETIQUETA CIRCULAR 9cm TORTA CHOCOTORTA JUMBO"/>
        <s v="ETIQUETA CIRCULAR 9cm TORTA CREMA CHOCOLATE"/>
        <s v="ETIQUETA CIRCULAR 9cm TORTA DOÑA ISABEL"/>
        <s v="ETIQUETA CIRCULAR 9cm IMPR. T.CREMA PIÑA 5 COL +UV"/>
        <s v="ETIQUETA CIRCULAR 9cm TORTA PANQUEQUE CHOCOLATE GUINDA"/>
        <s v="ETIQUETA CIRCULAR 9cm TORTA SABOR MANJAR NUEZ"/>
        <s v="ETIQUETA CIRCULAR 9cm TORTA SACHER"/>
        <s v="ETIQUETA CIRCULAR 9cm TORTA SELVA NEGRA VEGANA"/>
        <s v="ETIQUETA CIRCULAR OPCIÓN VEGANA CRISME"/>
        <s v="ETIQUETA CIRCULAR TORTA AMOR"/>
        <s v="ETIQUETA COLOR CREMA 245X40 OPP"/>
        <s v="ETIQUETA CIRCULAR 9cm TORTA GALLETA FRAMBUESA"/>
        <s v="ETIQUETA CIRCULAR 9cm TORTA GUINDA CHOCOLATE"/>
        <s v="ETIQUETA CIRCULAR 9cm TORTA HOJA MANJAR JUMBO"/>
        <s v="ETIQUETA CIRCULAR 9cm TORTA MANJAR LUCUMA"/>
        <s v="ETIQUETA OPP TRANSPARENTE 22X32 CRISME"/>
        <s v="ETIQUETA TORTA  MOCACCINO"/>
        <s v="ETIQUETAS CIRCULAR 9cm  TORTA SELVA NEGRA JUMBO"/>
        <s v="ETIQUETAS CIRCULAR 9cm IMPR. PANQUEQUE NARANJA"/>
        <s v="ETIQUETAS CIRCULAR 9cm IMPR. TORTA 4 LECHES JUMBO"/>
        <s v="ETIQUETA TORTA MERENGUE COOKIES"/>
        <s v="ETIQUETA TORTA MERENGUE FRAMBUESA CONGELADA"/>
        <s v="ETIQUETA TORTA MERENGUE LEMON PIE"/>
        <s v="ETIQUETA TORTA MERENGUE LUCUMA CONGELADA"/>
        <s v="ETIQUETAS CIRCULAR 9cm IMPR. TORTA DURAZNO MANJAR"/>
        <s v="ETIQUETAS CIRCULAR 9cm IMPR. TORTA HOJA MANJAR"/>
        <s v="ETIQUETAS CIRCULAR 9cm IMPR. TORTA IRLANDESA"/>
        <s v="ETIQUETAS CIRCULAR 9cm IMPR. TORTA LUCUMA JUMBO"/>
        <s v="ETIQUETAS CIRCULAR 9cm IMPR. TORTA PIÑA JUMBO"/>
        <s v="ETIQUETAS CIRCULAR 9cm IMPR. TORTA PQQ. CHOCOLATE MANJAR GUINDA SISA"/>
        <s v="ETIQUETAS CIRCULAR 9cm IMPR. TORTA TRUFFA JUMBO"/>
        <s v="ETIQUETAS CIRCULAR 9cm IMPR. TORTA VIENA JUMBO"/>
        <s v="ETIQUETAS CIRCULAR 9cm IMPR. TORTA VIENA SISA"/>
        <s v="ETIQUETAS CIRCULAR 9cm IMPR.TORTA TRES LECHES JUMB0"/>
        <s v="FIGURA DE CORAZON MANAR"/>
        <s v="ETIQUETAS CIRCULAR 9cm IMPR. TORTA BEATRIZ JUMBO"/>
        <s v="ETIQUETAS CIRCULAR 9cm IMPR. TORTA BOM BOM"/>
        <s v="FILM TRANSPARENTE  685 MM (23CM) BATTISTA"/>
        <s v="FILLING DE FRAMBUESA MEL"/>
        <s v="FILLING DE GUINDA BALDE 4,5 Kg"/>
        <s v="FRAMBUESA CONGELADA ALTA FRUTA"/>
        <s v="GALLETA OREO REGULAR ALCA"/>
        <s v="GANACHE PURATOS"/>
        <s v="GELATINA S/SABOR ALTO LA CRUZ"/>
        <s v="GELATINA FRAMBUESA ALTO LA CRUZ"/>
        <s v="GELATINA S/SABOR ALFA GROUP"/>
        <s v="GRANA SECA BIZCOCHO AMAPOLA"/>
        <s v="GRANA SECA RED VELVET"/>
        <s v="GRANILLO CHOCOLATE MANAR"/>
        <s v="HARINA NUEZ TRES ERRE"/>
        <s v="GRANA CHOCOLATE"/>
        <s v="HOJA SENCILLA PROSERVAR"/>
        <s v="HOJA SEPARADORA PLANCHAS PROSERVAR"/>
        <s v="HOJA SEPARADORA TARTALETA DIAMETRO 255 MMS."/>
        <s v="HOJA SEPARADORA TORTA DIAMETRO 230 MMS FULL CARTON"/>
        <s v="HOJA SEPARADORA TORTA DIAMETRO 230 MMS."/>
        <s v="HOJA SEPARADORA TORTA MEDIANA DIAMETRO 210 MMS."/>
        <s v="HOJARASCA 19 CMS. PAVESI"/>
        <s v="INSUMO INTERPLANTA BIZCOCHO TIPO TRES LECHES 19 CM."/>
        <s v="INSUMO DISCO PANQUEQUE CHOCOLATE 18 CM."/>
        <s v="INSUMO SEMI ELABORADO BROWNIE VEGANO INTERPLANTA"/>
        <s v="INSUMO INTERPLANTA BIZCOCHO RED VELVET 19 CM"/>
        <s v="INSUMO SEMI-ELABORADO INTERPLANTA BIZCOCHO CHOCOLATE 19cm"/>
        <s v="INSUMO SEMI-ELABORADO INTERPLANTA BIZCOCHO VAINILLA 19cm"/>
        <s v="INSUMO SEMIELABORADO GALLETA OREO MOLIDA"/>
        <s v="JARABE 3 LECHES SCHOLLE 10LT DIWATTS"/>
        <s v="JARABE DE REMOJO OCTOBINS"/>
        <s v="JARABE DE REMOJO RON-NJA 40 BIDÓN 5 Lt"/>
        <s v="JUGO DE LIMÓN ALTA FRUTA"/>
        <s v="LECHE CONDENSADA NESTLE"/>
        <s v="LECHE CONDENSADA UNTABLE NESTLE"/>
        <s v="LECHE CONDENSADA WATTS"/>
        <s v="LAMINA ACETATO TRANSPARENTE 7x60 CM FPS"/>
        <s v="MANJAR ARTESANAL DIWATTS"/>
        <s v="MANTEQUILLA WATTS"/>
        <s v="MANZANAS SLICE MEL"/>
        <s v="MARRASQUINO ALTO LA CRUZ"/>
        <s v="MEDIA HOJARASCA OBERENA"/>
        <s v="MEDIO DISCO CARTON BLANCO 19,5 JUMBO ARRIAZA"/>
        <s v="MERENGUITOS PAVESI"/>
        <s v="MERM. EBEL GRANDES CONSUMIDORES FRUTILLA BALDE 5 Kg"/>
        <s v="MERM. EBEL GUINDA (ET. VERDE) BL 5 Kg"/>
        <s v="MERM. LAMARKA MARACUYA BALDE 5 Kg"/>
        <s v="MERM. MEL DURAZNO ENT. BALDE 5 Kg"/>
        <s v="MERM. MEL FRAMBUESA QUINTA BALDE 5 Kg"/>
        <s v="MERM. MEL GUINDA ÁCIDA QUINTA BALDE 5 Kg"/>
        <s v="MER. MEL PIÑA BALDE 5 Kg"/>
        <s v="MERMELADA DE FRAMBUESA EBEL"/>
        <s v="MERENGUE PURATOS"/>
        <s v="NUEVO BRILLO PARA CONGELADO PURATOS"/>
        <s v="NUEZ MARIPOSA CLARA CAMPOS"/>
        <s v="NUEZ PICADILLO CAMPOS"/>
        <s v="NUEZ PICADILLO LAS TRES ERRES"/>
        <s v="OREO MEDIUM CRUMBS (TROZOS) ALCA"/>
        <s v="NECTAR SABOR NARANJA WATTS"/>
        <s v="PALITOS DE CHOCOLATE PURATOS"/>
        <s v="PIÑA EN CUBOS LAS PERDICES"/>
        <s v="PIÑA EN RODAJA LAS PERDICES"/>
        <s v="PIÑA EN RODAJAS ALTO LA CRUZ"/>
        <s v="PISTACHO S/CASCARA TRES ERRES"/>
        <s v="PLANCHA DE CARTON 1X1,20 FULL CARTON"/>
        <s v="PLANCHA DE CARTON 1X1,20 ASTRA"/>
        <s v="Porción vainilla  Semi-Elab UND"/>
        <s v="PM CREAM VELVET BAKELS"/>
        <s v="PURE DE LUCUMA (ET. VERDE) BALDE 4,5 Kg"/>
        <s v="PURE DE MANZANA BALDE 4,5 Kg MEL"/>
        <s v="RALLADO NEGRO 3mm ZUKKER"/>
        <s v="RELLENO PIE DE FRAMBUESA"/>
        <s v="RELLENO PIE MARACUYÁ BALDE 4,5 Kg"/>
        <s v="REMOJO 3 LECHES RICHI"/>
        <s v="REMOJO DULCERÍO 10 LITROS PURATOS"/>
        <s v="RELLENO CHOCOLATE CREAM BAKELS"/>
        <s v="SABOR AROMA LUCUMA FRANCIAAROMA"/>
        <s v="SALSA DE FRAMBUESA MEL"/>
        <s v="SALSA DE GUINDA BALDE 5 Kg"/>
        <s v="SEMILLA DE AMAPOLA CAMPOS"/>
        <s v="STRECH FILM AMARILLO"/>
        <s v="STRECH FILM ANARANJADO"/>
        <s v="STRECH FILM BLANCO"/>
        <s v="STRECH FILM NEGRO"/>
        <s v="STRECH FILM ROJO"/>
        <s v="STRECH FILM VERDE"/>
        <s v="SUB DISCO HOJA 15 PP"/>
        <s v="TARTALETA FAMILIAR RECETA TRADICIONAL"/>
        <s v="Tartaleta mediana semi-elab"/>
        <s v="TRIANGULO VERDE #85 MARMOLEADO AMARILLO"/>
        <s v="TRUFA CHOCOLATE PURATOS"/>
        <s v="ULTRA RICH CLASICA UHT"/>
        <s v="VASOS CONO PAPEL FOOD PACK"/>
        <s v="TRIANGULO BLANCO #45 MARMOLEADO NEGRO"/>
        <s v="TRIANGULO NEGRO 45mm ZUKKER"/>
        <s v="ZANAHORIA BABY 454 GR AGROSANO"/>
        <s v="YOGURT FRUTILLA DIWATTS"/>
        <s v="AZUCAR RUBIA EGC"/>
        <s v="BASE TORTA CON TOPE COEXPAN"/>
        <s v="ACEITE VEGETAL 5000 CC. EGC"/>
        <s v="BOLSA PREPICADA 50x75"/>
        <s v="Borde G 220x25 VERTIENTES"/>
        <s v="CAJA PTG 15PP JUMBO VTM SUR"/>
        <s v="CAJA PTG 15PP SISA PROSERVAR"/>
        <s v="CANELA EN POLVO ALTO LA CRUZ"/>
        <s v="CAJA TORTA MEDIANA VTM SUR"/>
        <s v="CAPSULAS DE PAPEL NUMERO 11 FOOD PACK"/>
        <s v="CINTA BICOLOR NARANJA ZUKKER"/>
        <s v="COLORANTE ROJO POLVO"/>
        <s v="CREMA NATA RICH"/>
        <s v="CREMA PASTELERA NARANJA BAKELS"/>
        <s v="CREMFIL DULCE DE LECHE PURATOS"/>
        <s v="CREMYVIT NARANJA TM1 PURATOS"/>
        <s v="CRUMBLE FRAMBUESA CONGELADA ALTA FRUTA"/>
        <s v="CUPULA 271 BX DEANDES"/>
        <s v="CRUSHED DE FRAMBUESA ALTO LA CRUZ"/>
        <s v="CUPULA TARTA 1025-5 MOLDES PAC"/>
        <s v="CUPULA TORTA 15PP OSKUPACK"/>
        <s v="DESMOLDANTE PARA BATIDOS PURATOS"/>
        <s v="CUPULA TORTA 15 PP H112 ALTA COEXPAN"/>
        <s v="DISCO CARTON BLANCO 17 CM PRAGGA"/>
        <s v="DISCO CARTON BLANCO 24 CM PRAGGA"/>
        <s v="DISCO CARTON BLANCO 24 JUMBO ARRIAZA"/>
        <s v="DISCO CARTÓN CORRUGADO 15,5 CM EHLAN"/>
        <s v="DURAZNO EN MITADES ALTO LA CRUZ"/>
        <s v="ETIQ. CIRCULAR 80cm IMPR. OPP TORTA CHOCOLATE WALMART"/>
        <s v="ETIQ. CIRCULAR 80cm IMPR. OPP TORTA FRUTOS DEL BOSQUE WALMART"/>
        <s v="ETIQ. CIRCULAR 90cm IMPR. OPP KUCHEN FRAMBUESA TRADICIONAL WALMART"/>
        <s v="ETIQ. CIRCULAR 90cm IMPR. OPP TORTA HOJA MANJAR MERENGUE WALMART"/>
        <s v="ETIQ. CIRCULAR 90cm IMPR. OPP TORTA PANQUEQUE NARANJA WALMART"/>
        <s v="ETIQ. CIRCULAR 90cm IMPR. OPP TORTA SELVA NEGRA TRADICIONAL WALMART"/>
        <s v="ETIQ. CIRCULAR 90cm IMPR. OPP TORTA SELVA NEGRA WALMART"/>
        <s v="ETIQ. CIRCULAR 90cm IMPR. OPP TORTA TRES LECHES WALMART"/>
        <s v="ETIQ. CIRCULAR 80cm IMPR. OPP TORTA SAN JORGE SMU"/>
        <s v="ETIQ. CIRCULAR 90cm IMPR. JUMBO KUCHEN DE DURAZNO"/>
        <s v="ETIQ. CIRCULAR 90cm IMPR. JUMBO KUCHEN DE FRAMBUESA"/>
        <s v="ETIQ. CIRCULAR 90cm IMPR. JUMBO KUCHEN DE MANZANA"/>
        <s v="ETIQ. CIRCULAR 90cm IMPR. JUMBO KUCHEN DE MANZANA TRENZADO"/>
        <s v="ETIQ. CIRCULAR 90cm IMPR. JUMBO KUCHEN DE STROISSEL MANZANA"/>
        <s v="ETIQ. CIRCULAR 90cm IMPR. OPP TORTA AMOR MARKETSIDE"/>
        <s v="ETIQ. CIRCULAR 90cm IMPR. OPP TORTA AMOR WALMART"/>
        <s v="ETIQ. CIRCULAR 90cm IMPR. OPP TORTA PIÑA MARKETSIDE"/>
        <s v="ETIQ. CIRCULAR 90cm IMPR. OPP TORTA PIÑA WALMART"/>
        <s v="ETIQ. CIRCULAR 90cm IMPR. OPP TORTA SAN JORGE MARKETSIDE"/>
        <s v="ETIQ. CIRCULAR 90cm IMPR. OPP TORTA SELVA NEGRA MARKETSIDE"/>
        <s v="ETIQ. CIRCULAR 90cm IMPR. OPP TORTA VIENA MARKETSIDE"/>
        <s v="ETIQUETA 300X57 TORTA HOJA MERENGUE SMU"/>
        <s v="ETIQUETA 300X57 TORTA SAN JORGE SMU"/>
        <s v="ETIQUETA BLANCA 100x80 SISA"/>
        <s v="ETIQUETA BLANCA 180X50 PAPEL SEMIBRILLO CRISME"/>
        <s v="ETIQUETA CIRCULAR 9,8cm IMPR. KUCHEN  5 COL +UV"/>
        <s v="ETIQUETA BLANCA 100x50"/>
        <s v="ETIQUETA CONSUMO"/>
        <s v="ETIQUETA CONSUMO MARKETSIDE"/>
        <s v="ETIQUETA CONSUMO IMPRESO COLOR MOSTAZA"/>
        <s v="ETIQUETA DECORATIVA PASTEL PIÑA JUMBO"/>
        <s v="ETIQUETA DECORATIVA PASTEL SELVA NEGRA JUMBO"/>
        <s v="ETIQUETA DECORATIVA PASTEL TRES LECHES JUMBO"/>
        <s v="ETIQUETA DECORATIVA PASTEL TRUFA JUMBO"/>
        <s v="ETIQUETA GALLETA AMERICAN CRISPY CARAMELO SALADO"/>
        <s v="ETIQUETA DECORATIVA PASTEL MIL HOJAS PASTELERA JUMBO"/>
        <s v="FILLING DE MANZANA MEL"/>
        <s v="FRUIT FILLING MANZANA FRUCOL"/>
        <s v="GALLETA VINO NESTLE"/>
        <s v="HARINA ORO 2"/>
        <s v="HOJA SEPARADORA TORTA DIAMETRO 230 MMS ASTRA"/>
        <s v="HUEVO LIQUIDO BALDE ARIZONA"/>
        <s v="JARABE DE REMOJO 35° BIDON"/>
        <s v="JARABE DE REMOJO 35° TOTEM 1000 Lt"/>
        <s v="JUGO EN POLVO ZUKO DURAZNO"/>
        <s v="MANTEQUILLA SIN SAL ALCA"/>
        <s v="MANJAR GRADO 3 LANGER"/>
        <s v="MARGARINA HORNITO CERRILLOS"/>
        <s v="MERM. EBEL FRUTOS DEL BOSQUE BALDE 5 KG"/>
        <s v="MERM. EBEL PIÑA QUINTA BALDE 5 Kg"/>
        <s v="MERM. LAMARKA DAMASCO BALDE 5 Kg"/>
        <s v="MERM. LAMARKA FRAMBUESA BALDE 5 Kg"/>
        <s v="MERM. MEL DAMASCO MOL. BALDE 5 Kg"/>
        <s v="MERMELADA CIRUELA MEL"/>
        <s v="MER. EBEL PIÑA BALDE 5 Kg"/>
        <s v="MERENGUE CONGELABLE PURATOS"/>
        <s v="MIX BIZCOCHO CHOCOLATE PURATOS"/>
        <s v="MIX BIZC. RED VELVET PURATOS"/>
        <s v="MIX BIZCOCHO BLANCO SAN CRISTOBAL"/>
        <s v="MIX BIZCOCHO CHOCOLATE SAN CRISTOBAL"/>
        <s v="MIX BIZCOCHO SIN AZUCAR PURATOS"/>
        <s v="MIX TARTALETA SAN CRISTOBAL"/>
        <s v="MOLDES PAPEL BASE TARTA MOLDESPAC"/>
        <s v="MOSTACILLA CORAZÓN VALENTÍN AMBROSIA"/>
        <s v="PASA MORENA"/>
        <s v="PAPEL BEIGE 38.5 x 44.5 ARRIAZA"/>
        <s v="PLACA TORTA VIENA ZUKKER"/>
        <s v="PLANCHA DE HOJA  42X36X1 cm (1x12)"/>
        <s v="PLANCHA PANQUEQUE VAINILLA TERCEROS PAVESI"/>
        <s v="PROPIONATO DE CALCIO 14 KG WINKLER"/>
        <s v="PROTEKTOR PURATOS"/>
        <s v="RELLENO CREMA VAINILLA BAKELS"/>
        <s v="RELLENO SABOR VAINILLA PURATOS"/>
        <s v="SATIN PURATOS"/>
        <s v="STRECH FILM AZUL"/>
        <s v="STRECH FILM REMINISEN"/>
        <s v="SUB DISCO HOJA 10 PP"/>
        <s v="SUB DISCO PANQUEQUE VAINILLA 16 CM"/>
        <s v="TEGRAL BROWNIE VEGGI PURATOS"/>
        <s v="TRIANGULO BLANCO RAYADO ROJO"/>
        <s v="DISCO DE PAPEL 19CM PQQ CURICO"/>
        <s v="DISCO DE PAPEL PQQ KRAFT FPS"/>
        <s v="DISCO CARTON MH 15 PP ARRIAZA"/>
        <s v="ETIQUETA GENERICA TORTA MIL HOJAS MANJAR ESPECIAL WALMART"/>
        <s v="HARINA FORTALEZA SAN CRISTOBAL"/>
        <s v="HARINA 063 FINA HOJA SAN CRISTOBAL"/>
        <s v="HARINA PLATA SAN CRISTOBAL"/>
        <s v="GRANA DE HOJA"/>
        <s v="HUEVO EN POLVO OVOSUR"/>
        <s v="HUINCHA CARTON MH 8.5x75 ARRIAZA"/>
        <s v="MARGARINA DE HOJA CERRILLOS"/>
        <s v="MARGARINA HORNITO DIWATTS"/>
        <s v="MARRASQUINO FRUCOL"/>
        <s v="MIX PANQUEQUE CHOCOLATE SAN CRISTOBAL"/>
        <s v="MIX PANQUEQUE HUEVO POLVO SAN CRISTOBAL"/>
        <s v="PAPEL MANTEQUILLA ARRIAZA"/>
        <s v="SAL FINA"/>
        <s v="VINAGRE WINKLER"/>
        <s v="MARGARINA MULTIPROPÓSITO HORNEO"/>
      </sharedItems>
    </cacheField>
    <cacheField name="WhsCode" numFmtId="0">
      <sharedItems count="4">
        <s v="EN_MATPR"/>
        <s v="PV_MATPR"/>
        <s v="CU_MATPR"/>
        <s v="EN_SATEL"/>
      </sharedItems>
    </cacheField>
    <cacheField name="WhsName" numFmtId="0">
      <sharedItems/>
    </cacheField>
    <cacheField name="Stock" numFmtId="0">
      <sharedItems containsSemiMixedTypes="0" containsString="0" containsNumber="1" minValue="0.04" maxValue="370000"/>
    </cacheField>
    <cacheField name="PMP" numFmtId="1">
      <sharedItems containsSemiMixedTypes="0" containsString="0" containsNumber="1" minValue="1.01" maxValue="57964.51"/>
    </cacheField>
    <cacheField name="Valorizado" numFmtId="1">
      <sharedItems containsSemiMixedTypes="0" containsString="0" containsNumber="1" minValue="21" maxValue="55571975.711999997"/>
    </cacheField>
    <cacheField name="Fecha" numFmtId="16">
      <sharedItems containsSemiMixedTypes="0" containsNonDate="0" containsDate="1" containsString="0" minDate="2026-06-07T00:00:00" maxDate="2026-06-08T00:00:00"/>
    </cacheField>
    <cacheField name="Consumo " numFmtId="4">
      <sharedItems containsString="0" containsBlank="1" containsNumber="1" minValue="0" maxValue="19444.444444444445"/>
    </cacheField>
    <cacheField name="familia" numFmtId="0">
      <sharedItems count="32">
        <s v="Azucar"/>
        <s v="Esencia"/>
        <s v="Chocolate"/>
        <s v="Insumo"/>
        <s v="Cupula"/>
        <s v="Bolsas"/>
        <s v="Mermelada"/>
        <s v="Caja"/>
        <s v="Fruta Conserva"/>
        <s v="Empaque"/>
        <s v="Colorantes"/>
        <s v="Licor"/>
        <s v="Galleta"/>
        <s v="Cremas"/>
        <s v="Carton"/>
        <s v="Manjar"/>
        <s v="Etiquetas"/>
        <s v="Film"/>
        <s v="Fruta Congelada"/>
        <s v="Gelatina"/>
        <s v="Mix"/>
        <s v="Remojo"/>
        <s v="Jugo"/>
        <s v="Leche condensada"/>
        <s v="Margarina"/>
        <s v="Yogurt"/>
        <s v="Aceite"/>
        <s v="Colorante"/>
        <s v="Desmoldante"/>
        <s v="Huevo"/>
        <s v="Propionato"/>
        <s v="Harina"/>
      </sharedItems>
    </cacheField>
    <cacheField name="D/stock" numFmtId="1">
      <sharedItems containsSemiMixedTypes="0" containsString="0" containsNumber="1" minValue="0" maxValue="810"/>
    </cacheField>
    <cacheField name="MINIMO " numFmtId="0">
      <sharedItems containsString="0" containsBlank="1" containsNumber="1" minValue="0" maxValue="166666.666666666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5">
  <r>
    <n v="405418"/>
    <x v="0"/>
    <x v="0"/>
    <s v="E1-BMP Enea"/>
    <n v="470"/>
    <n v="1371.65"/>
    <n v="644675.5"/>
    <d v="2026-06-07T00:00:00"/>
    <n v="8.6111111111111107"/>
    <x v="0"/>
    <n v="54.580645161290327"/>
    <n v="34.444444444444443"/>
  </r>
  <r>
    <n v="104006"/>
    <x v="1"/>
    <x v="0"/>
    <s v="E1-BMP Enea"/>
    <n v="2442"/>
    <n v="900"/>
    <n v="2197800"/>
    <d v="2026-06-07T00:00:00"/>
    <n v="201.60185185185185"/>
    <x v="0"/>
    <n v="12.112983970973223"/>
    <n v="1008.0092592592592"/>
  </r>
  <r>
    <n v="405682"/>
    <x v="2"/>
    <x v="0"/>
    <s v="E1-BMP Enea"/>
    <n v="60"/>
    <n v="10690"/>
    <n v="641400"/>
    <d v="2026-06-07T00:00:00"/>
    <n v="1.6666666666666667"/>
    <x v="1"/>
    <n v="36"/>
    <n v="6.666666666666667"/>
  </r>
  <r>
    <n v="107302"/>
    <x v="3"/>
    <x v="0"/>
    <s v="E1-BMP Enea"/>
    <n v="105"/>
    <n v="12960"/>
    <n v="1360800"/>
    <d v="2026-06-07T00:00:00"/>
    <n v="21.291666666666668"/>
    <x v="2"/>
    <n v="4.9315068493150678"/>
    <n v="106.45833333333334"/>
  </r>
  <r>
    <n v="405645"/>
    <x v="4"/>
    <x v="0"/>
    <s v="E1-BMP Enea"/>
    <n v="47"/>
    <n v="2450"/>
    <n v="115150"/>
    <d v="2026-06-07T00:00:00"/>
    <n v="19.314814814814813"/>
    <x v="3"/>
    <n v="2.4333652924256954"/>
    <n v="96.574074074074076"/>
  </r>
  <r>
    <n v="400216"/>
    <x v="5"/>
    <x v="0"/>
    <s v="E1-BMP Enea"/>
    <n v="75"/>
    <n v="4322"/>
    <n v="324150"/>
    <d v="2026-06-07T00:00:00"/>
    <n v="9.6333333333333329"/>
    <x v="3"/>
    <n v="7.7854671280276824"/>
    <n v="48.166666666666664"/>
  </r>
  <r>
    <n v="404316"/>
    <x v="6"/>
    <x v="0"/>
    <s v="E1-BMP Enea"/>
    <n v="60"/>
    <n v="1646"/>
    <n v="98760"/>
    <d v="2026-06-07T00:00:00"/>
    <n v="56.768518518518512"/>
    <x v="3"/>
    <n v="1.0569238297178276"/>
    <n v="283.84259259259255"/>
  </r>
  <r>
    <n v="405445"/>
    <x v="7"/>
    <x v="0"/>
    <s v="E1-BMP Enea"/>
    <n v="41500"/>
    <n v="93.59"/>
    <n v="3883985"/>
    <d v="2026-06-07T00:00:00"/>
    <n v="9315.0092592592591"/>
    <x v="4"/>
    <n v="4.4551753889829335"/>
    <n v="37260.037037037036"/>
  </r>
  <r>
    <n v="405774"/>
    <x v="8"/>
    <x v="0"/>
    <s v="E1-BMP Enea"/>
    <n v="2200"/>
    <n v="100"/>
    <n v="220000"/>
    <d v="2026-06-07T00:00:00"/>
    <n v="0"/>
    <x v="2"/>
    <n v="0"/>
    <n v="0"/>
  </r>
  <r>
    <n v="405482"/>
    <x v="9"/>
    <x v="0"/>
    <s v="E1-BMP Enea"/>
    <n v="146"/>
    <n v="11250.01"/>
    <n v="1642501.46"/>
    <d v="2026-06-07T00:00:00"/>
    <n v="0"/>
    <x v="1"/>
    <n v="0"/>
    <n v="0"/>
  </r>
  <r>
    <n v="403338"/>
    <x v="10"/>
    <x v="0"/>
    <s v="E1-BMP Enea"/>
    <n v="7200"/>
    <n v="49.44"/>
    <n v="355968"/>
    <d v="2026-06-07T00:00:00"/>
    <n v="579.63888888888891"/>
    <x v="4"/>
    <n v="12.421526812670724"/>
    <n v="2318.5555555555557"/>
  </r>
  <r>
    <n v="400205"/>
    <x v="11"/>
    <x v="0"/>
    <s v="E1-BMP Enea"/>
    <n v="4000"/>
    <n v="32"/>
    <n v="128000"/>
    <d v="2026-06-07T00:00:00"/>
    <n v="333.33333333333331"/>
    <x v="5"/>
    <n v="12"/>
    <n v="2666.6666666666665"/>
  </r>
  <r>
    <n v="400104"/>
    <x v="12"/>
    <x v="0"/>
    <s v="E1-BMP Enea"/>
    <n v="21500"/>
    <n v="28.7"/>
    <n v="617050"/>
    <d v="2026-06-07T00:00:00"/>
    <n v="9479.1666666666661"/>
    <x v="5"/>
    <n v="2.2681318681318681"/>
    <n v="75833.333333333328"/>
  </r>
  <r>
    <n v="400203"/>
    <x v="13"/>
    <x v="0"/>
    <s v="E1-BMP Enea"/>
    <n v="747.5"/>
    <n v="2749.55"/>
    <n v="2055288.625"/>
    <d v="2026-06-07T00:00:00"/>
    <n v="51.51250000000001"/>
    <x v="5"/>
    <n v="14.511041009463719"/>
    <n v="412.10000000000008"/>
  </r>
  <r>
    <n v="107120"/>
    <x v="14"/>
    <x v="0"/>
    <s v="E1-BMP Enea"/>
    <n v="1566"/>
    <n v="1829.9"/>
    <n v="2865623.4"/>
    <d v="2026-06-07T00:00:00"/>
    <n v="68.166666666666671"/>
    <x v="6"/>
    <n v="22.973105134474327"/>
    <n v="340.83333333333337"/>
  </r>
  <r>
    <n v="402263"/>
    <x v="15"/>
    <x v="0"/>
    <s v="E1-BMP Enea"/>
    <n v="333.6"/>
    <n v="2478.7399999999998"/>
    <n v="826907.66399999999"/>
    <d v="2026-06-07T00:00:00"/>
    <n v="2.5740740740740748"/>
    <x v="5"/>
    <n v="129.59999999999997"/>
    <n v="33.462962962962976"/>
  </r>
  <r>
    <n v="101002"/>
    <x v="16"/>
    <x v="0"/>
    <s v="E1-BMP Enea"/>
    <n v="75"/>
    <n v="12779.27"/>
    <n v="958445.25"/>
    <d v="2026-06-07T00:00:00"/>
    <n v="5.729166666666667"/>
    <x v="2"/>
    <n v="13.09090909090909"/>
    <n v="28.645833333333336"/>
  </r>
  <r>
    <n v="106401"/>
    <x v="17"/>
    <x v="0"/>
    <s v="E1-BMP Enea"/>
    <n v="23.5"/>
    <n v="21844.21"/>
    <n v="513338.935"/>
    <d v="2026-06-07T00:00:00"/>
    <n v="0.93333333333333324"/>
    <x v="1"/>
    <n v="25.178571428571431"/>
    <n v="4.6666666666666661"/>
  </r>
  <r>
    <n v="107367"/>
    <x v="18"/>
    <x v="0"/>
    <s v="E1-BMP Enea"/>
    <n v="3500"/>
    <n v="890.76"/>
    <n v="3117660"/>
    <d v="2026-06-07T00:00:00"/>
    <n v="83.333333333333329"/>
    <x v="7"/>
    <n v="42"/>
    <n v="1416.6666666666667"/>
  </r>
  <r>
    <n v="107361"/>
    <x v="19"/>
    <x v="0"/>
    <s v="E1-BMP Enea"/>
    <n v="2598"/>
    <n v="585"/>
    <n v="1519830"/>
    <d v="2026-06-07T00:00:00"/>
    <n v="166.66666666666666"/>
    <x v="7"/>
    <n v="15.588000000000001"/>
    <n v="2833.3333333333335"/>
  </r>
  <r>
    <n v="107366"/>
    <x v="20"/>
    <x v="0"/>
    <s v="E1-BMP Enea"/>
    <n v="925"/>
    <n v="721.97"/>
    <n v="667822.25"/>
    <d v="2026-06-07T00:00:00"/>
    <n v="68.333333333333329"/>
    <x v="7"/>
    <n v="13.536585365853659"/>
    <n v="1161.6666666666667"/>
  </r>
  <r>
    <n v="405503"/>
    <x v="21"/>
    <x v="0"/>
    <s v="E1-BMP Enea"/>
    <n v="862"/>
    <n v="407"/>
    <n v="350834"/>
    <d v="2026-06-07T00:00:00"/>
    <n v="125"/>
    <x v="7"/>
    <n v="6.8959999999999999"/>
    <n v="2125"/>
  </r>
  <r>
    <n v="107365"/>
    <x v="22"/>
    <x v="0"/>
    <s v="E1-BMP Enea"/>
    <n v="2575"/>
    <n v="493"/>
    <n v="1269475"/>
    <d v="2026-06-07T00:00:00"/>
    <n v="165.66666666666666"/>
    <x v="7"/>
    <n v="15.543259557344065"/>
    <n v="2816.3333333333335"/>
  </r>
  <r>
    <n v="405696"/>
    <x v="23"/>
    <x v="0"/>
    <s v="E1-BMP Enea"/>
    <n v="659"/>
    <n v="600"/>
    <n v="395400"/>
    <d v="2026-06-07T00:00:00"/>
    <n v="91.666666666666671"/>
    <x v="7"/>
    <n v="7.1890909090909085"/>
    <n v="1558.3333333333333"/>
  </r>
  <r>
    <n v="405749"/>
    <x v="24"/>
    <x v="0"/>
    <s v="E1-BMP Enea"/>
    <n v="227"/>
    <n v="6000"/>
    <n v="1362000"/>
    <d v="2026-06-07T00:00:00"/>
    <n v="0"/>
    <x v="2"/>
    <n v="0"/>
    <n v="0"/>
  </r>
  <r>
    <n v="107312"/>
    <x v="25"/>
    <x v="0"/>
    <s v="E1-BMP Enea"/>
    <n v="355.1"/>
    <n v="5980"/>
    <n v="2123498"/>
    <d v="2026-06-07T00:00:00"/>
    <n v="30.184722222222224"/>
    <x v="8"/>
    <n v="11.764229512722588"/>
    <n v="150.92361111111111"/>
  </r>
  <r>
    <n v="403336"/>
    <x v="26"/>
    <x v="0"/>
    <s v="E1-BMP Enea"/>
    <n v="91.9"/>
    <n v="5056.18"/>
    <n v="464662.94199999998"/>
    <d v="2026-06-07T00:00:00"/>
    <n v="19.06794871794872"/>
    <x v="8"/>
    <n v="4.8196059974450343"/>
    <n v="76.271794871794881"/>
  </r>
  <r>
    <n v="403219"/>
    <x v="27"/>
    <x v="0"/>
    <s v="E1-BMP Enea"/>
    <n v="7000"/>
    <n v="6.1"/>
    <n v="42700"/>
    <d v="2026-06-07T00:00:00"/>
    <n v="1216.6666666666667"/>
    <x v="4"/>
    <n v="5.7534246575342465"/>
    <n v="9733.3333333333339"/>
  </r>
  <r>
    <n v="107356"/>
    <x v="28"/>
    <x v="0"/>
    <s v="E1-BMP Enea"/>
    <n v="250"/>
    <n v="12000"/>
    <n v="3000000"/>
    <d v="2026-06-07T00:00:00"/>
    <n v="18.977777777777778"/>
    <x v="2"/>
    <n v="13.173302107728338"/>
    <n v="75.911111111111111"/>
  </r>
  <r>
    <n v="405373"/>
    <x v="29"/>
    <x v="0"/>
    <s v="E1-BMP Enea"/>
    <n v="341.5"/>
    <n v="14167.71"/>
    <n v="4838272.9649999999"/>
    <d v="2026-06-07T00:00:00"/>
    <n v="9.4537037037037042"/>
    <x v="2"/>
    <n v="36.12340842311459"/>
    <n v="56.722222222222229"/>
  </r>
  <r>
    <n v="404309"/>
    <x v="30"/>
    <x v="0"/>
    <s v="E1-BMP Enea"/>
    <n v="348"/>
    <n v="8884.9"/>
    <n v="3091945.2"/>
    <d v="2026-06-07T00:00:00"/>
    <n v="38.62222222222222"/>
    <x v="2"/>
    <n v="9.0103567318757189"/>
    <n v="231.73333333333332"/>
  </r>
  <r>
    <n v="402255"/>
    <x v="31"/>
    <x v="0"/>
    <s v="E1-BMP Enea"/>
    <n v="568"/>
    <n v="1290"/>
    <n v="732720"/>
    <d v="2026-06-07T00:00:00"/>
    <n v="41.398148148148145"/>
    <x v="9"/>
    <n v="13.72042048758667"/>
    <n v="206.9907407407407"/>
  </r>
  <r>
    <n v="107197"/>
    <x v="32"/>
    <x v="0"/>
    <s v="E1-BMP Enea"/>
    <n v="420"/>
    <n v="5296.65"/>
    <n v="2224593"/>
    <d v="2026-06-07T00:00:00"/>
    <n v="9.8666666666666671"/>
    <x v="2"/>
    <n v="42.567567567567565"/>
    <n v="49.333333333333336"/>
  </r>
  <r>
    <n v="107249"/>
    <x v="33"/>
    <x v="0"/>
    <s v="E1-BMP Enea"/>
    <n v="91"/>
    <n v="3750"/>
    <n v="341250"/>
    <d v="2026-06-07T00:00:00"/>
    <n v="10.950000000000001"/>
    <x v="2"/>
    <n v="8.3105022831050217"/>
    <n v="54.75"/>
  </r>
  <r>
    <n v="107134"/>
    <x v="34"/>
    <x v="0"/>
    <s v="E1-BMP Enea"/>
    <n v="305"/>
    <n v="3599.96"/>
    <n v="1097987.8"/>
    <d v="2026-06-07T00:00:00"/>
    <n v="18.472222222222221"/>
    <x v="1"/>
    <n v="16.511278195488721"/>
    <n v="73.888888888888886"/>
  </r>
  <r>
    <n v="405747"/>
    <x v="35"/>
    <x v="0"/>
    <s v="E1-BMP Enea"/>
    <n v="367.2"/>
    <n v="3703"/>
    <n v="1359741.6"/>
    <d v="2026-06-07T00:00:00"/>
    <n v="25.95"/>
    <x v="8"/>
    <n v="14.15028901734104"/>
    <n v="103.8"/>
  </r>
  <r>
    <n v="107320"/>
    <x v="36"/>
    <x v="0"/>
    <s v="E1-BMP Enea"/>
    <n v="229.5"/>
    <n v="3122"/>
    <n v="716499"/>
    <d v="2026-06-07T00:00:00"/>
    <n v="28.083333333333332"/>
    <x v="6"/>
    <n v="8.172106824925816"/>
    <n v="140.41666666666666"/>
  </r>
  <r>
    <n v="405427"/>
    <x v="37"/>
    <x v="0"/>
    <s v="E1-BMP Enea"/>
    <n v="5"/>
    <n v="8897.7999999999993"/>
    <n v="44489"/>
    <d v="2026-06-07T00:00:00"/>
    <n v="0"/>
    <x v="10"/>
    <n v="0"/>
    <n v="0"/>
  </r>
  <r>
    <n v="107323"/>
    <x v="38"/>
    <x v="0"/>
    <s v="E1-BMP Enea"/>
    <n v="3220"/>
    <n v="228.86"/>
    <n v="736929.2"/>
    <d v="2026-06-07T00:00:00"/>
    <n v="152.05882352941177"/>
    <x v="4"/>
    <n v="21.176015473887812"/>
    <n v="608.23529411764707"/>
  </r>
  <r>
    <n v="107300"/>
    <x v="39"/>
    <x v="0"/>
    <s v="E1-BMP Enea"/>
    <n v="15540"/>
    <n v="212.21"/>
    <n v="3297743.4"/>
    <d v="2026-06-07T00:00:00"/>
    <n v="1479.4444444444443"/>
    <x v="4"/>
    <n v="10.503942921517087"/>
    <n v="5917.7777777777774"/>
  </r>
  <r>
    <n v="403355"/>
    <x v="40"/>
    <x v="0"/>
    <s v="E1-BMP Enea"/>
    <n v="66.400000000000006"/>
    <n v="1999.5"/>
    <n v="132766.79999999999"/>
    <d v="2026-06-07T00:00:00"/>
    <n v="0"/>
    <x v="11"/>
    <n v="0"/>
    <n v="0"/>
  </r>
  <r>
    <n v="405560"/>
    <x v="41"/>
    <x v="0"/>
    <s v="E1-BMP Enea"/>
    <n v="181.16"/>
    <n v="3848.3"/>
    <n v="697158.02800000005"/>
    <d v="2026-06-07T00:00:00"/>
    <n v="10.795833333333334"/>
    <x v="12"/>
    <n v="16.78054805094558"/>
    <n v="53.979166666666671"/>
  </r>
  <r>
    <n v="405559"/>
    <x v="42"/>
    <x v="0"/>
    <s v="E1-BMP Enea"/>
    <n v="475.2"/>
    <n v="6554.41"/>
    <n v="3114655.6320000002"/>
    <d v="2026-06-07T00:00:00"/>
    <n v="12.613725490196076"/>
    <x v="13"/>
    <n v="37.673247318513916"/>
    <n v="63.068627450980387"/>
  </r>
  <r>
    <n v="170183"/>
    <x v="43"/>
    <x v="0"/>
    <s v="E1-BMP Enea"/>
    <n v="436"/>
    <n v="3376"/>
    <n v="1471936"/>
    <d v="2026-06-07T00:00:00"/>
    <n v="0"/>
    <x v="13"/>
    <n v="0"/>
    <n v="0"/>
  </r>
  <r>
    <n v="107342"/>
    <x v="44"/>
    <x v="0"/>
    <s v="E1-BMP Enea"/>
    <n v="1324"/>
    <n v="2391"/>
    <n v="3165684"/>
    <d v="2026-06-07T00:00:00"/>
    <n v="125.62820512820512"/>
    <x v="13"/>
    <n v="10.539034595366875"/>
    <n v="628.14102564102564"/>
  </r>
  <r>
    <n v="107237"/>
    <x v="45"/>
    <x v="0"/>
    <s v="E1-BMP Enea"/>
    <n v="1068"/>
    <n v="4103.25"/>
    <n v="4382271"/>
    <d v="2026-06-07T00:00:00"/>
    <n v="163.86851851851853"/>
    <x v="13"/>
    <n v="6.5174202443241533"/>
    <n v="819.34259259259261"/>
  </r>
  <r>
    <n v="107142"/>
    <x v="46"/>
    <x v="0"/>
    <s v="E1-BMP Enea"/>
    <n v="1174"/>
    <n v="3249.95"/>
    <n v="3815441.3"/>
    <d v="2026-06-07T00:00:00"/>
    <n v="172.32407407407405"/>
    <x v="13"/>
    <n v="6.8127451507173191"/>
    <n v="861.62037037037021"/>
  </r>
  <r>
    <n v="393400"/>
    <x v="47"/>
    <x v="0"/>
    <s v="E1-BMP Enea"/>
    <n v="120"/>
    <n v="3770"/>
    <n v="452400"/>
    <d v="2026-06-07T00:00:00"/>
    <n v="5.6078431372549025"/>
    <x v="2"/>
    <n v="21.398601398601397"/>
    <n v="28.03921568627451"/>
  </r>
  <r>
    <n v="107098"/>
    <x v="48"/>
    <x v="0"/>
    <s v="E1-BMP Enea"/>
    <n v="830"/>
    <n v="3199.09"/>
    <n v="2655244.7000000002"/>
    <d v="2026-06-07T00:00:00"/>
    <n v="284.16666666666669"/>
    <x v="13"/>
    <n v="2.9208211143695011"/>
    <n v="1420.8333333333335"/>
  </r>
  <r>
    <n v="107242"/>
    <x v="49"/>
    <x v="0"/>
    <s v="E1-BMP Enea"/>
    <n v="4555"/>
    <n v="4270.74"/>
    <n v="19453220.699999999"/>
    <d v="2026-06-07T00:00:00"/>
    <n v="284.53703703703701"/>
    <x v="13"/>
    <n v="16.00846078750407"/>
    <n v="1138.148148148148"/>
  </r>
  <r>
    <n v="405673"/>
    <x v="50"/>
    <x v="0"/>
    <s v="E1-BMP Enea"/>
    <n v="176"/>
    <n v="3512"/>
    <n v="618112"/>
    <d v="2026-06-07T00:00:00"/>
    <n v="0"/>
    <x v="13"/>
    <n v="0"/>
    <n v="0"/>
  </r>
  <r>
    <n v="103612"/>
    <x v="51"/>
    <x v="0"/>
    <s v="E1-BMP Enea"/>
    <n v="698"/>
    <n v="2600"/>
    <n v="1814800"/>
    <d v="2026-06-07T00:00:00"/>
    <n v="465.37962962962962"/>
    <x v="13"/>
    <n v="1.4998507789339648"/>
    <n v="2326.8981481481483"/>
  </r>
  <r>
    <n v="107104"/>
    <x v="52"/>
    <x v="0"/>
    <s v="E1-BMP Enea"/>
    <n v="5633"/>
    <n v="3380"/>
    <n v="19039540"/>
    <d v="2026-06-07T00:00:00"/>
    <n v="1641.2962962962963"/>
    <x v="13"/>
    <n v="3.4320433261875212"/>
    <n v="8206.4814814814818"/>
  </r>
  <r>
    <n v="107105"/>
    <x v="53"/>
    <x v="0"/>
    <s v="E1-BMP Enea"/>
    <n v="360"/>
    <n v="1903.37"/>
    <n v="685213.2"/>
    <d v="2026-06-07T00:00:00"/>
    <n v="69.541666666666671"/>
    <x v="6"/>
    <n v="5.1767525464349911"/>
    <n v="347.70833333333337"/>
  </r>
  <r>
    <n v="107209"/>
    <x v="54"/>
    <x v="0"/>
    <s v="E1-BMP Enea"/>
    <n v="1808"/>
    <n v="2402.5"/>
    <n v="4343720"/>
    <d v="2026-06-07T00:00:00"/>
    <n v="946.30555555555554"/>
    <x v="13"/>
    <n v="1.9105879590219275"/>
    <n v="4731.5277777777774"/>
  </r>
  <r>
    <n v="107345"/>
    <x v="55"/>
    <x v="0"/>
    <s v="E1-BMP Enea"/>
    <n v="8400"/>
    <n v="185.4"/>
    <n v="1557360"/>
    <d v="2026-06-07T00:00:00"/>
    <n v="265.00980392156862"/>
    <x v="4"/>
    <n v="31.696940549739189"/>
    <n v="1060.0392156862745"/>
  </r>
  <r>
    <n v="403212"/>
    <x v="56"/>
    <x v="0"/>
    <s v="E1-BMP Enea"/>
    <n v="2084"/>
    <n v="210"/>
    <n v="437640"/>
    <d v="2026-06-07T00:00:00"/>
    <n v="0"/>
    <x v="4"/>
    <n v="0"/>
    <n v="0"/>
  </r>
  <r>
    <n v="107339"/>
    <x v="57"/>
    <x v="0"/>
    <s v="E1-BMP Enea"/>
    <n v="6510"/>
    <n v="258.52"/>
    <n v="1682965.2"/>
    <d v="2026-06-07T00:00:00"/>
    <n v="866.21296296296293"/>
    <x v="4"/>
    <n v="7.5154728436895386"/>
    <n v="3464.8518518518517"/>
  </r>
  <r>
    <n v="405444"/>
    <x v="58"/>
    <x v="0"/>
    <s v="E1-BMP Enea"/>
    <n v="35700"/>
    <n v="251.99"/>
    <n v="8996043"/>
    <d v="2026-06-07T00:00:00"/>
    <n v="9166.7129629629635"/>
    <x v="4"/>
    <n v="3.8945257852233066"/>
    <n v="36666.851851851854"/>
  </r>
  <r>
    <n v="405278"/>
    <x v="59"/>
    <x v="0"/>
    <s v="E1-BMP Enea"/>
    <n v="5040"/>
    <n v="243.04"/>
    <n v="1224921.6000000001"/>
    <d v="2026-06-07T00:00:00"/>
    <n v="1031.2129629629628"/>
    <x v="4"/>
    <n v="4.8874482585233148"/>
    <n v="4124.8518518518513"/>
  </r>
  <r>
    <n v="404314"/>
    <x v="60"/>
    <x v="0"/>
    <s v="E1-BMP Enea"/>
    <n v="1700"/>
    <n v="235.85"/>
    <n v="400945"/>
    <d v="2026-06-07T00:00:00"/>
    <n v="66.67647058823529"/>
    <x v="4"/>
    <n v="25.496250551389505"/>
    <n v="400.05882352941171"/>
  </r>
  <r>
    <n v="107303"/>
    <x v="61"/>
    <x v="0"/>
    <s v="E1-BMP Enea"/>
    <n v="152"/>
    <n v="22359.360000000001"/>
    <n v="3398622.72"/>
    <d v="2026-06-07T00:00:00"/>
    <n v="3.725490196078431"/>
    <x v="2"/>
    <n v="40.800000000000004"/>
    <n v="18.627450980392155"/>
  </r>
  <r>
    <n v="107127"/>
    <x v="62"/>
    <x v="0"/>
    <s v="E1-BMP Enea"/>
    <n v="572"/>
    <n v="6258.69"/>
    <n v="3579970.68"/>
    <d v="2026-06-07T00:00:00"/>
    <n v="19.754901960784313"/>
    <x v="2"/>
    <n v="28.954838709677421"/>
    <n v="98.774509803921575"/>
  </r>
  <r>
    <n v="107344"/>
    <x v="63"/>
    <x v="0"/>
    <s v="E1-BMP Enea"/>
    <n v="6720"/>
    <n v="239.97"/>
    <n v="1612598.4"/>
    <d v="2026-06-07T00:00:00"/>
    <n v="773.8888888888888"/>
    <x v="4"/>
    <n v="8.683417085427136"/>
    <n v="3095.5555555555552"/>
  </r>
  <r>
    <n v="107108"/>
    <x v="64"/>
    <x v="0"/>
    <s v="E1-BMP Enea"/>
    <n v="607.5"/>
    <n v="4199.67"/>
    <n v="2551299.5249999999"/>
    <d v="2026-06-07T00:00:00"/>
    <n v="181.95833333333334"/>
    <x v="2"/>
    <n v="3.3386764369132127"/>
    <n v="909.79166666666674"/>
  </r>
  <r>
    <n v="403278"/>
    <x v="65"/>
    <x v="0"/>
    <s v="E1-BMP Enea"/>
    <n v="30509"/>
    <n v="27"/>
    <n v="823743"/>
    <d v="2026-06-07T00:00:00"/>
    <n v="868.05555555555554"/>
    <x v="14"/>
    <n v="35.146368000000002"/>
    <n v="14756.944444444445"/>
  </r>
  <r>
    <n v="107292"/>
    <x v="66"/>
    <x v="0"/>
    <s v="E1-BMP Enea"/>
    <n v="3600"/>
    <n v="39"/>
    <n v="140400"/>
    <d v="2026-06-07T00:00:00"/>
    <n v="3093.8888888888887"/>
    <x v="14"/>
    <n v="1.163584126414078"/>
    <n v="52596.111111111109"/>
  </r>
  <r>
    <n v="405740"/>
    <x v="67"/>
    <x v="0"/>
    <s v="E1-BMP Enea"/>
    <n v="209800"/>
    <n v="24.9"/>
    <n v="5224020"/>
    <d v="2026-06-07T00:00:00"/>
    <n v="6111.1111111111104"/>
    <x v="14"/>
    <n v="34.330909090909095"/>
    <n v="48888.888888888883"/>
  </r>
  <r>
    <n v="405587"/>
    <x v="68"/>
    <x v="0"/>
    <s v="E1-BMP Enea"/>
    <n v="100000"/>
    <n v="11"/>
    <n v="1100000"/>
    <d v="2026-06-07T00:00:00"/>
    <n v="18518.518518518518"/>
    <x v="14"/>
    <n v="5.4"/>
    <n v="166666.66666666669"/>
  </r>
  <r>
    <n v="107210"/>
    <x v="69"/>
    <x v="0"/>
    <s v="E1-BMP Enea"/>
    <n v="6802.25"/>
    <n v="771.66"/>
    <n v="5249024.2350000003"/>
    <d v="2026-06-07T00:00:00"/>
    <n v="2608.3333333333335"/>
    <x v="3"/>
    <n v="2.6078913738019169"/>
    <n v="13041.666666666668"/>
  </r>
  <r>
    <n v="405582"/>
    <x v="70"/>
    <x v="0"/>
    <s v="E1-BMP Enea"/>
    <n v="45500"/>
    <n v="49"/>
    <n v="2229500"/>
    <d v="2026-06-07T00:00:00"/>
    <n v="743.05555555555554"/>
    <x v="14"/>
    <n v="61.233644859813083"/>
    <n v="12631.944444444445"/>
  </r>
  <r>
    <n v="405583"/>
    <x v="71"/>
    <x v="0"/>
    <s v="E1-BMP Enea"/>
    <n v="236550"/>
    <n v="49"/>
    <n v="11590950"/>
    <d v="2026-06-07T00:00:00"/>
    <n v="1522.3958333333333"/>
    <x v="14"/>
    <n v="155.3800889497092"/>
    <n v="25880.729166666668"/>
  </r>
  <r>
    <n v="353009"/>
    <x v="72"/>
    <x v="0"/>
    <s v="E1-BMP Enea"/>
    <n v="18442"/>
    <n v="152.29"/>
    <n v="2808532.18"/>
    <d v="2026-06-07T00:00:00"/>
    <n v="9372.7777777777774"/>
    <x v="3"/>
    <n v="1.9676130638373541"/>
    <n v="0"/>
  </r>
  <r>
    <n v="107247"/>
    <x v="73"/>
    <x v="0"/>
    <s v="E1-BMP Enea"/>
    <n v="1210"/>
    <n v="3090"/>
    <n v="3738900"/>
    <d v="2026-06-07T00:00:00"/>
    <n v="151.61764705882354"/>
    <x v="15"/>
    <n v="7.9806013579049466"/>
    <n v="606.47058823529414"/>
  </r>
  <r>
    <n v="107294"/>
    <x v="74"/>
    <x v="0"/>
    <s v="E1-BMP Enea"/>
    <n v="2664"/>
    <n v="1660"/>
    <n v="4422240"/>
    <d v="2026-06-07T00:00:00"/>
    <n v="346.53703703703701"/>
    <x v="6"/>
    <n v="7.6874899802276495"/>
    <n v="1732.6851851851852"/>
  </r>
  <r>
    <n v="107125"/>
    <x v="75"/>
    <x v="0"/>
    <s v="E1-BMP Enea"/>
    <n v="378"/>
    <n v="2583"/>
    <n v="976374"/>
    <d v="2026-06-07T00:00:00"/>
    <n v="6.1333333333333329"/>
    <x v="8"/>
    <n v="61.630434782608702"/>
    <n v="30.666666666666664"/>
  </r>
  <r>
    <n v="107401"/>
    <x v="76"/>
    <x v="0"/>
    <s v="E1-BMP Enea"/>
    <n v="1020.6"/>
    <n v="2426.11"/>
    <n v="2476087.8659999999"/>
    <d v="2026-06-07T00:00:00"/>
    <n v="89.75"/>
    <x v="8"/>
    <n v="11.37158774373259"/>
    <n v="359"/>
  </r>
  <r>
    <n v="405305"/>
    <x v="77"/>
    <x v="0"/>
    <s v="E1-BMP Enea"/>
    <n v="20"/>
    <n v="20948.900000000001"/>
    <n v="418978"/>
    <d v="2026-06-07T00:00:00"/>
    <n v="0"/>
    <x v="1"/>
    <n v="0"/>
    <n v="0"/>
  </r>
  <r>
    <n v="405652"/>
    <x v="78"/>
    <x v="0"/>
    <s v="E1-BMP Enea"/>
    <n v="24"/>
    <n v="1970.13"/>
    <n v="47283.12"/>
    <d v="2026-06-07T00:00:00"/>
    <n v="0.2857142857142857"/>
    <x v="1"/>
    <n v="84"/>
    <n v="1.1428571428571428"/>
  </r>
  <r>
    <n v="405358"/>
    <x v="79"/>
    <x v="0"/>
    <s v="E1-BMP Enea"/>
    <n v="5000"/>
    <n v="17.55"/>
    <n v="87750"/>
    <d v="2026-06-07T00:00:00"/>
    <n v="355.5555555555556"/>
    <x v="16"/>
    <n v="14.062499999999998"/>
    <n v="2844.4444444444448"/>
  </r>
  <r>
    <n v="405712"/>
    <x v="80"/>
    <x v="0"/>
    <s v="E1-BMP Enea"/>
    <n v="10000"/>
    <n v="22.7"/>
    <n v="227000"/>
    <d v="2026-06-07T00:00:00"/>
    <n v="1666.6666666666667"/>
    <x v="16"/>
    <n v="6"/>
    <n v="13333.333333333334"/>
  </r>
  <r>
    <n v="405453"/>
    <x v="81"/>
    <x v="0"/>
    <s v="E1-BMP Enea"/>
    <n v="3000"/>
    <n v="20.7"/>
    <n v="62100"/>
    <d v="2026-06-07T00:00:00"/>
    <n v="166.66666666666666"/>
    <x v="16"/>
    <n v="18"/>
    <n v="1333.3333333333333"/>
  </r>
  <r>
    <n v="405785"/>
    <x v="82"/>
    <x v="0"/>
    <s v="E1-BMP Enea"/>
    <n v="5000"/>
    <n v="20.7"/>
    <n v="103500"/>
    <d v="2026-06-07T00:00:00"/>
    <n v="0"/>
    <x v="16"/>
    <n v="0"/>
    <n v="0"/>
  </r>
  <r>
    <n v="405752"/>
    <x v="83"/>
    <x v="0"/>
    <s v="E1-BMP Enea"/>
    <n v="5000"/>
    <n v="22.7"/>
    <n v="113500"/>
    <d v="2026-06-07T00:00:00"/>
    <n v="0"/>
    <x v="16"/>
    <n v="0"/>
    <n v="0"/>
  </r>
  <r>
    <n v="405687"/>
    <x v="84"/>
    <x v="0"/>
    <s v="E1-BMP Enea"/>
    <n v="4000"/>
    <n v="45"/>
    <n v="180000"/>
    <d v="2026-06-07T00:00:00"/>
    <n v="166.66666666666666"/>
    <x v="16"/>
    <n v="24"/>
    <n v="1333.3333333333333"/>
  </r>
  <r>
    <n v="405353"/>
    <x v="85"/>
    <x v="0"/>
    <s v="E1-BMP Enea"/>
    <n v="11000"/>
    <n v="22.7"/>
    <n v="249700"/>
    <d v="2026-06-07T00:00:00"/>
    <n v="633.33333333333337"/>
    <x v="16"/>
    <n v="17.368421052631579"/>
    <n v="5066.666666666667"/>
  </r>
  <r>
    <n v="405787"/>
    <x v="86"/>
    <x v="0"/>
    <s v="E1-BMP Enea"/>
    <n v="9000"/>
    <n v="22.7"/>
    <n v="204300"/>
    <d v="2026-06-07T00:00:00"/>
    <n v="0"/>
    <x v="16"/>
    <n v="0"/>
    <n v="0"/>
  </r>
  <r>
    <n v="405688"/>
    <x v="87"/>
    <x v="0"/>
    <s v="E1-BMP Enea"/>
    <n v="6000"/>
    <n v="45"/>
    <n v="270000"/>
    <d v="2026-06-07T00:00:00"/>
    <n v="166.66666666666666"/>
    <x v="16"/>
    <n v="36"/>
    <n v="1333.3333333333333"/>
  </r>
  <r>
    <n v="405698"/>
    <x v="88"/>
    <x v="0"/>
    <s v="E1-BMP Enea"/>
    <n v="3000"/>
    <n v="26"/>
    <n v="78000"/>
    <d v="2026-06-07T00:00:00"/>
    <n v="166.66666666666666"/>
    <x v="16"/>
    <n v="18"/>
    <n v="1333.3333333333333"/>
  </r>
  <r>
    <n v="405449"/>
    <x v="89"/>
    <x v="0"/>
    <s v="E1-BMP Enea"/>
    <n v="15000"/>
    <n v="22.7"/>
    <n v="340500"/>
    <d v="2026-06-07T00:00:00"/>
    <n v="200"/>
    <x v="16"/>
    <n v="75"/>
    <n v="1600"/>
  </r>
  <r>
    <n v="405448"/>
    <x v="90"/>
    <x v="0"/>
    <s v="E1-BMP Enea"/>
    <n v="6000"/>
    <n v="21.95"/>
    <n v="131700"/>
    <d v="2026-06-07T00:00:00"/>
    <n v="166.66666666666666"/>
    <x v="16"/>
    <n v="36"/>
    <n v="1333.3333333333333"/>
  </r>
  <r>
    <n v="405753"/>
    <x v="91"/>
    <x v="0"/>
    <s v="E1-BMP Enea"/>
    <n v="5000"/>
    <n v="22.7"/>
    <n v="113500"/>
    <d v="2026-06-07T00:00:00"/>
    <n v="0"/>
    <x v="16"/>
    <n v="0"/>
    <n v="0"/>
  </r>
  <r>
    <n v="405302"/>
    <x v="92"/>
    <x v="0"/>
    <s v="E1-BMP Enea"/>
    <n v="6000"/>
    <n v="17.170000000000002"/>
    <n v="103020"/>
    <d v="2026-06-07T00:00:00"/>
    <n v="178.57142857142856"/>
    <x v="16"/>
    <n v="33.6"/>
    <n v="1428.5714285714284"/>
  </r>
  <r>
    <n v="405535"/>
    <x v="93"/>
    <x v="0"/>
    <s v="E1-BMP Enea"/>
    <n v="12000"/>
    <n v="26"/>
    <n v="312000"/>
    <d v="2026-06-07T00:00:00"/>
    <n v="0"/>
    <x v="16"/>
    <n v="0"/>
    <n v="0"/>
  </r>
  <r>
    <n v="405129"/>
    <x v="94"/>
    <x v="0"/>
    <s v="E1-BMP Enea"/>
    <n v="20000"/>
    <n v="20.7"/>
    <n v="414000"/>
    <d v="2026-06-07T00:00:00"/>
    <n v="1000"/>
    <x v="16"/>
    <n v="20"/>
    <n v="8000"/>
  </r>
  <r>
    <n v="405754"/>
    <x v="95"/>
    <x v="0"/>
    <s v="E1-BMP Enea"/>
    <n v="4000"/>
    <n v="45"/>
    <n v="180000"/>
    <d v="2026-06-07T00:00:00"/>
    <n v="0"/>
    <x v="16"/>
    <n v="0"/>
    <n v="0"/>
  </r>
  <r>
    <n v="405207"/>
    <x v="96"/>
    <x v="0"/>
    <s v="E1-BMP Enea"/>
    <n v="17000"/>
    <n v="29.4"/>
    <n v="499800"/>
    <d v="2026-06-07T00:00:00"/>
    <n v="188.88888888888889"/>
    <x v="16"/>
    <n v="90"/>
    <n v="1511.1111111111111"/>
  </r>
  <r>
    <n v="405206"/>
    <x v="97"/>
    <x v="0"/>
    <s v="E1-BMP Enea"/>
    <n v="6000"/>
    <n v="29.4"/>
    <n v="176400"/>
    <d v="2026-06-07T00:00:00"/>
    <n v="388.88888888888891"/>
    <x v="16"/>
    <n v="15.428571428571427"/>
    <n v="3111.1111111111113"/>
  </r>
  <r>
    <n v="405686"/>
    <x v="98"/>
    <x v="0"/>
    <s v="E1-BMP Enea"/>
    <n v="6000"/>
    <n v="45"/>
    <n v="270000"/>
    <d v="2026-06-07T00:00:00"/>
    <n v="166.66666666666666"/>
    <x v="16"/>
    <n v="36"/>
    <n v="1333.3333333333333"/>
  </r>
  <r>
    <n v="405301"/>
    <x v="99"/>
    <x v="0"/>
    <s v="E1-BMP Enea"/>
    <n v="9000"/>
    <n v="17.170000000000002"/>
    <n v="154530"/>
    <d v="2026-06-07T00:00:00"/>
    <n v="178.57142857142856"/>
    <x v="16"/>
    <n v="50.400000000000006"/>
    <n v="1428.5714285714284"/>
  </r>
  <r>
    <n v="405300"/>
    <x v="100"/>
    <x v="0"/>
    <s v="E1-BMP Enea"/>
    <n v="8000"/>
    <n v="17.170000000000002"/>
    <n v="137360"/>
    <d v="2026-06-07T00:00:00"/>
    <n v="404.76190476190476"/>
    <x v="16"/>
    <n v="19.764705882352942"/>
    <n v="3238.0952380952381"/>
  </r>
  <r>
    <n v="405127"/>
    <x v="101"/>
    <x v="0"/>
    <s v="E1-BMP Enea"/>
    <n v="4000"/>
    <n v="22.7"/>
    <n v="90800"/>
    <d v="2026-06-07T00:00:00"/>
    <n v="655.55555555555554"/>
    <x v="16"/>
    <n v="6.101694915254237"/>
    <n v="5244.4444444444443"/>
  </r>
  <r>
    <n v="405160"/>
    <x v="102"/>
    <x v="0"/>
    <s v="E1-BMP Enea"/>
    <n v="25000"/>
    <n v="16.16"/>
    <n v="404000"/>
    <d v="2026-06-07T00:00:00"/>
    <n v="1333.3333333333333"/>
    <x v="16"/>
    <n v="18.75"/>
    <n v="10666.666666666666"/>
  </r>
  <r>
    <n v="405205"/>
    <x v="103"/>
    <x v="0"/>
    <s v="E1-BMP Enea"/>
    <n v="15000"/>
    <n v="29.4"/>
    <n v="441000"/>
    <d v="2026-06-07T00:00:00"/>
    <n v="1244.4444444444446"/>
    <x v="16"/>
    <n v="12.053571428571427"/>
    <n v="9955.5555555555566"/>
  </r>
  <r>
    <n v="405049"/>
    <x v="104"/>
    <x v="0"/>
    <s v="E1-BMP Enea"/>
    <n v="140000"/>
    <n v="1.55"/>
    <n v="217000"/>
    <d v="2026-06-07T00:00:00"/>
    <n v="8333.3333333333339"/>
    <x v="16"/>
    <n v="16.799999999999997"/>
    <n v="66666.666666666672"/>
  </r>
  <r>
    <n v="404719"/>
    <x v="105"/>
    <x v="0"/>
    <s v="E1-BMP Enea"/>
    <n v="36000"/>
    <n v="15.86"/>
    <n v="570960"/>
    <d v="2026-06-07T00:00:00"/>
    <n v="0"/>
    <x v="16"/>
    <n v="0"/>
    <n v="0"/>
  </r>
  <r>
    <n v="405159"/>
    <x v="106"/>
    <x v="0"/>
    <s v="E1-BMP Enea"/>
    <n v="18000"/>
    <n v="14.78"/>
    <n v="266040"/>
    <d v="2026-06-07T00:00:00"/>
    <n v="833.33333333333337"/>
    <x v="16"/>
    <n v="21.599999999999998"/>
    <n v="6666.666666666667"/>
  </r>
  <r>
    <n v="405461"/>
    <x v="107"/>
    <x v="0"/>
    <s v="E1-BMP Enea"/>
    <n v="5000"/>
    <n v="5"/>
    <n v="25000"/>
    <d v="2026-06-07T00:00:00"/>
    <n v="416.66666666666669"/>
    <x v="16"/>
    <n v="12"/>
    <n v="3333.3333333333335"/>
  </r>
  <r>
    <n v="404736"/>
    <x v="108"/>
    <x v="0"/>
    <s v="E1-BMP Enea"/>
    <n v="5000"/>
    <n v="17.170000000000002"/>
    <n v="85850"/>
    <d v="2026-06-07T00:00:00"/>
    <n v="215.68627450980389"/>
    <x v="16"/>
    <n v="23.181818181818183"/>
    <n v="1725.4901960784312"/>
  </r>
  <r>
    <n v="404735"/>
    <x v="109"/>
    <x v="0"/>
    <s v="E1-BMP Enea"/>
    <n v="4000"/>
    <n v="17.170000000000002"/>
    <n v="68680"/>
    <d v="2026-06-07T00:00:00"/>
    <n v="366.66666666666669"/>
    <x v="16"/>
    <n v="10.909090909090908"/>
    <n v="2933.3333333333335"/>
  </r>
  <r>
    <n v="107227"/>
    <x v="110"/>
    <x v="0"/>
    <s v="E1-BMP Enea"/>
    <n v="5000"/>
    <n v="22.7"/>
    <n v="113500"/>
    <d v="2026-06-07T00:00:00"/>
    <n v="388.88888888888891"/>
    <x v="16"/>
    <n v="12.857142857142856"/>
    <n v="3111.1111111111113"/>
  </r>
  <r>
    <n v="107228"/>
    <x v="111"/>
    <x v="0"/>
    <s v="E1-BMP Enea"/>
    <n v="12000"/>
    <n v="22.7"/>
    <n v="272400"/>
    <d v="2026-06-07T00:00:00"/>
    <n v="300"/>
    <x v="16"/>
    <n v="40"/>
    <n v="2400"/>
  </r>
  <r>
    <n v="405103"/>
    <x v="112"/>
    <x v="0"/>
    <s v="E1-BMP Enea"/>
    <n v="117000"/>
    <n v="15.43"/>
    <n v="1805310"/>
    <d v="2026-06-07T00:00:00"/>
    <n v="15647.058823529413"/>
    <x v="16"/>
    <n v="7.477443609022556"/>
    <n v="125176.4705882353"/>
  </r>
  <r>
    <n v="404722"/>
    <x v="113"/>
    <x v="0"/>
    <s v="E1-BMP Enea"/>
    <n v="370000"/>
    <n v="2.72"/>
    <n v="1006400"/>
    <d v="2026-06-07T00:00:00"/>
    <n v="19444.444444444445"/>
    <x v="16"/>
    <n v="19.028571428571428"/>
    <n v="155555.55555555556"/>
  </r>
  <r>
    <n v="404748"/>
    <x v="114"/>
    <x v="0"/>
    <s v="E1-BMP Enea"/>
    <n v="46000"/>
    <n v="13.69"/>
    <n v="629740"/>
    <d v="2026-06-07T00:00:00"/>
    <n v="444.4444444444444"/>
    <x v="16"/>
    <n v="103.50000000000001"/>
    <n v="3555.5555555555552"/>
  </r>
  <r>
    <n v="404739"/>
    <x v="115"/>
    <x v="0"/>
    <s v="E1-BMP Enea"/>
    <n v="16000"/>
    <n v="22.68"/>
    <n v="362880"/>
    <d v="2026-06-07T00:00:00"/>
    <n v="1333.3333333333333"/>
    <x v="16"/>
    <n v="12"/>
    <n v="10666.666666666666"/>
  </r>
  <r>
    <n v="404738"/>
    <x v="116"/>
    <x v="0"/>
    <s v="E1-BMP Enea"/>
    <n v="8000"/>
    <n v="22.7"/>
    <n v="181600"/>
    <d v="2026-06-07T00:00:00"/>
    <n v="756.41025641025635"/>
    <x v="16"/>
    <n v="10.576271186440678"/>
    <n v="6051.2820512820508"/>
  </r>
  <r>
    <n v="404745"/>
    <x v="117"/>
    <x v="0"/>
    <s v="E1-BMP Enea"/>
    <n v="4000"/>
    <n v="17.170000000000002"/>
    <n v="68680"/>
    <d v="2026-06-07T00:00:00"/>
    <n v="421.56862745098039"/>
    <x v="16"/>
    <n v="9.4883720930232567"/>
    <n v="3372.5490196078431"/>
  </r>
  <r>
    <n v="393422"/>
    <x v="118"/>
    <x v="0"/>
    <s v="E1-BMP Enea"/>
    <n v="8000"/>
    <n v="22.43"/>
    <n v="179440"/>
    <d v="2026-06-07T00:00:00"/>
    <n v="203.7037037037037"/>
    <x v="16"/>
    <n v="39.272727272727273"/>
    <n v="1629.6296296296296"/>
  </r>
  <r>
    <n v="393421"/>
    <x v="119"/>
    <x v="0"/>
    <s v="E1-BMP Enea"/>
    <n v="6000"/>
    <n v="22.62"/>
    <n v="135720"/>
    <d v="2026-06-07T00:00:00"/>
    <n v="194.44444444444446"/>
    <x v="16"/>
    <n v="30.857142857142854"/>
    <n v="1555.5555555555557"/>
  </r>
  <r>
    <n v="405615"/>
    <x v="120"/>
    <x v="0"/>
    <s v="E1-BMP Enea"/>
    <n v="10000"/>
    <n v="22.7"/>
    <n v="227000"/>
    <d v="2026-06-07T00:00:00"/>
    <n v="200"/>
    <x v="16"/>
    <n v="50"/>
    <n v="1600"/>
  </r>
  <r>
    <n v="405553"/>
    <x v="121"/>
    <x v="0"/>
    <s v="E1-BMP Enea"/>
    <n v="6000"/>
    <n v="25.34"/>
    <n v="152040"/>
    <d v="2026-06-07T00:00:00"/>
    <n v="454.54545454545456"/>
    <x v="16"/>
    <n v="13.2"/>
    <n v="3636.3636363636365"/>
  </r>
  <r>
    <n v="393426"/>
    <x v="122"/>
    <x v="0"/>
    <s v="E1-BMP Enea"/>
    <n v="4000"/>
    <n v="17.170000000000002"/>
    <n v="68680"/>
    <d v="2026-06-07T00:00:00"/>
    <n v="344.4444444444444"/>
    <x v="16"/>
    <n v="11.612903225806454"/>
    <n v="2755.5555555555552"/>
  </r>
  <r>
    <n v="404737"/>
    <x v="123"/>
    <x v="0"/>
    <s v="E1-BMP Enea"/>
    <n v="14000"/>
    <n v="22.7"/>
    <n v="317800"/>
    <d v="2026-06-07T00:00:00"/>
    <n v="858.97435897435901"/>
    <x v="16"/>
    <n v="16.298507462686565"/>
    <n v="6871.7948717948721"/>
  </r>
  <r>
    <n v="393423"/>
    <x v="124"/>
    <x v="0"/>
    <s v="E1-BMP Enea"/>
    <n v="9000"/>
    <n v="22.7"/>
    <n v="204300"/>
    <d v="2026-06-07T00:00:00"/>
    <n v="272.72727272727269"/>
    <x v="16"/>
    <n v="33.000000000000007"/>
    <n v="2181.8181818181815"/>
  </r>
  <r>
    <n v="405554"/>
    <x v="125"/>
    <x v="0"/>
    <s v="E1-BMP Enea"/>
    <n v="10000"/>
    <n v="26"/>
    <n v="260000"/>
    <d v="2026-06-07T00:00:00"/>
    <n v="166.66666666666666"/>
    <x v="16"/>
    <n v="60"/>
    <n v="1333.3333333333333"/>
  </r>
  <r>
    <n v="405376"/>
    <x v="126"/>
    <x v="0"/>
    <s v="E1-BMP Enea"/>
    <n v="11000"/>
    <n v="22.7"/>
    <n v="249700"/>
    <d v="2026-06-07T00:00:00"/>
    <n v="740.74074074074076"/>
    <x v="16"/>
    <n v="14.85"/>
    <n v="5925.9259259259261"/>
  </r>
  <r>
    <n v="393425"/>
    <x v="127"/>
    <x v="0"/>
    <s v="E1-BMP Enea"/>
    <n v="3000"/>
    <n v="22.27"/>
    <n v="66810"/>
    <d v="2026-06-07T00:00:00"/>
    <n v="208.33333333333334"/>
    <x v="16"/>
    <n v="14.399999999999999"/>
    <n v="1666.6666666666667"/>
  </r>
  <r>
    <n v="107266"/>
    <x v="128"/>
    <x v="0"/>
    <s v="E1-BMP Enea"/>
    <n v="9000"/>
    <n v="13.65"/>
    <n v="122850"/>
    <d v="2026-06-07T00:00:00"/>
    <n v="500"/>
    <x v="16"/>
    <n v="18"/>
    <n v="4000"/>
  </r>
  <r>
    <n v="405111"/>
    <x v="129"/>
    <x v="0"/>
    <s v="E1-BMP Enea"/>
    <n v="5000"/>
    <n v="17.170000000000002"/>
    <n v="85850"/>
    <d v="2026-06-07T00:00:00"/>
    <n v="583.33333333333337"/>
    <x v="16"/>
    <n v="8.5714285714285712"/>
    <n v="4666.666666666667"/>
  </r>
  <r>
    <n v="405721"/>
    <x v="130"/>
    <x v="0"/>
    <s v="E1-BMP Enea"/>
    <n v="10000"/>
    <n v="20.7"/>
    <n v="207000"/>
    <d v="2026-06-07T00:00:00"/>
    <n v="0"/>
    <x v="16"/>
    <n v="0"/>
    <n v="0"/>
  </r>
  <r>
    <n v="405552"/>
    <x v="131"/>
    <x v="0"/>
    <s v="E1-BMP Enea"/>
    <n v="9000"/>
    <n v="22.7"/>
    <n v="204300"/>
    <d v="2026-06-07T00:00:00"/>
    <n v="0"/>
    <x v="16"/>
    <n v="0"/>
    <n v="0"/>
  </r>
  <r>
    <n v="405378"/>
    <x v="132"/>
    <x v="0"/>
    <s v="E1-BMP Enea"/>
    <n v="9000"/>
    <n v="22.7"/>
    <n v="204300"/>
    <d v="2026-06-07T00:00:00"/>
    <n v="0"/>
    <x v="16"/>
    <n v="0"/>
    <n v="0"/>
  </r>
  <r>
    <n v="405128"/>
    <x v="133"/>
    <x v="0"/>
    <s v="E1-BMP Enea"/>
    <n v="15000"/>
    <n v="20.7"/>
    <n v="310500"/>
    <d v="2026-06-07T00:00:00"/>
    <n v="1333.3333333333333"/>
    <x v="16"/>
    <n v="11.25"/>
    <n v="10666.666666666666"/>
  </r>
  <r>
    <n v="405377"/>
    <x v="134"/>
    <x v="0"/>
    <s v="E1-BMP Enea"/>
    <n v="7000"/>
    <n v="22.7"/>
    <n v="158900"/>
    <d v="2026-06-07T00:00:00"/>
    <n v="871.79487179487171"/>
    <x v="16"/>
    <n v="8.0294117647058822"/>
    <n v="6974.3589743589737"/>
  </r>
  <r>
    <n v="405310"/>
    <x v="135"/>
    <x v="0"/>
    <s v="E1-BMP Enea"/>
    <n v="100000"/>
    <n v="8"/>
    <n v="800000"/>
    <d v="2026-06-07T00:00:00"/>
    <n v="194.44444444444446"/>
    <x v="16"/>
    <n v="514.28571428571422"/>
    <n v="1555.5555555555557"/>
  </r>
  <r>
    <n v="405108"/>
    <x v="136"/>
    <x v="0"/>
    <s v="E1-BMP Enea"/>
    <n v="6000"/>
    <n v="22.7"/>
    <n v="136200"/>
    <d v="2026-06-07T00:00:00"/>
    <n v="666.66666666666663"/>
    <x v="16"/>
    <n v="9"/>
    <n v="5333.333333333333"/>
  </r>
  <r>
    <n v="405120"/>
    <x v="137"/>
    <x v="0"/>
    <s v="E1-BMP Enea"/>
    <n v="8000"/>
    <n v="22.7"/>
    <n v="181600"/>
    <d v="2026-06-07T00:00:00"/>
    <n v="611.11111111111109"/>
    <x v="16"/>
    <n v="13.090909090909092"/>
    <n v="4888.8888888888887"/>
  </r>
  <r>
    <n v="405036"/>
    <x v="138"/>
    <x v="0"/>
    <s v="E1-BMP Enea"/>
    <n v="7000"/>
    <n v="22.7"/>
    <n v="158900"/>
    <d v="2026-06-07T00:00:00"/>
    <n v="666.66666666666663"/>
    <x v="16"/>
    <n v="10.5"/>
    <n v="5333.333333333333"/>
  </r>
  <r>
    <n v="405131"/>
    <x v="139"/>
    <x v="0"/>
    <s v="E1-BMP Enea"/>
    <n v="4000"/>
    <n v="17.170000000000002"/>
    <n v="68680"/>
    <d v="2026-06-07T00:00:00"/>
    <n v="364.58333333333331"/>
    <x v="16"/>
    <n v="10.971428571428572"/>
    <n v="2916.6666666666665"/>
  </r>
  <r>
    <n v="405644"/>
    <x v="140"/>
    <x v="0"/>
    <s v="E1-BMP Enea"/>
    <n v="4000"/>
    <n v="22.7"/>
    <n v="90800"/>
    <d v="2026-06-07T00:00:00"/>
    <n v="214.28571428571431"/>
    <x v="16"/>
    <n v="18.666666666666664"/>
    <n v="1714.2857142857144"/>
  </r>
  <r>
    <n v="405089"/>
    <x v="141"/>
    <x v="0"/>
    <s v="E1-BMP Enea"/>
    <n v="12000"/>
    <n v="22.7"/>
    <n v="272400"/>
    <d v="2026-06-07T00:00:00"/>
    <n v="333.33333333333331"/>
    <x v="16"/>
    <n v="36"/>
    <n v="2666.6666666666665"/>
  </r>
  <r>
    <n v="405643"/>
    <x v="142"/>
    <x v="0"/>
    <s v="E1-BMP Enea"/>
    <n v="5000"/>
    <n v="22.7"/>
    <n v="113500"/>
    <d v="2026-06-07T00:00:00"/>
    <n v="222.2222222222222"/>
    <x v="16"/>
    <n v="22.500000000000004"/>
    <n v="1777.7777777777776"/>
  </r>
  <r>
    <n v="405090"/>
    <x v="143"/>
    <x v="0"/>
    <s v="E1-BMP Enea"/>
    <n v="15000"/>
    <n v="22.7"/>
    <n v="340500"/>
    <d v="2026-06-07T00:00:00"/>
    <n v="296.2962962962963"/>
    <x v="16"/>
    <n v="50.625"/>
    <n v="2370.3703703703704"/>
  </r>
  <r>
    <n v="405784"/>
    <x v="144"/>
    <x v="0"/>
    <s v="E1-BMP Enea"/>
    <n v="5000"/>
    <n v="22.7"/>
    <n v="113500"/>
    <d v="2026-06-07T00:00:00"/>
    <n v="0"/>
    <x v="16"/>
    <n v="0"/>
    <n v="0"/>
  </r>
  <r>
    <n v="405034"/>
    <x v="145"/>
    <x v="0"/>
    <s v="E1-BMP Enea"/>
    <n v="10000"/>
    <n v="17.170000000000002"/>
    <n v="171700"/>
    <d v="2026-06-07T00:00:00"/>
    <n v="854.16666666666663"/>
    <x v="16"/>
    <n v="11.707317073170731"/>
    <n v="6833.333333333333"/>
  </r>
  <r>
    <n v="405783"/>
    <x v="146"/>
    <x v="0"/>
    <s v="E1-BMP Enea"/>
    <n v="5000"/>
    <n v="22.7"/>
    <n v="113500"/>
    <d v="2026-06-07T00:00:00"/>
    <n v="0"/>
    <x v="16"/>
    <n v="0"/>
    <n v="0"/>
  </r>
  <r>
    <n v="405122"/>
    <x v="147"/>
    <x v="0"/>
    <s v="E1-BMP Enea"/>
    <n v="2000"/>
    <n v="22.7"/>
    <n v="45400"/>
    <d v="2026-06-07T00:00:00"/>
    <n v="452.38095238095235"/>
    <x v="16"/>
    <n v="4.4210526315789478"/>
    <n v="3619.0476190476188"/>
  </r>
  <r>
    <n v="405119"/>
    <x v="148"/>
    <x v="0"/>
    <s v="E1-BMP Enea"/>
    <n v="2000"/>
    <n v="17.170000000000002"/>
    <n v="34340"/>
    <d v="2026-06-07T00:00:00"/>
    <n v="431.37254901960779"/>
    <x v="16"/>
    <n v="4.6363636363636367"/>
    <n v="3450.9803921568623"/>
  </r>
  <r>
    <n v="405463"/>
    <x v="149"/>
    <x v="0"/>
    <s v="E1-BMP Enea"/>
    <n v="21000"/>
    <n v="20.239999999999998"/>
    <n v="425040"/>
    <d v="2026-06-07T00:00:00"/>
    <n v="333.33333333333331"/>
    <x v="16"/>
    <n v="63.000000000000007"/>
    <n v="2666.6666666666665"/>
  </r>
  <r>
    <n v="405130"/>
    <x v="150"/>
    <x v="0"/>
    <s v="E1-BMP Enea"/>
    <n v="10000"/>
    <n v="22.62"/>
    <n v="226200"/>
    <d v="2026-06-07T00:00:00"/>
    <n v="230.76923076923075"/>
    <x v="16"/>
    <n v="43.333333333333336"/>
    <n v="1846.153846153846"/>
  </r>
  <r>
    <n v="405123"/>
    <x v="151"/>
    <x v="0"/>
    <s v="E1-BMP Enea"/>
    <n v="7000"/>
    <n v="17.170000000000002"/>
    <n v="120190"/>
    <d v="2026-06-07T00:00:00"/>
    <n v="411.76470588235293"/>
    <x v="16"/>
    <n v="17"/>
    <n v="3294.1176470588234"/>
  </r>
  <r>
    <n v="405031"/>
    <x v="152"/>
    <x v="0"/>
    <s v="E1-BMP Enea"/>
    <n v="17000"/>
    <n v="17.170000000000002"/>
    <n v="291890"/>
    <d v="2026-06-07T00:00:00"/>
    <n v="500"/>
    <x v="16"/>
    <n v="34"/>
    <n v="4000"/>
  </r>
  <r>
    <n v="405121"/>
    <x v="153"/>
    <x v="0"/>
    <s v="E1-BMP Enea"/>
    <n v="10000"/>
    <n v="17.170000000000002"/>
    <n v="171700"/>
    <d v="2026-06-07T00:00:00"/>
    <n v="385.41666666666669"/>
    <x v="16"/>
    <n v="25.945945945945944"/>
    <n v="3083.3333333333335"/>
  </r>
  <r>
    <n v="101108"/>
    <x v="154"/>
    <x v="0"/>
    <s v="E1-BMP Enea"/>
    <n v="10"/>
    <n v="4060"/>
    <n v="40600"/>
    <d v="2026-06-07T00:00:00"/>
    <n v="1.6666666666666667"/>
    <x v="2"/>
    <n v="6"/>
    <n v="8.3333333333333339"/>
  </r>
  <r>
    <n v="405124"/>
    <x v="155"/>
    <x v="0"/>
    <s v="E1-BMP Enea"/>
    <n v="8000"/>
    <n v="17.170000000000002"/>
    <n v="137360"/>
    <d v="2026-06-07T00:00:00"/>
    <n v="656.25"/>
    <x v="16"/>
    <n v="12.19047619047619"/>
    <n v="5250"/>
  </r>
  <r>
    <n v="405126"/>
    <x v="156"/>
    <x v="0"/>
    <s v="E1-BMP Enea"/>
    <n v="8000"/>
    <n v="22.1"/>
    <n v="176800"/>
    <d v="2026-06-07T00:00:00"/>
    <n v="263.88888888888886"/>
    <x v="16"/>
    <n v="30.315789473684212"/>
    <n v="2111.1111111111109"/>
  </r>
  <r>
    <n v="402111"/>
    <x v="157"/>
    <x v="0"/>
    <s v="E1-BMP Enea"/>
    <n v="285"/>
    <n v="3251.09"/>
    <n v="926560.65"/>
    <d v="2026-06-07T00:00:00"/>
    <n v="0"/>
    <x v="17"/>
    <n v="0"/>
    <n v="0"/>
  </r>
  <r>
    <n v="107415"/>
    <x v="158"/>
    <x v="0"/>
    <s v="E1-BMP Enea"/>
    <n v="252"/>
    <n v="5289.37"/>
    <n v="1332921.24"/>
    <d v="2026-06-07T00:00:00"/>
    <n v="11.666666666666666"/>
    <x v="8"/>
    <n v="21.6"/>
    <n v="46.666666666666664"/>
  </r>
  <r>
    <n v="107319"/>
    <x v="159"/>
    <x v="0"/>
    <s v="E1-BMP Enea"/>
    <n v="1300.5"/>
    <n v="4359.78"/>
    <n v="5669893.8899999997"/>
    <d v="2026-06-07T00:00:00"/>
    <n v="91.532407407407405"/>
    <x v="8"/>
    <n v="14.208082545141876"/>
    <n v="366.12962962962962"/>
  </r>
  <r>
    <n v="402132"/>
    <x v="160"/>
    <x v="0"/>
    <s v="E1-BMP Enea"/>
    <n v="1366"/>
    <n v="5870"/>
    <n v="8018420"/>
    <d v="2026-06-07T00:00:00"/>
    <n v="105.18888888888888"/>
    <x v="18"/>
    <n v="12.986162459068343"/>
    <n v="525.94444444444446"/>
  </r>
  <r>
    <n v="405506"/>
    <x v="161"/>
    <x v="0"/>
    <s v="E1-BMP Enea"/>
    <n v="272.26"/>
    <n v="5246.89"/>
    <n v="1428518.2714"/>
    <d v="2026-06-07T00:00:00"/>
    <n v="11.849205128205128"/>
    <x v="12"/>
    <n v="22.977068677115636"/>
    <n v="59.246025641025639"/>
  </r>
  <r>
    <n v="107133"/>
    <x v="162"/>
    <x v="0"/>
    <s v="E1-BMP Enea"/>
    <n v="1358"/>
    <n v="4229.6000000000004"/>
    <n v="5743796.7999999998"/>
    <d v="2026-06-07T00:00:00"/>
    <n v="65.686274509803923"/>
    <x v="2"/>
    <n v="20.674029850746269"/>
    <n v="328.43137254901961"/>
  </r>
  <r>
    <n v="107159"/>
    <x v="163"/>
    <x v="0"/>
    <s v="E1-BMP Enea"/>
    <n v="177"/>
    <n v="9799.99"/>
    <n v="1734598.23"/>
    <d v="2026-06-07T00:00:00"/>
    <n v="9.1111111111111107"/>
    <x v="19"/>
    <n v="19.426829268292686"/>
    <n v="36.444444444444443"/>
  </r>
  <r>
    <n v="107160"/>
    <x v="164"/>
    <x v="0"/>
    <s v="E1-BMP Enea"/>
    <n v="142"/>
    <n v="5350"/>
    <n v="759700"/>
    <d v="2026-06-07T00:00:00"/>
    <n v="9.518518518518519"/>
    <x v="19"/>
    <n v="14.918287937743189"/>
    <n v="38.074074074074076"/>
  </r>
  <r>
    <n v="104013"/>
    <x v="165"/>
    <x v="0"/>
    <s v="E1-BMP Enea"/>
    <n v="25"/>
    <n v="7600"/>
    <n v="190000"/>
    <d v="2026-06-07T00:00:00"/>
    <n v="8.9047619047619051"/>
    <x v="19"/>
    <n v="2.8074866310160425"/>
    <n v="35.61904761904762"/>
  </r>
  <r>
    <n v="405691"/>
    <x v="166"/>
    <x v="0"/>
    <s v="E1-BMP Enea"/>
    <n v="5"/>
    <n v="10469"/>
    <n v="52345"/>
    <d v="2026-06-07T00:00:00"/>
    <n v="1.7222222222222223"/>
    <x v="3"/>
    <n v="2.9032258064516125"/>
    <n v="6.8888888888888893"/>
  </r>
  <r>
    <n v="405701"/>
    <x v="167"/>
    <x v="0"/>
    <s v="E1-BMP Enea"/>
    <n v="20"/>
    <n v="1.05"/>
    <n v="21"/>
    <d v="2026-06-07T00:00:00"/>
    <n v="7.4952777777777788"/>
    <x v="3"/>
    <n v="2.6683467368343026"/>
    <n v="29.981111111111115"/>
  </r>
  <r>
    <n v="107170"/>
    <x v="168"/>
    <x v="0"/>
    <s v="E1-BMP Enea"/>
    <n v="225"/>
    <n v="2662"/>
    <n v="598950"/>
    <d v="2026-06-07T00:00:00"/>
    <n v="28.925925925925924"/>
    <x v="2"/>
    <n v="7.778489116517286"/>
    <n v="173.55555555555554"/>
  </r>
  <r>
    <n v="107330"/>
    <x v="169"/>
    <x v="0"/>
    <s v="E1-BMP Enea"/>
    <n v="140"/>
    <n v="2000"/>
    <n v="280000"/>
    <d v="2026-06-07T00:00:00"/>
    <n v="4.666666666666667"/>
    <x v="20"/>
    <n v="29.999999999999996"/>
    <n v="23.333333333333336"/>
  </r>
  <r>
    <n v="300003"/>
    <x v="170"/>
    <x v="0"/>
    <s v="E1-BMP Enea"/>
    <n v="69.25"/>
    <n v="1.01"/>
    <n v="69.942499999999995"/>
    <d v="2026-06-07T00:00:00"/>
    <n v="32.960185185185182"/>
    <x v="3"/>
    <n v="2.1010197488552409"/>
    <n v="131.84074074074073"/>
  </r>
  <r>
    <n v="403368"/>
    <x v="171"/>
    <x v="0"/>
    <s v="E1-BMP Enea"/>
    <n v="1540"/>
    <n v="165"/>
    <n v="254100"/>
    <d v="2026-06-07T00:00:00"/>
    <n v="322"/>
    <x v="14"/>
    <n v="4.7826086956521738"/>
    <n v="5474"/>
  </r>
  <r>
    <n v="403373"/>
    <x v="172"/>
    <x v="0"/>
    <s v="E1-BMP Enea"/>
    <n v="22000"/>
    <n v="205"/>
    <n v="4510000"/>
    <d v="2026-06-07T00:00:00"/>
    <n v="666.66666666666663"/>
    <x v="14"/>
    <n v="33"/>
    <n v="11333.333333333334"/>
  </r>
  <r>
    <n v="393322"/>
    <x v="173"/>
    <x v="0"/>
    <s v="E1-BMP Enea"/>
    <n v="16000"/>
    <n v="150.81"/>
    <n v="2412960"/>
    <d v="2026-06-07T00:00:00"/>
    <n v="500"/>
    <x v="14"/>
    <n v="32"/>
    <n v="8500"/>
  </r>
  <r>
    <n v="405789"/>
    <x v="174"/>
    <x v="0"/>
    <s v="E1-BMP Enea"/>
    <n v="9000"/>
    <n v="145"/>
    <n v="1305000"/>
    <d v="2026-06-07T00:00:00"/>
    <n v="0"/>
    <x v="14"/>
    <n v="0"/>
    <n v="0"/>
  </r>
  <r>
    <n v="393320"/>
    <x v="175"/>
    <x v="0"/>
    <s v="E1-BMP Enea"/>
    <n v="10284"/>
    <n v="151"/>
    <n v="1552884"/>
    <d v="2026-06-07T00:00:00"/>
    <n v="2472.4901960784314"/>
    <x v="14"/>
    <n v="4.1593693743705247"/>
    <n v="42032.333333333328"/>
  </r>
  <r>
    <n v="393321"/>
    <x v="176"/>
    <x v="0"/>
    <s v="E1-BMP Enea"/>
    <n v="9600"/>
    <n v="151"/>
    <n v="1449600"/>
    <d v="2026-06-07T00:00:00"/>
    <n v="811.76470588235304"/>
    <x v="14"/>
    <n v="11.826086956521738"/>
    <n v="13800.000000000002"/>
  </r>
  <r>
    <n v="362105"/>
    <x v="177"/>
    <x v="0"/>
    <s v="E1-BMP Enea"/>
    <n v="109296"/>
    <n v="178.44"/>
    <n v="19502778.239999998"/>
    <d v="2026-06-07T00:00:00"/>
    <n v="16781.592592592595"/>
    <x v="3"/>
    <n v="6.512850279075618"/>
    <n v="83907.962962962978"/>
  </r>
  <r>
    <n v="405577"/>
    <x v="178"/>
    <x v="0"/>
    <s v="E1-BMP Enea"/>
    <n v="242"/>
    <n v="1066.1600000000001"/>
    <n v="258010.72"/>
    <d v="2026-06-07T00:00:00"/>
    <n v="177.7222222222222"/>
    <x v="3"/>
    <n v="1.3616755236011255"/>
    <n v="710.8888888888888"/>
  </r>
  <r>
    <n v="403268"/>
    <x v="179"/>
    <x v="0"/>
    <s v="E1-BMP Enea"/>
    <n v="15768"/>
    <n v="182.14"/>
    <n v="2871983.52"/>
    <d v="2026-06-07T00:00:00"/>
    <n v="994.16666666666663"/>
    <x v="3"/>
    <n v="15.860519698239733"/>
    <n v="3976.6666666666665"/>
  </r>
  <r>
    <n v="393419"/>
    <x v="180"/>
    <x v="0"/>
    <s v="E1-BMP Enea"/>
    <n v="409"/>
    <n v="1697.6"/>
    <n v="694318.4"/>
    <d v="2026-06-07T00:00:00"/>
    <n v="95.215686274509792"/>
    <x v="3"/>
    <n v="4.2955107084019772"/>
    <n v="380.86274509803917"/>
  </r>
  <r>
    <n v="405702"/>
    <x v="181"/>
    <x v="0"/>
    <s v="E1-BMP Enea"/>
    <n v="30"/>
    <n v="2021"/>
    <n v="60630"/>
    <d v="2026-06-07T00:00:00"/>
    <n v="21.2"/>
    <x v="3"/>
    <n v="1.4150943396226416"/>
    <n v="84.8"/>
  </r>
  <r>
    <n v="353002"/>
    <x v="182"/>
    <x v="0"/>
    <s v="E1-BMP Enea"/>
    <n v="2899"/>
    <n v="900.45"/>
    <n v="2610404.5499999998"/>
    <d v="2026-06-07T00:00:00"/>
    <n v="1894.8333333333333"/>
    <x v="3"/>
    <n v="1.5299498636643505"/>
    <n v="7579.333333333333"/>
  </r>
  <r>
    <n v="353001"/>
    <x v="183"/>
    <x v="0"/>
    <s v="E1-BMP Enea"/>
    <n v="396"/>
    <n v="842.35"/>
    <n v="333570.59999999998"/>
    <d v="2026-06-07T00:00:00"/>
    <n v="1964.5370370370372"/>
    <x v="3"/>
    <n v="0.2015742093604185"/>
    <n v="7858.1481481481487"/>
  </r>
  <r>
    <n v="405340"/>
    <x v="184"/>
    <x v="0"/>
    <s v="E1-BMP Enea"/>
    <n v="80"/>
    <n v="5313.3"/>
    <n v="425064"/>
    <d v="2026-06-07T00:00:00"/>
    <n v="8.4358974358974361"/>
    <x v="3"/>
    <n v="9.4832826747720365"/>
    <n v="33.743589743589745"/>
  </r>
  <r>
    <n v="107259"/>
    <x v="185"/>
    <x v="0"/>
    <s v="E1-BMP Enea"/>
    <n v="2000"/>
    <n v="2190"/>
    <n v="4380000"/>
    <d v="2026-06-07T00:00:00"/>
    <n v="169.07407407407408"/>
    <x v="21"/>
    <n v="11.829134720700985"/>
    <n v="845.37037037037044"/>
  </r>
  <r>
    <n v="107260"/>
    <x v="186"/>
    <x v="0"/>
    <s v="E1-BMP Enea"/>
    <n v="8775"/>
    <n v="727.65"/>
    <n v="6385128.75"/>
    <d v="2026-06-07T00:00:00"/>
    <n v="975.23148148148141"/>
    <x v="21"/>
    <n v="8.9978637550439124"/>
    <n v="4876.1574074074069"/>
  </r>
  <r>
    <n v="107278"/>
    <x v="187"/>
    <x v="0"/>
    <s v="E1-BMP Enea"/>
    <n v="949"/>
    <n v="720.8"/>
    <n v="684039.2"/>
    <d v="2026-06-07T00:00:00"/>
    <n v="167.70588235294119"/>
    <x v="21"/>
    <n v="5.6587162399158188"/>
    <n v="670.82352941176475"/>
  </r>
  <r>
    <n v="107355"/>
    <x v="188"/>
    <x v="0"/>
    <s v="E1-BMP Enea"/>
    <n v="639"/>
    <n v="2818"/>
    <n v="1800702"/>
    <d v="2026-06-07T00:00:00"/>
    <n v="19.930555555555554"/>
    <x v="22"/>
    <n v="32.061324041811851"/>
    <n v="99.652777777777771"/>
  </r>
  <r>
    <n v="107215"/>
    <x v="189"/>
    <x v="0"/>
    <s v="E1-BMP Enea"/>
    <n v="582"/>
    <n v="3007.49"/>
    <n v="1750359.18"/>
    <d v="2026-06-07T00:00:00"/>
    <n v="124.4074074074074"/>
    <x v="23"/>
    <n v="4.6781780291753501"/>
    <n v="622.03703703703707"/>
  </r>
  <r>
    <n v="107333"/>
    <x v="190"/>
    <x v="0"/>
    <s v="E1-BMP Enea"/>
    <n v="88.74"/>
    <n v="4424.51"/>
    <n v="392631.01740000001"/>
    <d v="2026-06-07T00:00:00"/>
    <n v="8.0475000000000012"/>
    <x v="23"/>
    <n v="11.027027027027025"/>
    <n v="40.237500000000011"/>
  </r>
  <r>
    <n v="405539"/>
    <x v="191"/>
    <x v="0"/>
    <s v="E1-BMP Enea"/>
    <n v="110"/>
    <n v="2950"/>
    <n v="324500"/>
    <d v="2026-06-07T00:00:00"/>
    <n v="24.342857142857142"/>
    <x v="23"/>
    <n v="4.518779342723005"/>
    <n v="121.71428571428571"/>
  </r>
  <r>
    <n v="405319"/>
    <x v="192"/>
    <x v="0"/>
    <s v="E1-BMP Enea"/>
    <n v="3800"/>
    <n v="256"/>
    <n v="972800"/>
    <d v="2026-06-07T00:00:00"/>
    <n v="40.277777777777779"/>
    <x v="14"/>
    <n v="94.34482758620689"/>
    <n v="322.22222222222223"/>
  </r>
  <r>
    <n v="107109"/>
    <x v="193"/>
    <x v="0"/>
    <s v="E1-BMP Enea"/>
    <n v="4980"/>
    <n v="2323"/>
    <n v="11568540"/>
    <d v="2026-06-07T00:00:00"/>
    <n v="1345.9722222222222"/>
    <x v="15"/>
    <n v="3.6999277680321949"/>
    <n v="6729.8611111111113"/>
  </r>
  <r>
    <n v="107331"/>
    <x v="194"/>
    <x v="0"/>
    <s v="E1-BMP Enea"/>
    <n v="220"/>
    <n v="5799.96"/>
    <n v="1275991.2"/>
    <d v="2026-06-07T00:00:00"/>
    <n v="12.727272727272727"/>
    <x v="24"/>
    <n v="17.285714285714288"/>
    <n v="63.636363636363633"/>
  </r>
  <r>
    <n v="107144"/>
    <x v="195"/>
    <x v="0"/>
    <s v="E1-BMP Enea"/>
    <n v="188.1"/>
    <n v="2971.84"/>
    <n v="559003.10400000005"/>
    <d v="2026-06-07T00:00:00"/>
    <n v="0"/>
    <x v="8"/>
    <n v="0"/>
    <n v="0"/>
  </r>
  <r>
    <n v="107001"/>
    <x v="196"/>
    <x v="0"/>
    <s v="E1-BMP Enea"/>
    <n v="403.67599999999999"/>
    <n v="5603.5"/>
    <n v="2261998.466"/>
    <d v="2026-06-07T00:00:00"/>
    <n v="28.159999999999997"/>
    <x v="8"/>
    <n v="14.335085227272728"/>
    <n v="112.63999999999999"/>
  </r>
  <r>
    <n v="405408"/>
    <x v="197"/>
    <x v="0"/>
    <s v="E1-BMP Enea"/>
    <n v="684"/>
    <n v="116.8"/>
    <n v="79891.199999999997"/>
    <d v="2026-06-07T00:00:00"/>
    <n v="137.64814814814815"/>
    <x v="3"/>
    <n v="4.9691914435624911"/>
    <n v="550.59259259259261"/>
  </r>
  <r>
    <n v="405420"/>
    <x v="198"/>
    <x v="0"/>
    <s v="E1-BMP Enea"/>
    <n v="4000"/>
    <n v="13"/>
    <n v="52000"/>
    <d v="2026-06-07T00:00:00"/>
    <n v="0"/>
    <x v="14"/>
    <n v="0"/>
    <n v="0"/>
  </r>
  <r>
    <n v="107211"/>
    <x v="199"/>
    <x v="0"/>
    <s v="E1-BMP Enea"/>
    <n v="157.5"/>
    <n v="13006.38"/>
    <n v="2048504.85"/>
    <d v="2026-06-07T00:00:00"/>
    <n v="6.9871794871794863"/>
    <x v="3"/>
    <n v="22.541284403669728"/>
    <n v="34.935897435897431"/>
  </r>
  <r>
    <n v="170173"/>
    <x v="200"/>
    <x v="0"/>
    <s v="E1-BMP Enea"/>
    <n v="615"/>
    <n v="2035.08"/>
    <n v="1251574.2"/>
    <d v="2026-06-07T00:00:00"/>
    <n v="42.518518518518519"/>
    <x v="6"/>
    <n v="14.464285714285714"/>
    <n v="170.07407407407408"/>
  </r>
  <r>
    <n v="107157"/>
    <x v="201"/>
    <x v="0"/>
    <s v="E1-BMP Enea"/>
    <n v="1435"/>
    <n v="2098.8000000000002"/>
    <n v="3011778"/>
    <d v="2026-06-07T00:00:00"/>
    <n v="139.27083333333334"/>
    <x v="6"/>
    <n v="10.303664921465968"/>
    <n v="557.08333333333337"/>
  </r>
  <r>
    <n v="405447"/>
    <x v="202"/>
    <x v="0"/>
    <s v="E1-BMP Enea"/>
    <n v="560"/>
    <n v="2928.13"/>
    <n v="1639752.8"/>
    <d v="2026-06-07T00:00:00"/>
    <n v="0"/>
    <x v="6"/>
    <n v="0"/>
    <n v="0"/>
  </r>
  <r>
    <n v="107172"/>
    <x v="203"/>
    <x v="0"/>
    <s v="E1-BMP Enea"/>
    <n v="685"/>
    <n v="2018.23"/>
    <n v="1382487.55"/>
    <d v="2026-06-07T00:00:00"/>
    <n v="108.41666666666667"/>
    <x v="6"/>
    <n v="6.3182167563412754"/>
    <n v="433.66666666666669"/>
  </r>
  <r>
    <n v="107129"/>
    <x v="204"/>
    <x v="0"/>
    <s v="E1-BMP Enea"/>
    <n v="1205"/>
    <n v="4316.32"/>
    <n v="5201165.5999999996"/>
    <d v="2026-06-07T00:00:00"/>
    <n v="287.84259259259261"/>
    <x v="6"/>
    <n v="4.1863158233345121"/>
    <n v="1151.3703703703704"/>
  </r>
  <r>
    <n v="107113"/>
    <x v="205"/>
    <x v="0"/>
    <s v="E1-BMP Enea"/>
    <n v="1480"/>
    <n v="3294.48"/>
    <n v="4875830.4000000004"/>
    <d v="2026-06-07T00:00:00"/>
    <n v="81.037037037037038"/>
    <x v="6"/>
    <n v="18.263254113345521"/>
    <n v="324.14814814814815"/>
  </r>
  <r>
    <n v="107158"/>
    <x v="206"/>
    <x v="0"/>
    <s v="E1-BMP Enea"/>
    <n v="735"/>
    <n v="3390.94"/>
    <n v="2492340.9"/>
    <d v="2026-06-07T00:00:00"/>
    <n v="95"/>
    <x v="6"/>
    <n v="7.7368421052631575"/>
    <n v="380"/>
  </r>
  <r>
    <n v="107193"/>
    <x v="207"/>
    <x v="0"/>
    <s v="E1-BMP Enea"/>
    <n v="1195"/>
    <n v="3837.2"/>
    <n v="4585454"/>
    <d v="2026-06-07T00:00:00"/>
    <n v="162"/>
    <x v="6"/>
    <n v="7.3765432098765435"/>
    <n v="648"/>
  </r>
  <r>
    <n v="107112"/>
    <x v="208"/>
    <x v="0"/>
    <s v="E1-BMP Enea"/>
    <n v="985"/>
    <n v="2704.18"/>
    <n v="2663617.2999999998"/>
    <d v="2026-06-07T00:00:00"/>
    <n v="155.74074074074073"/>
    <x v="3"/>
    <n v="6.3246135552913199"/>
    <n v="778.7037037037037"/>
  </r>
  <r>
    <n v="107280"/>
    <x v="209"/>
    <x v="0"/>
    <s v="E1-BMP Enea"/>
    <n v="616.5"/>
    <n v="2750"/>
    <n v="1695375"/>
    <d v="2026-06-07T00:00:00"/>
    <n v="95.971018518518505"/>
    <x v="6"/>
    <n v="6.4238142880711493"/>
    <n v="479.85509259259254"/>
  </r>
  <r>
    <n v="405650"/>
    <x v="210"/>
    <x v="0"/>
    <s v="E1-BMP Enea"/>
    <n v="20"/>
    <n v="7990"/>
    <n v="159800"/>
    <d v="2026-06-07T00:00:00"/>
    <n v="1.1111111111111112"/>
    <x v="1"/>
    <n v="18"/>
    <n v="4.4444444444444446"/>
  </r>
  <r>
    <n v="405543"/>
    <x v="211"/>
    <x v="0"/>
    <s v="E1-BMP Enea"/>
    <n v="30"/>
    <n v="6890.03"/>
    <n v="206700.9"/>
    <d v="2026-06-07T00:00:00"/>
    <n v="6.6203703703703702"/>
    <x v="1"/>
    <n v="4.5314685314685317"/>
    <n v="26.481481481481481"/>
  </r>
  <r>
    <n v="402130"/>
    <x v="212"/>
    <x v="0"/>
    <s v="E1-BMP Enea"/>
    <n v="145"/>
    <n v="5000"/>
    <n v="725000"/>
    <d v="2026-06-07T00:00:00"/>
    <n v="2.2222222222222223"/>
    <x v="1"/>
    <n v="65.25"/>
    <n v="8.8888888888888893"/>
  </r>
  <r>
    <n v="405507"/>
    <x v="213"/>
    <x v="0"/>
    <s v="E1-BMP Enea"/>
    <n v="332"/>
    <n v="5312.5"/>
    <n v="1763750"/>
    <d v="2026-06-07T00:00:00"/>
    <n v="25.755555555555556"/>
    <x v="12"/>
    <n v="12.890422778257118"/>
    <n v="128.77777777777777"/>
  </r>
  <r>
    <n v="405723"/>
    <x v="214"/>
    <x v="0"/>
    <s v="E1-BMP Enea"/>
    <n v="54"/>
    <n v="827.7"/>
    <n v="44695.8"/>
    <d v="2026-06-07T00:00:00"/>
    <n v="1.25"/>
    <x v="22"/>
    <n v="43.2"/>
    <n v="6.25"/>
  </r>
  <r>
    <n v="393399"/>
    <x v="215"/>
    <x v="0"/>
    <s v="E1-BMP Enea"/>
    <n v="83.16"/>
    <n v="57964.51"/>
    <n v="4820328.6516000004"/>
    <d v="2026-06-07T00:00:00"/>
    <n v="0.58153846153846156"/>
    <x v="2"/>
    <n v="143"/>
    <n v="2.907692307692308"/>
  </r>
  <r>
    <n v="107346"/>
    <x v="216"/>
    <x v="0"/>
    <s v="E1-BMP Enea"/>
    <n v="997.28"/>
    <n v="3045.24"/>
    <n v="3036956.9471999998"/>
    <d v="2026-06-07T00:00:00"/>
    <n v="221.43777777777777"/>
    <x v="8"/>
    <n v="4.5036579124308806"/>
    <n v="885.75111111111107"/>
  </r>
  <r>
    <n v="107348"/>
    <x v="217"/>
    <x v="0"/>
    <s v="E1-BMP Enea"/>
    <n v="10.74"/>
    <n v="3118.16"/>
    <n v="33489.038399999998"/>
    <d v="2026-06-07T00:00:00"/>
    <n v="102.07069444444443"/>
    <x v="8"/>
    <n v="0.1052211906508153"/>
    <n v="408.28277777777771"/>
  </r>
  <r>
    <n v="107117"/>
    <x v="218"/>
    <x v="0"/>
    <s v="E1-BMP Enea"/>
    <n v="1016.72"/>
    <n v="2569.83"/>
    <n v="2612797.5575999999"/>
    <d v="2026-06-07T00:00:00"/>
    <n v="49.27"/>
    <x v="8"/>
    <n v="20.635680941749541"/>
    <n v="246.35000000000002"/>
  </r>
  <r>
    <n v="405607"/>
    <x v="219"/>
    <x v="0"/>
    <s v="E1-BMP Enea"/>
    <n v="16"/>
    <n v="34000"/>
    <n v="544000"/>
    <d v="2026-06-07T00:00:00"/>
    <n v="0.54166666666666663"/>
    <x v="6"/>
    <n v="29.53846153846154"/>
    <n v="2.1666666666666665"/>
  </r>
  <r>
    <n v="405793"/>
    <x v="220"/>
    <x v="0"/>
    <s v="E1-BMP Enea"/>
    <n v="1000"/>
    <n v="617.33000000000004"/>
    <n v="617330"/>
    <d v="2026-06-07T00:00:00"/>
    <n v="0"/>
    <x v="14"/>
    <n v="0"/>
    <n v="0"/>
  </r>
  <r>
    <n v="107316"/>
    <x v="221"/>
    <x v="0"/>
    <s v="E1-BMP Enea"/>
    <n v="620"/>
    <n v="611"/>
    <n v="378820"/>
    <d v="2026-06-07T00:00:00"/>
    <n v="148.88888888888889"/>
    <x v="14"/>
    <n v="4.1641791044776122"/>
    <n v="2531.1111111111113"/>
  </r>
  <r>
    <n v="353003"/>
    <x v="222"/>
    <x v="0"/>
    <s v="E1-BMP Enea"/>
    <n v="25"/>
    <n v="6278.68"/>
    <n v="156967"/>
    <d v="2026-06-07T00:00:00"/>
    <n v="3.8148148148148149"/>
    <x v="3"/>
    <n v="6.5533980582524274"/>
    <n v="15.25925925925926"/>
  </r>
  <r>
    <n v="405570"/>
    <x v="223"/>
    <x v="0"/>
    <s v="E1-BMP Enea"/>
    <n v="550"/>
    <n v="1500"/>
    <n v="825000"/>
    <d v="2026-06-07T00:00:00"/>
    <n v="210.83333333333334"/>
    <x v="20"/>
    <n v="2.6086956521739131"/>
    <n v="1054.1666666666667"/>
  </r>
  <r>
    <n v="107095"/>
    <x v="224"/>
    <x v="0"/>
    <s v="E1-BMP Enea"/>
    <n v="1656"/>
    <n v="4446.7"/>
    <n v="7363735.2000000002"/>
    <d v="2026-06-07T00:00:00"/>
    <n v="301.50018518518522"/>
    <x v="6"/>
    <n v="5.4925339398477115"/>
    <n v="1206.0007407407409"/>
  </r>
  <r>
    <n v="405436"/>
    <x v="225"/>
    <x v="0"/>
    <s v="E1-BMP Enea"/>
    <n v="427"/>
    <n v="2428.58"/>
    <n v="1037003.66"/>
    <d v="2026-06-07T00:00:00"/>
    <n v="32.54"/>
    <x v="6"/>
    <n v="13.122311001843885"/>
    <n v="130.16"/>
  </r>
  <r>
    <n v="405133"/>
    <x v="226"/>
    <x v="0"/>
    <s v="E1-BMP Enea"/>
    <n v="115"/>
    <n v="5887"/>
    <n v="677005"/>
    <d v="2026-06-07T00:00:00"/>
    <n v="29.509259259259256"/>
    <x v="2"/>
    <n v="3.8970818951992472"/>
    <n v="177.05555555555554"/>
  </r>
  <r>
    <n v="107360"/>
    <x v="227"/>
    <x v="0"/>
    <s v="E1-BMP Enea"/>
    <n v="27"/>
    <n v="2957.74"/>
    <n v="79858.98"/>
    <d v="2026-06-07T00:00:00"/>
    <n v="0"/>
    <x v="6"/>
    <n v="0"/>
    <n v="0"/>
  </r>
  <r>
    <n v="107204"/>
    <x v="228"/>
    <x v="0"/>
    <s v="E1-BMP Enea"/>
    <n v="670.5"/>
    <n v="3304.6"/>
    <n v="2215734.2999999998"/>
    <d v="2026-06-07T00:00:00"/>
    <n v="20.75"/>
    <x v="6"/>
    <n v="32.313253012048193"/>
    <n v="83"/>
  </r>
  <r>
    <n v="107262"/>
    <x v="229"/>
    <x v="0"/>
    <s v="E1-BMP Enea"/>
    <n v="1643"/>
    <n v="1987.9"/>
    <n v="3266119.7"/>
    <d v="2026-06-07T00:00:00"/>
    <n v="101.49019607843138"/>
    <x v="21"/>
    <n v="16.18875579598145"/>
    <n v="405.96078431372553"/>
  </r>
  <r>
    <n v="170180"/>
    <x v="230"/>
    <x v="0"/>
    <s v="E1-BMP Enea"/>
    <n v="1395"/>
    <n v="1930"/>
    <n v="2692350"/>
    <d v="2026-06-07T00:00:00"/>
    <n v="192.08"/>
    <x v="6"/>
    <n v="7.2625989171178666"/>
    <n v="960.40000000000009"/>
  </r>
  <r>
    <n v="405556"/>
    <x v="231"/>
    <x v="0"/>
    <s v="E1-BMP Enea"/>
    <n v="319.5"/>
    <n v="3299.88"/>
    <n v="1054311.6599999999"/>
    <d v="2026-06-07T00:00:00"/>
    <n v="47.85"/>
    <x v="6"/>
    <n v="6.677115987460815"/>
    <n v="191.4"/>
  </r>
  <r>
    <n v="107148"/>
    <x v="232"/>
    <x v="0"/>
    <s v="E1-BMP Enea"/>
    <n v="40"/>
    <n v="20900"/>
    <n v="836000"/>
    <d v="2026-06-07T00:00:00"/>
    <n v="3.75"/>
    <x v="1"/>
    <n v="10.666666666666666"/>
    <n v="22.5"/>
  </r>
  <r>
    <n v="107246"/>
    <x v="233"/>
    <x v="0"/>
    <s v="E1-BMP Enea"/>
    <n v="400"/>
    <n v="4334"/>
    <n v="1733600"/>
    <d v="2026-06-07T00:00:00"/>
    <n v="8.3333333333333339"/>
    <x v="6"/>
    <n v="48"/>
    <n v="33.333333333333336"/>
  </r>
  <r>
    <n v="107275"/>
    <x v="234"/>
    <x v="0"/>
    <s v="E1-BMP Enea"/>
    <n v="860"/>
    <n v="5524.72"/>
    <n v="4751259.2"/>
    <d v="2026-06-07T00:00:00"/>
    <n v="105.23148148148148"/>
    <x v="6"/>
    <n v="8.1724593048834144"/>
    <n v="420.92592592592592"/>
  </r>
  <r>
    <n v="405651"/>
    <x v="235"/>
    <x v="0"/>
    <s v="E1-BMP Enea"/>
    <n v="50"/>
    <n v="6990.04"/>
    <n v="349502"/>
    <d v="2026-06-07T00:00:00"/>
    <n v="2.2222222222222223"/>
    <x v="1"/>
    <n v="22.5"/>
    <n v="8.8888888888888893"/>
  </r>
  <r>
    <n v="401015"/>
    <x v="236"/>
    <x v="0"/>
    <s v="E1-BMP Enea"/>
    <n v="62"/>
    <n v="3930.94"/>
    <n v="243718.28"/>
    <d v="2026-06-07T00:00:00"/>
    <n v="1.2"/>
    <x v="17"/>
    <n v="51.666666666666671"/>
    <n v="7.1999999999999993"/>
  </r>
  <r>
    <n v="401014"/>
    <x v="237"/>
    <x v="0"/>
    <s v="E1-BMP Enea"/>
    <n v="54"/>
    <n v="3803.93"/>
    <n v="205412.22"/>
    <d v="2026-06-07T00:00:00"/>
    <n v="1"/>
    <x v="17"/>
    <n v="54"/>
    <n v="6"/>
  </r>
  <r>
    <n v="401010"/>
    <x v="238"/>
    <x v="0"/>
    <s v="E1-BMP Enea"/>
    <n v="81"/>
    <n v="3944.68"/>
    <n v="319519.08"/>
    <d v="2026-06-07T00:00:00"/>
    <n v="1.25"/>
    <x v="17"/>
    <n v="64.8"/>
    <n v="7.5"/>
  </r>
  <r>
    <n v="401011"/>
    <x v="239"/>
    <x v="0"/>
    <s v="E1-BMP Enea"/>
    <n v="101"/>
    <n v="3873.77"/>
    <n v="391250.77"/>
    <d v="2026-06-07T00:00:00"/>
    <n v="1"/>
    <x v="17"/>
    <n v="101"/>
    <n v="6"/>
  </r>
  <r>
    <n v="401019"/>
    <x v="240"/>
    <x v="0"/>
    <s v="E1-BMP Enea"/>
    <n v="128"/>
    <n v="3833.38"/>
    <n v="490672.64000000001"/>
    <d v="2026-06-07T00:00:00"/>
    <n v="1"/>
    <x v="17"/>
    <n v="128"/>
    <n v="6"/>
  </r>
  <r>
    <n v="401012"/>
    <x v="241"/>
    <x v="0"/>
    <s v="E1-BMP Enea"/>
    <n v="63"/>
    <n v="3933.32"/>
    <n v="247799.16"/>
    <d v="2026-06-07T00:00:00"/>
    <n v="1.3333333333333333"/>
    <x v="17"/>
    <n v="47.25"/>
    <n v="8"/>
  </r>
  <r>
    <n v="393040"/>
    <x v="242"/>
    <x v="0"/>
    <s v="E1-BMP Enea"/>
    <n v="28620"/>
    <n v="181.31"/>
    <n v="5189092.2"/>
    <d v="2026-06-07T00:00:00"/>
    <n v="5317.9629629629626"/>
    <x v="3"/>
    <n v="5.3817599331406489"/>
    <n v="21271.85185185185"/>
  </r>
  <r>
    <n v="393427"/>
    <x v="243"/>
    <x v="0"/>
    <s v="E1-BMP Enea"/>
    <n v="412"/>
    <n v="529.17999999999995"/>
    <n v="218022.16"/>
    <d v="2026-06-07T00:00:00"/>
    <n v="628.63888888888891"/>
    <x v="3"/>
    <n v="0.65538420750298265"/>
    <n v="0"/>
  </r>
  <r>
    <n v="393349"/>
    <x v="244"/>
    <x v="0"/>
    <s v="E1-BMP Enea"/>
    <n v="1320"/>
    <n v="398.72"/>
    <n v="526310.40000000002"/>
    <d v="2026-06-07T00:00:00"/>
    <n v="212"/>
    <x v="3"/>
    <n v="6.2264150943396226"/>
    <n v="0"/>
  </r>
  <r>
    <n v="405683"/>
    <x v="245"/>
    <x v="0"/>
    <s v="E1-BMP Enea"/>
    <n v="6536"/>
    <n v="138"/>
    <n v="901968"/>
    <d v="2026-06-07T00:00:00"/>
    <n v="165.16666666666666"/>
    <x v="2"/>
    <n v="39.572149344096871"/>
    <n v="0"/>
  </r>
  <r>
    <n v="107102"/>
    <x v="246"/>
    <x v="0"/>
    <s v="E1-BMP Enea"/>
    <n v="2412"/>
    <n v="3120"/>
    <n v="7525440"/>
    <d v="2026-06-07T00:00:00"/>
    <n v="149.02564102564102"/>
    <x v="8"/>
    <n v="16.185134205092911"/>
    <n v="140.58823529411765"/>
  </r>
  <r>
    <n v="405533"/>
    <x v="247"/>
    <x v="0"/>
    <s v="E1-BMP Enea"/>
    <n v="937"/>
    <n v="2266"/>
    <n v="2123242"/>
    <d v="2026-06-07T00:00:00"/>
    <n v="186.86111111111111"/>
    <x v="13"/>
    <n v="5.0144195034933849"/>
    <n v="240.49019607843135"/>
  </r>
  <r>
    <n v="405590"/>
    <x v="248"/>
    <x v="0"/>
    <s v="E1-BMP Enea"/>
    <n v="20000"/>
    <n v="12.2"/>
    <n v="244000"/>
    <d v="2026-06-07T00:00:00"/>
    <n v="0"/>
    <x v="14"/>
    <n v="0"/>
    <n v="0"/>
  </r>
  <r>
    <n v="405371"/>
    <x v="249"/>
    <x v="0"/>
    <s v="E1-BMP Enea"/>
    <n v="7200"/>
    <n v="45"/>
    <n v="324000"/>
    <d v="2026-06-07T00:00:00"/>
    <n v="400"/>
    <x v="2"/>
    <n v="18"/>
    <n v="0"/>
  </r>
  <r>
    <n v="405134"/>
    <x v="250"/>
    <x v="0"/>
    <s v="E1-BMP Enea"/>
    <n v="13200"/>
    <n v="36"/>
    <n v="475200"/>
    <d v="2026-06-07T00:00:00"/>
    <n v="1216.6666666666667"/>
    <x v="2"/>
    <n v="10.84931506849315"/>
    <n v="16235.294117647058"/>
  </r>
  <r>
    <n v="405797"/>
    <x v="251"/>
    <x v="0"/>
    <s v="E1-BMP Enea"/>
    <n v="25.42"/>
    <n v="7709.28"/>
    <n v="195969.8976"/>
    <d v="2026-06-07T00:00:00"/>
    <n v="0"/>
    <x v="18"/>
    <n v="0"/>
    <n v="0"/>
  </r>
  <r>
    <n v="107164"/>
    <x v="252"/>
    <x v="0"/>
    <s v="E1-BMP Enea"/>
    <n v="936"/>
    <n v="1129"/>
    <n v="1056744"/>
    <d v="2026-06-07T00:00:00"/>
    <n v="167.34259259259258"/>
    <x v="25"/>
    <n v="5.5933159962374814"/>
    <n v="196.31372549019611"/>
  </r>
  <r>
    <n v="104004"/>
    <x v="253"/>
    <x v="1"/>
    <s v="P1-BMP Puerto Vespucio"/>
    <n v="93"/>
    <n v="1239.49"/>
    <n v="115272.57"/>
    <d v="2026-06-07T00:00:00"/>
    <n v="0"/>
    <x v="0"/>
    <n v="0"/>
    <n v="0"/>
  </r>
  <r>
    <n v="104006"/>
    <x v="1"/>
    <x v="1"/>
    <s v="P1-BMP Puerto Vespucio"/>
    <n v="1068"/>
    <n v="900"/>
    <n v="961200"/>
    <d v="2026-06-07T00:00:00"/>
    <n v="43.245098039215691"/>
    <x v="0"/>
    <n v="24.696440716390839"/>
    <n v="172.98039215686276"/>
  </r>
  <r>
    <n v="405445"/>
    <x v="7"/>
    <x v="1"/>
    <s v="P1-BMP Puerto Vespucio"/>
    <n v="14200"/>
    <n v="93.56"/>
    <n v="1328552"/>
    <d v="2026-06-07T00:00:00"/>
    <n v="2906.6666666666665"/>
    <x v="4"/>
    <n v="4.8853211009174311"/>
    <n v="11626.666666666666"/>
  </r>
  <r>
    <n v="405501"/>
    <x v="254"/>
    <x v="1"/>
    <s v="P1-BMP Puerto Vespucio"/>
    <n v="1000"/>
    <n v="65"/>
    <n v="65000"/>
    <d v="2026-06-07T00:00:00"/>
    <n v="259.52380952380952"/>
    <x v="4"/>
    <n v="3.8532110091743119"/>
    <n v="1038.0952380952381"/>
  </r>
  <r>
    <n v="403338"/>
    <x v="10"/>
    <x v="1"/>
    <s v="P1-BMP Puerto Vespucio"/>
    <n v="21000"/>
    <n v="49.44"/>
    <n v="1038240"/>
    <d v="2026-06-07T00:00:00"/>
    <n v="3827.4509803921569"/>
    <x v="4"/>
    <n v="5.4866803278688527"/>
    <n v="19137.254901960783"/>
  </r>
  <r>
    <n v="103104"/>
    <x v="255"/>
    <x v="1"/>
    <s v="P1-BMP Puerto Vespucio"/>
    <n v="3085"/>
    <n v="1600"/>
    <n v="4936000"/>
    <d v="2026-06-07T00:00:00"/>
    <n v="31.303921568627448"/>
    <x v="26"/>
    <n v="98.549953022236153"/>
    <n v="125.21568627450979"/>
  </r>
  <r>
    <n v="405418"/>
    <x v="0"/>
    <x v="1"/>
    <s v="P1-BMP Puerto Vespucio"/>
    <n v="310"/>
    <n v="1371.59"/>
    <n v="425192.9"/>
    <d v="2026-06-07T00:00:00"/>
    <n v="72.990196078431367"/>
    <x v="0"/>
    <n v="4.2471457353928814"/>
    <n v="291.96078431372547"/>
  </r>
  <r>
    <n v="400205"/>
    <x v="11"/>
    <x v="1"/>
    <s v="P1-BMP Puerto Vespucio"/>
    <n v="12000"/>
    <n v="32"/>
    <n v="384000"/>
    <d v="2026-06-07T00:00:00"/>
    <n v="722.22222222222217"/>
    <x v="5"/>
    <n v="16.615384615384617"/>
    <n v="5055.5555555555547"/>
  </r>
  <r>
    <n v="400202"/>
    <x v="256"/>
    <x v="1"/>
    <s v="P1-BMP Puerto Vespucio"/>
    <n v="170"/>
    <n v="2550"/>
    <n v="433500"/>
    <d v="2026-06-07T00:00:00"/>
    <n v="3.3333333333333335"/>
    <x v="5"/>
    <n v="51"/>
    <n v="23.333333333333336"/>
  </r>
  <r>
    <n v="403245"/>
    <x v="257"/>
    <x v="1"/>
    <s v="P1-BMP Puerto Vespucio"/>
    <n v="7540"/>
    <n v="160"/>
    <n v="1206400"/>
    <d v="2026-06-07T00:00:00"/>
    <n v="1219.047619047619"/>
    <x v="14"/>
    <n v="6.1851562500000004"/>
    <n v="7314.2857142857138"/>
  </r>
  <r>
    <n v="402263"/>
    <x v="15"/>
    <x v="1"/>
    <s v="P1-BMP Puerto Vespucio"/>
    <n v="61.2"/>
    <n v="2478.6799999999998"/>
    <n v="151695.21599999999"/>
    <d v="2026-06-07T00:00:00"/>
    <n v="5.9375"/>
    <x v="5"/>
    <n v="10.307368421052631"/>
    <n v="100.9375"/>
  </r>
  <r>
    <n v="107120"/>
    <x v="14"/>
    <x v="1"/>
    <s v="P1-BMP Puerto Vespucio"/>
    <n v="1039.5"/>
    <n v="1829.38"/>
    <n v="1901640.51"/>
    <d v="2026-06-07T00:00:00"/>
    <n v="46.5"/>
    <x v="6"/>
    <n v="22.35483870967742"/>
    <n v="279"/>
  </r>
  <r>
    <n v="107361"/>
    <x v="19"/>
    <x v="1"/>
    <s v="P1-BMP Puerto Vespucio"/>
    <n v="500"/>
    <n v="585"/>
    <n v="292500"/>
    <d v="2026-06-07T00:00:00"/>
    <n v="83.333333333333329"/>
    <x v="7"/>
    <n v="6"/>
    <n v="1416.6666666666667"/>
  </r>
  <r>
    <n v="107367"/>
    <x v="18"/>
    <x v="1"/>
    <s v="P1-BMP Puerto Vespucio"/>
    <n v="200"/>
    <n v="890.77"/>
    <n v="178154"/>
    <d v="2026-06-07T00:00:00"/>
    <n v="69.047619047619051"/>
    <x v="7"/>
    <n v="2.896551724137931"/>
    <n v="1173.8095238095239"/>
  </r>
  <r>
    <n v="107365"/>
    <x v="22"/>
    <x v="1"/>
    <s v="P1-BMP Puerto Vespucio"/>
    <n v="89"/>
    <n v="493"/>
    <n v="43877"/>
    <d v="2026-06-07T00:00:00"/>
    <n v="93.75"/>
    <x v="7"/>
    <n v="0.94933333333333336"/>
    <n v="1593.75"/>
  </r>
  <r>
    <n v="402251"/>
    <x v="258"/>
    <x v="1"/>
    <s v="P1-BMP Puerto Vespucio"/>
    <n v="1340"/>
    <n v="566.26"/>
    <n v="758788.4"/>
    <d v="2026-06-07T00:00:00"/>
    <n v="95.238095238095241"/>
    <x v="7"/>
    <n v="14.07"/>
    <n v="1619.0476190476193"/>
  </r>
  <r>
    <n v="405696"/>
    <x v="23"/>
    <x v="1"/>
    <s v="P1-BMP Puerto Vespucio"/>
    <n v="1100"/>
    <n v="600"/>
    <n v="660000"/>
    <d v="2026-06-07T00:00:00"/>
    <n v="83.333333333333329"/>
    <x v="7"/>
    <n v="13.200000000000001"/>
    <n v="1416.6666666666667"/>
  </r>
  <r>
    <n v="403393"/>
    <x v="259"/>
    <x v="1"/>
    <s v="P1-BMP Puerto Vespucio"/>
    <n v="1000"/>
    <n v="555"/>
    <n v="555000"/>
    <d v="2026-06-07T00:00:00"/>
    <n v="83.333333333333329"/>
    <x v="7"/>
    <n v="12"/>
    <n v="1416.6666666666667"/>
  </r>
  <r>
    <n v="106302"/>
    <x v="260"/>
    <x v="1"/>
    <s v="P1-BMP Puerto Vespucio"/>
    <n v="130"/>
    <n v="9777.9699999999993"/>
    <n v="1271136.1000000001"/>
    <d v="2026-06-07T00:00:00"/>
    <n v="0.42708333333333331"/>
    <x v="1"/>
    <n v="304.39024390243901"/>
    <n v="2.1354166666666665"/>
  </r>
  <r>
    <n v="403219"/>
    <x v="27"/>
    <x v="1"/>
    <s v="P1-BMP Puerto Vespucio"/>
    <n v="34000"/>
    <n v="6.1"/>
    <n v="207400"/>
    <d v="2026-06-07T00:00:00"/>
    <n v="3843.1372549019611"/>
    <x v="4"/>
    <n v="8.8469387755102034"/>
    <n v="19215.686274509804"/>
  </r>
  <r>
    <n v="402253"/>
    <x v="261"/>
    <x v="1"/>
    <s v="P1-BMP Puerto Vespucio"/>
    <n v="500"/>
    <n v="522.5"/>
    <n v="261250"/>
    <d v="2026-06-07T00:00:00"/>
    <n v="100"/>
    <x v="7"/>
    <n v="5"/>
    <n v="1700"/>
  </r>
  <r>
    <n v="403258"/>
    <x v="262"/>
    <x v="1"/>
    <s v="P1-BMP Puerto Vespucio"/>
    <n v="8000"/>
    <n v="14.23"/>
    <n v="113840"/>
    <d v="2026-06-07T00:00:00"/>
    <n v="0"/>
    <x v="14"/>
    <n v="0"/>
    <n v="0"/>
  </r>
  <r>
    <n v="405728"/>
    <x v="263"/>
    <x v="1"/>
    <s v="P1-BMP Puerto Vespucio"/>
    <n v="43"/>
    <n v="13496.65"/>
    <n v="580355.94999999995"/>
    <d v="2026-06-07T00:00:00"/>
    <n v="4.8"/>
    <x v="2"/>
    <n v="8.9583333333333339"/>
    <n v="38.4"/>
  </r>
  <r>
    <n v="402255"/>
    <x v="31"/>
    <x v="1"/>
    <s v="P1-BMP Puerto Vespucio"/>
    <n v="1153"/>
    <n v="1290"/>
    <n v="1487370"/>
    <d v="2026-06-07T00:00:00"/>
    <n v="15.225490196078432"/>
    <x v="9"/>
    <n v="75.728267868641339"/>
    <n v="76.127450980392155"/>
  </r>
  <r>
    <n v="405304"/>
    <x v="264"/>
    <x v="1"/>
    <s v="P1-BMP Puerto Vespucio"/>
    <n v="55"/>
    <n v="10134"/>
    <n v="557370"/>
    <d v="2026-06-07T00:00:00"/>
    <n v="1.6666666666666667"/>
    <x v="27"/>
    <n v="33"/>
    <n v="10"/>
  </r>
  <r>
    <n v="107134"/>
    <x v="34"/>
    <x v="1"/>
    <s v="P1-BMP Puerto Vespucio"/>
    <n v="235"/>
    <n v="3599.97"/>
    <n v="845992.95"/>
    <d v="2026-06-07T00:00:00"/>
    <n v="7.1875"/>
    <x v="1"/>
    <n v="32.695652173913047"/>
    <n v="35.9375"/>
  </r>
  <r>
    <n v="170183"/>
    <x v="43"/>
    <x v="1"/>
    <s v="P1-BMP Puerto Vespucio"/>
    <n v="300"/>
    <n v="3376"/>
    <n v="1012800"/>
    <d v="2026-06-07T00:00:00"/>
    <n v="0"/>
    <x v="13"/>
    <n v="0"/>
    <n v="0"/>
  </r>
  <r>
    <n v="107300"/>
    <x v="39"/>
    <x v="1"/>
    <s v="P1-BMP Puerto Vespucio"/>
    <n v="5460"/>
    <n v="212.88"/>
    <n v="1162324.8"/>
    <d v="2026-06-07T00:00:00"/>
    <n v="1343.8541666666667"/>
    <x v="4"/>
    <n v="4.0629408572978836"/>
    <n v="5375.416666666667"/>
  </r>
  <r>
    <n v="107237"/>
    <x v="45"/>
    <x v="1"/>
    <s v="P1-BMP Puerto Vespucio"/>
    <n v="676"/>
    <n v="4078.17"/>
    <n v="2756842.92"/>
    <d v="2026-06-07T00:00:00"/>
    <n v="16.0625"/>
    <x v="13"/>
    <n v="42.085603112840467"/>
    <n v="80.3125"/>
  </r>
  <r>
    <n v="107104"/>
    <x v="52"/>
    <x v="1"/>
    <s v="P1-BMP Puerto Vespucio"/>
    <n v="821"/>
    <n v="3380"/>
    <n v="2774980"/>
    <d v="2026-06-07T00:00:00"/>
    <n v="168.16666666666666"/>
    <x v="13"/>
    <n v="4.8820614469772057"/>
    <n v="672.66666666666663"/>
  </r>
  <r>
    <n v="107142"/>
    <x v="46"/>
    <x v="1"/>
    <s v="P1-BMP Puerto Vespucio"/>
    <n v="200"/>
    <n v="3249.7"/>
    <n v="649940"/>
    <d v="2026-06-07T00:00:00"/>
    <n v="56.931372549019606"/>
    <x v="13"/>
    <n v="3.5130015498536249"/>
    <n v="341.58823529411762"/>
  </r>
  <r>
    <n v="405161"/>
    <x v="265"/>
    <x v="1"/>
    <s v="P1-BMP Puerto Vespucio"/>
    <n v="1080"/>
    <n v="2557.06"/>
    <n v="2761624.8"/>
    <d v="2026-06-07T00:00:00"/>
    <n v="23.523809523809522"/>
    <x v="13"/>
    <n v="45.910931174089072"/>
    <n v="117.61904761904762"/>
  </r>
  <r>
    <n v="107098"/>
    <x v="48"/>
    <x v="1"/>
    <s v="P1-BMP Puerto Vespucio"/>
    <n v="870"/>
    <n v="3195.59"/>
    <n v="2780163.3"/>
    <d v="2026-06-07T00:00:00"/>
    <n v="163.33333333333334"/>
    <x v="13"/>
    <n v="5.3265306122448974"/>
    <n v="980"/>
  </r>
  <r>
    <n v="107417"/>
    <x v="266"/>
    <x v="1"/>
    <s v="P1-BMP Puerto Vespucio"/>
    <n v="660"/>
    <n v="2980"/>
    <n v="1966800"/>
    <d v="2026-06-07T00:00:00"/>
    <n v="64.523809523809533"/>
    <x v="13"/>
    <n v="10.228782287822877"/>
    <n v="322.61904761904771"/>
  </r>
  <r>
    <n v="103612"/>
    <x v="51"/>
    <x v="1"/>
    <s v="P1-BMP Puerto Vespucio"/>
    <n v="737"/>
    <n v="2600"/>
    <n v="1916200"/>
    <d v="2026-06-07T00:00:00"/>
    <n v="7.3725490196078427"/>
    <x v="13"/>
    <n v="99.965425531914903"/>
    <n v="29.490196078431371"/>
  </r>
  <r>
    <n v="107209"/>
    <x v="54"/>
    <x v="1"/>
    <s v="P1-BMP Puerto Vespucio"/>
    <n v="4584"/>
    <n v="2402.34"/>
    <n v="11012326.560000001"/>
    <d v="2026-06-07T00:00:00"/>
    <n v="784.74509803921558"/>
    <x v="13"/>
    <n v="5.8413872370196396"/>
    <n v="3923.7254901960778"/>
  </r>
  <r>
    <n v="405524"/>
    <x v="267"/>
    <x v="1"/>
    <s v="P1-BMP Puerto Vespucio"/>
    <n v="153"/>
    <n v="3627.97"/>
    <n v="555079.41"/>
    <d v="2026-06-07T00:00:00"/>
    <n v="8.8921568627450984"/>
    <x v="6"/>
    <n v="17.206174200661522"/>
    <n v="53.352941176470594"/>
  </r>
  <r>
    <n v="405214"/>
    <x v="268"/>
    <x v="1"/>
    <s v="P1-BMP Puerto Vespucio"/>
    <n v="4640"/>
    <n v="2980"/>
    <n v="13827200"/>
    <d v="2026-06-07T00:00:00"/>
    <n v="101.25"/>
    <x v="13"/>
    <n v="45.827160493827158"/>
    <n v="607.5"/>
  </r>
  <r>
    <n v="107317"/>
    <x v="269"/>
    <x v="1"/>
    <s v="P1-BMP Puerto Vespucio"/>
    <n v="450"/>
    <n v="4202.0600000000004"/>
    <n v="1890927"/>
    <d v="2026-06-07T00:00:00"/>
    <n v="45.416666666666664"/>
    <x v="18"/>
    <n v="9.9082568807339459"/>
    <n v="227.08333333333331"/>
  </r>
  <r>
    <n v="107242"/>
    <x v="49"/>
    <x v="1"/>
    <s v="P1-BMP Puerto Vespucio"/>
    <n v="120"/>
    <n v="4270.74"/>
    <n v="512488.8"/>
    <d v="2026-06-07T00:00:00"/>
    <n v="26.617647058823533"/>
    <x v="13"/>
    <n v="4.5082872928176787"/>
    <n v="106.47058823529413"/>
  </r>
  <r>
    <n v="107345"/>
    <x v="55"/>
    <x v="1"/>
    <s v="P1-BMP Puerto Vespucio"/>
    <n v="2370"/>
    <n v="185.4"/>
    <n v="439398"/>
    <d v="2026-06-07T00:00:00"/>
    <n v="344.11764705882348"/>
    <x v="4"/>
    <n v="6.8871794871794885"/>
    <n v="1720.5882352941176"/>
  </r>
  <r>
    <n v="403244"/>
    <x v="270"/>
    <x v="1"/>
    <s v="P1-BMP Puerto Vespucio"/>
    <n v="2850"/>
    <n v="231.74"/>
    <n v="660459"/>
    <d v="2026-06-07T00:00:00"/>
    <n v="764.11764705882354"/>
    <x v="4"/>
    <n v="3.7297921478060045"/>
    <n v="3820.588235294118"/>
  </r>
  <r>
    <n v="107240"/>
    <x v="271"/>
    <x v="1"/>
    <s v="P1-BMP Puerto Vespucio"/>
    <n v="208.1"/>
    <n v="3378.32"/>
    <n v="703028.39199999999"/>
    <d v="2026-06-07T00:00:00"/>
    <n v="1.8944444444444446"/>
    <x v="8"/>
    <n v="109.84750733137828"/>
    <n v="9.4722222222222232"/>
  </r>
  <r>
    <n v="107339"/>
    <x v="57"/>
    <x v="1"/>
    <s v="P1-BMP Puerto Vespucio"/>
    <n v="7210"/>
    <n v="258.66000000000003"/>
    <n v="1864938.6"/>
    <d v="2026-06-07T00:00:00"/>
    <n v="590.19607843137248"/>
    <x v="4"/>
    <n v="12.216279069767443"/>
    <n v="2360.7843137254899"/>
  </r>
  <r>
    <n v="405489"/>
    <x v="272"/>
    <x v="1"/>
    <s v="P1-BMP Puerto Vespucio"/>
    <n v="800"/>
    <n v="247"/>
    <n v="197600"/>
    <d v="2026-06-07T00:00:00"/>
    <n v="114.16666666666667"/>
    <x v="4"/>
    <n v="7.0072992700729921"/>
    <n v="456.66666666666669"/>
  </r>
  <r>
    <n v="405594"/>
    <x v="273"/>
    <x v="1"/>
    <s v="P1-BMP Puerto Vespucio"/>
    <n v="2000"/>
    <n v="176"/>
    <n v="352000"/>
    <d v="2026-06-07T00:00:00"/>
    <n v="0"/>
    <x v="4"/>
    <n v="0"/>
    <n v="0"/>
  </r>
  <r>
    <n v="107344"/>
    <x v="63"/>
    <x v="1"/>
    <s v="P1-BMP Puerto Vespucio"/>
    <n v="11760"/>
    <n v="235.06"/>
    <n v="2764305.6"/>
    <d v="2026-06-07T00:00:00"/>
    <n v="488.11111111111109"/>
    <x v="4"/>
    <n v="24.092875028454362"/>
    <n v="1952.4444444444443"/>
  </r>
  <r>
    <n v="201002"/>
    <x v="274"/>
    <x v="1"/>
    <s v="P1-BMP Puerto Vespucio"/>
    <n v="1580"/>
    <n v="3210"/>
    <n v="5071800"/>
    <d v="2026-06-07T00:00:00"/>
    <n v="67.352941176470594"/>
    <x v="28"/>
    <n v="23.458515283842793"/>
    <n v="404.11764705882354"/>
  </r>
  <r>
    <n v="405444"/>
    <x v="58"/>
    <x v="1"/>
    <s v="P1-BMP Puerto Vespucio"/>
    <n v="14300"/>
    <n v="251.98"/>
    <n v="3603314"/>
    <d v="2026-06-07T00:00:00"/>
    <n v="2772.5490196078431"/>
    <x v="4"/>
    <n v="5.1577086280056577"/>
    <n v="11090.196078431372"/>
  </r>
  <r>
    <n v="405770"/>
    <x v="275"/>
    <x v="1"/>
    <s v="P1-BMP Puerto Vespucio"/>
    <n v="5800"/>
    <n v="210"/>
    <n v="1218000"/>
    <d v="2026-06-07T00:00:00"/>
    <n v="0"/>
    <x v="4"/>
    <n v="0"/>
    <n v="0"/>
  </r>
  <r>
    <n v="405278"/>
    <x v="59"/>
    <x v="1"/>
    <s v="P1-BMP Puerto Vespucio"/>
    <n v="6580"/>
    <n v="244.74"/>
    <n v="1610389.2"/>
    <d v="2026-06-07T00:00:00"/>
    <n v="155.09803921568627"/>
    <x v="4"/>
    <n v="42.424778761061951"/>
    <n v="620.39215686274508"/>
  </r>
  <r>
    <n v="107127"/>
    <x v="62"/>
    <x v="1"/>
    <s v="P1-BMP Puerto Vespucio"/>
    <n v="492"/>
    <n v="6286.92"/>
    <n v="3093164.64"/>
    <d v="2026-06-07T00:00:00"/>
    <n v="6.109375"/>
    <x v="2"/>
    <n v="80.531969309462909"/>
    <n v="36.65625"/>
  </r>
  <r>
    <n v="107108"/>
    <x v="64"/>
    <x v="1"/>
    <s v="P1-BMP Puerto Vespucio"/>
    <n v="225"/>
    <n v="4197.54"/>
    <n v="944446.5"/>
    <d v="2026-06-07T00:00:00"/>
    <n v="63.254901960784309"/>
    <x v="2"/>
    <n v="3.5570365778053321"/>
    <n v="379.52941176470586"/>
  </r>
  <r>
    <n v="405739"/>
    <x v="276"/>
    <x v="1"/>
    <s v="P1-BMP Puerto Vespucio"/>
    <n v="201000"/>
    <n v="20.9"/>
    <n v="4200900"/>
    <d v="2026-06-07T00:00:00"/>
    <n v="966.66666666666663"/>
    <x v="14"/>
    <n v="207.93103448275863"/>
    <n v="5800"/>
  </r>
  <r>
    <n v="405740"/>
    <x v="67"/>
    <x v="1"/>
    <s v="P1-BMP Puerto Vespucio"/>
    <n v="93900"/>
    <n v="24.9"/>
    <n v="2338110"/>
    <d v="2026-06-07T00:00:00"/>
    <n v="4700"/>
    <x v="14"/>
    <n v="19.978723404255319"/>
    <n v="28200"/>
  </r>
  <r>
    <n v="405741"/>
    <x v="277"/>
    <x v="1"/>
    <s v="P1-BMP Puerto Vespucio"/>
    <n v="198400"/>
    <n v="33.4"/>
    <n v="6626560"/>
    <d v="2026-06-07T00:00:00"/>
    <n v="416.66666666666669"/>
    <x v="14"/>
    <n v="476.15999999999997"/>
    <n v="2500"/>
  </r>
  <r>
    <n v="403100"/>
    <x v="278"/>
    <x v="1"/>
    <s v="P1-BMP Puerto Vespucio"/>
    <n v="40600"/>
    <n v="34.1"/>
    <n v="1384460"/>
    <d v="2026-06-07T00:00:00"/>
    <n v="2311.2745098039218"/>
    <x v="14"/>
    <n v="17.566065747613997"/>
    <n v="13867.647058823532"/>
  </r>
  <r>
    <n v="403271"/>
    <x v="279"/>
    <x v="1"/>
    <s v="P1-BMP Puerto Vespucio"/>
    <n v="29500"/>
    <n v="37"/>
    <n v="1091500"/>
    <d v="2026-06-07T00:00:00"/>
    <n v="1148.75"/>
    <x v="14"/>
    <n v="25.680087051142547"/>
    <n v="19528.75"/>
  </r>
  <r>
    <n v="107292"/>
    <x v="66"/>
    <x v="1"/>
    <s v="P1-BMP Puerto Vespucio"/>
    <n v="7500"/>
    <n v="39"/>
    <n v="292500"/>
    <d v="2026-06-07T00:00:00"/>
    <n v="2201.5625"/>
    <x v="14"/>
    <n v="3.4066713981547196"/>
    <n v="37426.5625"/>
  </r>
  <r>
    <n v="405583"/>
    <x v="71"/>
    <x v="1"/>
    <s v="P1-BMP Puerto Vespucio"/>
    <n v="350"/>
    <n v="49"/>
    <n v="17150"/>
    <d v="2026-06-07T00:00:00"/>
    <n v="1746.4285714285716"/>
    <x v="14"/>
    <n v="0.20040899795501022"/>
    <n v="29689.285714285717"/>
  </r>
  <r>
    <n v="107210"/>
    <x v="69"/>
    <x v="1"/>
    <s v="P1-BMP Puerto Vespucio"/>
    <n v="648"/>
    <n v="771.66"/>
    <n v="500035.68"/>
    <d v="2026-06-07T00:00:00"/>
    <n v="260"/>
    <x v="3"/>
    <n v="2.4923076923076923"/>
    <n v="1300"/>
  </r>
  <r>
    <n v="107294"/>
    <x v="74"/>
    <x v="1"/>
    <s v="P1-BMP Puerto Vespucio"/>
    <n v="3648"/>
    <n v="1660"/>
    <n v="6055680"/>
    <d v="2026-06-07T00:00:00"/>
    <n v="294.23529411764707"/>
    <x v="6"/>
    <n v="12.398240703718512"/>
    <n v="1176.9411764705883"/>
  </r>
  <r>
    <n v="107125"/>
    <x v="75"/>
    <x v="1"/>
    <s v="P1-BMP Puerto Vespucio"/>
    <n v="28.8"/>
    <n v="2582.9899999999998"/>
    <n v="74390.111999999994"/>
    <d v="2026-06-07T00:00:00"/>
    <n v="31.933627450980392"/>
    <x v="8"/>
    <n v="0.90187060784777251"/>
    <n v="159.66813725490195"/>
  </r>
  <r>
    <n v="107124"/>
    <x v="280"/>
    <x v="1"/>
    <s v="P1-BMP Puerto Vespucio"/>
    <n v="486"/>
    <n v="2694.44"/>
    <n v="1309497.8400000001"/>
    <d v="2026-06-07T00:00:00"/>
    <n v="0.6"/>
    <x v="8"/>
    <n v="810"/>
    <n v="3"/>
  </r>
  <r>
    <n v="405720"/>
    <x v="281"/>
    <x v="1"/>
    <s v="P1-BMP Puerto Vespucio"/>
    <n v="15000"/>
    <n v="18.34"/>
    <n v="275100"/>
    <d v="2026-06-07T00:00:00"/>
    <n v="750"/>
    <x v="16"/>
    <n v="20"/>
    <n v="6000"/>
  </r>
  <r>
    <n v="405719"/>
    <x v="282"/>
    <x v="1"/>
    <s v="P1-BMP Puerto Vespucio"/>
    <n v="26000"/>
    <n v="18.34"/>
    <n v="476840"/>
    <d v="2026-06-07T00:00:00"/>
    <n v="833.33333333333337"/>
    <x v="16"/>
    <n v="31.2"/>
    <n v="6666.666666666667"/>
  </r>
  <r>
    <n v="405718"/>
    <x v="283"/>
    <x v="1"/>
    <s v="P1-BMP Puerto Vespucio"/>
    <n v="10500"/>
    <n v="22.7"/>
    <n v="238350"/>
    <d v="2026-06-07T00:00:00"/>
    <n v="979.16666666666663"/>
    <x v="16"/>
    <n v="10.723404255319149"/>
    <n v="7833.333333333333"/>
  </r>
  <r>
    <n v="405711"/>
    <x v="284"/>
    <x v="1"/>
    <s v="P1-BMP Puerto Vespucio"/>
    <n v="24500"/>
    <n v="22.7"/>
    <n v="556150"/>
    <d v="2026-06-07T00:00:00"/>
    <n v="194.44444444444446"/>
    <x v="16"/>
    <n v="125.99999999999999"/>
    <n v="1555.5555555555557"/>
  </r>
  <r>
    <n v="405712"/>
    <x v="80"/>
    <x v="1"/>
    <s v="P1-BMP Puerto Vespucio"/>
    <n v="10000"/>
    <n v="22.7"/>
    <n v="227000"/>
    <d v="2026-06-07T00:00:00"/>
    <n v="3333.3333333333335"/>
    <x v="16"/>
    <n v="3"/>
    <n v="26666.666666666668"/>
  </r>
  <r>
    <n v="405713"/>
    <x v="285"/>
    <x v="1"/>
    <s v="P1-BMP Puerto Vespucio"/>
    <n v="10000"/>
    <n v="22.7"/>
    <n v="227000"/>
    <d v="2026-06-07T00:00:00"/>
    <n v="450"/>
    <x v="16"/>
    <n v="22.222222222222221"/>
    <n v="3600"/>
  </r>
  <r>
    <n v="405716"/>
    <x v="286"/>
    <x v="1"/>
    <s v="P1-BMP Puerto Vespucio"/>
    <n v="10000"/>
    <n v="22.7"/>
    <n v="227000"/>
    <d v="2026-06-07T00:00:00"/>
    <n v="0"/>
    <x v="16"/>
    <n v="0"/>
    <n v="0"/>
  </r>
  <r>
    <n v="405717"/>
    <x v="287"/>
    <x v="1"/>
    <s v="P1-BMP Puerto Vespucio"/>
    <n v="13000"/>
    <n v="22.7"/>
    <n v="295100"/>
    <d v="2026-06-07T00:00:00"/>
    <n v="1111.1111111111111"/>
    <x v="16"/>
    <n v="11.700000000000001"/>
    <n v="8888.8888888888887"/>
  </r>
  <r>
    <n v="405714"/>
    <x v="288"/>
    <x v="1"/>
    <s v="P1-BMP Puerto Vespucio"/>
    <n v="4000"/>
    <n v="22.7"/>
    <n v="90800"/>
    <d v="2026-06-07T00:00:00"/>
    <n v="1066.6666666666667"/>
    <x v="16"/>
    <n v="3.7499999999999996"/>
    <n v="8533.3333333333339"/>
  </r>
  <r>
    <n v="405773"/>
    <x v="289"/>
    <x v="1"/>
    <s v="P1-BMP Puerto Vespucio"/>
    <n v="10000"/>
    <n v="20.399999999999999"/>
    <n v="204000"/>
    <d v="2026-06-07T00:00:00"/>
    <n v="0"/>
    <x v="16"/>
    <n v="0"/>
    <n v="0"/>
  </r>
  <r>
    <n v="405354"/>
    <x v="290"/>
    <x v="1"/>
    <s v="P1-BMP Puerto Vespucio"/>
    <n v="5000"/>
    <n v="17.170000000000002"/>
    <n v="85850"/>
    <d v="2026-06-07T00:00:00"/>
    <n v="208.33333333333334"/>
    <x v="16"/>
    <n v="24"/>
    <n v="1666.6666666666667"/>
  </r>
  <r>
    <n v="405360"/>
    <x v="291"/>
    <x v="1"/>
    <s v="P1-BMP Puerto Vespucio"/>
    <n v="4000"/>
    <n v="17.170000000000002"/>
    <n v="68680"/>
    <d v="2026-06-07T00:00:00"/>
    <n v="314.81481481481484"/>
    <x v="16"/>
    <n v="12.705882352941176"/>
    <n v="2518.5185185185187"/>
  </r>
  <r>
    <n v="405704"/>
    <x v="292"/>
    <x v="1"/>
    <s v="P1-BMP Puerto Vespucio"/>
    <n v="6000"/>
    <n v="20.7"/>
    <n v="124200"/>
    <d v="2026-06-07T00:00:00"/>
    <n v="0"/>
    <x v="16"/>
    <n v="0"/>
    <n v="0"/>
  </r>
  <r>
    <n v="405356"/>
    <x v="293"/>
    <x v="1"/>
    <s v="P1-BMP Puerto Vespucio"/>
    <n v="7000"/>
    <n v="19.38"/>
    <n v="135660"/>
    <d v="2026-06-07T00:00:00"/>
    <n v="225"/>
    <x v="16"/>
    <n v="31.111111111111111"/>
    <n v="1800"/>
  </r>
  <r>
    <n v="405357"/>
    <x v="294"/>
    <x v="1"/>
    <s v="P1-BMP Puerto Vespucio"/>
    <n v="6500"/>
    <n v="20.49"/>
    <n v="133185"/>
    <d v="2026-06-07T00:00:00"/>
    <n v="177.08333333333334"/>
    <x v="16"/>
    <n v="36.705882352941174"/>
    <n v="1416.6666666666667"/>
  </r>
  <r>
    <n v="405736"/>
    <x v="295"/>
    <x v="1"/>
    <s v="P1-BMP Puerto Vespucio"/>
    <n v="16000"/>
    <n v="22.7"/>
    <n v="363200"/>
    <d v="2026-06-07T00:00:00"/>
    <n v="611.11111111111109"/>
    <x v="16"/>
    <n v="26.181818181818183"/>
    <n v="4888.8888888888887"/>
  </r>
  <r>
    <n v="405710"/>
    <x v="296"/>
    <x v="1"/>
    <s v="P1-BMP Puerto Vespucio"/>
    <n v="17000"/>
    <n v="22.7"/>
    <n v="385900"/>
    <d v="2026-06-07T00:00:00"/>
    <n v="500"/>
    <x v="16"/>
    <n v="34"/>
    <n v="4000"/>
  </r>
  <r>
    <n v="405733"/>
    <x v="297"/>
    <x v="1"/>
    <s v="P1-BMP Puerto Vespucio"/>
    <n v="8000"/>
    <n v="22.7"/>
    <n v="181600"/>
    <d v="2026-06-07T00:00:00"/>
    <n v="708.33333333333337"/>
    <x v="16"/>
    <n v="11.294117647058822"/>
    <n v="5666.666666666667"/>
  </r>
  <r>
    <n v="405709"/>
    <x v="298"/>
    <x v="1"/>
    <s v="P1-BMP Puerto Vespucio"/>
    <n v="15000"/>
    <n v="22.7"/>
    <n v="340500"/>
    <d v="2026-06-07T00:00:00"/>
    <n v="611.11111111111109"/>
    <x v="16"/>
    <n v="24.545454545454547"/>
    <n v="4888.8888888888887"/>
  </r>
  <r>
    <n v="405737"/>
    <x v="299"/>
    <x v="1"/>
    <s v="P1-BMP Puerto Vespucio"/>
    <n v="9000"/>
    <n v="22.7"/>
    <n v="204300"/>
    <d v="2026-06-07T00:00:00"/>
    <n v="1000"/>
    <x v="16"/>
    <n v="9"/>
    <n v="8000"/>
  </r>
  <r>
    <n v="405734"/>
    <x v="300"/>
    <x v="1"/>
    <s v="P1-BMP Puerto Vespucio"/>
    <n v="10000"/>
    <n v="22.7"/>
    <n v="227000"/>
    <d v="2026-06-07T00:00:00"/>
    <n v="1000"/>
    <x v="16"/>
    <n v="10"/>
    <n v="8000"/>
  </r>
  <r>
    <n v="405735"/>
    <x v="301"/>
    <x v="1"/>
    <s v="P1-BMP Puerto Vespucio"/>
    <n v="9000"/>
    <n v="22.7"/>
    <n v="204300"/>
    <d v="2026-06-07T00:00:00"/>
    <n v="625"/>
    <x v="16"/>
    <n v="14.4"/>
    <n v="5000"/>
  </r>
  <r>
    <n v="405049"/>
    <x v="104"/>
    <x v="1"/>
    <s v="P1-BMP Puerto Vespucio"/>
    <n v="185000"/>
    <n v="1.54"/>
    <n v="284900"/>
    <d v="2026-06-07T00:00:00"/>
    <n v="12291.666666666666"/>
    <x v="16"/>
    <n v="15.050847457627119"/>
    <n v="98333.333333333328"/>
  </r>
  <r>
    <n v="405771"/>
    <x v="302"/>
    <x v="1"/>
    <s v="P1-BMP Puerto Vespucio"/>
    <n v="7000"/>
    <n v="45.5"/>
    <n v="318500"/>
    <d v="2026-06-07T00:00:00"/>
    <n v="0"/>
    <x v="16"/>
    <n v="0"/>
    <n v="0"/>
  </r>
  <r>
    <n v="405772"/>
    <x v="303"/>
    <x v="1"/>
    <s v="P1-BMP Puerto Vespucio"/>
    <n v="10000"/>
    <n v="45.5"/>
    <n v="455000"/>
    <d v="2026-06-07T00:00:00"/>
    <n v="0"/>
    <x v="16"/>
    <n v="0"/>
    <n v="0"/>
  </r>
  <r>
    <n v="404718"/>
    <x v="304"/>
    <x v="1"/>
    <s v="P1-BMP Puerto Vespucio"/>
    <n v="73000"/>
    <n v="8.08"/>
    <n v="589840"/>
    <d v="2026-06-07T00:00:00"/>
    <n v="2577.7777777777778"/>
    <x v="16"/>
    <n v="28.318965517241377"/>
    <n v="20622.222222222223"/>
  </r>
  <r>
    <n v="405159"/>
    <x v="106"/>
    <x v="1"/>
    <s v="P1-BMP Puerto Vespucio"/>
    <n v="23000"/>
    <n v="14.5"/>
    <n v="333500"/>
    <d v="2026-06-07T00:00:00"/>
    <n v="2441.1764705882356"/>
    <x v="16"/>
    <n v="9.4216867469879499"/>
    <n v="19529.411764705885"/>
  </r>
  <r>
    <n v="405479"/>
    <x v="305"/>
    <x v="1"/>
    <s v="P1-BMP Puerto Vespucio"/>
    <n v="32400"/>
    <n v="10.95"/>
    <n v="354780"/>
    <d v="2026-06-07T00:00:00"/>
    <n v="0"/>
    <x v="16"/>
    <n v="0"/>
    <n v="0"/>
  </r>
  <r>
    <n v="405103"/>
    <x v="112"/>
    <x v="1"/>
    <s v="P1-BMP Puerto Vespucio"/>
    <n v="104000"/>
    <n v="17.27"/>
    <n v="1796080"/>
    <d v="2026-06-07T00:00:00"/>
    <n v="1211.5384615384617"/>
    <x v="16"/>
    <n v="85.841269841269835"/>
    <n v="9692.3076923076933"/>
  </r>
  <r>
    <n v="404748"/>
    <x v="114"/>
    <x v="1"/>
    <s v="P1-BMP Puerto Vespucio"/>
    <n v="11000"/>
    <n v="13.67"/>
    <n v="150370"/>
    <d v="2026-06-07T00:00:00"/>
    <n v="656.25"/>
    <x v="16"/>
    <n v="16.761904761904763"/>
    <n v="5250"/>
  </r>
  <r>
    <n v="405461"/>
    <x v="107"/>
    <x v="1"/>
    <s v="P1-BMP Puerto Vespucio"/>
    <n v="27000"/>
    <n v="5"/>
    <n v="135000"/>
    <d v="2026-06-07T00:00:00"/>
    <n v="1500"/>
    <x v="16"/>
    <n v="18"/>
    <n v="12000"/>
  </r>
  <r>
    <n v="404733"/>
    <x v="306"/>
    <x v="1"/>
    <s v="P1-BMP Puerto Vespucio"/>
    <n v="3000"/>
    <n v="17.170000000000002"/>
    <n v="51510"/>
    <d v="2026-06-07T00:00:00"/>
    <n v="458.33333333333331"/>
    <x v="16"/>
    <n v="6.5454545454545459"/>
    <n v="3666.6666666666665"/>
  </r>
  <r>
    <n v="404720"/>
    <x v="307"/>
    <x v="1"/>
    <s v="P1-BMP Puerto Vespucio"/>
    <n v="253500"/>
    <n v="6.56"/>
    <n v="1662960"/>
    <d v="2026-06-07T00:00:00"/>
    <n v="5644.4444444444443"/>
    <x v="16"/>
    <n v="44.911417322834644"/>
    <n v="45155.555555555555"/>
  </r>
  <r>
    <n v="405721"/>
    <x v="130"/>
    <x v="1"/>
    <s v="P1-BMP Puerto Vespucio"/>
    <n v="89000"/>
    <n v="20.7"/>
    <n v="1842300"/>
    <d v="2026-06-07T00:00:00"/>
    <n v="9933.3333333333339"/>
    <x v="16"/>
    <n v="8.9597315436241605"/>
    <n v="79466.666666666672"/>
  </r>
  <r>
    <n v="404735"/>
    <x v="109"/>
    <x v="1"/>
    <s v="P1-BMP Puerto Vespucio"/>
    <n v="3000"/>
    <n v="17.170000000000002"/>
    <n v="51510"/>
    <d v="2026-06-07T00:00:00"/>
    <n v="261.90476190476187"/>
    <x v="16"/>
    <n v="11.454545454545457"/>
    <n v="2095.238095238095"/>
  </r>
  <r>
    <n v="405722"/>
    <x v="308"/>
    <x v="1"/>
    <s v="P1-BMP Puerto Vespucio"/>
    <n v="67000"/>
    <n v="14.2"/>
    <n v="951400"/>
    <d v="2026-06-07T00:00:00"/>
    <n v="4666.666666666667"/>
    <x v="16"/>
    <n v="14.357142857142856"/>
    <n v="37333.333333333336"/>
  </r>
  <r>
    <n v="405738"/>
    <x v="309"/>
    <x v="1"/>
    <s v="P1-BMP Puerto Vespucio"/>
    <n v="21000"/>
    <n v="14.2"/>
    <n v="298200"/>
    <d v="2026-06-07T00:00:00"/>
    <n v="5000"/>
    <x v="16"/>
    <n v="4.2"/>
    <n v="40000"/>
  </r>
  <r>
    <n v="405199"/>
    <x v="310"/>
    <x v="1"/>
    <s v="P1-BMP Puerto Vespucio"/>
    <n v="32000"/>
    <n v="9.8699999999999992"/>
    <n v="315840"/>
    <d v="2026-06-07T00:00:00"/>
    <n v="2363.6363636363635"/>
    <x v="16"/>
    <n v="13.538461538461538"/>
    <n v="18909.090909090908"/>
  </r>
  <r>
    <n v="405494"/>
    <x v="311"/>
    <x v="1"/>
    <s v="P1-BMP Puerto Vespucio"/>
    <n v="17500"/>
    <n v="7.74"/>
    <n v="135450"/>
    <d v="2026-06-07T00:00:00"/>
    <n v="0"/>
    <x v="16"/>
    <n v="0"/>
    <n v="0"/>
  </r>
  <r>
    <n v="405497"/>
    <x v="312"/>
    <x v="1"/>
    <s v="P1-BMP Puerto Vespucio"/>
    <n v="20000"/>
    <n v="7.74"/>
    <n v="154800"/>
    <d v="2026-06-07T00:00:00"/>
    <n v="0"/>
    <x v="16"/>
    <n v="0"/>
    <n v="0"/>
  </r>
  <r>
    <n v="405495"/>
    <x v="313"/>
    <x v="1"/>
    <s v="P1-BMP Puerto Vespucio"/>
    <n v="17500"/>
    <n v="7.74"/>
    <n v="135450"/>
    <d v="2026-06-07T00:00:00"/>
    <n v="0"/>
    <x v="16"/>
    <n v="0"/>
    <n v="0"/>
  </r>
  <r>
    <n v="405498"/>
    <x v="314"/>
    <x v="1"/>
    <s v="P1-BMP Puerto Vespucio"/>
    <n v="20000"/>
    <n v="7.74"/>
    <n v="154800"/>
    <d v="2026-06-07T00:00:00"/>
    <n v="0"/>
    <x v="16"/>
    <n v="0"/>
    <n v="0"/>
  </r>
  <r>
    <n v="107408"/>
    <x v="315"/>
    <x v="1"/>
    <s v="P1-BMP Puerto Vespucio"/>
    <n v="3000"/>
    <n v="18.760000000000002"/>
    <n v="56280"/>
    <d v="2026-06-07T00:00:00"/>
    <n v="0"/>
    <x v="16"/>
    <n v="0"/>
    <n v="0"/>
  </r>
  <r>
    <n v="405493"/>
    <x v="316"/>
    <x v="1"/>
    <s v="P1-BMP Puerto Vespucio"/>
    <n v="5000"/>
    <n v="7.74"/>
    <n v="38700"/>
    <d v="2026-06-07T00:00:00"/>
    <n v="0"/>
    <x v="16"/>
    <n v="0"/>
    <n v="0"/>
  </r>
  <r>
    <n v="405310"/>
    <x v="135"/>
    <x v="1"/>
    <s v="P1-BMP Puerto Vespucio"/>
    <n v="170000"/>
    <n v="7.3"/>
    <n v="1241000"/>
    <d v="2026-06-07T00:00:00"/>
    <n v="2500"/>
    <x v="16"/>
    <n v="68"/>
    <n v="20000"/>
  </r>
  <r>
    <n v="405491"/>
    <x v="317"/>
    <x v="1"/>
    <s v="P1-BMP Puerto Vespucio"/>
    <n v="849"/>
    <n v="2767.58"/>
    <n v="2349675.42"/>
    <d v="2026-06-07T00:00:00"/>
    <n v="41.903921568627446"/>
    <x v="6"/>
    <n v="20.260633568854992"/>
    <n v="167.61568627450978"/>
  </r>
  <r>
    <n v="402132"/>
    <x v="160"/>
    <x v="1"/>
    <s v="P1-BMP Puerto Vespucio"/>
    <n v="75"/>
    <n v="5870"/>
    <n v="440250"/>
    <d v="2026-06-07T00:00:00"/>
    <n v="27.489743589743586"/>
    <x v="18"/>
    <n v="2.7282902714299042"/>
    <n v="137.44871794871793"/>
  </r>
  <r>
    <n v="107183"/>
    <x v="318"/>
    <x v="1"/>
    <s v="P1-BMP Puerto Vespucio"/>
    <n v="291.5"/>
    <n v="2300"/>
    <n v="670450"/>
    <d v="2026-06-07T00:00:00"/>
    <n v="79.296153846153842"/>
    <x v="8"/>
    <n v="3.6760925449871467"/>
    <n v="555.07307692307688"/>
  </r>
  <r>
    <n v="107335"/>
    <x v="319"/>
    <x v="1"/>
    <s v="P1-BMP Puerto Vespucio"/>
    <n v="395.8"/>
    <n v="4290.32"/>
    <n v="1698108.656"/>
    <d v="2026-06-07T00:00:00"/>
    <n v="11.19"/>
    <x v="12"/>
    <n v="35.370866845397678"/>
    <n v="44.76"/>
  </r>
  <r>
    <n v="107160"/>
    <x v="164"/>
    <x v="1"/>
    <s v="P1-BMP Puerto Vespucio"/>
    <n v="162"/>
    <n v="5349.96"/>
    <n v="866693.52"/>
    <d v="2026-06-07T00:00:00"/>
    <n v="3.3529411764705883"/>
    <x v="19"/>
    <n v="48.315789473684212"/>
    <n v="16.764705882352942"/>
  </r>
  <r>
    <n v="107159"/>
    <x v="163"/>
    <x v="1"/>
    <s v="P1-BMP Puerto Vespucio"/>
    <n v="116"/>
    <n v="9800"/>
    <n v="1136800"/>
    <d v="2026-06-07T00:00:00"/>
    <n v="2.4313725490196076"/>
    <x v="19"/>
    <n v="47.70967741935484"/>
    <n v="12.156862745098039"/>
  </r>
  <r>
    <n v="107311"/>
    <x v="320"/>
    <x v="1"/>
    <s v="P1-BMP Puerto Vespucio"/>
    <n v="350"/>
    <n v="540"/>
    <n v="189000"/>
    <d v="2026-06-07T00:00:00"/>
    <n v="254.16666666666666"/>
    <x v="20"/>
    <n v="1.3770491803278688"/>
    <n v="1270.8333333333333"/>
  </r>
  <r>
    <n v="403368"/>
    <x v="171"/>
    <x v="1"/>
    <s v="P1-BMP Puerto Vespucio"/>
    <n v="2800"/>
    <n v="165"/>
    <n v="462000"/>
    <d v="2026-06-07T00:00:00"/>
    <n v="176.66666666666666"/>
    <x v="14"/>
    <n v="15.849056603773585"/>
    <n v="3003.3333333333335"/>
  </r>
  <r>
    <n v="393322"/>
    <x v="173"/>
    <x v="1"/>
    <s v="P1-BMP Puerto Vespucio"/>
    <n v="6000"/>
    <n v="150.5"/>
    <n v="903000"/>
    <d v="2026-06-07T00:00:00"/>
    <n v="375.92592592592592"/>
    <x v="14"/>
    <n v="15.960591133004927"/>
    <n v="6390.7407407407409"/>
  </r>
  <r>
    <n v="402257"/>
    <x v="321"/>
    <x v="1"/>
    <s v="P1-BMP Puerto Vespucio"/>
    <n v="6000"/>
    <n v="145"/>
    <n v="870000"/>
    <d v="2026-06-07T00:00:00"/>
    <n v="1020"/>
    <x v="14"/>
    <n v="5.882352941176471"/>
    <n v="17340"/>
  </r>
  <r>
    <n v="405789"/>
    <x v="174"/>
    <x v="1"/>
    <s v="P1-BMP Puerto Vespucio"/>
    <n v="5700"/>
    <n v="145"/>
    <n v="826500"/>
    <d v="2026-06-07T00:00:00"/>
    <n v="0"/>
    <x v="14"/>
    <n v="0"/>
    <n v="0"/>
  </r>
  <r>
    <n v="393320"/>
    <x v="175"/>
    <x v="1"/>
    <s v="P1-BMP Puerto Vespucio"/>
    <n v="10200"/>
    <n v="151"/>
    <n v="1540200"/>
    <d v="2026-06-07T00:00:00"/>
    <n v="1175"/>
    <x v="14"/>
    <n v="8.6808510638297864"/>
    <n v="19975"/>
  </r>
  <r>
    <n v="107226"/>
    <x v="322"/>
    <x v="1"/>
    <s v="P1-BMP Puerto Vespucio"/>
    <n v="620"/>
    <n v="2300"/>
    <n v="1426000"/>
    <d v="2026-06-07T00:00:00"/>
    <n v="103.33333333333333"/>
    <x v="29"/>
    <n v="6"/>
    <n v="413.33333333333331"/>
  </r>
  <r>
    <n v="393321"/>
    <x v="176"/>
    <x v="1"/>
    <s v="P1-BMP Puerto Vespucio"/>
    <n v="4700"/>
    <n v="151"/>
    <n v="709700"/>
    <d v="2026-06-07T00:00:00"/>
    <n v="740"/>
    <x v="14"/>
    <n v="6.3513513513513518"/>
    <n v="12580"/>
  </r>
  <r>
    <n v="362105"/>
    <x v="177"/>
    <x v="1"/>
    <s v="P1-BMP Puerto Vespucio"/>
    <n v="30456"/>
    <n v="178.44"/>
    <n v="5434568.6399999997"/>
    <d v="2026-06-07T00:00:00"/>
    <n v="8505.5119047619046"/>
    <x v="3"/>
    <n v="3.5807368611110721"/>
    <n v="42527.559523809527"/>
  </r>
  <r>
    <n v="107278"/>
    <x v="187"/>
    <x v="1"/>
    <s v="P1-BMP Puerto Vespucio"/>
    <n v="1500"/>
    <n v="720.8"/>
    <n v="1081200"/>
    <d v="2026-06-07T00:00:00"/>
    <n v="200"/>
    <x v="21"/>
    <n v="7.5"/>
    <n v="800"/>
  </r>
  <r>
    <n v="107259"/>
    <x v="185"/>
    <x v="1"/>
    <s v="P1-BMP Puerto Vespucio"/>
    <n v="280"/>
    <n v="2189.4299999999998"/>
    <n v="613040.4"/>
    <d v="2026-06-07T00:00:00"/>
    <n v="28.235294117647058"/>
    <x v="21"/>
    <n v="9.9166666666666661"/>
    <n v="112.94117647058823"/>
  </r>
  <r>
    <n v="501147"/>
    <x v="323"/>
    <x v="1"/>
    <s v="P1-BMP Puerto Vespucio"/>
    <n v="2440"/>
    <n v="689"/>
    <n v="1681160"/>
    <d v="2026-06-07T00:00:00"/>
    <n v="0"/>
    <x v="21"/>
    <n v="0"/>
    <n v="0"/>
  </r>
  <r>
    <n v="100303"/>
    <x v="324"/>
    <x v="1"/>
    <s v="P1-BMP Puerto Vespucio"/>
    <n v="6000"/>
    <n v="689"/>
    <n v="4134000"/>
    <d v="2026-06-07T00:00:00"/>
    <n v="676.61764705882354"/>
    <x v="21"/>
    <n v="8.8676374701151914"/>
    <n v="2706.4705882352941"/>
  </r>
  <r>
    <n v="405593"/>
    <x v="325"/>
    <x v="1"/>
    <s v="P1-BMP Puerto Vespucio"/>
    <n v="22.4"/>
    <n v="7398.88"/>
    <n v="165734.91200000001"/>
    <d v="2026-06-07T00:00:00"/>
    <n v="0.3859313725490196"/>
    <x v="22"/>
    <n v="58.041407341547057"/>
    <n v="1.9296568627450981"/>
  </r>
  <r>
    <n v="405745"/>
    <x v="326"/>
    <x v="1"/>
    <s v="P1-BMP Puerto Vespucio"/>
    <n v="125"/>
    <n v="6200"/>
    <n v="775000"/>
    <d v="2026-06-07T00:00:00"/>
    <n v="0"/>
    <x v="24"/>
    <n v="0"/>
    <n v="0"/>
  </r>
  <r>
    <n v="107109"/>
    <x v="193"/>
    <x v="1"/>
    <s v="P1-BMP Puerto Vespucio"/>
    <n v="1725"/>
    <n v="2322.9499999999998"/>
    <n v="4007088.75"/>
    <d v="2026-06-07T00:00:00"/>
    <n v="167.99019607843138"/>
    <x v="15"/>
    <n v="10.268456375838925"/>
    <n v="671.96078431372553"/>
  </r>
  <r>
    <n v="107147"/>
    <x v="327"/>
    <x v="1"/>
    <s v="P1-BMP Puerto Vespucio"/>
    <n v="1812"/>
    <n v="1530"/>
    <n v="2772360"/>
    <d v="2026-06-07T00:00:00"/>
    <n v="483.88235294117652"/>
    <x v="15"/>
    <n v="3.7447118891320201"/>
    <n v="2419.4117647058824"/>
  </r>
  <r>
    <n v="107331"/>
    <x v="194"/>
    <x v="1"/>
    <s v="P1-BMP Puerto Vespucio"/>
    <n v="380"/>
    <n v="5799.71"/>
    <n v="2203889.7999999998"/>
    <d v="2026-06-07T00:00:00"/>
    <n v="16.260416666666668"/>
    <x v="24"/>
    <n v="23.369634849455476"/>
    <n v="65.041666666666671"/>
  </r>
  <r>
    <n v="107144"/>
    <x v="195"/>
    <x v="1"/>
    <s v="P1-BMP Puerto Vespucio"/>
    <n v="106.4"/>
    <n v="3150.13"/>
    <n v="335173.83199999999"/>
    <d v="2026-06-07T00:00:00"/>
    <n v="49.623529411764707"/>
    <x v="8"/>
    <n v="2.144144144144144"/>
    <n v="198.49411764705883"/>
  </r>
  <r>
    <n v="103007"/>
    <x v="328"/>
    <x v="1"/>
    <s v="P1-BMP Puerto Vespucio"/>
    <n v="695"/>
    <n v="1750"/>
    <n v="1216250"/>
    <d v="2026-06-07T00:00:00"/>
    <n v="203.59803921568627"/>
    <x v="24"/>
    <n v="3.4135888669523764"/>
    <n v="814.39215686274508"/>
  </r>
  <r>
    <n v="107001"/>
    <x v="196"/>
    <x v="1"/>
    <s v="P1-BMP Puerto Vespucio"/>
    <n v="786"/>
    <n v="5888.37"/>
    <n v="4628258.82"/>
    <d v="2026-06-07T00:00:00"/>
    <n v="6"/>
    <x v="8"/>
    <n v="131"/>
    <n v="30"/>
  </r>
  <r>
    <n v="107112"/>
    <x v="208"/>
    <x v="1"/>
    <s v="P1-BMP Puerto Vespucio"/>
    <n v="305"/>
    <n v="2712.97"/>
    <n v="827455.85"/>
    <d v="2026-06-07T00:00:00"/>
    <n v="10.343137254901961"/>
    <x v="3"/>
    <n v="29.488151658767769"/>
    <n v="62.058823529411768"/>
  </r>
  <r>
    <n v="405318"/>
    <x v="329"/>
    <x v="1"/>
    <s v="P1-BMP Puerto Vespucio"/>
    <n v="490"/>
    <n v="2862"/>
    <n v="1402380"/>
    <d v="2026-06-07T00:00:00"/>
    <n v="40.5"/>
    <x v="6"/>
    <n v="12.098765432098766"/>
    <n v="162"/>
  </r>
  <r>
    <n v="170173"/>
    <x v="200"/>
    <x v="1"/>
    <s v="P1-BMP Puerto Vespucio"/>
    <n v="545"/>
    <n v="2035.48"/>
    <n v="1109336.6000000001"/>
    <d v="2026-06-07T00:00:00"/>
    <n v="11.519607843137257"/>
    <x v="6"/>
    <n v="47.31063829787233"/>
    <n v="46.078431372549026"/>
  </r>
  <r>
    <n v="107157"/>
    <x v="201"/>
    <x v="1"/>
    <s v="P1-BMP Puerto Vespucio"/>
    <n v="830"/>
    <n v="2098.8000000000002"/>
    <n v="1742004"/>
    <d v="2026-06-07T00:00:00"/>
    <n v="148.72549019607843"/>
    <x v="6"/>
    <n v="5.5807514831905074"/>
    <n v="594.9019607843137"/>
  </r>
  <r>
    <n v="403391"/>
    <x v="330"/>
    <x v="1"/>
    <s v="P1-BMP Puerto Vespucio"/>
    <n v="175"/>
    <n v="1611.62"/>
    <n v="282033.5"/>
    <d v="2026-06-07T00:00:00"/>
    <n v="123.75"/>
    <x v="6"/>
    <n v="1.4141414141414141"/>
    <n v="495"/>
  </r>
  <r>
    <n v="403408"/>
    <x v="331"/>
    <x v="1"/>
    <s v="P1-BMP Puerto Vespucio"/>
    <n v="345"/>
    <n v="1705.48"/>
    <n v="588390.6"/>
    <d v="2026-06-07T00:00:00"/>
    <n v="22.833333333333332"/>
    <x v="6"/>
    <n v="15.109489051094892"/>
    <n v="91.333333333333329"/>
  </r>
  <r>
    <n v="403407"/>
    <x v="332"/>
    <x v="1"/>
    <s v="P1-BMP Puerto Vespucio"/>
    <n v="475"/>
    <n v="2346.84"/>
    <n v="1114749"/>
    <d v="2026-06-07T00:00:00"/>
    <n v="233.28431372549019"/>
    <x v="6"/>
    <n v="2.0361420466484557"/>
    <n v="933.13725490196077"/>
  </r>
  <r>
    <n v="107131"/>
    <x v="333"/>
    <x v="1"/>
    <s v="P1-BMP Puerto Vespucio"/>
    <n v="455"/>
    <n v="2473.38"/>
    <n v="1125387.8999999999"/>
    <d v="2026-06-07T00:00:00"/>
    <n v="27.892156862745097"/>
    <x v="6"/>
    <n v="16.312829525483306"/>
    <n v="111.56862745098039"/>
  </r>
  <r>
    <n v="107172"/>
    <x v="203"/>
    <x v="1"/>
    <s v="P1-BMP Puerto Vespucio"/>
    <n v="345"/>
    <n v="2017.37"/>
    <n v="695992.65"/>
    <d v="2026-06-07T00:00:00"/>
    <n v="15.931372549019608"/>
    <x v="6"/>
    <n v="21.655384615384616"/>
    <n v="63.725490196078432"/>
  </r>
  <r>
    <n v="107129"/>
    <x v="204"/>
    <x v="1"/>
    <s v="P1-BMP Puerto Vespucio"/>
    <n v="245"/>
    <n v="4316.21"/>
    <n v="1057471.45"/>
    <d v="2026-06-07T00:00:00"/>
    <n v="50.588235294117645"/>
    <x v="6"/>
    <n v="4.8430232558139537"/>
    <n v="202.35294117647058"/>
  </r>
  <r>
    <n v="107113"/>
    <x v="205"/>
    <x v="1"/>
    <s v="P1-BMP Puerto Vespucio"/>
    <n v="715"/>
    <n v="3294.48"/>
    <n v="2355553.2000000002"/>
    <d v="2026-06-07T00:00:00"/>
    <n v="148.38235294117646"/>
    <x v="6"/>
    <n v="4.8186323092170467"/>
    <n v="593.52941176470586"/>
  </r>
  <r>
    <n v="107359"/>
    <x v="334"/>
    <x v="1"/>
    <s v="P1-BMP Puerto Vespucio"/>
    <n v="400"/>
    <n v="2114.0500000000002"/>
    <n v="845620"/>
    <d v="2026-06-07T00:00:00"/>
    <n v="14.950980392156863"/>
    <x v="6"/>
    <n v="26.754098360655739"/>
    <n v="59.803921568627452"/>
  </r>
  <r>
    <n v="107155"/>
    <x v="335"/>
    <x v="1"/>
    <s v="P1-BMP Puerto Vespucio"/>
    <n v="35"/>
    <n v="2988.89"/>
    <n v="104611.15"/>
    <d v="2026-06-07T00:00:00"/>
    <n v="19.222222222222221"/>
    <x v="6"/>
    <n v="1.8208092485549134"/>
    <n v="76.888888888888886"/>
  </r>
  <r>
    <n v="107158"/>
    <x v="206"/>
    <x v="1"/>
    <s v="P1-BMP Puerto Vespucio"/>
    <n v="360"/>
    <n v="3390.87"/>
    <n v="1220713.2"/>
    <d v="2026-06-07T00:00:00"/>
    <n v="29.691176470588236"/>
    <x v="6"/>
    <n v="12.12481426448737"/>
    <n v="118.76470588235294"/>
  </r>
  <r>
    <n v="107321"/>
    <x v="336"/>
    <x v="1"/>
    <s v="P1-BMP Puerto Vespucio"/>
    <n v="870"/>
    <n v="2629.99"/>
    <n v="2288091.2999999998"/>
    <d v="2026-06-07T00:00:00"/>
    <n v="115.04901960784314"/>
    <x v="3"/>
    <n v="7.5619940349382189"/>
    <n v="690.29411764705878"/>
  </r>
  <r>
    <n v="403331"/>
    <x v="337"/>
    <x v="1"/>
    <s v="P1-BMP Puerto Vespucio"/>
    <n v="5616"/>
    <n v="1600"/>
    <n v="8985600"/>
    <d v="2026-06-07T00:00:00"/>
    <n v="900.83333333333337"/>
    <x v="20"/>
    <n v="6.2342275670675296"/>
    <n v="5405"/>
  </r>
  <r>
    <n v="107193"/>
    <x v="207"/>
    <x v="1"/>
    <s v="P1-BMP Puerto Vespucio"/>
    <n v="330"/>
    <n v="3837.19"/>
    <n v="1266272.7"/>
    <d v="2026-06-07T00:00:00"/>
    <n v="29.411764705882351"/>
    <x v="6"/>
    <n v="11.22"/>
    <n v="117.64705882352941"/>
  </r>
  <r>
    <n v="100105"/>
    <x v="338"/>
    <x v="1"/>
    <s v="P1-BMP Puerto Vespucio"/>
    <n v="1880"/>
    <n v="2223"/>
    <n v="4179240"/>
    <d v="2026-06-07T00:00:00"/>
    <n v="45.686274509803923"/>
    <x v="20"/>
    <n v="41.150214592274679"/>
    <n v="274.11764705882354"/>
  </r>
  <r>
    <n v="100207"/>
    <x v="339"/>
    <x v="1"/>
    <s v="P1-BMP Puerto Vespucio"/>
    <n v="954"/>
    <n v="1426"/>
    <n v="1360404"/>
    <d v="2026-06-07T00:00:00"/>
    <n v="1664.5882352941178"/>
    <x v="20"/>
    <n v="0.57311470775319806"/>
    <n v="8322.9411764705892"/>
  </r>
  <r>
    <n v="100221"/>
    <x v="340"/>
    <x v="1"/>
    <s v="P1-BMP Puerto Vespucio"/>
    <n v="3276"/>
    <n v="1624"/>
    <n v="5320224"/>
    <d v="2026-06-07T00:00:00"/>
    <n v="1299.7058823529412"/>
    <x v="20"/>
    <n v="2.5205702647657842"/>
    <n v="6498.5294117647063"/>
  </r>
  <r>
    <n v="402128"/>
    <x v="341"/>
    <x v="1"/>
    <s v="P1-BMP Puerto Vespucio"/>
    <n v="280"/>
    <n v="2800.03"/>
    <n v="784008.4"/>
    <d v="2026-06-07T00:00:00"/>
    <n v="12.656862745098039"/>
    <x v="20"/>
    <n v="22.122385747482571"/>
    <n v="75.941176470588232"/>
  </r>
  <r>
    <n v="100200"/>
    <x v="342"/>
    <x v="1"/>
    <s v="P1-BMP Puerto Vespucio"/>
    <n v="1310"/>
    <n v="1180"/>
    <n v="1545800"/>
    <d v="2026-06-07T00:00:00"/>
    <n v="476.03921568627447"/>
    <x v="20"/>
    <n v="2.7518741247219709"/>
    <n v="2380.1960784313724"/>
  </r>
  <r>
    <n v="405422"/>
    <x v="343"/>
    <x v="1"/>
    <s v="P1-BMP Puerto Vespucio"/>
    <n v="11960"/>
    <n v="166"/>
    <n v="1985360"/>
    <d v="2026-06-07T00:00:00"/>
    <n v="2038.0392156862745"/>
    <x v="14"/>
    <n v="5.8683856070810085"/>
    <n v="8152.1568627450979"/>
  </r>
  <r>
    <n v="107280"/>
    <x v="209"/>
    <x v="1"/>
    <s v="P1-BMP Puerto Vespucio"/>
    <n v="751"/>
    <n v="2750"/>
    <n v="2065250"/>
    <d v="2026-06-07T00:00:00"/>
    <n v="69.803921568627445"/>
    <x v="6"/>
    <n v="10.758707865168541"/>
    <n v="418.82352941176464"/>
  </r>
  <r>
    <n v="402130"/>
    <x v="212"/>
    <x v="1"/>
    <s v="P1-BMP Puerto Vespucio"/>
    <n v="65"/>
    <n v="5000"/>
    <n v="325000"/>
    <d v="2026-06-07T00:00:00"/>
    <n v="6.9047619047619051"/>
    <x v="1"/>
    <n v="9.4137931034482758"/>
    <n v="34.523809523809526"/>
  </r>
  <r>
    <n v="405732"/>
    <x v="344"/>
    <x v="1"/>
    <s v="P1-BMP Puerto Vespucio"/>
    <n v="55"/>
    <n v="17000"/>
    <n v="935000"/>
    <d v="2026-06-07T00:00:00"/>
    <n v="6.9444444444444438"/>
    <x v="2"/>
    <n v="7.9200000000000008"/>
    <n v="55.55555555555555"/>
  </r>
  <r>
    <n v="405507"/>
    <x v="213"/>
    <x v="1"/>
    <s v="P1-BMP Puerto Vespucio"/>
    <n v="20"/>
    <n v="5312.5"/>
    <n v="106250"/>
    <d v="2026-06-07T00:00:00"/>
    <n v="11.348666666666668"/>
    <x v="12"/>
    <n v="1.7623215649415493"/>
    <n v="56.743333333333339"/>
  </r>
  <r>
    <n v="107351"/>
    <x v="345"/>
    <x v="1"/>
    <s v="P1-BMP Puerto Vespucio"/>
    <n v="140"/>
    <n v="3199.99"/>
    <n v="447998.6"/>
    <d v="2026-06-07T00:00:00"/>
    <n v="8.7254901960784306"/>
    <x v="1"/>
    <n v="16.04494382022472"/>
    <n v="43.627450980392155"/>
  </r>
  <r>
    <n v="403015"/>
    <x v="346"/>
    <x v="1"/>
    <s v="P1-BMP Puerto Vespucio"/>
    <n v="19000"/>
    <n v="14.9"/>
    <n v="283100"/>
    <d v="2026-06-07T00:00:00"/>
    <n v="354.16666666666669"/>
    <x v="14"/>
    <n v="53.647058823529406"/>
    <n v="2125"/>
  </r>
  <r>
    <n v="107346"/>
    <x v="216"/>
    <x v="1"/>
    <s v="P1-BMP Puerto Vespucio"/>
    <n v="1078.26"/>
    <n v="3045.24"/>
    <n v="3283560.4824000001"/>
    <d v="2026-06-07T00:00:00"/>
    <n v="103.08095238095238"/>
    <x v="8"/>
    <n v="10.460322446528387"/>
    <n v="412.32380952380953"/>
  </r>
  <r>
    <n v="107348"/>
    <x v="217"/>
    <x v="1"/>
    <s v="P1-BMP Puerto Vespucio"/>
    <n v="31.43"/>
    <n v="3118.14"/>
    <n v="98003.140199999994"/>
    <d v="2026-06-07T00:00:00"/>
    <n v="47.565416666666671"/>
    <x v="8"/>
    <n v="0.66077419693930284"/>
    <n v="190.26166666666668"/>
  </r>
  <r>
    <n v="405730"/>
    <x v="347"/>
    <x v="1"/>
    <s v="P1-BMP Puerto Vespucio"/>
    <n v="7220"/>
    <n v="155"/>
    <n v="1119100"/>
    <d v="2026-06-07T00:00:00"/>
    <n v="544.66666666666663"/>
    <x v="2"/>
    <n v="13.255813953488373"/>
    <n v="4357.333333333333"/>
  </r>
  <r>
    <n v="107316"/>
    <x v="221"/>
    <x v="1"/>
    <s v="P1-BMP Puerto Vespucio"/>
    <n v="250"/>
    <n v="615.04"/>
    <n v="153760"/>
    <d v="2026-06-07T00:00:00"/>
    <n v="112.17948717948718"/>
    <x v="14"/>
    <n v="2.2285714285714286"/>
    <n v="1907.051282051282"/>
  </r>
  <r>
    <n v="362029"/>
    <x v="348"/>
    <x v="1"/>
    <s v="P1-BMP Puerto Vespucio"/>
    <n v="60"/>
    <n v="1067.5999999999999"/>
    <n v="64056"/>
    <d v="2026-06-07T00:00:00"/>
    <n v="144.33333333333334"/>
    <x v="3"/>
    <n v="0.41570438799076209"/>
    <n v="577.33333333333337"/>
  </r>
  <r>
    <n v="393222"/>
    <x v="349"/>
    <x v="1"/>
    <s v="P1-BMP Puerto Vespucio"/>
    <n v="640"/>
    <n v="2444.4"/>
    <n v="1564416"/>
    <d v="2026-06-07T00:00:00"/>
    <n v="115.98039215686275"/>
    <x v="3"/>
    <n v="5.5181741335587491"/>
    <n v="579.9019607843137"/>
  </r>
  <r>
    <n v="403269"/>
    <x v="350"/>
    <x v="1"/>
    <s v="P1-BMP Puerto Vespucio"/>
    <n v="12.24"/>
    <n v="3689.38"/>
    <n v="45158.011200000001"/>
    <d v="2026-06-07T00:00:00"/>
    <n v="0.41666666666666669"/>
    <x v="30"/>
    <n v="29.375999999999998"/>
    <n v="2.0833333333333335"/>
  </r>
  <r>
    <n v="107095"/>
    <x v="224"/>
    <x v="1"/>
    <s v="P1-BMP Puerto Vespucio"/>
    <n v="1729"/>
    <n v="4446.7"/>
    <n v="7688344.2999999998"/>
    <d v="2026-06-07T00:00:00"/>
    <n v="86.725490196078439"/>
    <x v="6"/>
    <n v="19.936468460321048"/>
    <n v="346.90196078431376"/>
  </r>
  <r>
    <n v="405436"/>
    <x v="225"/>
    <x v="1"/>
    <s v="P1-BMP Puerto Vespucio"/>
    <n v="444.5"/>
    <n v="2428.5300000000002"/>
    <n v="1079481.585"/>
    <d v="2026-06-07T00:00:00"/>
    <n v="34.385416666666664"/>
    <x v="6"/>
    <n v="12.926991820660406"/>
    <n v="137.54166666666666"/>
  </r>
  <r>
    <n v="201103"/>
    <x v="351"/>
    <x v="1"/>
    <s v="P1-BMP Puerto Vespucio"/>
    <n v="20"/>
    <n v="5673"/>
    <n v="113460"/>
    <d v="2026-06-07T00:00:00"/>
    <n v="1.2395833333333333"/>
    <x v="21"/>
    <n v="16.134453781512605"/>
    <n v="7.4375"/>
  </r>
  <r>
    <n v="405133"/>
    <x v="226"/>
    <x v="1"/>
    <s v="P1-BMP Puerto Vespucio"/>
    <n v="545"/>
    <n v="5887"/>
    <n v="3208415"/>
    <d v="2026-06-07T00:00:00"/>
    <n v="34.274509803921568"/>
    <x v="2"/>
    <n v="15.901029748283753"/>
    <n v="274.19607843137254"/>
  </r>
  <r>
    <n v="405558"/>
    <x v="352"/>
    <x v="1"/>
    <s v="P1-BMP Puerto Vespucio"/>
    <n v="292"/>
    <n v="2750"/>
    <n v="803000"/>
    <d v="2026-06-07T00:00:00"/>
    <n v="37.80952380952381"/>
    <x v="6"/>
    <n v="7.7229219143576824"/>
    <n v="189.04761904761904"/>
  </r>
  <r>
    <n v="107263"/>
    <x v="353"/>
    <x v="1"/>
    <s v="P1-BMP Puerto Vespucio"/>
    <n v="729"/>
    <n v="1391"/>
    <n v="1014039"/>
    <d v="2026-06-07T00:00:00"/>
    <n v="249.47549019607843"/>
    <x v="6"/>
    <n v="2.9221307448961547"/>
    <n v="1496.8529411764705"/>
  </r>
  <r>
    <n v="107148"/>
    <x v="232"/>
    <x v="1"/>
    <s v="P1-BMP Puerto Vespucio"/>
    <n v="40"/>
    <n v="20900"/>
    <n v="836000"/>
    <d v="2026-06-07T00:00:00"/>
    <n v="3.3333333333333335"/>
    <x v="1"/>
    <n v="12"/>
    <n v="26.666666666666668"/>
  </r>
  <r>
    <n v="107262"/>
    <x v="229"/>
    <x v="1"/>
    <s v="P1-BMP Puerto Vespucio"/>
    <n v="1440"/>
    <n v="1987.9"/>
    <n v="2862576"/>
    <d v="2026-06-07T00:00:00"/>
    <n v="278.94117647058823"/>
    <x v="21"/>
    <n v="5.1623787431463519"/>
    <n v="1394.705882352941"/>
  </r>
  <r>
    <n v="405612"/>
    <x v="354"/>
    <x v="1"/>
    <s v="P1-BMP Puerto Vespucio"/>
    <n v="60"/>
    <n v="1645"/>
    <n v="98700"/>
    <d v="2026-06-07T00:00:00"/>
    <n v="34.313725490196077"/>
    <x v="6"/>
    <n v="1.7485714285714287"/>
    <n v="205.88235294117646"/>
  </r>
  <r>
    <n v="405651"/>
    <x v="235"/>
    <x v="1"/>
    <s v="P1-BMP Puerto Vespucio"/>
    <n v="10"/>
    <n v="6990"/>
    <n v="69900"/>
    <d v="2026-06-07T00:00:00"/>
    <n v="0"/>
    <x v="1"/>
    <n v="0"/>
    <n v="0"/>
  </r>
  <r>
    <n v="401015"/>
    <x v="236"/>
    <x v="1"/>
    <s v="P1-BMP Puerto Vespucio"/>
    <n v="87"/>
    <n v="3931.24"/>
    <n v="342017.88"/>
    <d v="2026-06-07T00:00:00"/>
    <n v="0.30952380952380953"/>
    <x v="17"/>
    <n v="281.07692307692309"/>
    <n v="1.5476190476190477"/>
  </r>
  <r>
    <n v="401014"/>
    <x v="237"/>
    <x v="1"/>
    <s v="P1-BMP Puerto Vespucio"/>
    <n v="133"/>
    <n v="3788.32"/>
    <n v="503846.56"/>
    <d v="2026-06-07T00:00:00"/>
    <n v="0.25"/>
    <x v="17"/>
    <n v="532"/>
    <n v="1.25"/>
  </r>
  <r>
    <n v="401013"/>
    <x v="355"/>
    <x v="1"/>
    <s v="P1-BMP Puerto Vespucio"/>
    <n v="123"/>
    <n v="3959.01"/>
    <n v="486958.23"/>
    <d v="2026-06-07T00:00:00"/>
    <n v="2.1666666666666665"/>
    <x v="17"/>
    <n v="56.769230769230774"/>
    <n v="10.833333333333332"/>
  </r>
  <r>
    <n v="401010"/>
    <x v="238"/>
    <x v="1"/>
    <s v="P1-BMP Puerto Vespucio"/>
    <n v="188"/>
    <n v="3955.2"/>
    <n v="743577.59999999998"/>
    <d v="2026-06-07T00:00:00"/>
    <n v="0.83333333333333337"/>
    <x v="17"/>
    <n v="225.6"/>
    <n v="4.166666666666667"/>
  </r>
  <r>
    <n v="405335"/>
    <x v="356"/>
    <x v="1"/>
    <s v="P1-BMP Puerto Vespucio"/>
    <n v="720"/>
    <n v="2320"/>
    <n v="1670400"/>
    <d v="2026-06-07T00:00:00"/>
    <n v="0"/>
    <x v="17"/>
    <n v="0"/>
    <n v="0"/>
  </r>
  <r>
    <n v="401019"/>
    <x v="240"/>
    <x v="1"/>
    <s v="P1-BMP Puerto Vespucio"/>
    <n v="116"/>
    <n v="3840"/>
    <n v="445440"/>
    <d v="2026-06-07T00:00:00"/>
    <n v="0.55555555555555558"/>
    <x v="17"/>
    <n v="208.79999999999998"/>
    <n v="2.7777777777777777"/>
  </r>
  <r>
    <n v="401012"/>
    <x v="241"/>
    <x v="1"/>
    <s v="P1-BMP Puerto Vespucio"/>
    <n v="81"/>
    <n v="3934.12"/>
    <n v="318663.71999999997"/>
    <d v="2026-06-07T00:00:00"/>
    <n v="0.59375"/>
    <x v="17"/>
    <n v="136.42105263157896"/>
    <n v="2.96875"/>
  </r>
  <r>
    <n v="393253"/>
    <x v="357"/>
    <x v="1"/>
    <s v="P1-BMP Puerto Vespucio"/>
    <n v="8370"/>
    <n v="141.87"/>
    <n v="1187451.8999999999"/>
    <d v="2026-06-07T00:00:00"/>
    <n v="801.19047619047615"/>
    <x v="3"/>
    <n v="10.446953937592868"/>
    <n v="3204.7619047619046"/>
  </r>
  <r>
    <n v="393040"/>
    <x v="242"/>
    <x v="1"/>
    <s v="P1-BMP Puerto Vespucio"/>
    <n v="900"/>
    <n v="181.33"/>
    <n v="163197"/>
    <d v="2026-06-07T00:00:00"/>
    <n v="1191.1805555555554"/>
    <x v="3"/>
    <n v="0.75555296449600662"/>
    <n v="4764.7222222222217"/>
  </r>
  <r>
    <n v="405658"/>
    <x v="358"/>
    <x v="1"/>
    <s v="P1-BMP Puerto Vespucio"/>
    <n v="12920"/>
    <n v="148.15"/>
    <n v="1914098"/>
    <d v="2026-06-07T00:00:00"/>
    <n v="1308.9166666666667"/>
    <x v="3"/>
    <n v="9.8707582606481186"/>
    <n v="5235.666666666667"/>
  </r>
  <r>
    <n v="107301"/>
    <x v="359"/>
    <x v="1"/>
    <s v="P1-BMP Puerto Vespucio"/>
    <n v="90"/>
    <n v="3312"/>
    <n v="298080"/>
    <d v="2026-06-07T00:00:00"/>
    <n v="68.722222222222214"/>
    <x v="20"/>
    <n v="1.3096200485044465"/>
    <n v="412.33333333333326"/>
  </r>
  <r>
    <n v="405134"/>
    <x v="250"/>
    <x v="1"/>
    <s v="P1-BMP Puerto Vespucio"/>
    <n v="13200"/>
    <n v="36"/>
    <n v="475200"/>
    <d v="2026-06-07T00:00:00"/>
    <n v="2029.4117647058822"/>
    <x v="2"/>
    <n v="6.5043478260869572"/>
    <n v="16235.294117647058"/>
  </r>
  <r>
    <n v="107102"/>
    <x v="246"/>
    <x v="1"/>
    <s v="P1-BMP Puerto Vespucio"/>
    <n v="650"/>
    <n v="3127.01"/>
    <n v="2032556.5"/>
    <d v="2026-06-07T00:00:00"/>
    <n v="23.43137254901961"/>
    <x v="8"/>
    <n v="27.740585774058577"/>
    <n v="140.58823529411765"/>
  </r>
  <r>
    <n v="405533"/>
    <x v="247"/>
    <x v="1"/>
    <s v="P1-BMP Puerto Vespucio"/>
    <n v="809"/>
    <n v="2265.9899999999998"/>
    <n v="1833185.91"/>
    <d v="2026-06-07T00:00:00"/>
    <n v="48.098039215686271"/>
    <x v="13"/>
    <n v="16.819812474520997"/>
    <n v="240.49019607843135"/>
  </r>
  <r>
    <n v="405311"/>
    <x v="360"/>
    <x v="1"/>
    <s v="P1-BMP Puerto Vespucio"/>
    <n v="4715"/>
    <n v="104"/>
    <n v="490360"/>
    <d v="2026-06-07T00:00:00"/>
    <n v="468.11111111111109"/>
    <x v="2"/>
    <n v="10.072394967956326"/>
    <n v="3744.8888888888887"/>
  </r>
  <r>
    <n v="107164"/>
    <x v="252"/>
    <x v="1"/>
    <s v="P1-BMP Puerto Vespucio"/>
    <n v="209"/>
    <n v="1129"/>
    <n v="235961"/>
    <d v="2026-06-07T00:00:00"/>
    <n v="49.078431372549026"/>
    <x v="25"/>
    <n v="4.2584898122253287"/>
    <n v="196.31372549019611"/>
  </r>
  <r>
    <n v="405445"/>
    <x v="7"/>
    <x v="2"/>
    <s v="C4-BMP Curico"/>
    <n v="6504"/>
    <n v="93.34"/>
    <n v="607083.36"/>
    <d v="2026-06-07T00:00:00"/>
    <m/>
    <x v="4"/>
    <n v="7"/>
    <m/>
  </r>
  <r>
    <n v="400202"/>
    <x v="256"/>
    <x v="2"/>
    <s v="C4-BMP Curico"/>
    <n v="120.93"/>
    <n v="2688.86"/>
    <n v="325163.83980000002"/>
    <d v="2026-06-07T00:00:00"/>
    <m/>
    <x v="5"/>
    <n v="7"/>
    <m/>
  </r>
  <r>
    <n v="400203"/>
    <x v="13"/>
    <x v="2"/>
    <s v="C4-BMP Curico"/>
    <n v="348.00483000000003"/>
    <n v="2700.22"/>
    <n v="939689.60210000002"/>
    <d v="2026-06-07T00:00:00"/>
    <m/>
    <x v="5"/>
    <n v="7"/>
    <m/>
  </r>
  <r>
    <n v="400104"/>
    <x v="12"/>
    <x v="2"/>
    <s v="C4-BMP Curico"/>
    <n v="42712"/>
    <n v="25.26"/>
    <n v="1078905.1200000001"/>
    <d v="2026-06-07T00:00:00"/>
    <m/>
    <x v="5"/>
    <n v="7"/>
    <m/>
  </r>
  <r>
    <n v="107366"/>
    <x v="20"/>
    <x v="2"/>
    <s v="C4-BMP Curico"/>
    <n v="183"/>
    <n v="721.98"/>
    <n v="132122.34"/>
    <d v="2026-06-07T00:00:00"/>
    <m/>
    <x v="7"/>
    <n v="7"/>
    <m/>
  </r>
  <r>
    <n v="107365"/>
    <x v="22"/>
    <x v="2"/>
    <s v="C4-BMP Curico"/>
    <n v="10"/>
    <n v="493"/>
    <n v="4930"/>
    <d v="2026-06-07T00:00:00"/>
    <m/>
    <x v="7"/>
    <n v="7"/>
    <m/>
  </r>
  <r>
    <n v="402251"/>
    <x v="258"/>
    <x v="2"/>
    <s v="C4-BMP Curico"/>
    <n v="274"/>
    <n v="562.71"/>
    <n v="154182.54"/>
    <d v="2026-06-07T00:00:00"/>
    <m/>
    <x v="7"/>
    <n v="7"/>
    <m/>
  </r>
  <r>
    <n v="402253"/>
    <x v="261"/>
    <x v="2"/>
    <s v="C4-BMP Curico"/>
    <n v="577"/>
    <n v="518.45000000000005"/>
    <n v="299145.65000000002"/>
    <d v="2026-06-07T00:00:00"/>
    <m/>
    <x v="7"/>
    <n v="7"/>
    <m/>
  </r>
  <r>
    <n v="404309"/>
    <x v="30"/>
    <x v="2"/>
    <s v="C4-BMP Curico"/>
    <n v="91.22"/>
    <n v="8881.9699999999993"/>
    <n v="810213.30339999998"/>
    <d v="2026-06-07T00:00:00"/>
    <m/>
    <x v="2"/>
    <n v="7"/>
    <m/>
  </r>
  <r>
    <n v="402255"/>
    <x v="31"/>
    <x v="2"/>
    <s v="C4-BMP Curico"/>
    <n v="54.123333000000002"/>
    <n v="1289.96"/>
    <n v="69816.934599999993"/>
    <d v="2026-06-07T00:00:00"/>
    <m/>
    <x v="9"/>
    <n v="7"/>
    <m/>
  </r>
  <r>
    <n v="107300"/>
    <x v="39"/>
    <x v="2"/>
    <s v="C4-BMP Curico"/>
    <n v="1914"/>
    <n v="206.69"/>
    <n v="395604.66"/>
    <d v="2026-06-07T00:00:00"/>
    <m/>
    <x v="4"/>
    <n v="7"/>
    <m/>
  </r>
  <r>
    <n v="107098"/>
    <x v="48"/>
    <x v="2"/>
    <s v="C4-BMP Curico"/>
    <n v="141.25"/>
    <n v="3187.53"/>
    <n v="450238.61249999999"/>
    <d v="2026-06-07T00:00:00"/>
    <m/>
    <x v="13"/>
    <n v="7"/>
    <m/>
  </r>
  <r>
    <n v="405444"/>
    <x v="58"/>
    <x v="2"/>
    <s v="C4-BMP Curico"/>
    <n v="6598"/>
    <n v="251.8"/>
    <n v="1661376.4"/>
    <d v="2026-06-07T00:00:00"/>
    <m/>
    <x v="4"/>
    <n v="7"/>
    <m/>
  </r>
  <r>
    <n v="107344"/>
    <x v="63"/>
    <x v="2"/>
    <s v="C4-BMP Curico"/>
    <n v="1120"/>
    <n v="239.15"/>
    <n v="267848"/>
    <d v="2026-06-07T00:00:00"/>
    <m/>
    <x v="4"/>
    <n v="7"/>
    <m/>
  </r>
  <r>
    <n v="107127"/>
    <x v="62"/>
    <x v="2"/>
    <s v="C4-BMP Curico"/>
    <n v="57.9"/>
    <n v="6263.85"/>
    <n v="362676.91499999998"/>
    <d v="2026-06-07T00:00:00"/>
    <m/>
    <x v="2"/>
    <n v="7"/>
    <m/>
  </r>
  <r>
    <n v="405740"/>
    <x v="67"/>
    <x v="2"/>
    <s v="C4-BMP Curico"/>
    <n v="2162"/>
    <n v="24.9"/>
    <n v="53833.8"/>
    <d v="2026-06-07T00:00:00"/>
    <m/>
    <x v="14"/>
    <n v="7"/>
    <m/>
  </r>
  <r>
    <n v="107108"/>
    <x v="64"/>
    <x v="2"/>
    <s v="C4-BMP Curico"/>
    <n v="393.95"/>
    <n v="4199.47"/>
    <n v="1654381.2065000001"/>
    <d v="2026-06-07T00:00:00"/>
    <m/>
    <x v="2"/>
    <n v="7"/>
    <m/>
  </r>
  <r>
    <n v="405587"/>
    <x v="68"/>
    <x v="2"/>
    <s v="C4-BMP Curico"/>
    <n v="324920"/>
    <n v="10"/>
    <n v="3249200"/>
    <d v="2026-06-07T00:00:00"/>
    <m/>
    <x v="14"/>
    <n v="7"/>
    <m/>
  </r>
  <r>
    <n v="107187"/>
    <x v="361"/>
    <x v="2"/>
    <s v="C4-BMP Curico"/>
    <n v="32632"/>
    <n v="14.6"/>
    <n v="476427.2"/>
    <d v="2026-06-07T00:00:00"/>
    <m/>
    <x v="14"/>
    <n v="7"/>
    <m/>
  </r>
  <r>
    <n v="107420"/>
    <x v="362"/>
    <x v="2"/>
    <s v="C4-BMP Curico"/>
    <n v="39500"/>
    <n v="19.2"/>
    <n v="758400"/>
    <d v="2026-06-07T00:00:00"/>
    <m/>
    <x v="14"/>
    <n v="7"/>
    <m/>
  </r>
  <r>
    <n v="403103"/>
    <x v="363"/>
    <x v="2"/>
    <s v="C4-BMP Curico"/>
    <n v="19848"/>
    <n v="26.9"/>
    <n v="533911.19999999995"/>
    <d v="2026-06-07T00:00:00"/>
    <m/>
    <x v="14"/>
    <n v="7"/>
    <m/>
  </r>
  <r>
    <n v="107294"/>
    <x v="74"/>
    <x v="2"/>
    <s v="C4-BMP Curico"/>
    <n v="21147.5"/>
    <n v="1660"/>
    <n v="35104850"/>
    <d v="2026-06-07T00:00:00"/>
    <m/>
    <x v="6"/>
    <n v="7"/>
    <m/>
  </r>
  <r>
    <n v="405712"/>
    <x v="80"/>
    <x v="2"/>
    <s v="C4-BMP Curico"/>
    <n v="22749"/>
    <n v="22.7"/>
    <n v="516402.3"/>
    <d v="2026-06-07T00:00:00"/>
    <m/>
    <x v="16"/>
    <n v="7"/>
    <m/>
  </r>
  <r>
    <n v="405129"/>
    <x v="94"/>
    <x v="2"/>
    <s v="C4-BMP Curico"/>
    <n v="6950"/>
    <n v="20.7"/>
    <n v="143865"/>
    <d v="2026-06-07T00:00:00"/>
    <m/>
    <x v="16"/>
    <n v="7"/>
    <m/>
  </r>
  <r>
    <n v="405160"/>
    <x v="102"/>
    <x v="2"/>
    <s v="C4-BMP Curico"/>
    <n v="1840"/>
    <n v="16.16"/>
    <n v="29734.400000000001"/>
    <d v="2026-06-07T00:00:00"/>
    <m/>
    <x v="16"/>
    <n v="7"/>
    <m/>
  </r>
  <r>
    <n v="405049"/>
    <x v="104"/>
    <x v="2"/>
    <s v="C4-BMP Curico"/>
    <n v="16760"/>
    <n v="1.55"/>
    <n v="25978"/>
    <d v="2026-06-07T00:00:00"/>
    <m/>
    <x v="16"/>
    <n v="7"/>
    <m/>
  </r>
  <r>
    <n v="404719"/>
    <x v="105"/>
    <x v="2"/>
    <s v="C4-BMP Curico"/>
    <n v="46062"/>
    <n v="15.86"/>
    <n v="730543.32"/>
    <d v="2026-06-07T00:00:00"/>
    <m/>
    <x v="16"/>
    <n v="7"/>
    <m/>
  </r>
  <r>
    <n v="404720"/>
    <x v="307"/>
    <x v="2"/>
    <s v="C4-BMP Curico"/>
    <n v="22350"/>
    <n v="8.1999999999999993"/>
    <n v="183270"/>
    <d v="2026-06-07T00:00:00"/>
    <m/>
    <x v="16"/>
    <n v="7"/>
    <m/>
  </r>
  <r>
    <n v="405103"/>
    <x v="112"/>
    <x v="2"/>
    <s v="C4-BMP Curico"/>
    <n v="10314"/>
    <n v="15.74"/>
    <n v="162342.35999999999"/>
    <d v="2026-06-07T00:00:00"/>
    <m/>
    <x v="16"/>
    <n v="7"/>
    <m/>
  </r>
  <r>
    <n v="404722"/>
    <x v="113"/>
    <x v="2"/>
    <s v="C4-BMP Curico"/>
    <n v="76167"/>
    <n v="2.98"/>
    <n v="226977.66"/>
    <d v="2026-06-07T00:00:00"/>
    <m/>
    <x v="16"/>
    <n v="7"/>
    <m/>
  </r>
  <r>
    <n v="405721"/>
    <x v="130"/>
    <x v="2"/>
    <s v="C4-BMP Curico"/>
    <n v="13060"/>
    <n v="20.7"/>
    <n v="270342"/>
    <d v="2026-06-07T00:00:00"/>
    <m/>
    <x v="16"/>
    <n v="7"/>
    <m/>
  </r>
  <r>
    <n v="405128"/>
    <x v="133"/>
    <x v="2"/>
    <s v="C4-BMP Curico"/>
    <n v="17261"/>
    <n v="20.07"/>
    <n v="346428.27"/>
    <d v="2026-06-07T00:00:00"/>
    <m/>
    <x v="16"/>
    <n v="7"/>
    <m/>
  </r>
  <r>
    <n v="405492"/>
    <x v="364"/>
    <x v="2"/>
    <s v="C4-BMP Curico"/>
    <n v="42500"/>
    <n v="27.3"/>
    <n v="1160250"/>
    <d v="2026-06-07T00:00:00"/>
    <m/>
    <x v="16"/>
    <n v="7"/>
    <m/>
  </r>
  <r>
    <n v="405034"/>
    <x v="145"/>
    <x v="2"/>
    <s v="C4-BMP Curico"/>
    <n v="3343"/>
    <n v="17.170000000000002"/>
    <n v="57399.31"/>
    <d v="2026-06-07T00:00:00"/>
    <m/>
    <x v="16"/>
    <n v="7"/>
    <m/>
  </r>
  <r>
    <n v="405705"/>
    <x v="365"/>
    <x v="2"/>
    <s v="C4-BMP Curico"/>
    <n v="75"/>
    <n v="606"/>
    <n v="45450"/>
    <d v="2026-06-07T00:00:00"/>
    <m/>
    <x v="31"/>
    <n v="7"/>
    <m/>
  </r>
  <r>
    <n v="100206"/>
    <x v="366"/>
    <x v="2"/>
    <s v="C4-BMP Curico"/>
    <n v="14547.49"/>
    <n v="676"/>
    <n v="9834103.2400000002"/>
    <d v="2026-06-07T00:00:00"/>
    <m/>
    <x v="20"/>
    <n v="7"/>
    <m/>
  </r>
  <r>
    <n v="100104"/>
    <x v="367"/>
    <x v="2"/>
    <s v="C4-BMP Curico"/>
    <n v="300"/>
    <n v="665.5"/>
    <n v="199650"/>
    <d v="2026-06-07T00:00:00"/>
    <m/>
    <x v="20"/>
    <n v="7"/>
    <m/>
  </r>
  <r>
    <n v="362099"/>
    <x v="368"/>
    <x v="2"/>
    <s v="C4-BMP Curico"/>
    <n v="0.04"/>
    <n v="1350"/>
    <n v="54"/>
    <d v="2026-06-07T00:00:00"/>
    <m/>
    <x v="3"/>
    <n v="7"/>
    <m/>
  </r>
  <r>
    <n v="402257"/>
    <x v="321"/>
    <x v="2"/>
    <s v="C4-BMP Curico"/>
    <n v="2456"/>
    <n v="145"/>
    <n v="356120"/>
    <d v="2026-06-07T00:00:00"/>
    <m/>
    <x v="14"/>
    <n v="7"/>
    <m/>
  </r>
  <r>
    <n v="393320"/>
    <x v="175"/>
    <x v="2"/>
    <s v="C4-BMP Curico"/>
    <n v="3000"/>
    <n v="151"/>
    <n v="453000"/>
    <d v="2026-06-07T00:00:00"/>
    <m/>
    <x v="14"/>
    <n v="7"/>
    <m/>
  </r>
  <r>
    <n v="405246"/>
    <x v="369"/>
    <x v="2"/>
    <s v="C4-BMP Curico"/>
    <n v="896.27139"/>
    <n v="7800"/>
    <n v="6990916.8420000002"/>
    <d v="2026-06-07T00:00:00"/>
    <m/>
    <x v="29"/>
    <n v="7"/>
    <m/>
  </r>
  <r>
    <n v="403373"/>
    <x v="172"/>
    <x v="2"/>
    <s v="C4-BMP Curico"/>
    <n v="1705"/>
    <n v="205"/>
    <n v="349525"/>
    <d v="2026-06-07T00:00:00"/>
    <m/>
    <x v="14"/>
    <n v="7"/>
    <m/>
  </r>
  <r>
    <n v="403104"/>
    <x v="370"/>
    <x v="2"/>
    <s v="C4-BMP Curico"/>
    <n v="210.55"/>
    <n v="990"/>
    <n v="208444.5"/>
    <d v="2026-06-07T00:00:00"/>
    <m/>
    <x v="14"/>
    <n v="7"/>
    <m/>
  </r>
  <r>
    <n v="107109"/>
    <x v="193"/>
    <x v="2"/>
    <s v="C4-BMP Curico"/>
    <n v="7792.64"/>
    <n v="2323"/>
    <n v="18102302.719999999"/>
    <d v="2026-06-07T00:00:00"/>
    <m/>
    <x v="15"/>
    <n v="7"/>
    <m/>
  </r>
  <r>
    <n v="201006"/>
    <x v="371"/>
    <x v="2"/>
    <s v="C4-BMP Curico"/>
    <n v="5036"/>
    <n v="2339.6999999999998"/>
    <n v="11782729.199999999"/>
    <d v="2026-06-07T00:00:00"/>
    <m/>
    <x v="24"/>
    <n v="7"/>
    <m/>
  </r>
  <r>
    <n v="103006"/>
    <x v="372"/>
    <x v="2"/>
    <s v="C4-BMP Curico"/>
    <n v="3145.8066399999998"/>
    <n v="1797"/>
    <n v="5653014.5321000004"/>
    <d v="2026-06-07T00:00:00"/>
    <m/>
    <x v="24"/>
    <n v="7"/>
    <m/>
  </r>
  <r>
    <n v="107001"/>
    <x v="196"/>
    <x v="2"/>
    <s v="C4-BMP Curico"/>
    <n v="10.8"/>
    <n v="5603.52"/>
    <n v="60518.016000000003"/>
    <d v="2026-06-07T00:00:00"/>
    <m/>
    <x v="8"/>
    <n v="7"/>
    <m/>
  </r>
  <r>
    <n v="107324"/>
    <x v="373"/>
    <x v="2"/>
    <s v="C4-BMP Curico"/>
    <n v="9.93"/>
    <n v="5177.6400000000003"/>
    <n v="51413.965199999999"/>
    <d v="2026-06-07T00:00:00"/>
    <m/>
    <x v="8"/>
    <n v="7"/>
    <m/>
  </r>
  <r>
    <n v="107285"/>
    <x v="374"/>
    <x v="2"/>
    <s v="C4-BMP Curico"/>
    <n v="849.71"/>
    <n v="2760"/>
    <n v="2345199.6"/>
    <d v="2026-06-07T00:00:00"/>
    <m/>
    <x v="20"/>
    <n v="7"/>
    <m/>
  </r>
  <r>
    <n v="405248"/>
    <x v="375"/>
    <x v="2"/>
    <s v="C4-BMP Curico"/>
    <n v="5587.8279400000001"/>
    <n v="1280"/>
    <n v="7152419.7631999999"/>
    <d v="2026-06-07T00:00:00"/>
    <m/>
    <x v="20"/>
    <n v="7"/>
    <m/>
  </r>
  <r>
    <n v="403014"/>
    <x v="376"/>
    <x v="2"/>
    <s v="C4-BMP Curico"/>
    <n v="500"/>
    <n v="56"/>
    <n v="28000"/>
    <d v="2026-06-07T00:00:00"/>
    <m/>
    <x v="14"/>
    <n v="7"/>
    <m/>
  </r>
  <r>
    <n v="107316"/>
    <x v="221"/>
    <x v="2"/>
    <s v="C4-BMP Curico"/>
    <n v="253"/>
    <n v="611.75"/>
    <n v="154772.75"/>
    <d v="2026-06-07T00:00:00"/>
    <m/>
    <x v="14"/>
    <n v="7"/>
    <m/>
  </r>
  <r>
    <n v="403269"/>
    <x v="350"/>
    <x v="2"/>
    <s v="C4-BMP Curico"/>
    <n v="65.12"/>
    <n v="3689.97"/>
    <n v="240290.84640000001"/>
    <d v="2026-06-07T00:00:00"/>
    <m/>
    <x v="30"/>
    <n v="7"/>
    <m/>
  </r>
  <r>
    <n v="104010"/>
    <x v="377"/>
    <x v="2"/>
    <s v="C4-BMP Curico"/>
    <n v="269.5"/>
    <n v="465"/>
    <n v="125317.5"/>
    <d v="2026-06-07T00:00:00"/>
    <m/>
    <x v="3"/>
    <n v="7"/>
    <m/>
  </r>
  <r>
    <n v="401013"/>
    <x v="355"/>
    <x v="2"/>
    <s v="C4-BMP Curico"/>
    <n v="19"/>
    <n v="3935.84"/>
    <n v="74780.960000000006"/>
    <d v="2026-06-07T00:00:00"/>
    <m/>
    <x v="17"/>
    <n v="7"/>
    <m/>
  </r>
  <r>
    <n v="401010"/>
    <x v="238"/>
    <x v="2"/>
    <s v="C4-BMP Curico"/>
    <n v="17"/>
    <n v="3904.12"/>
    <n v="66370.039999999994"/>
    <d v="2026-06-07T00:00:00"/>
    <m/>
    <x v="17"/>
    <n v="7"/>
    <m/>
  </r>
  <r>
    <n v="401011"/>
    <x v="239"/>
    <x v="2"/>
    <s v="C4-BMP Curico"/>
    <n v="18"/>
    <n v="3865.44"/>
    <n v="69577.919999999998"/>
    <d v="2026-06-07T00:00:00"/>
    <m/>
    <x v="17"/>
    <n v="7"/>
    <m/>
  </r>
  <r>
    <n v="401012"/>
    <x v="241"/>
    <x v="2"/>
    <s v="C4-BMP Curico"/>
    <n v="18"/>
    <n v="3894.94"/>
    <n v="70108.92"/>
    <d v="2026-06-07T00:00:00"/>
    <m/>
    <x v="17"/>
    <n v="7"/>
    <m/>
  </r>
  <r>
    <n v="401015"/>
    <x v="236"/>
    <x v="2"/>
    <s v="C4-BMP Curico"/>
    <n v="18"/>
    <n v="3904.22"/>
    <n v="70275.960000000006"/>
    <d v="2026-06-07T00:00:00"/>
    <m/>
    <x v="17"/>
    <n v="7"/>
    <m/>
  </r>
  <r>
    <n v="401014"/>
    <x v="237"/>
    <x v="2"/>
    <s v="C4-BMP Curico"/>
    <n v="17"/>
    <n v="3926.88"/>
    <n v="66756.960000000006"/>
    <d v="2026-06-07T00:00:00"/>
    <m/>
    <x v="17"/>
    <n v="7"/>
    <m/>
  </r>
  <r>
    <n v="106101"/>
    <x v="378"/>
    <x v="2"/>
    <s v="C4-BMP Curico"/>
    <n v="90.5"/>
    <n v="620"/>
    <n v="56110"/>
    <d v="2026-06-07T00:00:00"/>
    <m/>
    <x v="3"/>
    <n v="7"/>
    <m/>
  </r>
  <r>
    <n v="107401"/>
    <x v="76"/>
    <x v="3"/>
    <s v="E14-Bodega Apolo Enea"/>
    <n v="9361.6200000000008"/>
    <n v="2426.1"/>
    <n v="22712226.282000002"/>
    <d v="2026-06-07T00:00:00"/>
    <m/>
    <x v="8"/>
    <n v="7"/>
    <m/>
  </r>
  <r>
    <n v="405700"/>
    <x v="379"/>
    <x v="3"/>
    <s v="E14-Bodega Apolo Enea"/>
    <n v="21000"/>
    <n v="1472.97"/>
    <n v="30932370"/>
    <d v="2026-06-07T00:00:00"/>
    <m/>
    <x v="24"/>
    <n v="7"/>
    <m/>
  </r>
  <r>
    <n v="107346"/>
    <x v="216"/>
    <x v="3"/>
    <s v="E14-Bodega Apolo Enea"/>
    <n v="18248.8"/>
    <n v="3045.24"/>
    <n v="55571975.711999997"/>
    <d v="2026-06-07T00:00:00"/>
    <m/>
    <x v="8"/>
    <n v="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E29587-9CBE-4B06-95F1-B795986D0C91}" name="TablaDinámica2" cacheId="19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J3:K32" firstHeaderRow="1" firstDataRow="1" firstDataCol="1" rowPageCount="1" colPageCount="1"/>
  <pivotFields count="12">
    <pivotField showAll="0"/>
    <pivotField axis="axisRow" showAll="0">
      <items count="381">
        <item x="255"/>
        <item x="9"/>
        <item x="2"/>
        <item x="0"/>
        <item x="1"/>
        <item x="253"/>
        <item x="7"/>
        <item x="254"/>
        <item x="3"/>
        <item x="5"/>
        <item x="10"/>
        <item x="12"/>
        <item x="11"/>
        <item x="256"/>
        <item x="15"/>
        <item x="13"/>
        <item x="257"/>
        <item x="14"/>
        <item x="16"/>
        <item x="17"/>
        <item x="19"/>
        <item x="18"/>
        <item x="20"/>
        <item x="23"/>
        <item x="21"/>
        <item x="22"/>
        <item x="258"/>
        <item x="259"/>
        <item x="261"/>
        <item x="260"/>
        <item x="27"/>
        <item x="262"/>
        <item x="24"/>
        <item x="25"/>
        <item x="26"/>
        <item x="28"/>
        <item x="29"/>
        <item x="263"/>
        <item x="31"/>
        <item x="30"/>
        <item x="32"/>
        <item x="33"/>
        <item x="34"/>
        <item x="35"/>
        <item x="40"/>
        <item x="36"/>
        <item x="37"/>
        <item x="264"/>
        <item x="38"/>
        <item x="39"/>
        <item x="41"/>
        <item x="47"/>
        <item x="42"/>
        <item x="43"/>
        <item x="44"/>
        <item x="45"/>
        <item x="52"/>
        <item x="46"/>
        <item x="265"/>
        <item x="48"/>
        <item x="266"/>
        <item x="49"/>
        <item x="50"/>
        <item x="51"/>
        <item x="54"/>
        <item x="267"/>
        <item x="53"/>
        <item x="268"/>
        <item x="269"/>
        <item x="271"/>
        <item x="55"/>
        <item x="270"/>
        <item x="56"/>
        <item x="60"/>
        <item x="57"/>
        <item x="272"/>
        <item x="58"/>
        <item x="275"/>
        <item x="59"/>
        <item x="273"/>
        <item x="63"/>
        <item x="61"/>
        <item x="62"/>
        <item x="64"/>
        <item x="274"/>
        <item x="276"/>
        <item x="67"/>
        <item x="277"/>
        <item x="278"/>
        <item x="65"/>
        <item x="279"/>
        <item x="66"/>
        <item x="363"/>
        <item x="361"/>
        <item x="68"/>
        <item x="362"/>
        <item x="69"/>
        <item x="70"/>
        <item x="71"/>
        <item x="72"/>
        <item x="73"/>
        <item x="74"/>
        <item x="75"/>
        <item x="280"/>
        <item x="76"/>
        <item x="77"/>
        <item x="78"/>
        <item x="281"/>
        <item x="282"/>
        <item x="289"/>
        <item x="290"/>
        <item x="292"/>
        <item x="293"/>
        <item x="294"/>
        <item x="79"/>
        <item x="283"/>
        <item x="295"/>
        <item x="296"/>
        <item x="284"/>
        <item x="80"/>
        <item x="285"/>
        <item x="297"/>
        <item x="298"/>
        <item x="299"/>
        <item x="300"/>
        <item x="286"/>
        <item x="287"/>
        <item x="288"/>
        <item x="301"/>
        <item x="81"/>
        <item x="82"/>
        <item x="83"/>
        <item x="84"/>
        <item x="85"/>
        <item x="86"/>
        <item x="87"/>
        <item x="88"/>
        <item x="89"/>
        <item x="90"/>
        <item x="91"/>
        <item x="98"/>
        <item x="99"/>
        <item x="100"/>
        <item x="92"/>
        <item x="93"/>
        <item x="94"/>
        <item x="95"/>
        <item x="96"/>
        <item x="97"/>
        <item x="103"/>
        <item x="101"/>
        <item x="102"/>
        <item x="302"/>
        <item x="303"/>
        <item x="104"/>
        <item x="105"/>
        <item x="307"/>
        <item x="304"/>
        <item x="106"/>
        <item x="305"/>
        <item x="112"/>
        <item x="113"/>
        <item x="114"/>
        <item x="107"/>
        <item x="108"/>
        <item x="109"/>
        <item x="110"/>
        <item x="111"/>
        <item x="123"/>
        <item x="115"/>
        <item x="116"/>
        <item x="117"/>
        <item x="118"/>
        <item x="119"/>
        <item x="120"/>
        <item x="121"/>
        <item x="122"/>
        <item x="131"/>
        <item x="132"/>
        <item x="133"/>
        <item x="134"/>
        <item x="124"/>
        <item x="125"/>
        <item x="126"/>
        <item x="127"/>
        <item x="128"/>
        <item x="130"/>
        <item x="308"/>
        <item x="310"/>
        <item x="309"/>
        <item x="316"/>
        <item x="311"/>
        <item x="312"/>
        <item x="313"/>
        <item x="314"/>
        <item x="315"/>
        <item x="364"/>
        <item x="135"/>
        <item x="136"/>
        <item x="140"/>
        <item x="141"/>
        <item x="142"/>
        <item x="143"/>
        <item x="137"/>
        <item x="138"/>
        <item x="139"/>
        <item x="155"/>
        <item x="156"/>
        <item x="144"/>
        <item x="145"/>
        <item x="146"/>
        <item x="148"/>
        <item x="149"/>
        <item x="150"/>
        <item x="151"/>
        <item x="152"/>
        <item x="153"/>
        <item x="154"/>
        <item x="158"/>
        <item x="159"/>
        <item x="317"/>
        <item x="157"/>
        <item x="160"/>
        <item x="318"/>
        <item x="161"/>
        <item x="319"/>
        <item x="162"/>
        <item x="164"/>
        <item x="165"/>
        <item x="163"/>
        <item x="170"/>
        <item x="368"/>
        <item x="167"/>
        <item x="168"/>
        <item x="366"/>
        <item x="365"/>
        <item x="169"/>
        <item x="320"/>
        <item x="367"/>
        <item x="171"/>
        <item x="172"/>
        <item x="173"/>
        <item x="321"/>
        <item x="175"/>
        <item x="176"/>
        <item x="177"/>
        <item x="369"/>
        <item x="370"/>
        <item x="179"/>
        <item x="181"/>
        <item x="178"/>
        <item x="180"/>
        <item x="184"/>
        <item x="182"/>
        <item x="183"/>
        <item x="185"/>
        <item x="323"/>
        <item x="324"/>
        <item x="186"/>
        <item x="187"/>
        <item x="188"/>
        <item x="325"/>
        <item x="192"/>
        <item x="189"/>
        <item x="190"/>
        <item x="191"/>
        <item x="193"/>
        <item x="327"/>
        <item x="326"/>
        <item x="194"/>
        <item x="195"/>
        <item x="371"/>
        <item x="328"/>
        <item x="372"/>
        <item x="196"/>
        <item x="373"/>
        <item x="197"/>
        <item x="198"/>
        <item x="335"/>
        <item x="206"/>
        <item x="336"/>
        <item x="208"/>
        <item x="199"/>
        <item x="329"/>
        <item x="200"/>
        <item x="201"/>
        <item x="330"/>
        <item x="331"/>
        <item x="332"/>
        <item x="202"/>
        <item x="333"/>
        <item x="203"/>
        <item x="204"/>
        <item x="205"/>
        <item x="334"/>
        <item x="207"/>
        <item x="338"/>
        <item x="339"/>
        <item x="337"/>
        <item x="340"/>
        <item x="341"/>
        <item x="374"/>
        <item x="375"/>
        <item x="342"/>
        <item x="343"/>
        <item x="344"/>
        <item x="214"/>
        <item x="209"/>
        <item x="210"/>
        <item x="211"/>
        <item x="212"/>
        <item x="213"/>
        <item x="215"/>
        <item x="346"/>
        <item x="376"/>
        <item x="345"/>
        <item x="216"/>
        <item x="217"/>
        <item x="219"/>
        <item x="347"/>
        <item x="221"/>
        <item x="348"/>
        <item x="349"/>
        <item x="223"/>
        <item x="222"/>
        <item x="350"/>
        <item x="351"/>
        <item x="224"/>
        <item x="225"/>
        <item x="226"/>
        <item x="231"/>
        <item x="352"/>
        <item x="227"/>
        <item x="228"/>
        <item x="353"/>
        <item x="229"/>
        <item x="230"/>
        <item x="232"/>
        <item x="377"/>
        <item x="233"/>
        <item x="234"/>
        <item x="354"/>
        <item x="235"/>
        <item x="236"/>
        <item x="237"/>
        <item x="355"/>
        <item x="238"/>
        <item x="239"/>
        <item x="356"/>
        <item x="240"/>
        <item x="241"/>
        <item x="357"/>
        <item x="242"/>
        <item x="358"/>
        <item x="244"/>
        <item x="249"/>
        <item x="360"/>
        <item x="250"/>
        <item x="245"/>
        <item x="246"/>
        <item x="247"/>
        <item x="378"/>
        <item x="252"/>
        <item x="4"/>
        <item x="6"/>
        <item x="8"/>
        <item x="129"/>
        <item x="147"/>
        <item x="166"/>
        <item x="174"/>
        <item x="218"/>
        <item x="220"/>
        <item x="243"/>
        <item x="248"/>
        <item x="251"/>
        <item x="291"/>
        <item x="306"/>
        <item x="322"/>
        <item x="359"/>
        <item x="379"/>
        <item t="default"/>
      </items>
    </pivotField>
    <pivotField axis="axisPage" multipleItemSelectionAllowed="1" showAll="0">
      <items count="5">
        <item h="1" x="2"/>
        <item h="1" x="0"/>
        <item x="1"/>
        <item h="1" x="3"/>
        <item t="default"/>
      </items>
    </pivotField>
    <pivotField showAll="0"/>
    <pivotField showAll="0"/>
    <pivotField numFmtId="42" showAll="0"/>
    <pivotField numFmtId="42" showAll="0"/>
    <pivotField numFmtId="16" showAll="0"/>
    <pivotField showAll="0"/>
    <pivotField axis="axisRow" showAll="0">
      <items count="33">
        <item sd="0" x="26"/>
        <item sd="0" x="0"/>
        <item sd="0" x="5"/>
        <item sd="0" x="7"/>
        <item sd="0" x="14"/>
        <item sd="0" x="2"/>
        <item sd="0" x="27"/>
        <item sd="0" x="10"/>
        <item sd="0" x="13"/>
        <item sd="0" x="4"/>
        <item sd="0" x="28"/>
        <item sd="0" x="9"/>
        <item sd="0" x="1"/>
        <item sd="0" x="16"/>
        <item sd="0" x="17"/>
        <item sd="0" x="18"/>
        <item sd="0" x="8"/>
        <item sd="0" x="12"/>
        <item sd="0" x="19"/>
        <item sd="0" x="31"/>
        <item sd="0" x="29"/>
        <item sd="0" x="3"/>
        <item sd="0" x="22"/>
        <item sd="0" x="23"/>
        <item sd="0" x="11"/>
        <item sd="0" x="15"/>
        <item sd="0" x="24"/>
        <item sd="0" x="6"/>
        <item sd="0" x="20"/>
        <item sd="0" x="30"/>
        <item sd="0" x="21"/>
        <item sd="0" x="25"/>
        <item t="default" sd="0"/>
      </items>
    </pivotField>
    <pivotField dataField="1" showAll="0"/>
    <pivotField showAll="0"/>
  </pivotFields>
  <rowFields count="2">
    <field x="9"/>
    <field x="1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20"/>
    </i>
    <i>
      <x v="21"/>
    </i>
    <i>
      <x v="22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pageFields count="1">
    <pageField fld="2" hier="-1"/>
  </pageFields>
  <dataFields count="1">
    <dataField name="Suma de D/stock" fld="10" baseField="9" baseItem="2" numFmtId="3"/>
  </dataFields>
  <formats count="10">
    <format dxfId="9">
      <pivotArea type="all" dataOnly="0" outline="0" fieldPosition="0"/>
    </format>
    <format dxfId="8">
      <pivotArea outline="0" collapsedLevelsAreSubtotals="1" fieldPosition="0"/>
    </format>
    <format dxfId="7">
      <pivotArea type="origin" dataOnly="0" labelOnly="1" outline="0" fieldPosition="0"/>
    </format>
    <format dxfId="6">
      <pivotArea field="2" type="button" dataOnly="0" labelOnly="1" outline="0" axis="axisPage" fieldPosition="0"/>
    </format>
    <format dxfId="5">
      <pivotArea type="topRight" dataOnly="0" labelOnly="1" outline="0" fieldPosition="0"/>
    </format>
    <format dxfId="4">
      <pivotArea field="9" type="button" dataOnly="0" labelOnly="1" outline="0" axis="axisRow" fieldPosition="0"/>
    </format>
    <format dxfId="3">
      <pivotArea dataOnly="0" labelOnly="1" fieldPosition="0">
        <references count="1">
          <reference field="9" count="0"/>
        </references>
      </pivotArea>
    </format>
    <format dxfId="2">
      <pivotArea dataOnly="0" labelOnly="1" grandRow="1" outline="0" fieldPosition="0"/>
    </format>
    <format dxfId="1">
      <pivotArea dataOnly="0" labelOnly="1" grandCol="1" outline="0" fieldPosition="0"/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AFD63B-1EB3-430C-B0BB-B6D6FED17007}" name="TablaDinámica1" cacheId="19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olHeaderCaption="BODEGAS ">
  <location ref="A3:F37" firstHeaderRow="1" firstDataRow="2" firstDataCol="1"/>
  <pivotFields count="12">
    <pivotField showAll="0"/>
    <pivotField showAll="0"/>
    <pivotField axis="axisCol" showAll="0">
      <items count="5">
        <item x="2"/>
        <item x="0"/>
        <item x="1"/>
        <item x="3"/>
        <item t="default"/>
      </items>
    </pivotField>
    <pivotField showAll="0"/>
    <pivotField showAll="0"/>
    <pivotField numFmtId="42" showAll="0"/>
    <pivotField dataField="1" numFmtId="42" showAll="0"/>
    <pivotField numFmtId="16" showAll="0"/>
    <pivotField showAll="0"/>
    <pivotField axis="axisRow" showAll="0" sortType="descending">
      <items count="33">
        <item x="26"/>
        <item x="0"/>
        <item x="5"/>
        <item x="7"/>
        <item x="14"/>
        <item x="2"/>
        <item x="27"/>
        <item x="10"/>
        <item x="13"/>
        <item x="4"/>
        <item x="28"/>
        <item x="9"/>
        <item x="1"/>
        <item x="16"/>
        <item x="17"/>
        <item x="18"/>
        <item x="8"/>
        <item x="12"/>
        <item x="19"/>
        <item x="31"/>
        <item x="29"/>
        <item x="3"/>
        <item x="22"/>
        <item x="23"/>
        <item x="11"/>
        <item x="15"/>
        <item x="24"/>
        <item x="6"/>
        <item x="20"/>
        <item x="30"/>
        <item x="2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</pivotFields>
  <rowFields count="1">
    <field x="9"/>
  </rowFields>
  <rowItems count="33">
    <i>
      <x v="27"/>
    </i>
    <i>
      <x v="16"/>
    </i>
    <i>
      <x v="8"/>
    </i>
    <i>
      <x v="4"/>
    </i>
    <i>
      <x v="21"/>
    </i>
    <i>
      <x v="5"/>
    </i>
    <i>
      <x v="26"/>
    </i>
    <i>
      <x v="9"/>
    </i>
    <i>
      <x v="28"/>
    </i>
    <i>
      <x v="25"/>
    </i>
    <i>
      <x v="13"/>
    </i>
    <i>
      <x v="30"/>
    </i>
    <i>
      <x v="3"/>
    </i>
    <i>
      <x v="15"/>
    </i>
    <i>
      <x v="12"/>
    </i>
    <i>
      <x v="20"/>
    </i>
    <i>
      <x v="14"/>
    </i>
    <i>
      <x v="2"/>
    </i>
    <i>
      <x v="17"/>
    </i>
    <i>
      <x v="10"/>
    </i>
    <i>
      <x/>
    </i>
    <i>
      <x v="18"/>
    </i>
    <i>
      <x v="1"/>
    </i>
    <i>
      <x v="23"/>
    </i>
    <i>
      <x v="11"/>
    </i>
    <i>
      <x v="22"/>
    </i>
    <i>
      <x v="31"/>
    </i>
    <i>
      <x v="6"/>
    </i>
    <i>
      <x v="29"/>
    </i>
    <i>
      <x v="24"/>
    </i>
    <i>
      <x v="19"/>
    </i>
    <i>
      <x v="7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uma de Valorizado" fld="6" baseField="0" baseItem="0" numFmtId="42"/>
  </dataFields>
  <formats count="10">
    <format dxfId="19">
      <pivotArea type="all" dataOnly="0" outline="0" fieldPosition="0"/>
    </format>
    <format dxfId="18">
      <pivotArea outline="0" collapsedLevelsAreSubtotals="1" fieldPosition="0"/>
    </format>
    <format dxfId="17">
      <pivotArea type="origin" dataOnly="0" labelOnly="1" outline="0" fieldPosition="0"/>
    </format>
    <format dxfId="16">
      <pivotArea field="2" type="button" dataOnly="0" labelOnly="1" outline="0" axis="axisCol" fieldPosition="0"/>
    </format>
    <format dxfId="15">
      <pivotArea type="topRight" dataOnly="0" labelOnly="1" outline="0" fieldPosition="0"/>
    </format>
    <format dxfId="14">
      <pivotArea field="9" type="button" dataOnly="0" labelOnly="1" outline="0" axis="axisRow" fieldPosition="0"/>
    </format>
    <format dxfId="13">
      <pivotArea dataOnly="0" labelOnly="1" fieldPosition="0">
        <references count="1">
          <reference field="9" count="0"/>
        </references>
      </pivotArea>
    </format>
    <format dxfId="12">
      <pivotArea dataOnly="0" labelOnly="1" grandRow="1" outline="0" fieldPosition="0"/>
    </format>
    <format dxfId="11">
      <pivotArea dataOnly="0" labelOnly="1" fieldPosition="0">
        <references count="1">
          <reference field="2" count="0"/>
        </references>
      </pivotArea>
    </format>
    <format dxfId="1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0A7B1-054E-460A-8D2F-F5514D6FB19E}">
  <dimension ref="A1:N386"/>
  <sheetViews>
    <sheetView topLeftCell="A10" workbookViewId="0">
      <selection activeCell="J24" sqref="J24"/>
    </sheetView>
  </sheetViews>
  <sheetFormatPr baseColWidth="10" defaultRowHeight="14.4" x14ac:dyDescent="0.3"/>
  <cols>
    <col min="1" max="1" width="17.77734375" style="2" bestFit="1" customWidth="1"/>
    <col min="2" max="6" width="13" style="2" bestFit="1" customWidth="1"/>
    <col min="7" max="9" width="4" style="2" customWidth="1"/>
    <col min="10" max="10" width="16.6640625" style="2" bestFit="1" customWidth="1"/>
    <col min="11" max="11" width="15.33203125" style="2" bestFit="1" customWidth="1"/>
    <col min="12" max="13" width="10.5546875" style="2" bestFit="1" customWidth="1"/>
    <col min="14" max="14" width="11.88671875" style="2" bestFit="1" customWidth="1"/>
    <col min="15" max="16384" width="11.5546875" style="2"/>
  </cols>
  <sheetData>
    <row r="1" spans="1:14" x14ac:dyDescent="0.3">
      <c r="J1" s="10" t="s">
        <v>246</v>
      </c>
      <c r="K1" s="2" t="s">
        <v>253</v>
      </c>
    </row>
    <row r="3" spans="1:14" x14ac:dyDescent="0.3">
      <c r="A3" s="10" t="s">
        <v>424</v>
      </c>
      <c r="B3" s="10" t="s">
        <v>823</v>
      </c>
      <c r="J3" s="10" t="s">
        <v>423</v>
      </c>
      <c r="K3" s="2" t="s">
        <v>425</v>
      </c>
      <c r="L3"/>
      <c r="M3"/>
      <c r="N3"/>
    </row>
    <row r="4" spans="1:14" x14ac:dyDescent="0.3">
      <c r="A4" s="10" t="s">
        <v>423</v>
      </c>
      <c r="B4" s="2" t="s">
        <v>399</v>
      </c>
      <c r="C4" s="2" t="s">
        <v>1</v>
      </c>
      <c r="D4" s="2" t="s">
        <v>253</v>
      </c>
      <c r="E4" s="2" t="s">
        <v>820</v>
      </c>
      <c r="F4" s="2" t="s">
        <v>422</v>
      </c>
      <c r="J4" s="11" t="s">
        <v>394</v>
      </c>
      <c r="K4" s="7">
        <v>98.549953022236153</v>
      </c>
      <c r="L4"/>
      <c r="M4"/>
      <c r="N4"/>
    </row>
    <row r="5" spans="1:14" x14ac:dyDescent="0.3">
      <c r="A5" s="11" t="s">
        <v>371</v>
      </c>
      <c r="B5" s="12">
        <v>35104850</v>
      </c>
      <c r="C5" s="12">
        <v>56297187.04999999</v>
      </c>
      <c r="D5" s="12">
        <v>38521406.17499999</v>
      </c>
      <c r="E5" s="12"/>
      <c r="F5" s="12">
        <v>129923443.22499996</v>
      </c>
      <c r="J5" s="11" t="s">
        <v>367</v>
      </c>
      <c r="K5" s="7">
        <v>28.94358645178372</v>
      </c>
      <c r="L5"/>
      <c r="M5"/>
      <c r="N5"/>
    </row>
    <row r="6" spans="1:14" x14ac:dyDescent="0.3">
      <c r="A6" s="11" t="s">
        <v>373</v>
      </c>
      <c r="B6" s="12">
        <v>111931.98120000001</v>
      </c>
      <c r="C6" s="12">
        <v>30432864.6512</v>
      </c>
      <c r="D6" s="12">
        <v>13134919.1186</v>
      </c>
      <c r="E6" s="12">
        <v>78284201.994000003</v>
      </c>
      <c r="F6" s="12">
        <v>121963917.745</v>
      </c>
      <c r="J6" s="11" t="s">
        <v>370</v>
      </c>
      <c r="K6" s="7">
        <v>77.922753036437243</v>
      </c>
      <c r="L6"/>
      <c r="M6"/>
      <c r="N6"/>
    </row>
    <row r="7" spans="1:14" x14ac:dyDescent="0.3">
      <c r="A7" s="11" t="s">
        <v>379</v>
      </c>
      <c r="B7" s="12">
        <v>450238.61249999999</v>
      </c>
      <c r="C7" s="12">
        <v>65997867.332000002</v>
      </c>
      <c r="D7" s="12">
        <v>43804552.289999992</v>
      </c>
      <c r="E7" s="12"/>
      <c r="F7" s="12">
        <v>110252658.23449999</v>
      </c>
      <c r="J7" s="11" t="s">
        <v>372</v>
      </c>
      <c r="K7" s="7">
        <v>54.115885057471267</v>
      </c>
      <c r="L7"/>
      <c r="M7"/>
      <c r="N7"/>
    </row>
    <row r="8" spans="1:14" x14ac:dyDescent="0.3">
      <c r="A8" s="11" t="s">
        <v>381</v>
      </c>
      <c r="B8" s="12">
        <v>6621634.4500000002</v>
      </c>
      <c r="C8" s="12">
        <v>34858107</v>
      </c>
      <c r="D8" s="12">
        <v>25005040</v>
      </c>
      <c r="E8" s="12"/>
      <c r="F8" s="12">
        <v>66484781.450000003</v>
      </c>
      <c r="J8" s="11" t="s">
        <v>381</v>
      </c>
      <c r="K8" s="7">
        <v>871.57636628419812</v>
      </c>
      <c r="L8"/>
      <c r="M8"/>
      <c r="N8"/>
    </row>
    <row r="9" spans="1:14" x14ac:dyDescent="0.3">
      <c r="A9" s="11" t="s">
        <v>369</v>
      </c>
      <c r="B9" s="12">
        <v>181481.5</v>
      </c>
      <c r="C9" s="12">
        <v>46287217.497499995</v>
      </c>
      <c r="D9" s="12">
        <v>13943370.369999999</v>
      </c>
      <c r="E9" s="12"/>
      <c r="F9" s="12">
        <v>60412069.367499992</v>
      </c>
      <c r="J9" s="11" t="s">
        <v>368</v>
      </c>
      <c r="K9" s="7">
        <v>146.700925716417</v>
      </c>
      <c r="L9"/>
      <c r="M9"/>
      <c r="N9"/>
    </row>
    <row r="10" spans="1:14" x14ac:dyDescent="0.3">
      <c r="A10" s="11" t="s">
        <v>368</v>
      </c>
      <c r="B10" s="12">
        <v>2827271.4249</v>
      </c>
      <c r="C10" s="12">
        <v>40961447.791600004</v>
      </c>
      <c r="D10" s="12">
        <v>10846042.09</v>
      </c>
      <c r="E10" s="12"/>
      <c r="F10" s="12">
        <v>54634761.306500003</v>
      </c>
      <c r="J10" s="11" t="s">
        <v>395</v>
      </c>
      <c r="K10" s="7">
        <v>33</v>
      </c>
      <c r="L10"/>
      <c r="M10"/>
      <c r="N10"/>
    </row>
    <row r="11" spans="1:14" x14ac:dyDescent="0.3">
      <c r="A11" s="11" t="s">
        <v>391</v>
      </c>
      <c r="B11" s="12">
        <v>17435743.732099999</v>
      </c>
      <c r="C11" s="12">
        <v>1275991.2</v>
      </c>
      <c r="D11" s="12">
        <v>4195139.8</v>
      </c>
      <c r="E11" s="12">
        <v>30932370</v>
      </c>
      <c r="F11" s="12">
        <v>53839244.732099995</v>
      </c>
      <c r="J11" s="11" t="s">
        <v>379</v>
      </c>
      <c r="K11" s="7">
        <v>284.90898321392854</v>
      </c>
      <c r="L11"/>
      <c r="M11"/>
      <c r="N11"/>
    </row>
    <row r="12" spans="1:14" x14ac:dyDescent="0.3">
      <c r="A12" s="11" t="s">
        <v>365</v>
      </c>
      <c r="B12" s="12">
        <v>2931912.42</v>
      </c>
      <c r="C12" s="12">
        <v>24229798.799999997</v>
      </c>
      <c r="D12" s="12">
        <v>16511921.199999999</v>
      </c>
      <c r="E12" s="12"/>
      <c r="F12" s="12">
        <v>43673632.420000002</v>
      </c>
      <c r="J12" s="11" t="s">
        <v>365</v>
      </c>
      <c r="K12" s="7">
        <v>128.65100446311661</v>
      </c>
      <c r="L12"/>
      <c r="M12"/>
      <c r="N12"/>
    </row>
    <row r="13" spans="1:14" x14ac:dyDescent="0.3">
      <c r="A13" s="11" t="s">
        <v>387</v>
      </c>
      <c r="B13" s="12">
        <v>19531372.6032</v>
      </c>
      <c r="C13" s="12">
        <v>1105000</v>
      </c>
      <c r="D13" s="12">
        <v>22662356.399999999</v>
      </c>
      <c r="E13" s="12"/>
      <c r="F13" s="12">
        <v>43298729.003199995</v>
      </c>
      <c r="J13" s="11" t="s">
        <v>396</v>
      </c>
      <c r="K13" s="7">
        <v>23.458515283842793</v>
      </c>
      <c r="L13"/>
      <c r="M13"/>
      <c r="N13"/>
    </row>
    <row r="14" spans="1:14" x14ac:dyDescent="0.3">
      <c r="A14" s="11" t="s">
        <v>382</v>
      </c>
      <c r="B14" s="12">
        <v>18102302.719999999</v>
      </c>
      <c r="C14" s="12">
        <v>15307440</v>
      </c>
      <c r="D14" s="12">
        <v>6779448.75</v>
      </c>
      <c r="E14" s="12"/>
      <c r="F14" s="12">
        <v>40189191.469999999</v>
      </c>
      <c r="J14" s="11" t="s">
        <v>375</v>
      </c>
      <c r="K14" s="7">
        <v>75.728267868641339</v>
      </c>
      <c r="L14"/>
      <c r="M14"/>
      <c r="N14"/>
    </row>
    <row r="15" spans="1:14" x14ac:dyDescent="0.3">
      <c r="A15" s="11" t="s">
        <v>364</v>
      </c>
      <c r="B15" s="12">
        <v>3853532.62</v>
      </c>
      <c r="C15" s="12">
        <v>18363890</v>
      </c>
      <c r="D15" s="12">
        <v>16779885</v>
      </c>
      <c r="E15" s="12"/>
      <c r="F15" s="12">
        <v>38997307.620000005</v>
      </c>
      <c r="J15" s="11" t="s">
        <v>366</v>
      </c>
      <c r="K15" s="7">
        <v>374.54463300002504</v>
      </c>
      <c r="L15"/>
      <c r="M15"/>
      <c r="N15"/>
    </row>
    <row r="16" spans="1:14" x14ac:dyDescent="0.3">
      <c r="A16" s="11" t="s">
        <v>388</v>
      </c>
      <c r="B16" s="12"/>
      <c r="C16" s="12">
        <v>14715287.649999999</v>
      </c>
      <c r="D16" s="12">
        <v>10485436.4</v>
      </c>
      <c r="E16" s="12"/>
      <c r="F16" s="12">
        <v>25200724.049999997</v>
      </c>
      <c r="J16" s="11" t="s">
        <v>364</v>
      </c>
      <c r="K16" s="7">
        <v>807.90132025596074</v>
      </c>
      <c r="L16"/>
      <c r="M16"/>
      <c r="N16"/>
    </row>
    <row r="17" spans="1:14" x14ac:dyDescent="0.3">
      <c r="A17" s="11" t="s">
        <v>372</v>
      </c>
      <c r="B17" s="12">
        <v>590380.53</v>
      </c>
      <c r="C17" s="12">
        <v>7321021.25</v>
      </c>
      <c r="D17" s="12">
        <v>2749569.4</v>
      </c>
      <c r="E17" s="12"/>
      <c r="F17" s="12">
        <v>10660971.18</v>
      </c>
      <c r="J17" s="11" t="s">
        <v>384</v>
      </c>
      <c r="K17" s="7">
        <v>1440.6672064777329</v>
      </c>
      <c r="L17"/>
      <c r="M17"/>
      <c r="N17"/>
    </row>
    <row r="18" spans="1:14" x14ac:dyDescent="0.3">
      <c r="A18" s="11" t="s">
        <v>385</v>
      </c>
      <c r="B18" s="12"/>
      <c r="C18" s="12">
        <v>8214389.8975999998</v>
      </c>
      <c r="D18" s="12">
        <v>2331177</v>
      </c>
      <c r="E18" s="12"/>
      <c r="F18" s="12">
        <v>10545566.897599999</v>
      </c>
      <c r="J18" s="11" t="s">
        <v>385</v>
      </c>
      <c r="K18" s="7">
        <v>12.63654715216385</v>
      </c>
      <c r="L18"/>
      <c r="M18"/>
      <c r="N18"/>
    </row>
    <row r="19" spans="1:14" x14ac:dyDescent="0.3">
      <c r="A19" s="11" t="s">
        <v>366</v>
      </c>
      <c r="B19" s="12"/>
      <c r="C19" s="12">
        <v>6638492.2150000008</v>
      </c>
      <c r="D19" s="12">
        <v>3796027.65</v>
      </c>
      <c r="E19" s="12"/>
      <c r="F19" s="12">
        <v>10434519.865</v>
      </c>
      <c r="J19" s="11" t="s">
        <v>373</v>
      </c>
      <c r="K19" s="7">
        <v>1096.4312970458836</v>
      </c>
      <c r="L19"/>
      <c r="M19"/>
      <c r="N19"/>
    </row>
    <row r="20" spans="1:14" x14ac:dyDescent="0.3">
      <c r="A20" s="11" t="s">
        <v>420</v>
      </c>
      <c r="B20" s="12">
        <v>6990916.8420000002</v>
      </c>
      <c r="C20" s="12"/>
      <c r="D20" s="12">
        <v>1426000</v>
      </c>
      <c r="E20" s="12"/>
      <c r="F20" s="12">
        <v>8416916.8420000002</v>
      </c>
      <c r="J20" s="11" t="s">
        <v>378</v>
      </c>
      <c r="K20" s="7">
        <v>37.13318841033923</v>
      </c>
      <c r="L20"/>
      <c r="M20"/>
      <c r="N20"/>
    </row>
    <row r="21" spans="1:14" x14ac:dyDescent="0.3">
      <c r="A21" s="11" t="s">
        <v>384</v>
      </c>
      <c r="B21" s="12">
        <v>417870.76</v>
      </c>
      <c r="C21" s="12">
        <v>2824932.8000000003</v>
      </c>
      <c r="D21" s="12">
        <v>4510903.99</v>
      </c>
      <c r="E21" s="12"/>
      <c r="F21" s="12">
        <v>7753707.5500000007</v>
      </c>
      <c r="J21" s="11" t="s">
        <v>386</v>
      </c>
      <c r="K21" s="7">
        <v>96.025466893039052</v>
      </c>
      <c r="L21"/>
      <c r="M21"/>
      <c r="N21"/>
    </row>
    <row r="22" spans="1:14" x14ac:dyDescent="0.3">
      <c r="A22" s="11" t="s">
        <v>370</v>
      </c>
      <c r="B22" s="12">
        <v>2343758.5619000001</v>
      </c>
      <c r="C22" s="12">
        <v>3627246.2889999999</v>
      </c>
      <c r="D22" s="12">
        <v>969195.21600000001</v>
      </c>
      <c r="E22" s="12"/>
      <c r="F22" s="12">
        <v>6940200.0669</v>
      </c>
      <c r="J22" s="11" t="s">
        <v>420</v>
      </c>
      <c r="K22" s="7">
        <v>6</v>
      </c>
      <c r="L22"/>
      <c r="M22"/>
      <c r="N22"/>
    </row>
    <row r="23" spans="1:14" x14ac:dyDescent="0.3">
      <c r="A23" s="11" t="s">
        <v>378</v>
      </c>
      <c r="B23" s="12"/>
      <c r="C23" s="12">
        <v>3889426.2993999999</v>
      </c>
      <c r="D23" s="12">
        <v>1804358.656</v>
      </c>
      <c r="E23" s="12"/>
      <c r="F23" s="12">
        <v>5693784.9553999994</v>
      </c>
      <c r="J23" s="11" t="s">
        <v>369</v>
      </c>
      <c r="K23" s="7">
        <v>70.130333931411258</v>
      </c>
      <c r="L23"/>
      <c r="M23"/>
      <c r="N23"/>
    </row>
    <row r="24" spans="1:14" x14ac:dyDescent="0.3">
      <c r="A24" s="11" t="s">
        <v>396</v>
      </c>
      <c r="B24" s="12"/>
      <c r="C24" s="12"/>
      <c r="D24" s="12">
        <v>5071800</v>
      </c>
      <c r="E24" s="12"/>
      <c r="F24" s="12">
        <v>5071800</v>
      </c>
      <c r="J24" s="11" t="s">
        <v>389</v>
      </c>
      <c r="K24" s="7">
        <v>58.041407341547057</v>
      </c>
      <c r="L24"/>
      <c r="M24"/>
      <c r="N24"/>
    </row>
    <row r="25" spans="1:14" x14ac:dyDescent="0.3">
      <c r="A25" s="11" t="s">
        <v>394</v>
      </c>
      <c r="B25" s="12"/>
      <c r="C25" s="12"/>
      <c r="D25" s="12">
        <v>4936000</v>
      </c>
      <c r="E25" s="12"/>
      <c r="F25" s="12">
        <v>4936000</v>
      </c>
      <c r="J25" s="11" t="s">
        <v>382</v>
      </c>
      <c r="K25" s="7">
        <v>14.013168264970945</v>
      </c>
      <c r="L25"/>
      <c r="M25"/>
      <c r="N25"/>
    </row>
    <row r="26" spans="1:14" x14ac:dyDescent="0.3">
      <c r="A26" s="11" t="s">
        <v>386</v>
      </c>
      <c r="B26" s="12"/>
      <c r="C26" s="12">
        <v>2684298.23</v>
      </c>
      <c r="D26" s="12">
        <v>2003493.52</v>
      </c>
      <c r="E26" s="12"/>
      <c r="F26" s="12">
        <v>4687791.75</v>
      </c>
      <c r="J26" s="11" t="s">
        <v>391</v>
      </c>
      <c r="K26" s="7">
        <v>26.783223716407853</v>
      </c>
      <c r="L26"/>
      <c r="M26"/>
      <c r="N26"/>
    </row>
    <row r="27" spans="1:14" x14ac:dyDescent="0.3">
      <c r="A27" s="11" t="s">
        <v>367</v>
      </c>
      <c r="B27" s="12"/>
      <c r="C27" s="12">
        <v>2842475.5</v>
      </c>
      <c r="D27" s="12">
        <v>1501665.4700000002</v>
      </c>
      <c r="E27" s="12"/>
      <c r="F27" s="12">
        <v>4344140.9700000007</v>
      </c>
      <c r="J27" s="11" t="s">
        <v>371</v>
      </c>
      <c r="K27" s="7">
        <v>311.33519872153101</v>
      </c>
      <c r="L27"/>
      <c r="M27"/>
      <c r="N27"/>
    </row>
    <row r="28" spans="1:14" x14ac:dyDescent="0.3">
      <c r="A28" s="11" t="s">
        <v>390</v>
      </c>
      <c r="B28" s="12"/>
      <c r="C28" s="12">
        <v>2467490.1973999999</v>
      </c>
      <c r="D28" s="12"/>
      <c r="E28" s="12"/>
      <c r="F28" s="12">
        <v>2467490.1973999999</v>
      </c>
      <c r="J28" s="11" t="s">
        <v>387</v>
      </c>
      <c r="K28" s="7">
        <v>78.039056232898062</v>
      </c>
      <c r="L28"/>
      <c r="M28"/>
      <c r="N28"/>
    </row>
    <row r="29" spans="1:14" x14ac:dyDescent="0.3">
      <c r="A29" s="11" t="s">
        <v>375</v>
      </c>
      <c r="B29" s="12">
        <v>69816.934599999993</v>
      </c>
      <c r="C29" s="12">
        <v>732720</v>
      </c>
      <c r="D29" s="12">
        <v>1487370</v>
      </c>
      <c r="E29" s="12"/>
      <c r="F29" s="12">
        <v>2289906.9346000003</v>
      </c>
      <c r="J29" s="11" t="s">
        <v>397</v>
      </c>
      <c r="K29" s="7">
        <v>29.375999999999998</v>
      </c>
      <c r="L29"/>
      <c r="M29"/>
      <c r="N29"/>
    </row>
    <row r="30" spans="1:14" x14ac:dyDescent="0.3">
      <c r="A30" s="11" t="s">
        <v>389</v>
      </c>
      <c r="B30" s="12"/>
      <c r="C30" s="12">
        <v>1845397.8</v>
      </c>
      <c r="D30" s="12">
        <v>165734.91200000001</v>
      </c>
      <c r="E30" s="12"/>
      <c r="F30" s="12">
        <v>2011132.7120000001</v>
      </c>
      <c r="J30" s="11" t="s">
        <v>388</v>
      </c>
      <c r="K30" s="7">
        <v>47.581136661440816</v>
      </c>
      <c r="L30"/>
      <c r="M30"/>
      <c r="N30"/>
    </row>
    <row r="31" spans="1:14" x14ac:dyDescent="0.3">
      <c r="A31" s="11" t="s">
        <v>393</v>
      </c>
      <c r="B31" s="12"/>
      <c r="C31" s="12">
        <v>1056744</v>
      </c>
      <c r="D31" s="12">
        <v>235961</v>
      </c>
      <c r="E31" s="12"/>
      <c r="F31" s="12">
        <v>1292705</v>
      </c>
      <c r="J31" s="11" t="s">
        <v>393</v>
      </c>
      <c r="K31" s="7">
        <v>4.2584898122253287</v>
      </c>
      <c r="L31"/>
      <c r="M31"/>
      <c r="N31"/>
    </row>
    <row r="32" spans="1:14" x14ac:dyDescent="0.3">
      <c r="A32" s="11" t="s">
        <v>395</v>
      </c>
      <c r="B32" s="12"/>
      <c r="C32" s="12"/>
      <c r="D32" s="12">
        <v>557370</v>
      </c>
      <c r="E32" s="12"/>
      <c r="F32" s="12">
        <v>557370</v>
      </c>
      <c r="J32" s="11" t="s">
        <v>422</v>
      </c>
      <c r="K32" s="7">
        <v>6334.4539143156489</v>
      </c>
      <c r="L32"/>
      <c r="M32"/>
      <c r="N32"/>
    </row>
    <row r="33" spans="1:14" x14ac:dyDescent="0.3">
      <c r="A33" s="11" t="s">
        <v>397</v>
      </c>
      <c r="B33" s="12">
        <v>240290.84640000001</v>
      </c>
      <c r="C33" s="12"/>
      <c r="D33" s="12">
        <v>45158.011200000001</v>
      </c>
      <c r="E33" s="12"/>
      <c r="F33" s="12">
        <v>285448.85759999999</v>
      </c>
      <c r="J33"/>
      <c r="K33"/>
      <c r="L33"/>
      <c r="M33"/>
      <c r="N33"/>
    </row>
    <row r="34" spans="1:14" x14ac:dyDescent="0.3">
      <c r="A34" s="11" t="s">
        <v>376</v>
      </c>
      <c r="B34" s="12"/>
      <c r="C34" s="12">
        <v>132766.79999999999</v>
      </c>
      <c r="D34" s="12"/>
      <c r="E34" s="12"/>
      <c r="F34" s="12">
        <v>132766.79999999999</v>
      </c>
      <c r="J34"/>
      <c r="K34"/>
      <c r="L34"/>
      <c r="M34"/>
      <c r="N34"/>
    </row>
    <row r="35" spans="1:14" x14ac:dyDescent="0.3">
      <c r="A35" s="11" t="s">
        <v>419</v>
      </c>
      <c r="B35" s="12">
        <v>45450</v>
      </c>
      <c r="C35" s="12"/>
      <c r="D35" s="12"/>
      <c r="E35" s="12"/>
      <c r="F35" s="12">
        <v>45450</v>
      </c>
      <c r="J35"/>
      <c r="K35"/>
      <c r="L35"/>
      <c r="M35"/>
      <c r="N35"/>
    </row>
    <row r="36" spans="1:14" x14ac:dyDescent="0.3">
      <c r="A36" s="11" t="s">
        <v>377</v>
      </c>
      <c r="B36" s="12"/>
      <c r="C36" s="12">
        <v>44489</v>
      </c>
      <c r="D36" s="12"/>
      <c r="E36" s="12"/>
      <c r="F36" s="12">
        <v>44489</v>
      </c>
      <c r="J36"/>
      <c r="K36"/>
      <c r="L36"/>
      <c r="M36"/>
      <c r="N36"/>
    </row>
    <row r="37" spans="1:14" x14ac:dyDescent="0.3">
      <c r="A37" s="11" t="s">
        <v>422</v>
      </c>
      <c r="B37" s="12">
        <v>117850756.53879999</v>
      </c>
      <c r="C37" s="12">
        <v>394153989.25069994</v>
      </c>
      <c r="D37" s="12">
        <v>256261302.41880003</v>
      </c>
      <c r="E37" s="12">
        <v>109216571.994</v>
      </c>
      <c r="F37" s="12">
        <v>877482620.20229983</v>
      </c>
      <c r="J37"/>
      <c r="K37"/>
      <c r="L37"/>
      <c r="M37"/>
      <c r="N37"/>
    </row>
    <row r="38" spans="1:14" x14ac:dyDescent="0.3">
      <c r="J38"/>
      <c r="K38"/>
    </row>
    <row r="39" spans="1:14" x14ac:dyDescent="0.3">
      <c r="J39"/>
      <c r="K39"/>
    </row>
    <row r="40" spans="1:14" x14ac:dyDescent="0.3">
      <c r="J40"/>
      <c r="K40"/>
    </row>
    <row r="41" spans="1:14" x14ac:dyDescent="0.3">
      <c r="J41"/>
      <c r="K41"/>
    </row>
    <row r="42" spans="1:14" x14ac:dyDescent="0.3">
      <c r="J42"/>
      <c r="K42"/>
    </row>
    <row r="43" spans="1:14" x14ac:dyDescent="0.3">
      <c r="J43"/>
      <c r="K43"/>
    </row>
    <row r="44" spans="1:14" x14ac:dyDescent="0.3">
      <c r="J44"/>
      <c r="K44"/>
    </row>
    <row r="45" spans="1:14" x14ac:dyDescent="0.3">
      <c r="J45"/>
      <c r="K45"/>
    </row>
    <row r="46" spans="1:14" x14ac:dyDescent="0.3">
      <c r="J46"/>
      <c r="K46"/>
    </row>
    <row r="47" spans="1:14" x14ac:dyDescent="0.3">
      <c r="J47"/>
      <c r="K47"/>
    </row>
    <row r="48" spans="1:14" x14ac:dyDescent="0.3">
      <c r="J48"/>
      <c r="K48"/>
    </row>
    <row r="49" spans="10:11" x14ac:dyDescent="0.3">
      <c r="J49"/>
      <c r="K49"/>
    </row>
    <row r="50" spans="10:11" x14ac:dyDescent="0.3">
      <c r="J50"/>
      <c r="K50"/>
    </row>
    <row r="51" spans="10:11" x14ac:dyDescent="0.3">
      <c r="J51"/>
      <c r="K51"/>
    </row>
    <row r="52" spans="10:11" x14ac:dyDescent="0.3">
      <c r="J52"/>
      <c r="K52"/>
    </row>
    <row r="53" spans="10:11" x14ac:dyDescent="0.3">
      <c r="J53"/>
      <c r="K53"/>
    </row>
    <row r="54" spans="10:11" x14ac:dyDescent="0.3">
      <c r="J54"/>
      <c r="K54"/>
    </row>
    <row r="55" spans="10:11" x14ac:dyDescent="0.3">
      <c r="J55"/>
      <c r="K55"/>
    </row>
    <row r="56" spans="10:11" x14ac:dyDescent="0.3">
      <c r="J56"/>
      <c r="K56"/>
    </row>
    <row r="57" spans="10:11" x14ac:dyDescent="0.3">
      <c r="J57"/>
      <c r="K57"/>
    </row>
    <row r="58" spans="10:11" x14ac:dyDescent="0.3">
      <c r="J58"/>
      <c r="K58"/>
    </row>
    <row r="59" spans="10:11" x14ac:dyDescent="0.3">
      <c r="J59"/>
      <c r="K59"/>
    </row>
    <row r="60" spans="10:11" x14ac:dyDescent="0.3">
      <c r="J60"/>
      <c r="K60"/>
    </row>
    <row r="61" spans="10:11" x14ac:dyDescent="0.3">
      <c r="J61"/>
      <c r="K61"/>
    </row>
    <row r="62" spans="10:11" x14ac:dyDescent="0.3">
      <c r="J62"/>
      <c r="K62"/>
    </row>
    <row r="63" spans="10:11" x14ac:dyDescent="0.3">
      <c r="J63"/>
      <c r="K63"/>
    </row>
    <row r="64" spans="10:11" x14ac:dyDescent="0.3">
      <c r="J64"/>
      <c r="K64"/>
    </row>
    <row r="65" spans="10:11" x14ac:dyDescent="0.3">
      <c r="J65"/>
      <c r="K65"/>
    </row>
    <row r="66" spans="10:11" x14ac:dyDescent="0.3">
      <c r="J66"/>
      <c r="K66"/>
    </row>
    <row r="67" spans="10:11" x14ac:dyDescent="0.3">
      <c r="J67"/>
      <c r="K67"/>
    </row>
    <row r="68" spans="10:11" x14ac:dyDescent="0.3">
      <c r="J68"/>
      <c r="K68"/>
    </row>
    <row r="69" spans="10:11" x14ac:dyDescent="0.3">
      <c r="J69"/>
      <c r="K69"/>
    </row>
    <row r="70" spans="10:11" x14ac:dyDescent="0.3">
      <c r="J70"/>
      <c r="K70"/>
    </row>
    <row r="71" spans="10:11" x14ac:dyDescent="0.3">
      <c r="J71"/>
      <c r="K71"/>
    </row>
    <row r="72" spans="10:11" x14ac:dyDescent="0.3">
      <c r="J72"/>
      <c r="K72"/>
    </row>
    <row r="73" spans="10:11" x14ac:dyDescent="0.3">
      <c r="J73"/>
      <c r="K73"/>
    </row>
    <row r="74" spans="10:11" x14ac:dyDescent="0.3">
      <c r="J74"/>
      <c r="K74"/>
    </row>
    <row r="75" spans="10:11" x14ac:dyDescent="0.3">
      <c r="J75"/>
      <c r="K75"/>
    </row>
    <row r="76" spans="10:11" x14ac:dyDescent="0.3">
      <c r="J76"/>
      <c r="K76"/>
    </row>
    <row r="77" spans="10:11" x14ac:dyDescent="0.3">
      <c r="J77"/>
      <c r="K77"/>
    </row>
    <row r="78" spans="10:11" x14ac:dyDescent="0.3">
      <c r="J78"/>
      <c r="K78"/>
    </row>
    <row r="79" spans="10:11" x14ac:dyDescent="0.3">
      <c r="J79"/>
      <c r="K79"/>
    </row>
    <row r="80" spans="10:11" x14ac:dyDescent="0.3">
      <c r="J80"/>
      <c r="K80"/>
    </row>
    <row r="81" spans="10:11" x14ac:dyDescent="0.3">
      <c r="J81"/>
      <c r="K81"/>
    </row>
    <row r="82" spans="10:11" x14ac:dyDescent="0.3">
      <c r="J82"/>
      <c r="K82"/>
    </row>
    <row r="83" spans="10:11" x14ac:dyDescent="0.3">
      <c r="J83"/>
      <c r="K83"/>
    </row>
    <row r="84" spans="10:11" x14ac:dyDescent="0.3">
      <c r="J84"/>
      <c r="K84"/>
    </row>
    <row r="85" spans="10:11" x14ac:dyDescent="0.3">
      <c r="J85"/>
      <c r="K85"/>
    </row>
    <row r="86" spans="10:11" x14ac:dyDescent="0.3">
      <c r="J86"/>
      <c r="K86"/>
    </row>
    <row r="87" spans="10:11" x14ac:dyDescent="0.3">
      <c r="J87"/>
      <c r="K87"/>
    </row>
    <row r="88" spans="10:11" x14ac:dyDescent="0.3">
      <c r="J88"/>
      <c r="K88"/>
    </row>
    <row r="89" spans="10:11" x14ac:dyDescent="0.3">
      <c r="J89"/>
      <c r="K89"/>
    </row>
    <row r="90" spans="10:11" x14ac:dyDescent="0.3">
      <c r="J90"/>
      <c r="K90"/>
    </row>
    <row r="91" spans="10:11" x14ac:dyDescent="0.3">
      <c r="J91"/>
      <c r="K91"/>
    </row>
    <row r="92" spans="10:11" x14ac:dyDescent="0.3">
      <c r="J92"/>
      <c r="K92"/>
    </row>
    <row r="93" spans="10:11" x14ac:dyDescent="0.3">
      <c r="J93"/>
      <c r="K93"/>
    </row>
    <row r="94" spans="10:11" x14ac:dyDescent="0.3">
      <c r="J94"/>
      <c r="K94"/>
    </row>
    <row r="95" spans="10:11" x14ac:dyDescent="0.3">
      <c r="J95"/>
      <c r="K95"/>
    </row>
    <row r="96" spans="10:11" x14ac:dyDescent="0.3">
      <c r="J96"/>
      <c r="K96"/>
    </row>
    <row r="97" spans="10:11" x14ac:dyDescent="0.3">
      <c r="J97"/>
      <c r="K97"/>
    </row>
    <row r="98" spans="10:11" x14ac:dyDescent="0.3">
      <c r="J98"/>
      <c r="K98"/>
    </row>
    <row r="99" spans="10:11" x14ac:dyDescent="0.3">
      <c r="J99"/>
      <c r="K99"/>
    </row>
    <row r="100" spans="10:11" x14ac:dyDescent="0.3">
      <c r="J100"/>
      <c r="K100"/>
    </row>
    <row r="101" spans="10:11" x14ac:dyDescent="0.3">
      <c r="J101"/>
      <c r="K101"/>
    </row>
    <row r="102" spans="10:11" x14ac:dyDescent="0.3">
      <c r="J102"/>
      <c r="K102"/>
    </row>
    <row r="103" spans="10:11" x14ac:dyDescent="0.3">
      <c r="J103"/>
      <c r="K103"/>
    </row>
    <row r="104" spans="10:11" x14ac:dyDescent="0.3">
      <c r="J104"/>
      <c r="K104"/>
    </row>
    <row r="105" spans="10:11" x14ac:dyDescent="0.3">
      <c r="J105"/>
      <c r="K105"/>
    </row>
    <row r="106" spans="10:11" x14ac:dyDescent="0.3">
      <c r="J106"/>
      <c r="K106"/>
    </row>
    <row r="107" spans="10:11" x14ac:dyDescent="0.3">
      <c r="J107"/>
      <c r="K107"/>
    </row>
    <row r="108" spans="10:11" x14ac:dyDescent="0.3">
      <c r="J108"/>
      <c r="K108"/>
    </row>
    <row r="109" spans="10:11" x14ac:dyDescent="0.3">
      <c r="J109"/>
      <c r="K109"/>
    </row>
    <row r="110" spans="10:11" x14ac:dyDescent="0.3">
      <c r="J110"/>
      <c r="K110"/>
    </row>
    <row r="111" spans="10:11" x14ac:dyDescent="0.3">
      <c r="J111"/>
      <c r="K111"/>
    </row>
    <row r="112" spans="10:11" x14ac:dyDescent="0.3">
      <c r="J112"/>
      <c r="K112"/>
    </row>
    <row r="113" spans="10:11" x14ac:dyDescent="0.3">
      <c r="J113"/>
      <c r="K113"/>
    </row>
    <row r="114" spans="10:11" x14ac:dyDescent="0.3">
      <c r="J114"/>
      <c r="K114"/>
    </row>
    <row r="115" spans="10:11" x14ac:dyDescent="0.3">
      <c r="J115"/>
      <c r="K115"/>
    </row>
    <row r="116" spans="10:11" x14ac:dyDescent="0.3">
      <c r="J116"/>
      <c r="K116"/>
    </row>
    <row r="117" spans="10:11" x14ac:dyDescent="0.3">
      <c r="J117"/>
      <c r="K117"/>
    </row>
    <row r="118" spans="10:11" x14ac:dyDescent="0.3">
      <c r="J118"/>
      <c r="K118"/>
    </row>
    <row r="119" spans="10:11" x14ac:dyDescent="0.3">
      <c r="J119"/>
      <c r="K119"/>
    </row>
    <row r="120" spans="10:11" x14ac:dyDescent="0.3">
      <c r="J120"/>
      <c r="K120"/>
    </row>
    <row r="121" spans="10:11" x14ac:dyDescent="0.3">
      <c r="J121"/>
      <c r="K121"/>
    </row>
    <row r="122" spans="10:11" x14ac:dyDescent="0.3">
      <c r="J122"/>
      <c r="K122"/>
    </row>
    <row r="123" spans="10:11" x14ac:dyDescent="0.3">
      <c r="J123"/>
      <c r="K123"/>
    </row>
    <row r="124" spans="10:11" x14ac:dyDescent="0.3">
      <c r="J124"/>
      <c r="K124"/>
    </row>
    <row r="125" spans="10:11" x14ac:dyDescent="0.3">
      <c r="J125"/>
      <c r="K125"/>
    </row>
    <row r="126" spans="10:11" x14ac:dyDescent="0.3">
      <c r="J126"/>
      <c r="K126"/>
    </row>
    <row r="127" spans="10:11" x14ac:dyDescent="0.3">
      <c r="J127"/>
      <c r="K127"/>
    </row>
    <row r="128" spans="10:11" x14ac:dyDescent="0.3">
      <c r="J128"/>
      <c r="K128"/>
    </row>
    <row r="129" spans="10:11" x14ac:dyDescent="0.3">
      <c r="J129"/>
      <c r="K129"/>
    </row>
    <row r="130" spans="10:11" x14ac:dyDescent="0.3">
      <c r="J130"/>
      <c r="K130"/>
    </row>
    <row r="131" spans="10:11" x14ac:dyDescent="0.3">
      <c r="J131"/>
      <c r="K131"/>
    </row>
    <row r="132" spans="10:11" x14ac:dyDescent="0.3">
      <c r="J132"/>
      <c r="K132"/>
    </row>
    <row r="133" spans="10:11" x14ac:dyDescent="0.3">
      <c r="J133"/>
      <c r="K133"/>
    </row>
    <row r="134" spans="10:11" x14ac:dyDescent="0.3">
      <c r="J134"/>
      <c r="K134"/>
    </row>
    <row r="135" spans="10:11" x14ac:dyDescent="0.3">
      <c r="J135"/>
      <c r="K135"/>
    </row>
    <row r="136" spans="10:11" x14ac:dyDescent="0.3">
      <c r="J136"/>
      <c r="K136"/>
    </row>
    <row r="137" spans="10:11" x14ac:dyDescent="0.3">
      <c r="J137"/>
      <c r="K137"/>
    </row>
    <row r="138" spans="10:11" x14ac:dyDescent="0.3">
      <c r="J138"/>
      <c r="K138"/>
    </row>
    <row r="139" spans="10:11" x14ac:dyDescent="0.3">
      <c r="J139"/>
      <c r="K139"/>
    </row>
    <row r="140" spans="10:11" x14ac:dyDescent="0.3">
      <c r="J140"/>
      <c r="K140"/>
    </row>
    <row r="141" spans="10:11" x14ac:dyDescent="0.3">
      <c r="J141"/>
      <c r="K141"/>
    </row>
    <row r="142" spans="10:11" x14ac:dyDescent="0.3">
      <c r="J142"/>
      <c r="K142"/>
    </row>
    <row r="143" spans="10:11" x14ac:dyDescent="0.3">
      <c r="J143"/>
      <c r="K143"/>
    </row>
    <row r="144" spans="10:11" x14ac:dyDescent="0.3">
      <c r="J144"/>
      <c r="K144"/>
    </row>
    <row r="145" spans="10:11" x14ac:dyDescent="0.3">
      <c r="J145"/>
      <c r="K145"/>
    </row>
    <row r="146" spans="10:11" x14ac:dyDescent="0.3">
      <c r="J146"/>
      <c r="K146"/>
    </row>
    <row r="147" spans="10:11" x14ac:dyDescent="0.3">
      <c r="J147"/>
      <c r="K147"/>
    </row>
    <row r="148" spans="10:11" x14ac:dyDescent="0.3">
      <c r="J148"/>
      <c r="K148"/>
    </row>
    <row r="149" spans="10:11" x14ac:dyDescent="0.3">
      <c r="J149"/>
      <c r="K149"/>
    </row>
    <row r="150" spans="10:11" x14ac:dyDescent="0.3">
      <c r="J150"/>
      <c r="K150"/>
    </row>
    <row r="151" spans="10:11" x14ac:dyDescent="0.3">
      <c r="J151"/>
      <c r="K151"/>
    </row>
    <row r="152" spans="10:11" x14ac:dyDescent="0.3">
      <c r="J152"/>
      <c r="K152"/>
    </row>
    <row r="153" spans="10:11" x14ac:dyDescent="0.3">
      <c r="J153"/>
      <c r="K153"/>
    </row>
    <row r="154" spans="10:11" x14ac:dyDescent="0.3">
      <c r="J154"/>
      <c r="K154"/>
    </row>
    <row r="155" spans="10:11" x14ac:dyDescent="0.3">
      <c r="J155"/>
      <c r="K155"/>
    </row>
    <row r="156" spans="10:11" x14ac:dyDescent="0.3">
      <c r="J156"/>
      <c r="K156"/>
    </row>
    <row r="157" spans="10:11" x14ac:dyDescent="0.3">
      <c r="J157"/>
      <c r="K157"/>
    </row>
    <row r="158" spans="10:11" x14ac:dyDescent="0.3">
      <c r="J158"/>
      <c r="K158"/>
    </row>
    <row r="159" spans="10:11" x14ac:dyDescent="0.3">
      <c r="J159"/>
      <c r="K159"/>
    </row>
    <row r="160" spans="10:11" x14ac:dyDescent="0.3">
      <c r="J160"/>
      <c r="K160"/>
    </row>
    <row r="161" spans="10:11" x14ac:dyDescent="0.3">
      <c r="J161"/>
      <c r="K161"/>
    </row>
    <row r="162" spans="10:11" x14ac:dyDescent="0.3">
      <c r="J162"/>
      <c r="K162"/>
    </row>
    <row r="163" spans="10:11" x14ac:dyDescent="0.3">
      <c r="J163"/>
      <c r="K163"/>
    </row>
    <row r="164" spans="10:11" x14ac:dyDescent="0.3">
      <c r="J164"/>
      <c r="K164"/>
    </row>
    <row r="165" spans="10:11" x14ac:dyDescent="0.3">
      <c r="J165"/>
      <c r="K165"/>
    </row>
    <row r="166" spans="10:11" x14ac:dyDescent="0.3">
      <c r="J166"/>
      <c r="K166"/>
    </row>
    <row r="167" spans="10:11" x14ac:dyDescent="0.3">
      <c r="J167"/>
      <c r="K167"/>
    </row>
    <row r="168" spans="10:11" x14ac:dyDescent="0.3">
      <c r="J168"/>
      <c r="K168"/>
    </row>
    <row r="169" spans="10:11" x14ac:dyDescent="0.3">
      <c r="J169"/>
      <c r="K169"/>
    </row>
    <row r="170" spans="10:11" x14ac:dyDescent="0.3">
      <c r="J170"/>
      <c r="K170"/>
    </row>
    <row r="171" spans="10:11" x14ac:dyDescent="0.3">
      <c r="J171"/>
      <c r="K171"/>
    </row>
    <row r="172" spans="10:11" x14ac:dyDescent="0.3">
      <c r="J172"/>
      <c r="K172"/>
    </row>
    <row r="173" spans="10:11" x14ac:dyDescent="0.3">
      <c r="J173"/>
      <c r="K173"/>
    </row>
    <row r="174" spans="10:11" x14ac:dyDescent="0.3">
      <c r="J174"/>
      <c r="K174"/>
    </row>
    <row r="175" spans="10:11" x14ac:dyDescent="0.3">
      <c r="J175"/>
      <c r="K175"/>
    </row>
    <row r="176" spans="10:11" x14ac:dyDescent="0.3">
      <c r="J176"/>
      <c r="K176"/>
    </row>
    <row r="177" spans="10:11" x14ac:dyDescent="0.3">
      <c r="J177"/>
      <c r="K177"/>
    </row>
    <row r="178" spans="10:11" x14ac:dyDescent="0.3">
      <c r="J178"/>
      <c r="K178"/>
    </row>
    <row r="179" spans="10:11" x14ac:dyDescent="0.3">
      <c r="J179"/>
      <c r="K179"/>
    </row>
    <row r="180" spans="10:11" x14ac:dyDescent="0.3">
      <c r="J180"/>
      <c r="K180"/>
    </row>
    <row r="181" spans="10:11" x14ac:dyDescent="0.3">
      <c r="J181"/>
      <c r="K181"/>
    </row>
    <row r="182" spans="10:11" x14ac:dyDescent="0.3">
      <c r="J182"/>
      <c r="K182"/>
    </row>
    <row r="183" spans="10:11" x14ac:dyDescent="0.3">
      <c r="J183"/>
      <c r="K183"/>
    </row>
    <row r="184" spans="10:11" x14ac:dyDescent="0.3">
      <c r="J184"/>
      <c r="K184"/>
    </row>
    <row r="185" spans="10:11" x14ac:dyDescent="0.3">
      <c r="J185"/>
      <c r="K185"/>
    </row>
    <row r="186" spans="10:11" x14ac:dyDescent="0.3">
      <c r="J186"/>
      <c r="K186"/>
    </row>
    <row r="187" spans="10:11" x14ac:dyDescent="0.3">
      <c r="J187"/>
      <c r="K187"/>
    </row>
    <row r="188" spans="10:11" x14ac:dyDescent="0.3">
      <c r="J188"/>
      <c r="K188"/>
    </row>
    <row r="189" spans="10:11" x14ac:dyDescent="0.3">
      <c r="J189"/>
      <c r="K189"/>
    </row>
    <row r="190" spans="10:11" x14ac:dyDescent="0.3">
      <c r="J190"/>
      <c r="K190"/>
    </row>
    <row r="191" spans="10:11" x14ac:dyDescent="0.3">
      <c r="J191"/>
      <c r="K191"/>
    </row>
    <row r="192" spans="10:11" x14ac:dyDescent="0.3">
      <c r="J192"/>
      <c r="K192"/>
    </row>
    <row r="193" spans="10:11" x14ac:dyDescent="0.3">
      <c r="J193"/>
      <c r="K193"/>
    </row>
    <row r="194" spans="10:11" x14ac:dyDescent="0.3">
      <c r="J194"/>
      <c r="K194"/>
    </row>
    <row r="195" spans="10:11" x14ac:dyDescent="0.3">
      <c r="J195"/>
      <c r="K195"/>
    </row>
    <row r="196" spans="10:11" x14ac:dyDescent="0.3">
      <c r="J196"/>
      <c r="K196"/>
    </row>
    <row r="197" spans="10:11" x14ac:dyDescent="0.3">
      <c r="J197"/>
      <c r="K197"/>
    </row>
    <row r="198" spans="10:11" x14ac:dyDescent="0.3">
      <c r="J198"/>
      <c r="K198"/>
    </row>
    <row r="199" spans="10:11" x14ac:dyDescent="0.3">
      <c r="J199"/>
      <c r="K199"/>
    </row>
    <row r="200" spans="10:11" x14ac:dyDescent="0.3">
      <c r="J200"/>
      <c r="K200"/>
    </row>
    <row r="201" spans="10:11" x14ac:dyDescent="0.3">
      <c r="J201"/>
      <c r="K201"/>
    </row>
    <row r="202" spans="10:11" x14ac:dyDescent="0.3">
      <c r="J202"/>
      <c r="K202"/>
    </row>
    <row r="203" spans="10:11" x14ac:dyDescent="0.3">
      <c r="J203"/>
      <c r="K203"/>
    </row>
    <row r="204" spans="10:11" x14ac:dyDescent="0.3">
      <c r="J204"/>
      <c r="K204"/>
    </row>
    <row r="205" spans="10:11" x14ac:dyDescent="0.3">
      <c r="J205"/>
      <c r="K205"/>
    </row>
    <row r="206" spans="10:11" x14ac:dyDescent="0.3">
      <c r="J206"/>
      <c r="K206"/>
    </row>
    <row r="207" spans="10:11" x14ac:dyDescent="0.3">
      <c r="J207"/>
      <c r="K207"/>
    </row>
    <row r="208" spans="10:11" x14ac:dyDescent="0.3">
      <c r="J208"/>
      <c r="K208"/>
    </row>
    <row r="209" spans="10:11" x14ac:dyDescent="0.3">
      <c r="J209"/>
      <c r="K209"/>
    </row>
    <row r="210" spans="10:11" x14ac:dyDescent="0.3">
      <c r="J210"/>
      <c r="K210"/>
    </row>
    <row r="211" spans="10:11" x14ac:dyDescent="0.3">
      <c r="J211"/>
      <c r="K211"/>
    </row>
    <row r="212" spans="10:11" x14ac:dyDescent="0.3">
      <c r="J212"/>
      <c r="K212"/>
    </row>
    <row r="213" spans="10:11" x14ac:dyDescent="0.3">
      <c r="J213"/>
      <c r="K213"/>
    </row>
    <row r="214" spans="10:11" x14ac:dyDescent="0.3">
      <c r="J214"/>
      <c r="K214"/>
    </row>
    <row r="215" spans="10:11" x14ac:dyDescent="0.3">
      <c r="J215"/>
      <c r="K215"/>
    </row>
    <row r="216" spans="10:11" x14ac:dyDescent="0.3">
      <c r="J216"/>
      <c r="K216"/>
    </row>
    <row r="217" spans="10:11" x14ac:dyDescent="0.3">
      <c r="J217"/>
      <c r="K217"/>
    </row>
    <row r="218" spans="10:11" x14ac:dyDescent="0.3">
      <c r="J218"/>
      <c r="K218"/>
    </row>
    <row r="219" spans="10:11" x14ac:dyDescent="0.3">
      <c r="J219"/>
      <c r="K219"/>
    </row>
    <row r="220" spans="10:11" x14ac:dyDescent="0.3">
      <c r="J220"/>
      <c r="K220"/>
    </row>
    <row r="221" spans="10:11" x14ac:dyDescent="0.3">
      <c r="J221"/>
      <c r="K221"/>
    </row>
    <row r="222" spans="10:11" x14ac:dyDescent="0.3">
      <c r="J222"/>
      <c r="K222"/>
    </row>
    <row r="223" spans="10:11" x14ac:dyDescent="0.3">
      <c r="J223"/>
      <c r="K223"/>
    </row>
    <row r="224" spans="10:11" x14ac:dyDescent="0.3">
      <c r="J224"/>
      <c r="K224"/>
    </row>
    <row r="225" spans="10:11" x14ac:dyDescent="0.3">
      <c r="J225"/>
      <c r="K225"/>
    </row>
    <row r="226" spans="10:11" x14ac:dyDescent="0.3">
      <c r="J226"/>
      <c r="K226"/>
    </row>
    <row r="227" spans="10:11" x14ac:dyDescent="0.3">
      <c r="J227"/>
      <c r="K227"/>
    </row>
    <row r="228" spans="10:11" x14ac:dyDescent="0.3">
      <c r="J228"/>
      <c r="K228"/>
    </row>
    <row r="229" spans="10:11" x14ac:dyDescent="0.3">
      <c r="J229"/>
      <c r="K229"/>
    </row>
    <row r="230" spans="10:11" x14ac:dyDescent="0.3">
      <c r="J230"/>
      <c r="K230"/>
    </row>
    <row r="231" spans="10:11" x14ac:dyDescent="0.3">
      <c r="J231"/>
      <c r="K231"/>
    </row>
    <row r="232" spans="10:11" x14ac:dyDescent="0.3">
      <c r="J232"/>
      <c r="K232"/>
    </row>
    <row r="233" spans="10:11" x14ac:dyDescent="0.3">
      <c r="J233"/>
      <c r="K233"/>
    </row>
    <row r="234" spans="10:11" x14ac:dyDescent="0.3">
      <c r="J234"/>
      <c r="K234"/>
    </row>
    <row r="235" spans="10:11" x14ac:dyDescent="0.3">
      <c r="J235"/>
      <c r="K235"/>
    </row>
    <row r="236" spans="10:11" x14ac:dyDescent="0.3">
      <c r="J236"/>
      <c r="K236"/>
    </row>
    <row r="237" spans="10:11" x14ac:dyDescent="0.3">
      <c r="J237"/>
      <c r="K237"/>
    </row>
    <row r="238" spans="10:11" x14ac:dyDescent="0.3">
      <c r="J238"/>
      <c r="K238"/>
    </row>
    <row r="239" spans="10:11" x14ac:dyDescent="0.3">
      <c r="J239"/>
      <c r="K239"/>
    </row>
    <row r="240" spans="10:11" x14ac:dyDescent="0.3">
      <c r="J240"/>
      <c r="K240"/>
    </row>
    <row r="241" spans="10:11" x14ac:dyDescent="0.3">
      <c r="J241"/>
      <c r="K241"/>
    </row>
    <row r="242" spans="10:11" x14ac:dyDescent="0.3">
      <c r="J242"/>
      <c r="K242"/>
    </row>
    <row r="243" spans="10:11" x14ac:dyDescent="0.3">
      <c r="J243"/>
      <c r="K243"/>
    </row>
    <row r="244" spans="10:11" x14ac:dyDescent="0.3">
      <c r="J244"/>
      <c r="K244"/>
    </row>
    <row r="245" spans="10:11" x14ac:dyDescent="0.3">
      <c r="J245"/>
      <c r="K245"/>
    </row>
    <row r="246" spans="10:11" x14ac:dyDescent="0.3">
      <c r="J246"/>
      <c r="K246"/>
    </row>
    <row r="247" spans="10:11" x14ac:dyDescent="0.3">
      <c r="J247"/>
      <c r="K247"/>
    </row>
    <row r="248" spans="10:11" x14ac:dyDescent="0.3">
      <c r="J248"/>
      <c r="K248"/>
    </row>
    <row r="249" spans="10:11" x14ac:dyDescent="0.3">
      <c r="J249"/>
      <c r="K249"/>
    </row>
    <row r="250" spans="10:11" x14ac:dyDescent="0.3">
      <c r="J250"/>
      <c r="K250"/>
    </row>
    <row r="251" spans="10:11" x14ac:dyDescent="0.3">
      <c r="J251"/>
      <c r="K251"/>
    </row>
    <row r="252" spans="10:11" x14ac:dyDescent="0.3">
      <c r="J252"/>
      <c r="K252"/>
    </row>
    <row r="253" spans="10:11" x14ac:dyDescent="0.3">
      <c r="J253"/>
      <c r="K253"/>
    </row>
    <row r="254" spans="10:11" x14ac:dyDescent="0.3">
      <c r="J254"/>
      <c r="K254"/>
    </row>
    <row r="255" spans="10:11" x14ac:dyDescent="0.3">
      <c r="J255"/>
      <c r="K255"/>
    </row>
    <row r="256" spans="10:11" x14ac:dyDescent="0.3">
      <c r="J256"/>
      <c r="K256"/>
    </row>
    <row r="257" spans="10:11" x14ac:dyDescent="0.3">
      <c r="J257"/>
      <c r="K257"/>
    </row>
    <row r="258" spans="10:11" x14ac:dyDescent="0.3">
      <c r="J258"/>
      <c r="K258"/>
    </row>
    <row r="259" spans="10:11" x14ac:dyDescent="0.3">
      <c r="J259"/>
      <c r="K259"/>
    </row>
    <row r="260" spans="10:11" x14ac:dyDescent="0.3">
      <c r="J260"/>
      <c r="K260"/>
    </row>
    <row r="261" spans="10:11" x14ac:dyDescent="0.3">
      <c r="J261"/>
      <c r="K261"/>
    </row>
    <row r="262" spans="10:11" x14ac:dyDescent="0.3">
      <c r="J262"/>
      <c r="K262"/>
    </row>
    <row r="263" spans="10:11" x14ac:dyDescent="0.3">
      <c r="J263"/>
      <c r="K263"/>
    </row>
    <row r="264" spans="10:11" x14ac:dyDescent="0.3">
      <c r="J264"/>
      <c r="K264"/>
    </row>
    <row r="265" spans="10:11" x14ac:dyDescent="0.3">
      <c r="J265"/>
      <c r="K265"/>
    </row>
    <row r="266" spans="10:11" x14ac:dyDescent="0.3">
      <c r="J266"/>
      <c r="K266"/>
    </row>
    <row r="267" spans="10:11" x14ac:dyDescent="0.3">
      <c r="J267"/>
      <c r="K267"/>
    </row>
    <row r="268" spans="10:11" x14ac:dyDescent="0.3">
      <c r="J268"/>
      <c r="K268"/>
    </row>
    <row r="269" spans="10:11" x14ac:dyDescent="0.3">
      <c r="J269"/>
      <c r="K269"/>
    </row>
    <row r="270" spans="10:11" x14ac:dyDescent="0.3">
      <c r="J270"/>
      <c r="K270"/>
    </row>
    <row r="271" spans="10:11" x14ac:dyDescent="0.3">
      <c r="J271"/>
      <c r="K271"/>
    </row>
    <row r="272" spans="10:11" x14ac:dyDescent="0.3">
      <c r="J272"/>
      <c r="K272"/>
    </row>
    <row r="273" spans="10:11" x14ac:dyDescent="0.3">
      <c r="J273"/>
      <c r="K273"/>
    </row>
    <row r="274" spans="10:11" x14ac:dyDescent="0.3">
      <c r="J274"/>
      <c r="K274"/>
    </row>
    <row r="275" spans="10:11" x14ac:dyDescent="0.3">
      <c r="J275"/>
      <c r="K275"/>
    </row>
    <row r="276" spans="10:11" x14ac:dyDescent="0.3">
      <c r="J276"/>
      <c r="K276"/>
    </row>
    <row r="277" spans="10:11" x14ac:dyDescent="0.3">
      <c r="J277"/>
      <c r="K277"/>
    </row>
    <row r="278" spans="10:11" x14ac:dyDescent="0.3">
      <c r="J278"/>
      <c r="K278"/>
    </row>
    <row r="279" spans="10:11" x14ac:dyDescent="0.3">
      <c r="J279"/>
      <c r="K279"/>
    </row>
    <row r="280" spans="10:11" x14ac:dyDescent="0.3">
      <c r="J280"/>
      <c r="K280"/>
    </row>
    <row r="281" spans="10:11" x14ac:dyDescent="0.3">
      <c r="J281"/>
      <c r="K281"/>
    </row>
    <row r="282" spans="10:11" x14ac:dyDescent="0.3">
      <c r="J282"/>
      <c r="K282"/>
    </row>
    <row r="283" spans="10:11" x14ac:dyDescent="0.3">
      <c r="J283"/>
      <c r="K283"/>
    </row>
    <row r="284" spans="10:11" x14ac:dyDescent="0.3">
      <c r="J284"/>
      <c r="K284"/>
    </row>
    <row r="285" spans="10:11" x14ac:dyDescent="0.3">
      <c r="J285"/>
      <c r="K285"/>
    </row>
    <row r="286" spans="10:11" x14ac:dyDescent="0.3">
      <c r="J286"/>
      <c r="K286"/>
    </row>
    <row r="287" spans="10:11" x14ac:dyDescent="0.3">
      <c r="J287"/>
      <c r="K287"/>
    </row>
    <row r="288" spans="10:11" x14ac:dyDescent="0.3">
      <c r="J288"/>
      <c r="K288"/>
    </row>
    <row r="289" spans="10:11" x14ac:dyDescent="0.3">
      <c r="J289"/>
      <c r="K289"/>
    </row>
    <row r="290" spans="10:11" x14ac:dyDescent="0.3">
      <c r="J290"/>
      <c r="K290"/>
    </row>
    <row r="291" spans="10:11" x14ac:dyDescent="0.3">
      <c r="J291"/>
      <c r="K291"/>
    </row>
    <row r="292" spans="10:11" x14ac:dyDescent="0.3">
      <c r="J292"/>
      <c r="K292"/>
    </row>
    <row r="293" spans="10:11" x14ac:dyDescent="0.3">
      <c r="J293"/>
      <c r="K293"/>
    </row>
    <row r="294" spans="10:11" x14ac:dyDescent="0.3">
      <c r="J294"/>
      <c r="K294"/>
    </row>
    <row r="295" spans="10:11" x14ac:dyDescent="0.3">
      <c r="J295"/>
      <c r="K295"/>
    </row>
    <row r="296" spans="10:11" x14ac:dyDescent="0.3">
      <c r="J296"/>
      <c r="K296"/>
    </row>
    <row r="297" spans="10:11" x14ac:dyDescent="0.3">
      <c r="J297"/>
      <c r="K297"/>
    </row>
    <row r="298" spans="10:11" x14ac:dyDescent="0.3">
      <c r="J298"/>
      <c r="K298"/>
    </row>
    <row r="299" spans="10:11" x14ac:dyDescent="0.3">
      <c r="J299"/>
      <c r="K299"/>
    </row>
    <row r="300" spans="10:11" x14ac:dyDescent="0.3">
      <c r="J300"/>
      <c r="K300"/>
    </row>
    <row r="301" spans="10:11" x14ac:dyDescent="0.3">
      <c r="J301"/>
      <c r="K301"/>
    </row>
    <row r="302" spans="10:11" x14ac:dyDescent="0.3">
      <c r="J302"/>
      <c r="K302"/>
    </row>
    <row r="303" spans="10:11" x14ac:dyDescent="0.3">
      <c r="J303"/>
      <c r="K303"/>
    </row>
    <row r="304" spans="10:11" x14ac:dyDescent="0.3">
      <c r="J304"/>
      <c r="K304"/>
    </row>
    <row r="305" spans="10:11" x14ac:dyDescent="0.3">
      <c r="J305"/>
      <c r="K305"/>
    </row>
    <row r="306" spans="10:11" x14ac:dyDescent="0.3">
      <c r="J306"/>
      <c r="K306"/>
    </row>
    <row r="307" spans="10:11" x14ac:dyDescent="0.3">
      <c r="J307"/>
      <c r="K307"/>
    </row>
    <row r="308" spans="10:11" x14ac:dyDescent="0.3">
      <c r="J308"/>
      <c r="K308"/>
    </row>
    <row r="309" spans="10:11" x14ac:dyDescent="0.3">
      <c r="J309"/>
      <c r="K309"/>
    </row>
    <row r="310" spans="10:11" x14ac:dyDescent="0.3">
      <c r="J310"/>
      <c r="K310"/>
    </row>
    <row r="311" spans="10:11" x14ac:dyDescent="0.3">
      <c r="J311"/>
      <c r="K311"/>
    </row>
    <row r="312" spans="10:11" x14ac:dyDescent="0.3">
      <c r="J312"/>
      <c r="K312"/>
    </row>
    <row r="313" spans="10:11" x14ac:dyDescent="0.3">
      <c r="J313"/>
      <c r="K313"/>
    </row>
    <row r="314" spans="10:11" x14ac:dyDescent="0.3">
      <c r="J314"/>
      <c r="K314"/>
    </row>
    <row r="315" spans="10:11" x14ac:dyDescent="0.3">
      <c r="J315"/>
      <c r="K315"/>
    </row>
    <row r="316" spans="10:11" x14ac:dyDescent="0.3">
      <c r="J316"/>
      <c r="K316"/>
    </row>
    <row r="317" spans="10:11" x14ac:dyDescent="0.3">
      <c r="J317"/>
      <c r="K317"/>
    </row>
    <row r="318" spans="10:11" x14ac:dyDescent="0.3">
      <c r="J318"/>
      <c r="K318"/>
    </row>
    <row r="319" spans="10:11" x14ac:dyDescent="0.3">
      <c r="J319"/>
      <c r="K319"/>
    </row>
    <row r="320" spans="10:11" x14ac:dyDescent="0.3">
      <c r="J320"/>
      <c r="K320"/>
    </row>
    <row r="321" spans="10:11" x14ac:dyDescent="0.3">
      <c r="J321"/>
      <c r="K321"/>
    </row>
    <row r="322" spans="10:11" x14ac:dyDescent="0.3">
      <c r="J322"/>
      <c r="K322"/>
    </row>
    <row r="323" spans="10:11" x14ac:dyDescent="0.3">
      <c r="J323"/>
      <c r="K323"/>
    </row>
    <row r="324" spans="10:11" x14ac:dyDescent="0.3">
      <c r="J324"/>
      <c r="K324"/>
    </row>
    <row r="325" spans="10:11" x14ac:dyDescent="0.3">
      <c r="J325"/>
      <c r="K325"/>
    </row>
    <row r="326" spans="10:11" x14ac:dyDescent="0.3">
      <c r="J326"/>
      <c r="K326"/>
    </row>
    <row r="327" spans="10:11" x14ac:dyDescent="0.3">
      <c r="J327"/>
      <c r="K327"/>
    </row>
    <row r="328" spans="10:11" x14ac:dyDescent="0.3">
      <c r="J328"/>
      <c r="K328"/>
    </row>
    <row r="329" spans="10:11" x14ac:dyDescent="0.3">
      <c r="J329"/>
      <c r="K329"/>
    </row>
    <row r="330" spans="10:11" x14ac:dyDescent="0.3">
      <c r="J330"/>
      <c r="K330"/>
    </row>
    <row r="331" spans="10:11" x14ac:dyDescent="0.3">
      <c r="J331"/>
      <c r="K331"/>
    </row>
    <row r="332" spans="10:11" x14ac:dyDescent="0.3">
      <c r="J332"/>
      <c r="K332"/>
    </row>
    <row r="333" spans="10:11" x14ac:dyDescent="0.3">
      <c r="J333"/>
      <c r="K333"/>
    </row>
    <row r="334" spans="10:11" x14ac:dyDescent="0.3">
      <c r="J334"/>
      <c r="K334"/>
    </row>
    <row r="335" spans="10:11" x14ac:dyDescent="0.3">
      <c r="J335"/>
      <c r="K335"/>
    </row>
    <row r="336" spans="10:11" x14ac:dyDescent="0.3">
      <c r="J336"/>
      <c r="K336"/>
    </row>
    <row r="337" spans="10:11" x14ac:dyDescent="0.3">
      <c r="J337"/>
      <c r="K337"/>
    </row>
    <row r="338" spans="10:11" x14ac:dyDescent="0.3">
      <c r="J338"/>
      <c r="K338"/>
    </row>
    <row r="339" spans="10:11" x14ac:dyDescent="0.3">
      <c r="J339"/>
      <c r="K339"/>
    </row>
    <row r="340" spans="10:11" x14ac:dyDescent="0.3">
      <c r="J340"/>
      <c r="K340"/>
    </row>
    <row r="341" spans="10:11" x14ac:dyDescent="0.3">
      <c r="J341"/>
      <c r="K341"/>
    </row>
    <row r="342" spans="10:11" x14ac:dyDescent="0.3">
      <c r="J342"/>
      <c r="K342"/>
    </row>
    <row r="343" spans="10:11" x14ac:dyDescent="0.3">
      <c r="J343"/>
      <c r="K343"/>
    </row>
    <row r="344" spans="10:11" x14ac:dyDescent="0.3">
      <c r="J344"/>
      <c r="K344"/>
    </row>
    <row r="345" spans="10:11" x14ac:dyDescent="0.3">
      <c r="J345"/>
      <c r="K345"/>
    </row>
    <row r="346" spans="10:11" x14ac:dyDescent="0.3">
      <c r="J346"/>
      <c r="K346"/>
    </row>
    <row r="347" spans="10:11" x14ac:dyDescent="0.3">
      <c r="J347"/>
      <c r="K347"/>
    </row>
    <row r="348" spans="10:11" x14ac:dyDescent="0.3">
      <c r="J348"/>
      <c r="K348"/>
    </row>
    <row r="349" spans="10:11" x14ac:dyDescent="0.3">
      <c r="J349"/>
      <c r="K349"/>
    </row>
    <row r="350" spans="10:11" x14ac:dyDescent="0.3">
      <c r="J350"/>
      <c r="K350"/>
    </row>
    <row r="351" spans="10:11" x14ac:dyDescent="0.3">
      <c r="J351"/>
      <c r="K351"/>
    </row>
    <row r="352" spans="10:11" x14ac:dyDescent="0.3">
      <c r="J352"/>
      <c r="K352"/>
    </row>
    <row r="353" spans="10:11" x14ac:dyDescent="0.3">
      <c r="J353"/>
      <c r="K353"/>
    </row>
    <row r="354" spans="10:11" x14ac:dyDescent="0.3">
      <c r="J354"/>
      <c r="K354"/>
    </row>
    <row r="355" spans="10:11" x14ac:dyDescent="0.3">
      <c r="J355"/>
      <c r="K355"/>
    </row>
    <row r="356" spans="10:11" x14ac:dyDescent="0.3">
      <c r="J356"/>
      <c r="K356"/>
    </row>
    <row r="357" spans="10:11" x14ac:dyDescent="0.3">
      <c r="J357"/>
      <c r="K357"/>
    </row>
    <row r="358" spans="10:11" x14ac:dyDescent="0.3">
      <c r="J358"/>
      <c r="K358"/>
    </row>
    <row r="359" spans="10:11" x14ac:dyDescent="0.3">
      <c r="J359"/>
      <c r="K359"/>
    </row>
    <row r="360" spans="10:11" x14ac:dyDescent="0.3">
      <c r="J360"/>
      <c r="K360"/>
    </row>
    <row r="361" spans="10:11" x14ac:dyDescent="0.3">
      <c r="J361"/>
      <c r="K361"/>
    </row>
    <row r="362" spans="10:11" x14ac:dyDescent="0.3">
      <c r="J362"/>
      <c r="K362"/>
    </row>
    <row r="363" spans="10:11" x14ac:dyDescent="0.3">
      <c r="J363"/>
      <c r="K363"/>
    </row>
    <row r="364" spans="10:11" x14ac:dyDescent="0.3">
      <c r="J364"/>
      <c r="K364"/>
    </row>
    <row r="365" spans="10:11" x14ac:dyDescent="0.3">
      <c r="J365"/>
      <c r="K365"/>
    </row>
    <row r="366" spans="10:11" x14ac:dyDescent="0.3">
      <c r="J366"/>
      <c r="K366"/>
    </row>
    <row r="367" spans="10:11" x14ac:dyDescent="0.3">
      <c r="J367"/>
      <c r="K367"/>
    </row>
    <row r="368" spans="10:11" x14ac:dyDescent="0.3">
      <c r="J368"/>
      <c r="K368"/>
    </row>
    <row r="369" spans="10:11" x14ac:dyDescent="0.3">
      <c r="J369"/>
      <c r="K369"/>
    </row>
    <row r="370" spans="10:11" x14ac:dyDescent="0.3">
      <c r="J370"/>
      <c r="K370"/>
    </row>
    <row r="371" spans="10:11" x14ac:dyDescent="0.3">
      <c r="J371"/>
      <c r="K371"/>
    </row>
    <row r="372" spans="10:11" x14ac:dyDescent="0.3">
      <c r="J372"/>
      <c r="K372"/>
    </row>
    <row r="373" spans="10:11" x14ac:dyDescent="0.3">
      <c r="J373"/>
      <c r="K373"/>
    </row>
    <row r="374" spans="10:11" x14ac:dyDescent="0.3">
      <c r="J374"/>
      <c r="K374"/>
    </row>
    <row r="375" spans="10:11" x14ac:dyDescent="0.3">
      <c r="J375"/>
      <c r="K375"/>
    </row>
    <row r="376" spans="10:11" x14ac:dyDescent="0.3">
      <c r="J376"/>
      <c r="K376"/>
    </row>
    <row r="377" spans="10:11" x14ac:dyDescent="0.3">
      <c r="J377"/>
      <c r="K377"/>
    </row>
    <row r="378" spans="10:11" x14ac:dyDescent="0.3">
      <c r="J378"/>
      <c r="K378"/>
    </row>
    <row r="379" spans="10:11" x14ac:dyDescent="0.3">
      <c r="J379"/>
      <c r="K379"/>
    </row>
    <row r="380" spans="10:11" x14ac:dyDescent="0.3">
      <c r="J380"/>
      <c r="K380"/>
    </row>
    <row r="381" spans="10:11" x14ac:dyDescent="0.3">
      <c r="J381"/>
      <c r="K381"/>
    </row>
    <row r="382" spans="10:11" x14ac:dyDescent="0.3">
      <c r="J382"/>
      <c r="K382"/>
    </row>
    <row r="383" spans="10:11" x14ac:dyDescent="0.3">
      <c r="J383"/>
      <c r="K383"/>
    </row>
    <row r="384" spans="10:11" x14ac:dyDescent="0.3">
      <c r="J384"/>
      <c r="K384"/>
    </row>
    <row r="385" spans="10:11" x14ac:dyDescent="0.3">
      <c r="J385"/>
      <c r="K385"/>
    </row>
    <row r="386" spans="10:11" x14ac:dyDescent="0.3">
      <c r="J386"/>
      <c r="K38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C62D2-3890-4F4D-AEB7-57882B4F2A8E}">
  <dimension ref="A1:L525"/>
  <sheetViews>
    <sheetView tabSelected="1" workbookViewId="0">
      <selection activeCell="J33" sqref="J33"/>
    </sheetView>
  </sheetViews>
  <sheetFormatPr baseColWidth="10" defaultRowHeight="14.4" x14ac:dyDescent="0.3"/>
  <cols>
    <col min="1" max="1" width="11.5546875" style="2"/>
    <col min="2" max="2" width="72.33203125" style="2" customWidth="1"/>
    <col min="3" max="5" width="11.5546875" style="2"/>
    <col min="6" max="6" width="11.5546875" style="17"/>
    <col min="7" max="7" width="12.6640625" style="17" bestFit="1" customWidth="1"/>
    <col min="8" max="8" width="11.5546875" style="2"/>
    <col min="9" max="9" width="11.5546875" style="5"/>
    <col min="10" max="11" width="11.5546875" style="2"/>
    <col min="12" max="12" width="11.5546875" style="6"/>
    <col min="13" max="16384" width="11.5546875" style="2"/>
  </cols>
  <sheetData>
    <row r="1" spans="1:12" x14ac:dyDescent="0.3">
      <c r="A1" s="3" t="s">
        <v>244</v>
      </c>
      <c r="B1" s="3" t="s">
        <v>245</v>
      </c>
      <c r="C1" s="3" t="s">
        <v>246</v>
      </c>
      <c r="D1" s="3" t="s">
        <v>247</v>
      </c>
      <c r="E1" s="3" t="s">
        <v>248</v>
      </c>
      <c r="F1" s="16" t="s">
        <v>249</v>
      </c>
      <c r="G1" s="16" t="s">
        <v>250</v>
      </c>
      <c r="H1" s="3" t="s">
        <v>251</v>
      </c>
      <c r="I1" s="8" t="s">
        <v>362</v>
      </c>
      <c r="J1" s="8" t="s">
        <v>363</v>
      </c>
      <c r="K1" s="8" t="s">
        <v>398</v>
      </c>
      <c r="L1" s="13" t="s">
        <v>426</v>
      </c>
    </row>
    <row r="2" spans="1:12" x14ac:dyDescent="0.3">
      <c r="A2" s="2">
        <v>405418</v>
      </c>
      <c r="B2" s="2" t="s">
        <v>4</v>
      </c>
      <c r="C2" s="2" t="s">
        <v>1</v>
      </c>
      <c r="D2" s="2" t="s">
        <v>2</v>
      </c>
      <c r="E2" s="2">
        <v>270</v>
      </c>
      <c r="F2" s="5">
        <v>1371.65</v>
      </c>
      <c r="G2" s="5">
        <v>370345.5</v>
      </c>
      <c r="H2" s="1">
        <f ca="1">TODAY()</f>
        <v>46194</v>
      </c>
      <c r="I2" s="5">
        <f>IFERROR(VLOOKUP(A2,'[1]Consumo SEMANA ENEA'!$F:$EL,137,0),0)</f>
        <v>10.833333333333334</v>
      </c>
      <c r="J2" s="2" t="str">
        <f>IFERROR(VLOOKUP(A2,Hoja4!A:C,3,0),"")</f>
        <v>Azucar</v>
      </c>
      <c r="K2" s="9">
        <f>IFERROR(+E2/I2,0)</f>
        <v>24.923076923076923</v>
      </c>
      <c r="L2" s="6">
        <f>IFERROR(VLOOKUP(A2,'[2]Consumo SEMANA ENEA'!$F:$EP,141,0),0)</f>
        <v>34.444444444444443</v>
      </c>
    </row>
    <row r="3" spans="1:12" x14ac:dyDescent="0.3">
      <c r="A3" s="2">
        <v>104006</v>
      </c>
      <c r="B3" s="2" t="s">
        <v>5</v>
      </c>
      <c r="C3" s="2" t="s">
        <v>1</v>
      </c>
      <c r="D3" s="2" t="s">
        <v>2</v>
      </c>
      <c r="E3" s="5">
        <v>1024</v>
      </c>
      <c r="F3" s="2">
        <v>900</v>
      </c>
      <c r="G3" s="5">
        <v>921600</v>
      </c>
      <c r="H3" s="1">
        <f t="shared" ref="H3:H66" ca="1" si="0">TODAY()</f>
        <v>46194</v>
      </c>
      <c r="I3" s="5">
        <f>IFERROR(VLOOKUP(A3,'[1]Consumo SEMANA ENEA'!$F:$EL,137,0),0)</f>
        <v>207.95613333333333</v>
      </c>
      <c r="J3" s="2" t="str">
        <f>IFERROR(VLOOKUP(A3,Hoja4!A:C,3,0),"")</f>
        <v>Azucar</v>
      </c>
      <c r="K3" s="9">
        <f t="shared" ref="K3:K66" si="1">IFERROR(+E3/I3,0)</f>
        <v>4.924115406390194</v>
      </c>
      <c r="L3" s="6">
        <f>IFERROR(VLOOKUP(A3,'[2]Consumo SEMANA ENEA'!$F:$EP,141,0),0)</f>
        <v>1008.0092592592592</v>
      </c>
    </row>
    <row r="4" spans="1:12" x14ac:dyDescent="0.3">
      <c r="A4" s="2">
        <v>405682</v>
      </c>
      <c r="B4" s="2" t="s">
        <v>3</v>
      </c>
      <c r="C4" s="2" t="s">
        <v>1</v>
      </c>
      <c r="D4" s="2" t="s">
        <v>2</v>
      </c>
      <c r="E4" s="2">
        <v>50</v>
      </c>
      <c r="F4" s="5">
        <v>10690</v>
      </c>
      <c r="G4" s="5">
        <v>534500</v>
      </c>
      <c r="H4" s="1">
        <f t="shared" ca="1" si="0"/>
        <v>46194</v>
      </c>
      <c r="I4" s="5">
        <f>IFERROR(VLOOKUP(A4,'[1]Consumo SEMANA ENEA'!$F:$EL,137,0),0)</f>
        <v>1.6666666666666667</v>
      </c>
      <c r="J4" s="2" t="str">
        <f>IFERROR(VLOOKUP(A4,Hoja4!A:C,3,0),"")</f>
        <v>Esencia</v>
      </c>
      <c r="K4" s="9">
        <f t="shared" si="1"/>
        <v>30</v>
      </c>
      <c r="L4" s="6">
        <f>IFERROR(VLOOKUP(A4,'[2]Consumo SEMANA ENEA'!$F:$EP,141,0),0)</f>
        <v>6.666666666666667</v>
      </c>
    </row>
    <row r="5" spans="1:12" x14ac:dyDescent="0.3">
      <c r="A5" s="2">
        <v>404316</v>
      </c>
      <c r="B5" s="2" t="s">
        <v>509</v>
      </c>
      <c r="C5" s="2" t="s">
        <v>1</v>
      </c>
      <c r="D5" s="2" t="s">
        <v>2</v>
      </c>
      <c r="E5" s="2">
        <v>128</v>
      </c>
      <c r="F5" s="5">
        <v>1646</v>
      </c>
      <c r="G5" s="5">
        <v>210688</v>
      </c>
      <c r="H5" s="1">
        <f t="shared" ca="1" si="0"/>
        <v>46194</v>
      </c>
      <c r="I5" s="5">
        <f>IFERROR(VLOOKUP(A5,'[1]Consumo SEMANA ENEA'!$F:$EL,137,0),0)</f>
        <v>60.84</v>
      </c>
      <c r="J5" s="2" t="str">
        <f>IFERROR(VLOOKUP(A5,Hoja4!A:C,3,0),"")</f>
        <v>Insumo</v>
      </c>
      <c r="K5" s="9">
        <f t="shared" si="1"/>
        <v>2.10387902695595</v>
      </c>
      <c r="L5" s="6">
        <f>IFERROR(VLOOKUP(A5,'[2]Consumo SEMANA ENEA'!$F:$EP,141,0),0)</f>
        <v>283.84259259259255</v>
      </c>
    </row>
    <row r="6" spans="1:12" x14ac:dyDescent="0.3">
      <c r="A6" s="2">
        <v>405445</v>
      </c>
      <c r="B6" s="2" t="s">
        <v>6</v>
      </c>
      <c r="C6" s="2" t="s">
        <v>1</v>
      </c>
      <c r="D6" s="2" t="s">
        <v>2</v>
      </c>
      <c r="E6" s="5">
        <v>53800</v>
      </c>
      <c r="F6" s="2">
        <v>93.6</v>
      </c>
      <c r="G6" s="5">
        <v>5035680</v>
      </c>
      <c r="H6" s="1">
        <f t="shared" ca="1" si="0"/>
        <v>46194</v>
      </c>
      <c r="I6" s="5">
        <f>IFERROR(VLOOKUP(A6,'[1]Consumo SEMANA ENEA'!$F:$EL,137,0),0)</f>
        <v>9728.14</v>
      </c>
      <c r="J6" s="2" t="str">
        <f>IFERROR(VLOOKUP(A6,Hoja4!A:C,3,0),"")</f>
        <v>Cupula</v>
      </c>
      <c r="K6" s="9">
        <f t="shared" si="1"/>
        <v>5.5303480418661746</v>
      </c>
      <c r="L6" s="6">
        <f>IFERROR(VLOOKUP(A6,'[2]Consumo SEMANA ENEA'!$F:$EP,141,0),0)</f>
        <v>37260.037037037036</v>
      </c>
    </row>
    <row r="7" spans="1:12" x14ac:dyDescent="0.3">
      <c r="A7" s="2">
        <v>107302</v>
      </c>
      <c r="B7" s="2" t="s">
        <v>7</v>
      </c>
      <c r="C7" s="2" t="s">
        <v>1</v>
      </c>
      <c r="D7" s="2" t="s">
        <v>2</v>
      </c>
      <c r="E7" s="2">
        <v>255</v>
      </c>
      <c r="F7" s="5">
        <v>12960</v>
      </c>
      <c r="G7" s="5">
        <v>3304800</v>
      </c>
      <c r="H7" s="1">
        <f t="shared" ca="1" si="0"/>
        <v>46194</v>
      </c>
      <c r="I7" s="5">
        <f>IFERROR(VLOOKUP(A7,'[1]Consumo SEMANA ENEA'!$F:$EL,137,0),0)</f>
        <v>17.916666666666668</v>
      </c>
      <c r="J7" s="2" t="str">
        <f>IFERROR(VLOOKUP(A7,Hoja4!A:C,3,0),"")</f>
        <v>Chocolate</v>
      </c>
      <c r="K7" s="9">
        <f t="shared" si="1"/>
        <v>14.232558139534882</v>
      </c>
      <c r="L7" s="6">
        <f>IFERROR(VLOOKUP(A7,'[2]Consumo SEMANA ENEA'!$F:$EP,141,0),0)</f>
        <v>106.45833333333334</v>
      </c>
    </row>
    <row r="8" spans="1:12" x14ac:dyDescent="0.3">
      <c r="A8" s="2">
        <v>405645</v>
      </c>
      <c r="B8" s="2" t="s">
        <v>745</v>
      </c>
      <c r="C8" s="2" t="s">
        <v>1</v>
      </c>
      <c r="D8" s="2" t="s">
        <v>2</v>
      </c>
      <c r="E8" s="2">
        <v>58</v>
      </c>
      <c r="F8" s="5">
        <v>2450</v>
      </c>
      <c r="G8" s="5">
        <v>142100</v>
      </c>
      <c r="H8" s="1">
        <f t="shared" ca="1" si="0"/>
        <v>46194</v>
      </c>
      <c r="I8" s="5">
        <f>IFERROR(VLOOKUP(A8,'[1]Consumo SEMANA ENEA'!$F:$EL,137,0),0)</f>
        <v>18.729166666666668</v>
      </c>
      <c r="J8" s="2" t="str">
        <f>IFERROR(VLOOKUP(A8,Hoja4!A:C,3,0),"")</f>
        <v>Insumo</v>
      </c>
      <c r="K8" s="9">
        <f t="shared" si="1"/>
        <v>3.096774193548387</v>
      </c>
      <c r="L8" s="6">
        <f>IFERROR(VLOOKUP(A8,'[2]Consumo SEMANA ENEA'!$F:$EP,141,0),0)</f>
        <v>96.574074074074076</v>
      </c>
    </row>
    <row r="9" spans="1:12" x14ac:dyDescent="0.3">
      <c r="A9" s="2">
        <v>400216</v>
      </c>
      <c r="B9" s="2" t="s">
        <v>8</v>
      </c>
      <c r="C9" s="2" t="s">
        <v>1</v>
      </c>
      <c r="D9" s="2" t="s">
        <v>2</v>
      </c>
      <c r="E9" s="2">
        <v>130</v>
      </c>
      <c r="F9" s="5">
        <v>4322</v>
      </c>
      <c r="G9" s="5">
        <v>561860</v>
      </c>
      <c r="H9" s="1">
        <f t="shared" ca="1" si="0"/>
        <v>46194</v>
      </c>
      <c r="I9" s="5">
        <f>IFERROR(VLOOKUP(A9,'[1]Consumo SEMANA ENEA'!$F:$EL,137,0),0)</f>
        <v>14.393939393939393</v>
      </c>
      <c r="J9" s="2" t="str">
        <f>IFERROR(VLOOKUP(A9,Hoja4!A:C,3,0),"")</f>
        <v>Insumo</v>
      </c>
      <c r="K9" s="9">
        <f t="shared" si="1"/>
        <v>9.0315789473684216</v>
      </c>
      <c r="L9" s="6">
        <f>IFERROR(VLOOKUP(A9,'[2]Consumo SEMANA ENEA'!$F:$EP,141,0),0)</f>
        <v>48.166666666666664</v>
      </c>
    </row>
    <row r="10" spans="1:12" x14ac:dyDescent="0.3">
      <c r="A10" s="2">
        <v>405482</v>
      </c>
      <c r="B10" s="2" t="s">
        <v>0</v>
      </c>
      <c r="C10" s="2" t="s">
        <v>1</v>
      </c>
      <c r="D10" s="2" t="s">
        <v>2</v>
      </c>
      <c r="E10" s="2">
        <v>146</v>
      </c>
      <c r="F10" s="5">
        <v>11250.01</v>
      </c>
      <c r="G10" s="5">
        <v>1642501.46</v>
      </c>
      <c r="H10" s="1">
        <f t="shared" ca="1" si="0"/>
        <v>46194</v>
      </c>
      <c r="I10" s="5">
        <f>IFERROR(VLOOKUP(A10,'[1]Consumo SEMANA ENEA'!$F:$EL,137,0),0)</f>
        <v>0</v>
      </c>
      <c r="J10" s="2" t="str">
        <f>IFERROR(VLOOKUP(A10,Hoja4!A:C,3,0),"")</f>
        <v>Esencia</v>
      </c>
      <c r="K10" s="9">
        <f t="shared" si="1"/>
        <v>0</v>
      </c>
      <c r="L10" s="6">
        <f>IFERROR(VLOOKUP(A10,'[2]Consumo SEMANA ENEA'!$F:$EP,141,0),0)</f>
        <v>0</v>
      </c>
    </row>
    <row r="11" spans="1:12" x14ac:dyDescent="0.3">
      <c r="A11" s="2">
        <v>405786</v>
      </c>
      <c r="B11" s="2" t="s">
        <v>829</v>
      </c>
      <c r="C11" s="2" t="s">
        <v>1</v>
      </c>
      <c r="D11" s="2" t="s">
        <v>2</v>
      </c>
      <c r="E11" s="5">
        <v>6000</v>
      </c>
      <c r="F11" s="2">
        <v>107</v>
      </c>
      <c r="G11" s="5">
        <v>642000</v>
      </c>
      <c r="H11" s="1">
        <f t="shared" ca="1" si="0"/>
        <v>46194</v>
      </c>
      <c r="I11" s="5">
        <f>IFERROR(VLOOKUP(A11,'[1]Consumo SEMANA ENEA'!$F:$EL,137,0),0)</f>
        <v>0</v>
      </c>
      <c r="J11" s="2" t="str">
        <f>IFERROR(VLOOKUP(A11,Hoja4!A:C,3,0),"")</f>
        <v>Cupula</v>
      </c>
      <c r="K11" s="9">
        <f t="shared" si="1"/>
        <v>0</v>
      </c>
      <c r="L11" s="6">
        <f>IFERROR(VLOOKUP(A11,'[2]Consumo SEMANA ENEA'!$F:$EP,141,0),0)</f>
        <v>0</v>
      </c>
    </row>
    <row r="12" spans="1:12" x14ac:dyDescent="0.3">
      <c r="A12" s="2">
        <v>403338</v>
      </c>
      <c r="B12" s="2" t="s">
        <v>9</v>
      </c>
      <c r="C12" s="2" t="s">
        <v>1</v>
      </c>
      <c r="D12" s="2" t="s">
        <v>2</v>
      </c>
      <c r="E12" s="5">
        <v>1200</v>
      </c>
      <c r="F12" s="2">
        <v>49.44</v>
      </c>
      <c r="G12" s="5">
        <v>59328</v>
      </c>
      <c r="H12" s="1">
        <f t="shared" ca="1" si="0"/>
        <v>46194</v>
      </c>
      <c r="I12" s="5">
        <f>IFERROR(VLOOKUP(A12,'[1]Consumo SEMANA ENEA'!$F:$EL,137,0),0)</f>
        <v>581.34</v>
      </c>
      <c r="J12" s="2" t="str">
        <f>IFERROR(VLOOKUP(A12,Hoja4!A:C,3,0),"")</f>
        <v>Cupula</v>
      </c>
      <c r="K12" s="9">
        <f t="shared" si="1"/>
        <v>2.0641965115078955</v>
      </c>
      <c r="L12" s="6">
        <f>IFERROR(VLOOKUP(A12,'[2]Consumo SEMANA ENEA'!$F:$EP,141,0),0)</f>
        <v>2318.5555555555557</v>
      </c>
    </row>
    <row r="13" spans="1:12" x14ac:dyDescent="0.3">
      <c r="A13" s="2">
        <v>402263</v>
      </c>
      <c r="B13" s="2" t="s">
        <v>10</v>
      </c>
      <c r="C13" s="2" t="s">
        <v>1</v>
      </c>
      <c r="D13" s="2" t="s">
        <v>2</v>
      </c>
      <c r="E13" s="2">
        <v>319.7</v>
      </c>
      <c r="F13" s="5">
        <v>2478.7399999999998</v>
      </c>
      <c r="G13" s="5">
        <v>792453.17799999996</v>
      </c>
      <c r="H13" s="1">
        <f t="shared" ca="1" si="0"/>
        <v>46194</v>
      </c>
      <c r="I13" s="5">
        <f>IFERROR(VLOOKUP(A13,'[1]Consumo SEMANA ENEA'!$F:$EL,137,0),0)</f>
        <v>5.1880952380952383</v>
      </c>
      <c r="J13" s="2" t="str">
        <f>IFERROR(VLOOKUP(A13,Hoja4!A:C,3,0),"")</f>
        <v>Bolsas</v>
      </c>
      <c r="K13" s="9">
        <f t="shared" si="1"/>
        <v>61.621844882973839</v>
      </c>
      <c r="L13" s="6">
        <f>IFERROR(VLOOKUP(A13,'[2]Consumo SEMANA ENEA'!$F:$EP,141,0),0)</f>
        <v>33.462962962962976</v>
      </c>
    </row>
    <row r="14" spans="1:12" x14ac:dyDescent="0.3">
      <c r="A14" s="2">
        <v>400203</v>
      </c>
      <c r="B14" s="2" t="s">
        <v>11</v>
      </c>
      <c r="C14" s="2" t="s">
        <v>1</v>
      </c>
      <c r="D14" s="2" t="s">
        <v>2</v>
      </c>
      <c r="E14" s="2">
        <v>191.5</v>
      </c>
      <c r="F14" s="5">
        <v>2749.91</v>
      </c>
      <c r="G14" s="5">
        <v>526607.76500000001</v>
      </c>
      <c r="H14" s="1">
        <f t="shared" ca="1" si="0"/>
        <v>46194</v>
      </c>
      <c r="I14" s="5">
        <f>IFERROR(VLOOKUP(A14,'[1]Consumo SEMANA ENEA'!$F:$EL,137,0),0)</f>
        <v>56.927777777777777</v>
      </c>
      <c r="J14" s="2" t="str">
        <f>IFERROR(VLOOKUP(A14,Hoja4!A:C,3,0),"")</f>
        <v>Bolsas</v>
      </c>
      <c r="K14" s="9">
        <f t="shared" si="1"/>
        <v>3.3639113886991314</v>
      </c>
      <c r="L14" s="6">
        <f>IFERROR(VLOOKUP(A14,'[2]Consumo SEMANA ENEA'!$F:$EP,141,0),0)</f>
        <v>412.10000000000008</v>
      </c>
    </row>
    <row r="15" spans="1:12" x14ac:dyDescent="0.3">
      <c r="A15" s="2">
        <v>107120</v>
      </c>
      <c r="B15" s="2" t="s">
        <v>12</v>
      </c>
      <c r="C15" s="2" t="s">
        <v>1</v>
      </c>
      <c r="D15" s="2" t="s">
        <v>2</v>
      </c>
      <c r="E15" s="2">
        <v>810</v>
      </c>
      <c r="F15" s="5">
        <v>1829.93</v>
      </c>
      <c r="G15" s="5">
        <v>1482243.3</v>
      </c>
      <c r="H15" s="1">
        <f t="shared" ca="1" si="0"/>
        <v>46194</v>
      </c>
      <c r="I15" s="5">
        <f>IFERROR(VLOOKUP(A15,'[1]Consumo SEMANA ENEA'!$F:$EL,137,0),0)</f>
        <v>75.029333333333327</v>
      </c>
      <c r="J15" s="2" t="str">
        <f>IFERROR(VLOOKUP(A15,Hoja4!A:C,3,0),"")</f>
        <v>Mermelada</v>
      </c>
      <c r="K15" s="9">
        <f t="shared" si="1"/>
        <v>10.79577765140745</v>
      </c>
      <c r="L15" s="6">
        <f>IFERROR(VLOOKUP(A15,'[2]Consumo SEMANA ENEA'!$F:$EP,141,0),0)</f>
        <v>340.83333333333337</v>
      </c>
    </row>
    <row r="16" spans="1:12" x14ac:dyDescent="0.3">
      <c r="A16" s="2">
        <v>101002</v>
      </c>
      <c r="B16" s="2" t="s">
        <v>13</v>
      </c>
      <c r="C16" s="2" t="s">
        <v>1</v>
      </c>
      <c r="D16" s="2" t="s">
        <v>2</v>
      </c>
      <c r="E16" s="2">
        <v>75</v>
      </c>
      <c r="F16" s="5">
        <v>12779.27</v>
      </c>
      <c r="G16" s="5">
        <v>958445.25</v>
      </c>
      <c r="H16" s="1">
        <f t="shared" ca="1" si="0"/>
        <v>46194</v>
      </c>
      <c r="I16" s="5">
        <f>IFERROR(VLOOKUP(A16,'[1]Consumo SEMANA ENEA'!$F:$EL,137,0),0)</f>
        <v>5.5555555555555562</v>
      </c>
      <c r="J16" s="2" t="str">
        <f>IFERROR(VLOOKUP(A16,Hoja4!A:C,3,0),"")</f>
        <v>Chocolate</v>
      </c>
      <c r="K16" s="9">
        <f t="shared" si="1"/>
        <v>13.499999999999998</v>
      </c>
      <c r="L16" s="6">
        <f>IFERROR(VLOOKUP(A16,'[2]Consumo SEMANA ENEA'!$F:$EP,141,0),0)</f>
        <v>28.645833333333336</v>
      </c>
    </row>
    <row r="17" spans="1:12" x14ac:dyDescent="0.3">
      <c r="A17" s="2">
        <v>106401</v>
      </c>
      <c r="B17" s="2" t="s">
        <v>14</v>
      </c>
      <c r="C17" s="2" t="s">
        <v>1</v>
      </c>
      <c r="D17" s="2" t="s">
        <v>2</v>
      </c>
      <c r="E17" s="2">
        <v>23</v>
      </c>
      <c r="F17" s="5">
        <v>21844.22</v>
      </c>
      <c r="G17" s="5">
        <v>502417.06</v>
      </c>
      <c r="H17" s="1">
        <f t="shared" ca="1" si="0"/>
        <v>46194</v>
      </c>
      <c r="I17" s="5">
        <f>IFERROR(VLOOKUP(A17,'[1]Consumo SEMANA ENEA'!$F:$EL,137,0),0)</f>
        <v>0.96568627450980393</v>
      </c>
      <c r="J17" s="2" t="str">
        <f>IFERROR(VLOOKUP(A17,Hoja4!A:C,3,0),"")</f>
        <v>Esencia</v>
      </c>
      <c r="K17" s="9">
        <f t="shared" si="1"/>
        <v>23.81725888324873</v>
      </c>
      <c r="L17" s="6">
        <f>IFERROR(VLOOKUP(A17,'[2]Consumo SEMANA ENEA'!$F:$EP,141,0),0)</f>
        <v>4.6666666666666661</v>
      </c>
    </row>
    <row r="18" spans="1:12" x14ac:dyDescent="0.3">
      <c r="A18" s="2">
        <v>107361</v>
      </c>
      <c r="B18" s="2" t="s">
        <v>15</v>
      </c>
      <c r="C18" s="2" t="s">
        <v>1</v>
      </c>
      <c r="D18" s="2" t="s">
        <v>2</v>
      </c>
      <c r="E18" s="5">
        <v>3598</v>
      </c>
      <c r="F18" s="2">
        <v>585</v>
      </c>
      <c r="G18" s="5">
        <v>2104830</v>
      </c>
      <c r="H18" s="1">
        <f t="shared" ca="1" si="0"/>
        <v>46194</v>
      </c>
      <c r="I18" s="5">
        <f>IFERROR(VLOOKUP(A18,'[1]Consumo SEMANA ENEA'!$F:$EL,137,0),0)</f>
        <v>166.66666666666666</v>
      </c>
      <c r="J18" s="2" t="str">
        <f>IFERROR(VLOOKUP(A18,Hoja4!A:C,3,0),"")</f>
        <v>Caja</v>
      </c>
      <c r="K18" s="9">
        <f t="shared" si="1"/>
        <v>21.588000000000001</v>
      </c>
      <c r="L18" s="6">
        <f>IFERROR(VLOOKUP(A18,'[2]Consumo SEMANA ENEA'!$F:$EP,141,0),0)</f>
        <v>2833.3333333333335</v>
      </c>
    </row>
    <row r="19" spans="1:12" x14ac:dyDescent="0.3">
      <c r="A19" s="2">
        <v>107367</v>
      </c>
      <c r="B19" s="2" t="s">
        <v>16</v>
      </c>
      <c r="C19" s="2" t="s">
        <v>1</v>
      </c>
      <c r="D19" s="2" t="s">
        <v>2</v>
      </c>
      <c r="E19" s="5">
        <v>2600</v>
      </c>
      <c r="F19" s="2">
        <v>890.76</v>
      </c>
      <c r="G19" s="5">
        <v>2315976</v>
      </c>
      <c r="H19" s="1">
        <f t="shared" ca="1" si="0"/>
        <v>46194</v>
      </c>
      <c r="I19" s="5">
        <f>IFERROR(VLOOKUP(A19,'[1]Consumo SEMANA ENEA'!$F:$EL,137,0),0)</f>
        <v>88.333333333333329</v>
      </c>
      <c r="J19" s="2" t="str">
        <f>IFERROR(VLOOKUP(A19,Hoja4!A:C,3,0),"")</f>
        <v>Caja</v>
      </c>
      <c r="K19" s="9">
        <f t="shared" si="1"/>
        <v>29.433962264150946</v>
      </c>
      <c r="L19" s="6">
        <f>IFERROR(VLOOKUP(A19,'[2]Consumo SEMANA ENEA'!$F:$EP,141,0),0)</f>
        <v>1416.6666666666667</v>
      </c>
    </row>
    <row r="20" spans="1:12" x14ac:dyDescent="0.3">
      <c r="A20" s="2">
        <v>107366</v>
      </c>
      <c r="B20" s="2" t="s">
        <v>17</v>
      </c>
      <c r="C20" s="2" t="s">
        <v>1</v>
      </c>
      <c r="D20" s="2" t="s">
        <v>2</v>
      </c>
      <c r="E20" s="5">
        <v>1525</v>
      </c>
      <c r="F20" s="2">
        <v>721.89</v>
      </c>
      <c r="G20" s="5">
        <v>1100882.25</v>
      </c>
      <c r="H20" s="1">
        <f t="shared" ca="1" si="0"/>
        <v>46194</v>
      </c>
      <c r="I20" s="5">
        <f>IFERROR(VLOOKUP(A20,'[1]Consumo SEMANA ENEA'!$F:$EL,137,0),0)</f>
        <v>65.476190476190467</v>
      </c>
      <c r="J20" s="2" t="str">
        <f>IFERROR(VLOOKUP(A20,Hoja4!A:C,3,0),"")</f>
        <v>Caja</v>
      </c>
      <c r="K20" s="9">
        <f t="shared" si="1"/>
        <v>23.290909090909093</v>
      </c>
      <c r="L20" s="6">
        <f>IFERROR(VLOOKUP(A20,'[2]Consumo SEMANA ENEA'!$F:$EP,141,0),0)</f>
        <v>1161.6666666666667</v>
      </c>
    </row>
    <row r="21" spans="1:12" x14ac:dyDescent="0.3">
      <c r="A21" s="2">
        <v>405696</v>
      </c>
      <c r="B21" s="2" t="s">
        <v>18</v>
      </c>
      <c r="C21" s="2" t="s">
        <v>1</v>
      </c>
      <c r="D21" s="2" t="s">
        <v>2</v>
      </c>
      <c r="E21" s="2">
        <v>659</v>
      </c>
      <c r="F21" s="2">
        <v>600</v>
      </c>
      <c r="G21" s="5">
        <v>395400</v>
      </c>
      <c r="H21" s="1">
        <f t="shared" ca="1" si="0"/>
        <v>46194</v>
      </c>
      <c r="I21" s="5">
        <f>IFERROR(VLOOKUP(A21,'[1]Consumo SEMANA ENEA'!$F:$EL,137,0),0)</f>
        <v>88.8888888888889</v>
      </c>
      <c r="J21" s="2" t="str">
        <f>IFERROR(VLOOKUP(A21,Hoja4!A:C,3,0),"")</f>
        <v>Caja</v>
      </c>
      <c r="K21" s="9">
        <f t="shared" si="1"/>
        <v>7.4137499999999994</v>
      </c>
      <c r="L21" s="6">
        <f>IFERROR(VLOOKUP(A21,'[2]Consumo SEMANA ENEA'!$F:$EP,141,0),0)</f>
        <v>1558.3333333333333</v>
      </c>
    </row>
    <row r="22" spans="1:12" x14ac:dyDescent="0.3">
      <c r="A22" s="2">
        <v>405794</v>
      </c>
      <c r="B22" s="2" t="s">
        <v>830</v>
      </c>
      <c r="C22" s="2" t="s">
        <v>1</v>
      </c>
      <c r="D22" s="2" t="s">
        <v>2</v>
      </c>
      <c r="E22" s="5">
        <v>1500</v>
      </c>
      <c r="F22" s="2">
        <v>600</v>
      </c>
      <c r="G22" s="5">
        <v>900000</v>
      </c>
      <c r="H22" s="1">
        <f t="shared" ca="1" si="0"/>
        <v>46194</v>
      </c>
      <c r="I22" s="5">
        <f>IFERROR(VLOOKUP(A22,'[1]Consumo SEMANA ENEA'!$F:$EL,137,0),0)</f>
        <v>186.16666666666666</v>
      </c>
      <c r="J22" s="2" t="str">
        <f>IFERROR(VLOOKUP(A22,Hoja4!A:C,3,0),"")</f>
        <v>Carton</v>
      </c>
      <c r="K22" s="9">
        <f t="shared" si="1"/>
        <v>8.0572963294538944</v>
      </c>
      <c r="L22" s="6">
        <f>IFERROR(VLOOKUP(A22,'[2]Consumo SEMANA ENEA'!$F:$EP,141,0),0)</f>
        <v>0</v>
      </c>
    </row>
    <row r="23" spans="1:12" x14ac:dyDescent="0.3">
      <c r="A23" s="2">
        <v>405503</v>
      </c>
      <c r="B23" s="2" t="s">
        <v>19</v>
      </c>
      <c r="C23" s="2" t="s">
        <v>1</v>
      </c>
      <c r="D23" s="2" t="s">
        <v>2</v>
      </c>
      <c r="E23" s="2">
        <v>862</v>
      </c>
      <c r="F23" s="2">
        <v>407</v>
      </c>
      <c r="G23" s="5">
        <v>350834</v>
      </c>
      <c r="H23" s="1">
        <f t="shared" ca="1" si="0"/>
        <v>46194</v>
      </c>
      <c r="I23" s="5">
        <f>IFERROR(VLOOKUP(A23,'[1]Consumo SEMANA ENEA'!$F:$EL,137,0),0)</f>
        <v>92.666666666666671</v>
      </c>
      <c r="J23" s="2" t="str">
        <f>IFERROR(VLOOKUP(A23,Hoja4!A:C,3,0),"")</f>
        <v>Caja</v>
      </c>
      <c r="K23" s="9">
        <f t="shared" si="1"/>
        <v>9.3021582733812949</v>
      </c>
      <c r="L23" s="6">
        <f>IFERROR(VLOOKUP(A23,'[2]Consumo SEMANA ENEA'!$F:$EP,141,0),0)</f>
        <v>2125</v>
      </c>
    </row>
    <row r="24" spans="1:12" x14ac:dyDescent="0.3">
      <c r="A24" s="2">
        <v>107365</v>
      </c>
      <c r="B24" s="2" t="s">
        <v>260</v>
      </c>
      <c r="C24" s="2" t="s">
        <v>1</v>
      </c>
      <c r="D24" s="2" t="s">
        <v>2</v>
      </c>
      <c r="E24" s="2">
        <v>692</v>
      </c>
      <c r="F24" s="2">
        <v>493</v>
      </c>
      <c r="G24" s="5">
        <v>341156</v>
      </c>
      <c r="H24" s="1">
        <f t="shared" ca="1" si="0"/>
        <v>46194</v>
      </c>
      <c r="I24" s="5">
        <f>IFERROR(VLOOKUP(A24,'[1]Consumo SEMANA ENEA'!$F:$EL,137,0),0)</f>
        <v>174.5952380952381</v>
      </c>
      <c r="J24" s="2" t="str">
        <f>IFERROR(VLOOKUP(A24,Hoja4!A:C,3,0),"")</f>
        <v>Caja</v>
      </c>
      <c r="K24" s="9">
        <f t="shared" si="1"/>
        <v>3.96345288422201</v>
      </c>
      <c r="L24" s="6">
        <f>IFERROR(VLOOKUP(A24,'[2]Consumo SEMANA ENEA'!$F:$EP,141,0),0)</f>
        <v>2816.3333333333335</v>
      </c>
    </row>
    <row r="25" spans="1:12" x14ac:dyDescent="0.3">
      <c r="A25" s="2">
        <v>405792</v>
      </c>
      <c r="B25" s="2" t="s">
        <v>827</v>
      </c>
      <c r="C25" s="2" t="s">
        <v>1</v>
      </c>
      <c r="D25" s="2" t="s">
        <v>2</v>
      </c>
      <c r="E25" s="5">
        <v>2150</v>
      </c>
      <c r="F25" s="2">
        <v>510.22</v>
      </c>
      <c r="G25" s="5">
        <v>1096973</v>
      </c>
      <c r="H25" s="1">
        <f t="shared" ca="1" si="0"/>
        <v>46194</v>
      </c>
      <c r="I25" s="5">
        <f>IFERROR(VLOOKUP(A25,'[1]Consumo SEMANA ENEA'!$F:$EL,137,0),0)</f>
        <v>0</v>
      </c>
      <c r="J25" s="2" t="str">
        <f>IFERROR(VLOOKUP(A25,Hoja4!A:C,3,0),"")</f>
        <v>Carton</v>
      </c>
      <c r="K25" s="9">
        <f t="shared" si="1"/>
        <v>0</v>
      </c>
      <c r="L25" s="6">
        <f>IFERROR(VLOOKUP(A25,'[2]Consumo SEMANA ENEA'!$F:$EP,141,0),0)</f>
        <v>0</v>
      </c>
    </row>
    <row r="26" spans="1:12" x14ac:dyDescent="0.3">
      <c r="A26" s="2">
        <v>403219</v>
      </c>
      <c r="B26" s="2" t="s">
        <v>20</v>
      </c>
      <c r="C26" s="2" t="s">
        <v>1</v>
      </c>
      <c r="D26" s="2" t="s">
        <v>2</v>
      </c>
      <c r="E26" s="5">
        <v>7000</v>
      </c>
      <c r="F26" s="2">
        <v>6.1</v>
      </c>
      <c r="G26" s="5">
        <v>42700</v>
      </c>
      <c r="H26" s="1">
        <f t="shared" ca="1" si="0"/>
        <v>46194</v>
      </c>
      <c r="I26" s="5">
        <f>IFERROR(VLOOKUP(A26,'[1]Consumo SEMANA ENEA'!$F:$EL,137,0),0)</f>
        <v>1305.5555555555554</v>
      </c>
      <c r="J26" s="2" t="str">
        <f>IFERROR(VLOOKUP(A26,Hoja4!A:C,3,0),"")</f>
        <v>Cupula</v>
      </c>
      <c r="K26" s="9">
        <f t="shared" si="1"/>
        <v>5.3617021276595747</v>
      </c>
      <c r="L26" s="6">
        <f>IFERROR(VLOOKUP(A26,'[2]Consumo SEMANA ENEA'!$F:$EP,141,0),0)</f>
        <v>9733.3333333333339</v>
      </c>
    </row>
    <row r="27" spans="1:12" x14ac:dyDescent="0.3">
      <c r="A27" s="2">
        <v>405749</v>
      </c>
      <c r="B27" s="2" t="s">
        <v>21</v>
      </c>
      <c r="C27" s="2" t="s">
        <v>1</v>
      </c>
      <c r="D27" s="2" t="s">
        <v>2</v>
      </c>
      <c r="E27" s="2">
        <v>312</v>
      </c>
      <c r="F27" s="5">
        <v>6000</v>
      </c>
      <c r="G27" s="5">
        <v>1872000</v>
      </c>
      <c r="H27" s="1">
        <f t="shared" ca="1" si="0"/>
        <v>46194</v>
      </c>
      <c r="I27" s="5">
        <f>IFERROR(VLOOKUP(A27,'[1]Consumo SEMANA ENEA'!$F:$EL,137,0),0)</f>
        <v>34.958333333333336</v>
      </c>
      <c r="J27" s="2" t="str">
        <f>IFERROR(VLOOKUP(A27,Hoja4!A:C,3,0),"")</f>
        <v>Chocolate</v>
      </c>
      <c r="K27" s="9">
        <f t="shared" si="1"/>
        <v>8.9249106078665079</v>
      </c>
      <c r="L27" s="6">
        <f>IFERROR(VLOOKUP(A27,'[2]Consumo SEMANA ENEA'!$F:$EP,141,0),0)</f>
        <v>0</v>
      </c>
    </row>
    <row r="28" spans="1:12" x14ac:dyDescent="0.3">
      <c r="A28" s="2">
        <v>107312</v>
      </c>
      <c r="B28" s="2" t="s">
        <v>22</v>
      </c>
      <c r="C28" s="2" t="s">
        <v>1</v>
      </c>
      <c r="D28" s="2" t="s">
        <v>2</v>
      </c>
      <c r="E28" s="2">
        <v>368.2</v>
      </c>
      <c r="F28" s="5">
        <v>5980</v>
      </c>
      <c r="G28" s="5">
        <v>2201836</v>
      </c>
      <c r="H28" s="1">
        <f t="shared" ca="1" si="0"/>
        <v>46194</v>
      </c>
      <c r="I28" s="5">
        <f>IFERROR(VLOOKUP(A28,'[1]Consumo SEMANA ENEA'!$F:$EL,137,0),0)</f>
        <v>32.193859649122807</v>
      </c>
      <c r="J28" s="2" t="str">
        <f>IFERROR(VLOOKUP(A28,Hoja4!A:C,3,0),"")</f>
        <v>Fruta Conserva</v>
      </c>
      <c r="K28" s="9">
        <f t="shared" si="1"/>
        <v>11.436963570474919</v>
      </c>
      <c r="L28" s="6">
        <f>IFERROR(VLOOKUP(A28,'[2]Consumo SEMANA ENEA'!$F:$EP,141,0),0)</f>
        <v>150.92361111111111</v>
      </c>
    </row>
    <row r="29" spans="1:12" x14ac:dyDescent="0.3">
      <c r="A29" s="2">
        <v>403336</v>
      </c>
      <c r="B29" s="2" t="s">
        <v>23</v>
      </c>
      <c r="C29" s="2" t="s">
        <v>1</v>
      </c>
      <c r="D29" s="2" t="s">
        <v>2</v>
      </c>
      <c r="E29" s="2">
        <v>57.9</v>
      </c>
      <c r="F29" s="5">
        <v>5056.18</v>
      </c>
      <c r="G29" s="5">
        <v>292752.82199999999</v>
      </c>
      <c r="H29" s="1">
        <f t="shared" ca="1" si="0"/>
        <v>46194</v>
      </c>
      <c r="I29" s="5">
        <f>IFERROR(VLOOKUP(A29,'[1]Consumo SEMANA ENEA'!$F:$EL,137,0),0)</f>
        <v>17.356666666666669</v>
      </c>
      <c r="J29" s="2" t="str">
        <f>IFERROR(VLOOKUP(A29,Hoja4!A:C,3,0),"")</f>
        <v>Fruta conserva</v>
      </c>
      <c r="K29" s="9">
        <f t="shared" si="1"/>
        <v>3.3358939888611481</v>
      </c>
      <c r="L29" s="6">
        <f>IFERROR(VLOOKUP(A29,'[2]Consumo SEMANA ENEA'!$F:$EP,141,0),0)</f>
        <v>76.271794871794881</v>
      </c>
    </row>
    <row r="30" spans="1:12" x14ac:dyDescent="0.3">
      <c r="A30" s="2">
        <v>107356</v>
      </c>
      <c r="B30" s="2" t="s">
        <v>24</v>
      </c>
      <c r="C30" s="2" t="s">
        <v>1</v>
      </c>
      <c r="D30" s="2" t="s">
        <v>2</v>
      </c>
      <c r="E30" s="2">
        <v>140</v>
      </c>
      <c r="F30" s="5">
        <v>12000</v>
      </c>
      <c r="G30" s="5">
        <v>1680000</v>
      </c>
      <c r="H30" s="1">
        <f t="shared" ca="1" si="0"/>
        <v>46194</v>
      </c>
      <c r="I30" s="5">
        <f>IFERROR(VLOOKUP(A30,'[1]Consumo SEMANA ENEA'!$F:$EL,137,0),0)</f>
        <v>17.75</v>
      </c>
      <c r="J30" s="2" t="str">
        <f>IFERROR(VLOOKUP(A30,Hoja4!A:C,3,0),"")</f>
        <v>Chocolate</v>
      </c>
      <c r="K30" s="9">
        <f t="shared" si="1"/>
        <v>7.887323943661972</v>
      </c>
      <c r="L30" s="6">
        <f>IFERROR(VLOOKUP(A30,'[2]Consumo SEMANA ENEA'!$F:$EP,141,0),0)</f>
        <v>75.911111111111111</v>
      </c>
    </row>
    <row r="31" spans="1:12" x14ac:dyDescent="0.3">
      <c r="A31" s="2">
        <v>405373</v>
      </c>
      <c r="B31" s="2" t="s">
        <v>25</v>
      </c>
      <c r="C31" s="2" t="s">
        <v>1</v>
      </c>
      <c r="D31" s="2" t="s">
        <v>2</v>
      </c>
      <c r="E31" s="2">
        <v>399.5</v>
      </c>
      <c r="F31" s="5">
        <v>14167.83</v>
      </c>
      <c r="G31" s="5">
        <v>5660048.085</v>
      </c>
      <c r="H31" s="1">
        <f t="shared" ca="1" si="0"/>
        <v>46194</v>
      </c>
      <c r="I31" s="5">
        <f>IFERROR(VLOOKUP(A31,'[1]Consumo SEMANA ENEA'!$F:$EL,137,0),0)</f>
        <v>9.3733333333333331</v>
      </c>
      <c r="J31" s="2" t="str">
        <f>IFERROR(VLOOKUP(A31,Hoja4!A:C,3,0),"")</f>
        <v>Chocolate</v>
      </c>
      <c r="K31" s="9">
        <f t="shared" si="1"/>
        <v>42.620910384068281</v>
      </c>
      <c r="L31" s="6">
        <f>IFERROR(VLOOKUP(A31,'[2]Consumo SEMANA ENEA'!$F:$EP,141,0),0)</f>
        <v>56.722222222222229</v>
      </c>
    </row>
    <row r="32" spans="1:12" x14ac:dyDescent="0.3">
      <c r="A32" s="2">
        <v>402255</v>
      </c>
      <c r="B32" s="2" t="s">
        <v>26</v>
      </c>
      <c r="C32" s="2" t="s">
        <v>1</v>
      </c>
      <c r="D32" s="2" t="s">
        <v>2</v>
      </c>
      <c r="E32" s="2">
        <v>624</v>
      </c>
      <c r="F32" s="5">
        <v>1290</v>
      </c>
      <c r="G32" s="5">
        <v>804960</v>
      </c>
      <c r="H32" s="1">
        <f t="shared" ca="1" si="0"/>
        <v>46194</v>
      </c>
      <c r="I32" s="5">
        <f>IFERROR(VLOOKUP(A32,'[1]Consumo SEMANA ENEA'!$F:$EL,137,0),0)</f>
        <v>45.166666666666664</v>
      </c>
      <c r="J32" s="2" t="str">
        <f>IFERROR(VLOOKUP(A32,Hoja4!A:C,3,0),"")</f>
        <v>Empaque</v>
      </c>
      <c r="K32" s="9">
        <f t="shared" si="1"/>
        <v>13.815498154981551</v>
      </c>
      <c r="L32" s="6">
        <f>IFERROR(VLOOKUP(A32,'[2]Consumo SEMANA ENEA'!$F:$EP,141,0),0)</f>
        <v>206.9907407407407</v>
      </c>
    </row>
    <row r="33" spans="1:12" x14ac:dyDescent="0.3">
      <c r="A33" s="2">
        <v>404309</v>
      </c>
      <c r="B33" s="2" t="s">
        <v>27</v>
      </c>
      <c r="C33" s="2" t="s">
        <v>1</v>
      </c>
      <c r="D33" s="2" t="s">
        <v>2</v>
      </c>
      <c r="E33" s="2">
        <v>332</v>
      </c>
      <c r="F33" s="5">
        <v>8884.9500000000007</v>
      </c>
      <c r="G33" s="5">
        <v>2949803.4</v>
      </c>
      <c r="H33" s="1">
        <f t="shared" ca="1" si="0"/>
        <v>46194</v>
      </c>
      <c r="I33" s="5">
        <f>IFERROR(VLOOKUP(A33,'[1]Consumo SEMANA ENEA'!$F:$EL,137,0),0)</f>
        <v>36.444444444444443</v>
      </c>
      <c r="J33" s="2" t="str">
        <f>IFERROR(VLOOKUP(A33,Hoja4!A:C,3,0),"")</f>
        <v>Chocolate</v>
      </c>
      <c r="K33" s="9">
        <f t="shared" si="1"/>
        <v>9.1097560975609753</v>
      </c>
      <c r="L33" s="6">
        <f>IFERROR(VLOOKUP(A33,'[2]Consumo SEMANA ENEA'!$F:$EP,141,0),0)</f>
        <v>231.73333333333332</v>
      </c>
    </row>
    <row r="34" spans="1:12" x14ac:dyDescent="0.3">
      <c r="A34" s="2">
        <v>107197</v>
      </c>
      <c r="B34" s="2" t="s">
        <v>28</v>
      </c>
      <c r="C34" s="2" t="s">
        <v>1</v>
      </c>
      <c r="D34" s="2" t="s">
        <v>2</v>
      </c>
      <c r="E34" s="2">
        <v>420</v>
      </c>
      <c r="F34" s="5">
        <v>5296.65</v>
      </c>
      <c r="G34" s="5">
        <v>2224593</v>
      </c>
      <c r="H34" s="1">
        <f t="shared" ca="1" si="0"/>
        <v>46194</v>
      </c>
      <c r="I34" s="5">
        <f>IFERROR(VLOOKUP(A34,'[1]Consumo SEMANA ENEA'!$F:$EL,137,0),0)</f>
        <v>9.454545454545455</v>
      </c>
      <c r="J34" s="2" t="str">
        <f>IFERROR(VLOOKUP(A34,Hoja4!A:C,3,0),"")</f>
        <v>Chocolate</v>
      </c>
      <c r="K34" s="9">
        <f t="shared" si="1"/>
        <v>44.42307692307692</v>
      </c>
      <c r="L34" s="6">
        <f>IFERROR(VLOOKUP(A34,'[2]Consumo SEMANA ENEA'!$F:$EP,141,0),0)</f>
        <v>49.333333333333336</v>
      </c>
    </row>
    <row r="35" spans="1:12" x14ac:dyDescent="0.3">
      <c r="A35" s="2">
        <v>107249</v>
      </c>
      <c r="B35" s="2" t="s">
        <v>29</v>
      </c>
      <c r="C35" s="2" t="s">
        <v>1</v>
      </c>
      <c r="D35" s="2" t="s">
        <v>2</v>
      </c>
      <c r="E35" s="2">
        <v>91</v>
      </c>
      <c r="F35" s="5">
        <v>3750</v>
      </c>
      <c r="G35" s="5">
        <v>341250</v>
      </c>
      <c r="H35" s="1">
        <f t="shared" ca="1" si="0"/>
        <v>46194</v>
      </c>
      <c r="I35" s="5">
        <f>IFERROR(VLOOKUP(A35,'[1]Consumo SEMANA ENEA'!$F:$EL,137,0),0)</f>
        <v>11.294871794871796</v>
      </c>
      <c r="J35" s="2" t="str">
        <f>IFERROR(VLOOKUP(A35,Hoja4!A:C,3,0),"")</f>
        <v>Chocolate</v>
      </c>
      <c r="K35" s="9">
        <f t="shared" si="1"/>
        <v>8.0567536889897831</v>
      </c>
      <c r="L35" s="6">
        <f>IFERROR(VLOOKUP(A35,'[2]Consumo SEMANA ENEA'!$F:$EP,141,0),0)</f>
        <v>54.75</v>
      </c>
    </row>
    <row r="36" spans="1:12" x14ac:dyDescent="0.3">
      <c r="A36" s="2">
        <v>107134</v>
      </c>
      <c r="B36" s="2" t="s">
        <v>30</v>
      </c>
      <c r="C36" s="2" t="s">
        <v>1</v>
      </c>
      <c r="D36" s="2" t="s">
        <v>2</v>
      </c>
      <c r="E36" s="2">
        <v>309.72000000000003</v>
      </c>
      <c r="F36" s="5">
        <v>3599.97</v>
      </c>
      <c r="G36" s="5">
        <v>1114982.7083999999</v>
      </c>
      <c r="H36" s="1">
        <f t="shared" ca="1" si="0"/>
        <v>46194</v>
      </c>
      <c r="I36" s="5">
        <f>IFERROR(VLOOKUP(A36,'[1]Consumo SEMANA ENEA'!$F:$EL,137,0),0)</f>
        <v>18.613055555555558</v>
      </c>
      <c r="J36" s="2" t="str">
        <f>IFERROR(VLOOKUP(A36,Hoja4!A:C,3,0),"")</f>
        <v>Esencia</v>
      </c>
      <c r="K36" s="9">
        <f t="shared" si="1"/>
        <v>16.639933141313595</v>
      </c>
      <c r="L36" s="6">
        <f>IFERROR(VLOOKUP(A36,'[2]Consumo SEMANA ENEA'!$F:$EP,141,0),0)</f>
        <v>73.888888888888886</v>
      </c>
    </row>
    <row r="37" spans="1:12" x14ac:dyDescent="0.3">
      <c r="A37" s="2">
        <v>405747</v>
      </c>
      <c r="B37" s="2" t="s">
        <v>31</v>
      </c>
      <c r="C37" s="2" t="s">
        <v>1</v>
      </c>
      <c r="D37" s="2" t="s">
        <v>2</v>
      </c>
      <c r="E37" s="2">
        <v>285.60000000000002</v>
      </c>
      <c r="F37" s="5">
        <v>3703</v>
      </c>
      <c r="G37" s="5">
        <v>1057576.8</v>
      </c>
      <c r="H37" s="1">
        <f t="shared" ca="1" si="0"/>
        <v>46194</v>
      </c>
      <c r="I37" s="5">
        <f>IFERROR(VLOOKUP(A37,'[1]Consumo SEMANA ENEA'!$F:$EL,137,0),0)</f>
        <v>29.044444444444448</v>
      </c>
      <c r="J37" s="2" t="str">
        <f>IFERROR(VLOOKUP(A37,Hoja4!A:C,3,0),"")</f>
        <v>Fruta conserva</v>
      </c>
      <c r="K37" s="9">
        <f t="shared" si="1"/>
        <v>9.8332058148431525</v>
      </c>
      <c r="L37" s="6">
        <f>IFERROR(VLOOKUP(A37,'[2]Consumo SEMANA ENEA'!$F:$EP,141,0),0)</f>
        <v>103.8</v>
      </c>
    </row>
    <row r="38" spans="1:12" x14ac:dyDescent="0.3">
      <c r="A38" s="2">
        <v>403355</v>
      </c>
      <c r="B38" s="2" t="s">
        <v>32</v>
      </c>
      <c r="C38" s="2" t="s">
        <v>1</v>
      </c>
      <c r="D38" s="2" t="s">
        <v>2</v>
      </c>
      <c r="E38" s="2">
        <v>61.4</v>
      </c>
      <c r="F38" s="5">
        <v>1973.24</v>
      </c>
      <c r="G38" s="5">
        <v>121156.936</v>
      </c>
      <c r="H38" s="1">
        <f t="shared" ca="1" si="0"/>
        <v>46194</v>
      </c>
      <c r="I38" s="5">
        <f>IFERROR(VLOOKUP(A38,'[1]Consumo SEMANA ENEA'!$F:$EL,137,0),0)</f>
        <v>0</v>
      </c>
      <c r="J38" s="2" t="str">
        <f>IFERROR(VLOOKUP(A38,Hoja4!A:C,3,0),"")</f>
        <v>Licor</v>
      </c>
      <c r="K38" s="9">
        <f t="shared" si="1"/>
        <v>0</v>
      </c>
      <c r="L38" s="6">
        <f>IFERROR(VLOOKUP(A38,'[2]Consumo SEMANA ENEA'!$F:$EP,141,0),0)</f>
        <v>0</v>
      </c>
    </row>
    <row r="39" spans="1:12" x14ac:dyDescent="0.3">
      <c r="A39" s="2">
        <v>107320</v>
      </c>
      <c r="B39" s="2" t="s">
        <v>33</v>
      </c>
      <c r="C39" s="2" t="s">
        <v>1</v>
      </c>
      <c r="D39" s="2" t="s">
        <v>2</v>
      </c>
      <c r="E39" s="2">
        <v>229.5</v>
      </c>
      <c r="F39" s="5">
        <v>3122</v>
      </c>
      <c r="G39" s="5">
        <v>716499</v>
      </c>
      <c r="H39" s="1">
        <f t="shared" ca="1" si="0"/>
        <v>46194</v>
      </c>
      <c r="I39" s="5">
        <f>IFERROR(VLOOKUP(A39,'[1]Consumo SEMANA ENEA'!$F:$EL,137,0),0)</f>
        <v>34.274999999999999</v>
      </c>
      <c r="J39" s="2" t="str">
        <f>IFERROR(VLOOKUP(A39,Hoja4!A:C,3,0),"")</f>
        <v>Mermelada</v>
      </c>
      <c r="K39" s="9">
        <f t="shared" si="1"/>
        <v>6.6958424507658645</v>
      </c>
      <c r="L39" s="6">
        <f>IFERROR(VLOOKUP(A39,'[2]Consumo SEMANA ENEA'!$F:$EP,141,0),0)</f>
        <v>140.41666666666666</v>
      </c>
    </row>
    <row r="40" spans="1:12" x14ac:dyDescent="0.3">
      <c r="A40" s="2">
        <v>405427</v>
      </c>
      <c r="B40" s="2" t="s">
        <v>34</v>
      </c>
      <c r="C40" s="2" t="s">
        <v>1</v>
      </c>
      <c r="D40" s="2" t="s">
        <v>2</v>
      </c>
      <c r="E40" s="2">
        <v>5</v>
      </c>
      <c r="F40" s="5">
        <v>8897.7999999999993</v>
      </c>
      <c r="G40" s="5">
        <v>44489</v>
      </c>
      <c r="H40" s="1">
        <f t="shared" ca="1" si="0"/>
        <v>46194</v>
      </c>
      <c r="I40" s="5">
        <f>IFERROR(VLOOKUP(A40,'[1]Consumo SEMANA ENEA'!$F:$EL,137,0),0)</f>
        <v>0</v>
      </c>
      <c r="J40" s="2" t="str">
        <f>IFERROR(VLOOKUP(A40,Hoja4!A:C,3,0),"")</f>
        <v>Colorantes</v>
      </c>
      <c r="K40" s="9">
        <f t="shared" si="1"/>
        <v>0</v>
      </c>
      <c r="L40" s="6">
        <f>IFERROR(VLOOKUP(A40,'[2]Consumo SEMANA ENEA'!$F:$EP,141,0),0)</f>
        <v>0</v>
      </c>
    </row>
    <row r="41" spans="1:12" x14ac:dyDescent="0.3">
      <c r="A41" s="2">
        <v>107323</v>
      </c>
      <c r="B41" s="2" t="s">
        <v>35</v>
      </c>
      <c r="C41" s="2" t="s">
        <v>1</v>
      </c>
      <c r="D41" s="2" t="s">
        <v>2</v>
      </c>
      <c r="E41" s="5">
        <v>4760</v>
      </c>
      <c r="F41" s="2">
        <v>231.41</v>
      </c>
      <c r="G41" s="5">
        <v>1101511.6000000001</v>
      </c>
      <c r="H41" s="1">
        <f t="shared" ca="1" si="0"/>
        <v>46194</v>
      </c>
      <c r="I41" s="5">
        <f>IFERROR(VLOOKUP(A41,'[1]Consumo SEMANA ENEA'!$F:$EL,137,0),0)</f>
        <v>132.01388888888889</v>
      </c>
      <c r="J41" s="2" t="str">
        <f>IFERROR(VLOOKUP(A41,Hoja4!A:C,3,0),"")</f>
        <v>Cupula</v>
      </c>
      <c r="K41" s="9">
        <f t="shared" si="1"/>
        <v>36.056812204103103</v>
      </c>
      <c r="L41" s="6">
        <f>IFERROR(VLOOKUP(A41,'[2]Consumo SEMANA ENEA'!$F:$EP,141,0),0)</f>
        <v>608.23529411764707</v>
      </c>
    </row>
    <row r="42" spans="1:12" x14ac:dyDescent="0.3">
      <c r="A42" s="2">
        <v>107300</v>
      </c>
      <c r="B42" s="2" t="s">
        <v>36</v>
      </c>
      <c r="C42" s="2" t="s">
        <v>1</v>
      </c>
      <c r="D42" s="2" t="s">
        <v>2</v>
      </c>
      <c r="E42" s="5">
        <v>17724</v>
      </c>
      <c r="F42" s="2">
        <v>212.15</v>
      </c>
      <c r="G42" s="5">
        <v>3760146.6</v>
      </c>
      <c r="H42" s="1">
        <f t="shared" ca="1" si="0"/>
        <v>46194</v>
      </c>
      <c r="I42" s="5">
        <f>IFERROR(VLOOKUP(A42,'[1]Consumo SEMANA ENEA'!$F:$EL,137,0),0)</f>
        <v>1388.6000000000001</v>
      </c>
      <c r="J42" s="2" t="str">
        <f>IFERROR(VLOOKUP(A42,Hoja4!A:C,3,0),"")</f>
        <v>Cupula</v>
      </c>
      <c r="K42" s="9">
        <f t="shared" si="1"/>
        <v>12.763934898458878</v>
      </c>
      <c r="L42" s="6">
        <f>IFERROR(VLOOKUP(A42,'[2]Consumo SEMANA ENEA'!$F:$EP,141,0),0)</f>
        <v>5917.7777777777774</v>
      </c>
    </row>
    <row r="43" spans="1:12" x14ac:dyDescent="0.3">
      <c r="A43" s="2">
        <v>405560</v>
      </c>
      <c r="B43" s="2" t="s">
        <v>37</v>
      </c>
      <c r="C43" s="2" t="s">
        <v>1</v>
      </c>
      <c r="D43" s="2" t="s">
        <v>2</v>
      </c>
      <c r="E43" s="2">
        <v>181.16</v>
      </c>
      <c r="F43" s="5">
        <v>3848.3</v>
      </c>
      <c r="G43" s="5">
        <v>697158.02800000005</v>
      </c>
      <c r="H43" s="1">
        <f t="shared" ca="1" si="0"/>
        <v>46194</v>
      </c>
      <c r="I43" s="5">
        <f>IFERROR(VLOOKUP(A43,'[1]Consumo SEMANA ENEA'!$F:$EL,137,0),0)</f>
        <v>10.795833333333334</v>
      </c>
      <c r="J43" s="2" t="str">
        <f>IFERROR(VLOOKUP(A43,Hoja4!A:C,3,0),"")</f>
        <v>Galleta</v>
      </c>
      <c r="K43" s="9">
        <f t="shared" si="1"/>
        <v>16.78054805094558</v>
      </c>
      <c r="L43" s="6">
        <f>IFERROR(VLOOKUP(A43,'[2]Consumo SEMANA ENEA'!$F:$EP,141,0),0)</f>
        <v>53.979166666666671</v>
      </c>
    </row>
    <row r="44" spans="1:12" x14ac:dyDescent="0.3">
      <c r="A44" s="2">
        <v>393400</v>
      </c>
      <c r="B44" s="2" t="s">
        <v>38</v>
      </c>
      <c r="C44" s="2" t="s">
        <v>1</v>
      </c>
      <c r="D44" s="2" t="s">
        <v>2</v>
      </c>
      <c r="E44" s="2">
        <v>165.64</v>
      </c>
      <c r="F44" s="5">
        <v>3770</v>
      </c>
      <c r="G44" s="5">
        <v>624462.80000000005</v>
      </c>
      <c r="H44" s="1">
        <f t="shared" ca="1" si="0"/>
        <v>46194</v>
      </c>
      <c r="I44" s="5">
        <f>IFERROR(VLOOKUP(A44,'[1]Consumo SEMANA ENEA'!$F:$EL,137,0),0)</f>
        <v>5.6958333333333337</v>
      </c>
      <c r="J44" s="2" t="str">
        <f>IFERROR(VLOOKUP(A44,Hoja4!A:C,3,0),"")</f>
        <v>Chocolate</v>
      </c>
      <c r="K44" s="9">
        <f t="shared" si="1"/>
        <v>29.08090709583028</v>
      </c>
      <c r="L44" s="6">
        <f>IFERROR(VLOOKUP(A44,'[2]Consumo SEMANA ENEA'!$F:$EP,141,0),0)</f>
        <v>28.03921568627451</v>
      </c>
    </row>
    <row r="45" spans="1:12" x14ac:dyDescent="0.3">
      <c r="A45" s="2">
        <v>405559</v>
      </c>
      <c r="B45" s="2" t="s">
        <v>39</v>
      </c>
      <c r="C45" s="2" t="s">
        <v>1</v>
      </c>
      <c r="D45" s="2" t="s">
        <v>2</v>
      </c>
      <c r="E45" s="2">
        <v>424.4</v>
      </c>
      <c r="F45" s="5">
        <v>6554.2</v>
      </c>
      <c r="G45" s="5">
        <v>2781602.48</v>
      </c>
      <c r="H45" s="1">
        <f t="shared" ca="1" si="0"/>
        <v>46194</v>
      </c>
      <c r="I45" s="5">
        <f>IFERROR(VLOOKUP(A45,'[1]Consumo SEMANA ENEA'!$F:$EL,137,0),0)</f>
        <v>14.862499999999999</v>
      </c>
      <c r="J45" s="2" t="str">
        <f>IFERROR(VLOOKUP(A45,Hoja4!A:C,3,0),"")</f>
        <v>Cremas</v>
      </c>
      <c r="K45" s="9">
        <f t="shared" si="1"/>
        <v>28.555088309503784</v>
      </c>
      <c r="L45" s="6">
        <f>IFERROR(VLOOKUP(A45,'[2]Consumo SEMANA ENEA'!$F:$EP,141,0),0)</f>
        <v>63.068627450980387</v>
      </c>
    </row>
    <row r="46" spans="1:12" x14ac:dyDescent="0.3">
      <c r="A46" s="2">
        <v>170183</v>
      </c>
      <c r="B46" s="2" t="s">
        <v>40</v>
      </c>
      <c r="C46" s="2" t="s">
        <v>1</v>
      </c>
      <c r="D46" s="2" t="s">
        <v>2</v>
      </c>
      <c r="E46" s="2">
        <v>920</v>
      </c>
      <c r="F46" s="5">
        <v>3376</v>
      </c>
      <c r="G46" s="5">
        <v>3105920</v>
      </c>
      <c r="H46" s="1">
        <f t="shared" ca="1" si="0"/>
        <v>46194</v>
      </c>
      <c r="I46" s="5">
        <f>IFERROR(VLOOKUP(A46,'[1]Consumo SEMANA ENEA'!$F:$EL,137,0),0)</f>
        <v>33.375</v>
      </c>
      <c r="J46" s="2" t="str">
        <f>IFERROR(VLOOKUP(A46,Hoja4!A:C,3,0),"")</f>
        <v>cremas</v>
      </c>
      <c r="K46" s="9">
        <f t="shared" si="1"/>
        <v>27.565543071161049</v>
      </c>
      <c r="L46" s="6">
        <f>IFERROR(VLOOKUP(A46,'[2]Consumo SEMANA ENEA'!$F:$EP,141,0),0)</f>
        <v>0</v>
      </c>
    </row>
    <row r="47" spans="1:12" x14ac:dyDescent="0.3">
      <c r="A47" s="2">
        <v>107342</v>
      </c>
      <c r="B47" s="2" t="s">
        <v>41</v>
      </c>
      <c r="C47" s="2" t="s">
        <v>1</v>
      </c>
      <c r="D47" s="2" t="s">
        <v>2</v>
      </c>
      <c r="E47" s="5">
        <v>1296</v>
      </c>
      <c r="F47" s="5">
        <v>2391</v>
      </c>
      <c r="G47" s="5">
        <v>3098736</v>
      </c>
      <c r="H47" s="1">
        <f t="shared" ca="1" si="0"/>
        <v>46194</v>
      </c>
      <c r="I47" s="5">
        <f>IFERROR(VLOOKUP(A47,'[1]Consumo SEMANA ENEA'!$F:$EL,137,0),0)</f>
        <v>143.70833333333334</v>
      </c>
      <c r="J47" s="2" t="str">
        <f>IFERROR(VLOOKUP(A47,Hoja4!A:C,3,0),"")</f>
        <v>Cremas</v>
      </c>
      <c r="K47" s="9">
        <f t="shared" si="1"/>
        <v>9.0182661641055368</v>
      </c>
      <c r="L47" s="6">
        <f>IFERROR(VLOOKUP(A47,'[2]Consumo SEMANA ENEA'!$F:$EP,141,0),0)</f>
        <v>628.14102564102564</v>
      </c>
    </row>
    <row r="48" spans="1:12" x14ac:dyDescent="0.3">
      <c r="A48" s="2">
        <v>107237</v>
      </c>
      <c r="B48" s="2" t="s">
        <v>42</v>
      </c>
      <c r="C48" s="2" t="s">
        <v>1</v>
      </c>
      <c r="D48" s="2" t="s">
        <v>2</v>
      </c>
      <c r="E48" s="5">
        <v>1620</v>
      </c>
      <c r="F48" s="5">
        <v>4103.25</v>
      </c>
      <c r="G48" s="5">
        <v>6647265</v>
      </c>
      <c r="H48" s="1">
        <f t="shared" ca="1" si="0"/>
        <v>46194</v>
      </c>
      <c r="I48" s="5">
        <f>IFERROR(VLOOKUP(A48,'[1]Consumo SEMANA ENEA'!$F:$EL,137,0),0)</f>
        <v>163.31866666666664</v>
      </c>
      <c r="J48" s="2" t="str">
        <f>IFERROR(VLOOKUP(A48,Hoja4!A:C,3,0),"")</f>
        <v>Cremas</v>
      </c>
      <c r="K48" s="9">
        <f t="shared" si="1"/>
        <v>9.9192580558254217</v>
      </c>
      <c r="L48" s="6">
        <f>IFERROR(VLOOKUP(A48,'[2]Consumo SEMANA ENEA'!$F:$EP,141,0),0)</f>
        <v>819.34259259259261</v>
      </c>
    </row>
    <row r="49" spans="1:12" x14ac:dyDescent="0.3">
      <c r="A49" s="2">
        <v>107104</v>
      </c>
      <c r="B49" s="2" t="s">
        <v>43</v>
      </c>
      <c r="C49" s="2" t="s">
        <v>1</v>
      </c>
      <c r="D49" s="2" t="s">
        <v>2</v>
      </c>
      <c r="E49" s="5">
        <v>8247</v>
      </c>
      <c r="F49" s="5">
        <v>3380</v>
      </c>
      <c r="G49" s="5">
        <v>27874860</v>
      </c>
      <c r="H49" s="1">
        <f t="shared" ca="1" si="0"/>
        <v>46194</v>
      </c>
      <c r="I49" s="5">
        <f>IFERROR(VLOOKUP(A49,'[1]Consumo SEMANA ENEA'!$F:$EL,137,0),0)</f>
        <v>1655.22</v>
      </c>
      <c r="J49" s="2" t="str">
        <f>IFERROR(VLOOKUP(A49,Hoja4!A:C,3,0),"")</f>
        <v>Cremas</v>
      </c>
      <c r="K49" s="9">
        <f t="shared" si="1"/>
        <v>4.9824192554464055</v>
      </c>
      <c r="L49" s="6">
        <f>IFERROR(VLOOKUP(A49,'[2]Consumo SEMANA ENEA'!$F:$EP,141,0),0)</f>
        <v>8206.4814814814818</v>
      </c>
    </row>
    <row r="50" spans="1:12" x14ac:dyDescent="0.3">
      <c r="A50" s="2">
        <v>107142</v>
      </c>
      <c r="B50" s="2" t="s">
        <v>44</v>
      </c>
      <c r="C50" s="2" t="s">
        <v>1</v>
      </c>
      <c r="D50" s="2" t="s">
        <v>2</v>
      </c>
      <c r="E50" s="2">
        <v>620</v>
      </c>
      <c r="F50" s="5">
        <v>3249.99</v>
      </c>
      <c r="G50" s="5">
        <v>2014993.8</v>
      </c>
      <c r="H50" s="1">
        <f t="shared" ca="1" si="0"/>
        <v>46194</v>
      </c>
      <c r="I50" s="5">
        <f>IFERROR(VLOOKUP(A50,'[1]Consumo SEMANA ENEA'!$F:$EL,137,0),0)</f>
        <v>173.70084</v>
      </c>
      <c r="J50" s="2" t="str">
        <f>IFERROR(VLOOKUP(A50,Hoja4!A:C,3,0),"")</f>
        <v>Cremas</v>
      </c>
      <c r="K50" s="9">
        <f t="shared" si="1"/>
        <v>3.5693552201589815</v>
      </c>
      <c r="L50" s="6">
        <f>IFERROR(VLOOKUP(A50,'[2]Consumo SEMANA ENEA'!$F:$EP,141,0),0)</f>
        <v>861.62037037037021</v>
      </c>
    </row>
    <row r="51" spans="1:12" x14ac:dyDescent="0.3">
      <c r="A51" s="2">
        <v>107098</v>
      </c>
      <c r="B51" s="2" t="s">
        <v>45</v>
      </c>
      <c r="C51" s="2" t="s">
        <v>1</v>
      </c>
      <c r="D51" s="2" t="s">
        <v>2</v>
      </c>
      <c r="E51" s="5">
        <v>1313</v>
      </c>
      <c r="F51" s="5">
        <v>3199.99</v>
      </c>
      <c r="G51" s="5">
        <v>4201586.87</v>
      </c>
      <c r="H51" s="1">
        <f t="shared" ca="1" si="0"/>
        <v>46194</v>
      </c>
      <c r="I51" s="5">
        <f>IFERROR(VLOOKUP(A51,'[1]Consumo SEMANA ENEA'!$F:$EL,137,0),0)</f>
        <v>312.18</v>
      </c>
      <c r="J51" s="2" t="str">
        <f>IFERROR(VLOOKUP(A51,Hoja4!A:C,3,0),"")</f>
        <v>Cremas</v>
      </c>
      <c r="K51" s="9">
        <f t="shared" si="1"/>
        <v>4.2059068486129796</v>
      </c>
      <c r="L51" s="6">
        <f>IFERROR(VLOOKUP(A51,'[2]Consumo SEMANA ENEA'!$F:$EP,141,0),0)</f>
        <v>1420.8333333333335</v>
      </c>
    </row>
    <row r="52" spans="1:12" x14ac:dyDescent="0.3">
      <c r="A52" s="2">
        <v>107242</v>
      </c>
      <c r="B52" s="2" t="s">
        <v>46</v>
      </c>
      <c r="C52" s="2" t="s">
        <v>1</v>
      </c>
      <c r="D52" s="2" t="s">
        <v>2</v>
      </c>
      <c r="E52" s="5">
        <v>2710</v>
      </c>
      <c r="F52" s="5">
        <v>4270.74</v>
      </c>
      <c r="G52" s="5">
        <v>11573705.4</v>
      </c>
      <c r="H52" s="1">
        <f t="shared" ca="1" si="0"/>
        <v>46194</v>
      </c>
      <c r="I52" s="5">
        <f>IFERROR(VLOOKUP(A52,'[1]Consumo SEMANA ENEA'!$F:$EL,137,0),0)</f>
        <v>293.40277777777777</v>
      </c>
      <c r="J52" s="2" t="str">
        <f>IFERROR(VLOOKUP(A52,Hoja4!A:C,3,0),"")</f>
        <v>Cremas</v>
      </c>
      <c r="K52" s="9">
        <f t="shared" si="1"/>
        <v>9.2364497041420126</v>
      </c>
      <c r="L52" s="6">
        <f>IFERROR(VLOOKUP(A52,'[2]Consumo SEMANA ENEA'!$F:$EP,141,0),0)</f>
        <v>1138.148148148148</v>
      </c>
    </row>
    <row r="53" spans="1:12" x14ac:dyDescent="0.3">
      <c r="A53" s="2">
        <v>103612</v>
      </c>
      <c r="B53" s="2" t="s">
        <v>48</v>
      </c>
      <c r="C53" s="2" t="s">
        <v>1</v>
      </c>
      <c r="D53" s="2" t="s">
        <v>2</v>
      </c>
      <c r="E53" s="5">
        <v>3094</v>
      </c>
      <c r="F53" s="5">
        <v>2600</v>
      </c>
      <c r="G53" s="5">
        <v>8044400</v>
      </c>
      <c r="H53" s="1">
        <f t="shared" ca="1" si="0"/>
        <v>46194</v>
      </c>
      <c r="I53" s="5">
        <f>IFERROR(VLOOKUP(A53,'[1]Consumo SEMANA ENEA'!$F:$EL,137,0),0)</f>
        <v>459.19333333333333</v>
      </c>
      <c r="J53" s="2" t="str">
        <f>IFERROR(VLOOKUP(A53,Hoja4!A:C,3,0),"")</f>
        <v>Cremas</v>
      </c>
      <c r="K53" s="9">
        <f t="shared" si="1"/>
        <v>6.7379026989358151</v>
      </c>
      <c r="L53" s="6">
        <f>IFERROR(VLOOKUP(A53,'[2]Consumo SEMANA ENEA'!$F:$EP,141,0),0)</f>
        <v>2326.8981481481483</v>
      </c>
    </row>
    <row r="54" spans="1:12" x14ac:dyDescent="0.3">
      <c r="A54" s="2">
        <v>107209</v>
      </c>
      <c r="B54" s="2" t="s">
        <v>49</v>
      </c>
      <c r="C54" s="2" t="s">
        <v>1</v>
      </c>
      <c r="D54" s="2" t="s">
        <v>2</v>
      </c>
      <c r="E54" s="5">
        <v>7364</v>
      </c>
      <c r="F54" s="5">
        <v>2402.5</v>
      </c>
      <c r="G54" s="5">
        <v>17692010</v>
      </c>
      <c r="H54" s="1">
        <f t="shared" ca="1" si="0"/>
        <v>46194</v>
      </c>
      <c r="I54" s="5">
        <f>IFERROR(VLOOKUP(A54,'[1]Consumo SEMANA ENEA'!$F:$EL,137,0),0)</f>
        <v>924.83333333333337</v>
      </c>
      <c r="J54" s="2" t="str">
        <f>IFERROR(VLOOKUP(A54,Hoja4!A:C,3,0),"")</f>
        <v>Cremas</v>
      </c>
      <c r="K54" s="9">
        <f t="shared" si="1"/>
        <v>7.9625157686069556</v>
      </c>
      <c r="L54" s="6">
        <f>IFERROR(VLOOKUP(A54,'[2]Consumo SEMANA ENEA'!$F:$EP,141,0),0)</f>
        <v>4731.5277777777774</v>
      </c>
    </row>
    <row r="55" spans="1:12" x14ac:dyDescent="0.3">
      <c r="A55" s="2">
        <v>107105</v>
      </c>
      <c r="B55" s="2" t="s">
        <v>50</v>
      </c>
      <c r="C55" s="2" t="s">
        <v>1</v>
      </c>
      <c r="D55" s="2" t="s">
        <v>2</v>
      </c>
      <c r="E55" s="2">
        <v>373.5</v>
      </c>
      <c r="F55" s="5">
        <v>1913.58</v>
      </c>
      <c r="G55" s="5">
        <v>714722.13</v>
      </c>
      <c r="H55" s="1">
        <f t="shared" ca="1" si="0"/>
        <v>46194</v>
      </c>
      <c r="I55" s="5">
        <f>IFERROR(VLOOKUP(A55,'[1]Consumo SEMANA ENEA'!$F:$EL,137,0),0)</f>
        <v>72.3</v>
      </c>
      <c r="J55" s="2" t="str">
        <f>IFERROR(VLOOKUP(A55,Hoja4!A:C,3,0),"")</f>
        <v>Mermelada</v>
      </c>
      <c r="K55" s="9">
        <f t="shared" si="1"/>
        <v>5.1659751037344401</v>
      </c>
      <c r="L55" s="6">
        <f>IFERROR(VLOOKUP(A55,'[2]Consumo SEMANA ENEA'!$F:$EP,141,0),0)</f>
        <v>347.70833333333337</v>
      </c>
    </row>
    <row r="56" spans="1:12" x14ac:dyDescent="0.3">
      <c r="A56" s="2">
        <v>107345</v>
      </c>
      <c r="B56" s="2" t="s">
        <v>51</v>
      </c>
      <c r="C56" s="2" t="s">
        <v>1</v>
      </c>
      <c r="D56" s="2" t="s">
        <v>2</v>
      </c>
      <c r="E56" s="5">
        <v>4920</v>
      </c>
      <c r="F56" s="2">
        <v>185.4</v>
      </c>
      <c r="G56" s="5">
        <v>912168</v>
      </c>
      <c r="H56" s="1">
        <f t="shared" ca="1" si="0"/>
        <v>46194</v>
      </c>
      <c r="I56" s="5">
        <f>IFERROR(VLOOKUP(A56,'[1]Consumo SEMANA ENEA'!$F:$EL,137,0),0)</f>
        <v>281.04861111111114</v>
      </c>
      <c r="J56" s="2" t="str">
        <f>IFERROR(VLOOKUP(A56,Hoja4!A:C,3,0),"")</f>
        <v>Cupula</v>
      </c>
      <c r="K56" s="9">
        <f t="shared" si="1"/>
        <v>17.505868399594771</v>
      </c>
      <c r="L56" s="6">
        <f>IFERROR(VLOOKUP(A56,'[2]Consumo SEMANA ENEA'!$F:$EP,141,0),0)</f>
        <v>1060.0392156862745</v>
      </c>
    </row>
    <row r="57" spans="1:12" x14ac:dyDescent="0.3">
      <c r="A57" s="2">
        <v>403212</v>
      </c>
      <c r="B57" s="2" t="s">
        <v>52</v>
      </c>
      <c r="C57" s="2" t="s">
        <v>1</v>
      </c>
      <c r="D57" s="2" t="s">
        <v>2</v>
      </c>
      <c r="E57" s="5">
        <v>2084</v>
      </c>
      <c r="F57" s="2">
        <v>210</v>
      </c>
      <c r="G57" s="5">
        <v>437640</v>
      </c>
      <c r="H57" s="1">
        <f t="shared" ca="1" si="0"/>
        <v>46194</v>
      </c>
      <c r="I57" s="5">
        <f>IFERROR(VLOOKUP(A57,'[1]Consumo SEMANA ENEA'!$F:$EL,137,0),0)</f>
        <v>0</v>
      </c>
      <c r="J57" s="2" t="str">
        <f>IFERROR(VLOOKUP(A57,Hoja4!A:C,3,0),"")</f>
        <v>Cupula</v>
      </c>
      <c r="K57" s="9">
        <f t="shared" si="1"/>
        <v>0</v>
      </c>
      <c r="L57" s="6">
        <f>IFERROR(VLOOKUP(A57,'[2]Consumo SEMANA ENEA'!$F:$EP,141,0),0)</f>
        <v>0</v>
      </c>
    </row>
    <row r="58" spans="1:12" x14ac:dyDescent="0.3">
      <c r="A58" s="2">
        <v>404314</v>
      </c>
      <c r="B58" s="2" t="s">
        <v>53</v>
      </c>
      <c r="C58" s="2" t="s">
        <v>1</v>
      </c>
      <c r="D58" s="2" t="s">
        <v>2</v>
      </c>
      <c r="E58" s="5">
        <v>1300</v>
      </c>
      <c r="F58" s="2">
        <v>235.85</v>
      </c>
      <c r="G58" s="5">
        <v>306605</v>
      </c>
      <c r="H58" s="1">
        <f t="shared" ca="1" si="0"/>
        <v>46194</v>
      </c>
      <c r="I58" s="5">
        <f>IFERROR(VLOOKUP(A58,'[1]Consumo SEMANA ENEA'!$F:$EL,137,0),0)</f>
        <v>65.979166666666671</v>
      </c>
      <c r="J58" s="2" t="str">
        <f>IFERROR(VLOOKUP(A58,Hoja4!A:C,3,0),"")</f>
        <v>Cupula</v>
      </c>
      <c r="K58" s="9">
        <f t="shared" si="1"/>
        <v>19.703189137985476</v>
      </c>
      <c r="L58" s="6">
        <f>IFERROR(VLOOKUP(A58,'[2]Consumo SEMANA ENEA'!$F:$EP,141,0),0)</f>
        <v>400.05882352941171</v>
      </c>
    </row>
    <row r="59" spans="1:12" x14ac:dyDescent="0.3">
      <c r="A59" s="2">
        <v>107339</v>
      </c>
      <c r="B59" s="2" t="s">
        <v>54</v>
      </c>
      <c r="C59" s="2" t="s">
        <v>1</v>
      </c>
      <c r="D59" s="2" t="s">
        <v>2</v>
      </c>
      <c r="E59" s="5">
        <v>5600</v>
      </c>
      <c r="F59" s="2">
        <v>258.89</v>
      </c>
      <c r="G59" s="5">
        <v>1449784</v>
      </c>
      <c r="H59" s="1">
        <f t="shared" ca="1" si="0"/>
        <v>46194</v>
      </c>
      <c r="I59" s="5">
        <f>IFERROR(VLOOKUP(A59,'[1]Consumo SEMANA ENEA'!$F:$EL,137,0),0)</f>
        <v>903.20666666666659</v>
      </c>
      <c r="J59" s="2" t="str">
        <f>IFERROR(VLOOKUP(A59,Hoja4!A:C,3,0),"")</f>
        <v>Cupula</v>
      </c>
      <c r="K59" s="9">
        <f t="shared" si="1"/>
        <v>6.2001313837364656</v>
      </c>
      <c r="L59" s="6">
        <f>IFERROR(VLOOKUP(A59,'[2]Consumo SEMANA ENEA'!$F:$EP,141,0),0)</f>
        <v>3464.8518518518517</v>
      </c>
    </row>
    <row r="60" spans="1:12" x14ac:dyDescent="0.3">
      <c r="A60" s="2">
        <v>405444</v>
      </c>
      <c r="B60" s="2" t="s">
        <v>55</v>
      </c>
      <c r="C60" s="2" t="s">
        <v>1</v>
      </c>
      <c r="D60" s="2" t="s">
        <v>2</v>
      </c>
      <c r="E60" s="5">
        <v>56500</v>
      </c>
      <c r="F60" s="2">
        <v>252</v>
      </c>
      <c r="G60" s="5">
        <v>14238000</v>
      </c>
      <c r="H60" s="1">
        <f t="shared" ca="1" si="0"/>
        <v>46194</v>
      </c>
      <c r="I60" s="5">
        <f>IFERROR(VLOOKUP(A60,'[1]Consumo SEMANA ENEA'!$F:$EL,137,0),0)</f>
        <v>9616.6999999999989</v>
      </c>
      <c r="J60" s="2" t="str">
        <f>IFERROR(VLOOKUP(A60,Hoja4!A:C,3,0),"")</f>
        <v>Cupula</v>
      </c>
      <c r="K60" s="9">
        <f t="shared" si="1"/>
        <v>5.8751962731498342</v>
      </c>
      <c r="L60" s="6">
        <f>IFERROR(VLOOKUP(A60,'[2]Consumo SEMANA ENEA'!$F:$EP,141,0),0)</f>
        <v>36666.851851851854</v>
      </c>
    </row>
    <row r="61" spans="1:12" x14ac:dyDescent="0.3">
      <c r="A61" s="2">
        <v>405278</v>
      </c>
      <c r="B61" s="2" t="s">
        <v>56</v>
      </c>
      <c r="C61" s="2" t="s">
        <v>1</v>
      </c>
      <c r="D61" s="2" t="s">
        <v>2</v>
      </c>
      <c r="E61" s="5">
        <v>15120</v>
      </c>
      <c r="F61" s="2">
        <v>244.99</v>
      </c>
      <c r="G61" s="5">
        <v>3704248.8</v>
      </c>
      <c r="H61" s="1">
        <f t="shared" ca="1" si="0"/>
        <v>46194</v>
      </c>
      <c r="I61" s="5">
        <f>IFERROR(VLOOKUP(A61,'[1]Consumo SEMANA ENEA'!$F:$EL,137,0),0)</f>
        <v>1204.4933333333333</v>
      </c>
      <c r="J61" s="2" t="str">
        <f>IFERROR(VLOOKUP(A61,Hoja4!A:C,3,0),"")</f>
        <v>Cupula</v>
      </c>
      <c r="K61" s="9">
        <f t="shared" si="1"/>
        <v>12.552996003852241</v>
      </c>
      <c r="L61" s="6">
        <f>IFERROR(VLOOKUP(A61,'[2]Consumo SEMANA ENEA'!$F:$EP,141,0),0)</f>
        <v>4124.8518518518513</v>
      </c>
    </row>
    <row r="62" spans="1:12" x14ac:dyDescent="0.3">
      <c r="A62" s="2">
        <v>107344</v>
      </c>
      <c r="B62" s="2" t="s">
        <v>57</v>
      </c>
      <c r="C62" s="2" t="s">
        <v>1</v>
      </c>
      <c r="D62" s="2" t="s">
        <v>2</v>
      </c>
      <c r="E62" s="5">
        <v>6720</v>
      </c>
      <c r="F62" s="2">
        <v>239.97</v>
      </c>
      <c r="G62" s="5">
        <v>1612598.4</v>
      </c>
      <c r="H62" s="1">
        <f t="shared" ca="1" si="0"/>
        <v>46194</v>
      </c>
      <c r="I62" s="5">
        <f>IFERROR(VLOOKUP(A62,'[1]Consumo SEMANA ENEA'!$F:$EL,137,0),0)</f>
        <v>725.66666666666663</v>
      </c>
      <c r="J62" s="2" t="str">
        <f>IFERROR(VLOOKUP(A62,Hoja4!A:C,3,0),"")</f>
        <v>Cupula</v>
      </c>
      <c r="K62" s="9">
        <f t="shared" si="1"/>
        <v>9.260450160771704</v>
      </c>
      <c r="L62" s="6">
        <f>IFERROR(VLOOKUP(A62,'[2]Consumo SEMANA ENEA'!$F:$EP,141,0),0)</f>
        <v>3095.5555555555552</v>
      </c>
    </row>
    <row r="63" spans="1:12" x14ac:dyDescent="0.3">
      <c r="A63" s="2">
        <v>107303</v>
      </c>
      <c r="B63" s="2" t="s">
        <v>58</v>
      </c>
      <c r="C63" s="2" t="s">
        <v>1</v>
      </c>
      <c r="D63" s="2" t="s">
        <v>2</v>
      </c>
      <c r="E63" s="2">
        <v>140</v>
      </c>
      <c r="F63" s="5">
        <v>22359.37</v>
      </c>
      <c r="G63" s="5">
        <v>3130311.8</v>
      </c>
      <c r="H63" s="1">
        <f t="shared" ca="1" si="0"/>
        <v>46194</v>
      </c>
      <c r="I63" s="5">
        <f>IFERROR(VLOOKUP(A63,'[1]Consumo SEMANA ENEA'!$F:$EL,137,0),0)</f>
        <v>3.6969696969696972</v>
      </c>
      <c r="J63" s="2" t="str">
        <f>IFERROR(VLOOKUP(A63,Hoja4!A:C,3,0),"")</f>
        <v>Chocolate</v>
      </c>
      <c r="K63" s="9">
        <f t="shared" si="1"/>
        <v>37.868852459016388</v>
      </c>
      <c r="L63" s="6">
        <f>IFERROR(VLOOKUP(A63,'[2]Consumo SEMANA ENEA'!$F:$EP,141,0),0)</f>
        <v>18.627450980392155</v>
      </c>
    </row>
    <row r="64" spans="1:12" x14ac:dyDescent="0.3">
      <c r="A64" s="2">
        <v>107127</v>
      </c>
      <c r="B64" s="2" t="s">
        <v>59</v>
      </c>
      <c r="C64" s="2" t="s">
        <v>1</v>
      </c>
      <c r="D64" s="2" t="s">
        <v>2</v>
      </c>
      <c r="E64" s="2">
        <v>464</v>
      </c>
      <c r="F64" s="5">
        <v>6263.37</v>
      </c>
      <c r="G64" s="5">
        <v>2906203.68</v>
      </c>
      <c r="H64" s="1">
        <f t="shared" ca="1" si="0"/>
        <v>46194</v>
      </c>
      <c r="I64" s="5">
        <f>IFERROR(VLOOKUP(A64,'[1]Consumo SEMANA ENEA'!$F:$EL,137,0),0)</f>
        <v>23.131944444444443</v>
      </c>
      <c r="J64" s="2" t="str">
        <f>IFERROR(VLOOKUP(A64,Hoja4!A:C,3,0),"")</f>
        <v>Chocolate</v>
      </c>
      <c r="K64" s="9">
        <f t="shared" si="1"/>
        <v>20.058841188832183</v>
      </c>
      <c r="L64" s="6">
        <f>IFERROR(VLOOKUP(A64,'[2]Consumo SEMANA ENEA'!$F:$EP,141,0),0)</f>
        <v>98.774509803921575</v>
      </c>
    </row>
    <row r="65" spans="1:12" x14ac:dyDescent="0.3">
      <c r="A65" s="2">
        <v>107108</v>
      </c>
      <c r="B65" s="2" t="s">
        <v>60</v>
      </c>
      <c r="C65" s="2" t="s">
        <v>1</v>
      </c>
      <c r="D65" s="2" t="s">
        <v>2</v>
      </c>
      <c r="E65" s="5">
        <v>1579.5</v>
      </c>
      <c r="F65" s="5">
        <v>4199.9399999999996</v>
      </c>
      <c r="G65" s="5">
        <v>6633805.2300000004</v>
      </c>
      <c r="H65" s="1">
        <f t="shared" ca="1" si="0"/>
        <v>46194</v>
      </c>
      <c r="I65" s="5">
        <f>IFERROR(VLOOKUP(A65,'[1]Consumo SEMANA ENEA'!$F:$EL,137,0),0)</f>
        <v>192.24</v>
      </c>
      <c r="J65" s="2" t="str">
        <f>IFERROR(VLOOKUP(A65,Hoja4!A:C,3,0),"")</f>
        <v>Chocolate</v>
      </c>
      <c r="K65" s="9">
        <f t="shared" si="1"/>
        <v>8.2162921348314608</v>
      </c>
      <c r="L65" s="6">
        <f>IFERROR(VLOOKUP(A65,'[2]Consumo SEMANA ENEA'!$F:$EP,141,0),0)</f>
        <v>909.79166666666674</v>
      </c>
    </row>
    <row r="66" spans="1:12" x14ac:dyDescent="0.3">
      <c r="A66" s="2">
        <v>405740</v>
      </c>
      <c r="B66" s="2" t="s">
        <v>61</v>
      </c>
      <c r="C66" s="2" t="s">
        <v>1</v>
      </c>
      <c r="D66" s="2" t="s">
        <v>2</v>
      </c>
      <c r="E66" s="5">
        <v>67500</v>
      </c>
      <c r="F66" s="2">
        <v>24.9</v>
      </c>
      <c r="G66" s="5">
        <v>1680750</v>
      </c>
      <c r="H66" s="1">
        <f t="shared" ca="1" si="0"/>
        <v>46194</v>
      </c>
      <c r="I66" s="5">
        <f>IFERROR(VLOOKUP(A66,'[1]Consumo SEMANA ENEA'!$F:$EL,137,0),0)</f>
        <v>6409.2592592592591</v>
      </c>
      <c r="J66" s="2" t="str">
        <f>IFERROR(VLOOKUP(A66,Hoja4!A:C,3,0),"")</f>
        <v>Carton</v>
      </c>
      <c r="K66" s="9">
        <f t="shared" si="1"/>
        <v>10.531638254839642</v>
      </c>
      <c r="L66" s="6">
        <f>IFERROR(VLOOKUP(A66,'[2]Consumo SEMANA ENEA'!$F:$EP,141,0),0)</f>
        <v>48888.888888888883</v>
      </c>
    </row>
    <row r="67" spans="1:12" x14ac:dyDescent="0.3">
      <c r="A67" s="2">
        <v>403278</v>
      </c>
      <c r="B67" s="2" t="s">
        <v>63</v>
      </c>
      <c r="C67" s="2" t="s">
        <v>1</v>
      </c>
      <c r="D67" s="2" t="s">
        <v>2</v>
      </c>
      <c r="E67" s="5">
        <v>30509</v>
      </c>
      <c r="F67" s="2">
        <v>27</v>
      </c>
      <c r="G67" s="5">
        <v>823743</v>
      </c>
      <c r="H67" s="1">
        <f t="shared" ref="H67:H130" ca="1" si="2">TODAY()</f>
        <v>46194</v>
      </c>
      <c r="I67" s="5">
        <f>IFERROR(VLOOKUP(A67,'[1]Consumo SEMANA ENEA'!$F:$EL,137,0),0)</f>
        <v>817.64285714285722</v>
      </c>
      <c r="J67" s="2" t="str">
        <f>IFERROR(VLOOKUP(A67,Hoja4!A:C,3,0),"")</f>
        <v>Carton</v>
      </c>
      <c r="K67" s="9">
        <f t="shared" ref="K67:K130" si="3">IFERROR(+E67/I67,0)</f>
        <v>37.313357211496459</v>
      </c>
      <c r="L67" s="6">
        <f>IFERROR(VLOOKUP(A67,'[2]Consumo SEMANA ENEA'!$F:$EP,141,0),0)</f>
        <v>14756.944444444445</v>
      </c>
    </row>
    <row r="68" spans="1:12" x14ac:dyDescent="0.3">
      <c r="A68" s="2">
        <v>107210</v>
      </c>
      <c r="B68" s="2" t="s">
        <v>67</v>
      </c>
      <c r="C68" s="2" t="s">
        <v>1</v>
      </c>
      <c r="D68" s="2" t="s">
        <v>2</v>
      </c>
      <c r="E68" s="5">
        <v>24804</v>
      </c>
      <c r="F68" s="2">
        <v>771.66</v>
      </c>
      <c r="G68" s="5">
        <v>19140254.640000001</v>
      </c>
      <c r="H68" s="1">
        <f t="shared" ca="1" si="2"/>
        <v>46194</v>
      </c>
      <c r="I68" s="5">
        <f>IFERROR(VLOOKUP(A68,'[1]Consumo SEMANA ENEA'!$F:$EL,137,0),0)</f>
        <v>2262.25</v>
      </c>
      <c r="J68" s="2" t="str">
        <f>IFERROR(VLOOKUP(A68,Hoja4!A:C,3,0),"")</f>
        <v>Insumo</v>
      </c>
      <c r="K68" s="9">
        <f t="shared" si="3"/>
        <v>10.964305448115814</v>
      </c>
      <c r="L68" s="6">
        <f>IFERROR(VLOOKUP(A68,'[2]Consumo SEMANA ENEA'!$F:$EP,141,0),0)</f>
        <v>13041.666666666668</v>
      </c>
    </row>
    <row r="69" spans="1:12" x14ac:dyDescent="0.3">
      <c r="A69" s="2">
        <v>405582</v>
      </c>
      <c r="B69" s="2" t="s">
        <v>68</v>
      </c>
      <c r="C69" s="2" t="s">
        <v>1</v>
      </c>
      <c r="D69" s="2" t="s">
        <v>2</v>
      </c>
      <c r="E69" s="5">
        <v>39500</v>
      </c>
      <c r="F69" s="2">
        <v>49</v>
      </c>
      <c r="G69" s="5">
        <v>1935500</v>
      </c>
      <c r="H69" s="1">
        <f t="shared" ca="1" si="2"/>
        <v>46194</v>
      </c>
      <c r="I69" s="5">
        <f>IFERROR(VLOOKUP(A69,'[1]Consumo SEMANA ENEA'!$F:$EL,137,0),0)</f>
        <v>687.25490196078442</v>
      </c>
      <c r="J69" s="2" t="str">
        <f>IFERROR(VLOOKUP(A69,Hoja4!A:C,3,0),"")</f>
        <v>Carton</v>
      </c>
      <c r="K69" s="9">
        <f t="shared" si="3"/>
        <v>57.475035663338076</v>
      </c>
      <c r="L69" s="6">
        <f>IFERROR(VLOOKUP(A69,'[2]Consumo SEMANA ENEA'!$F:$EP,141,0),0)</f>
        <v>12631.944444444445</v>
      </c>
    </row>
    <row r="70" spans="1:12" x14ac:dyDescent="0.3">
      <c r="A70" s="2">
        <v>405583</v>
      </c>
      <c r="B70" s="2" t="s">
        <v>69</v>
      </c>
      <c r="C70" s="2" t="s">
        <v>1</v>
      </c>
      <c r="D70" s="2" t="s">
        <v>2</v>
      </c>
      <c r="E70" s="5">
        <v>174550</v>
      </c>
      <c r="F70" s="2">
        <v>49</v>
      </c>
      <c r="G70" s="5">
        <v>8552950</v>
      </c>
      <c r="H70" s="1">
        <f t="shared" ca="1" si="2"/>
        <v>46194</v>
      </c>
      <c r="I70" s="5">
        <f>IFERROR(VLOOKUP(A70,'[1]Consumo SEMANA ENEA'!$F:$EL,137,0),0)</f>
        <v>1816.2698412698412</v>
      </c>
      <c r="J70" s="2" t="str">
        <f>IFERROR(VLOOKUP(A70,Hoja4!A:C,3,0),"")</f>
        <v>Carton</v>
      </c>
      <c r="K70" s="9">
        <f t="shared" si="3"/>
        <v>96.103561284684289</v>
      </c>
      <c r="L70" s="6">
        <f>IFERROR(VLOOKUP(A70,'[2]Consumo SEMANA ENEA'!$F:$EP,141,0),0)</f>
        <v>25880.729166666668</v>
      </c>
    </row>
    <row r="71" spans="1:12" x14ac:dyDescent="0.3">
      <c r="A71" s="2">
        <v>405795</v>
      </c>
      <c r="B71" s="2" t="s">
        <v>825</v>
      </c>
      <c r="C71" s="2" t="s">
        <v>1</v>
      </c>
      <c r="D71" s="2" t="s">
        <v>2</v>
      </c>
      <c r="E71" s="5">
        <v>4800</v>
      </c>
      <c r="F71" s="2">
        <v>49</v>
      </c>
      <c r="G71" s="5">
        <v>235200</v>
      </c>
      <c r="H71" s="1">
        <f t="shared" ca="1" si="2"/>
        <v>46194</v>
      </c>
      <c r="I71" s="5">
        <f>IFERROR(VLOOKUP(A71,'[1]Consumo SEMANA ENEA'!$F:$EL,137,0),0)</f>
        <v>700</v>
      </c>
      <c r="J71" s="2" t="str">
        <f>IFERROR(VLOOKUP(A71,Hoja4!A:C,3,0),"")</f>
        <v>Insumo</v>
      </c>
      <c r="K71" s="9">
        <f t="shared" si="3"/>
        <v>6.8571428571428568</v>
      </c>
      <c r="L71" s="6">
        <f>IFERROR(VLOOKUP(A71,'[2]Consumo SEMANA ENEA'!$F:$EP,141,0),0)</f>
        <v>0</v>
      </c>
    </row>
    <row r="72" spans="1:12" x14ac:dyDescent="0.3">
      <c r="A72" s="2">
        <v>353009</v>
      </c>
      <c r="B72" s="2" t="s">
        <v>70</v>
      </c>
      <c r="C72" s="2" t="s">
        <v>1</v>
      </c>
      <c r="D72" s="2" t="s">
        <v>2</v>
      </c>
      <c r="E72" s="5">
        <v>23314</v>
      </c>
      <c r="F72" s="2">
        <v>151.13</v>
      </c>
      <c r="G72" s="5">
        <v>3523444.82</v>
      </c>
      <c r="H72" s="1">
        <f t="shared" ca="1" si="2"/>
        <v>46194</v>
      </c>
      <c r="I72" s="5">
        <f>IFERROR(VLOOKUP(A72,'[1]Consumo SEMANA ENEA'!$F:$EL,137,0),0)</f>
        <v>9241.3333333333339</v>
      </c>
      <c r="J72" s="2" t="str">
        <f>IFERROR(VLOOKUP(A72,Hoja4!A:C,3,0),"")</f>
        <v>Insumo</v>
      </c>
      <c r="K72" s="9">
        <f t="shared" si="3"/>
        <v>2.5227961333140958</v>
      </c>
      <c r="L72" s="6">
        <f>IFERROR(VLOOKUP(A72,'[2]Consumo SEMANA ENEA'!$F:$EP,141,0),0)</f>
        <v>0</v>
      </c>
    </row>
    <row r="73" spans="1:12" x14ac:dyDescent="0.3">
      <c r="A73" s="2">
        <v>107247</v>
      </c>
      <c r="B73" s="2" t="s">
        <v>71</v>
      </c>
      <c r="C73" s="2" t="s">
        <v>1</v>
      </c>
      <c r="D73" s="2" t="s">
        <v>2</v>
      </c>
      <c r="E73" s="5">
        <v>1650</v>
      </c>
      <c r="F73" s="5">
        <v>3090</v>
      </c>
      <c r="G73" s="5">
        <v>5098500</v>
      </c>
      <c r="H73" s="1">
        <f t="shared" ca="1" si="2"/>
        <v>46194</v>
      </c>
      <c r="I73" s="5">
        <f>IFERROR(VLOOKUP(A73,'[1]Consumo SEMANA ENEA'!$F:$EL,137,0),0)</f>
        <v>148.02083333333334</v>
      </c>
      <c r="J73" s="2" t="str">
        <f>IFERROR(VLOOKUP(A73,Hoja4!A:C,3,0),"")</f>
        <v>Manjar</v>
      </c>
      <c r="K73" s="9">
        <f t="shared" si="3"/>
        <v>11.147079521463757</v>
      </c>
      <c r="L73" s="6">
        <f>IFERROR(VLOOKUP(A73,'[2]Consumo SEMANA ENEA'!$F:$EP,141,0),0)</f>
        <v>606.47058823529414</v>
      </c>
    </row>
    <row r="74" spans="1:12" x14ac:dyDescent="0.3">
      <c r="A74" s="2">
        <v>107294</v>
      </c>
      <c r="B74" s="2" t="s">
        <v>72</v>
      </c>
      <c r="C74" s="2" t="s">
        <v>1</v>
      </c>
      <c r="D74" s="2" t="s">
        <v>2</v>
      </c>
      <c r="E74" s="5">
        <v>4332</v>
      </c>
      <c r="F74" s="5">
        <v>1660</v>
      </c>
      <c r="G74" s="5">
        <v>7191120</v>
      </c>
      <c r="H74" s="1">
        <f t="shared" ca="1" si="2"/>
        <v>46194</v>
      </c>
      <c r="I74" s="5">
        <f>IFERROR(VLOOKUP(A74,'[1]Consumo SEMANA ENEA'!$F:$EL,137,0),0)</f>
        <v>369.34666666666664</v>
      </c>
      <c r="J74" s="2" t="str">
        <f>IFERROR(VLOOKUP(A74,Hoja4!A:C,3,0),"")</f>
        <v>Mermelada</v>
      </c>
      <c r="K74" s="9">
        <f t="shared" si="3"/>
        <v>11.728818454207431</v>
      </c>
      <c r="L74" s="6">
        <f>IFERROR(VLOOKUP(A74,'[2]Consumo SEMANA ENEA'!$F:$EP,141,0),0)</f>
        <v>1732.6851851851852</v>
      </c>
    </row>
    <row r="75" spans="1:12" x14ac:dyDescent="0.3">
      <c r="A75" s="2">
        <v>107125</v>
      </c>
      <c r="B75" s="2" t="s">
        <v>283</v>
      </c>
      <c r="C75" s="2" t="s">
        <v>1</v>
      </c>
      <c r="D75" s="2" t="s">
        <v>2</v>
      </c>
      <c r="E75" s="2">
        <v>896.4</v>
      </c>
      <c r="F75" s="5">
        <v>2583</v>
      </c>
      <c r="G75" s="5">
        <v>2315401.2000000002</v>
      </c>
      <c r="H75" s="1">
        <f t="shared" ca="1" si="2"/>
        <v>46194</v>
      </c>
      <c r="I75" s="5">
        <f>IFERROR(VLOOKUP(A75,'[1]Consumo SEMANA ENEA'!$F:$EL,137,0),0)</f>
        <v>108.74444444444445</v>
      </c>
      <c r="J75" s="2" t="str">
        <f>IFERROR(VLOOKUP(A75,Hoja4!A:C,3,0),"")</f>
        <v>Fruta Conserva</v>
      </c>
      <c r="K75" s="9">
        <f t="shared" si="3"/>
        <v>8.2431797282108903</v>
      </c>
      <c r="L75" s="6">
        <f>IFERROR(VLOOKUP(A75,'[2]Consumo SEMANA ENEA'!$F:$EP,141,0),0)</f>
        <v>30.666666666666664</v>
      </c>
    </row>
    <row r="76" spans="1:12" x14ac:dyDescent="0.3">
      <c r="A76" s="2">
        <v>107401</v>
      </c>
      <c r="B76" s="2" t="s">
        <v>73</v>
      </c>
      <c r="C76" s="2" t="s">
        <v>1</v>
      </c>
      <c r="D76" s="2" t="s">
        <v>2</v>
      </c>
      <c r="E76" s="5">
        <v>1488.65</v>
      </c>
      <c r="F76" s="5">
        <v>2426.1</v>
      </c>
      <c r="G76" s="5">
        <v>3611613.7650000001</v>
      </c>
      <c r="H76" s="1">
        <f t="shared" ca="1" si="2"/>
        <v>46194</v>
      </c>
      <c r="I76" s="5">
        <f>IFERROR(VLOOKUP(A76,'[1]Consumo SEMANA ENEA'!$F:$EL,137,0),0)</f>
        <v>93.071666666666658</v>
      </c>
      <c r="J76" s="2" t="str">
        <f>IFERROR(VLOOKUP(A76,Hoja4!A:C,3,0),"")</f>
        <v>Fruta conserva</v>
      </c>
      <c r="K76" s="9">
        <f t="shared" si="3"/>
        <v>15.994663610479382</v>
      </c>
      <c r="L76" s="6">
        <f>IFERROR(VLOOKUP(A76,'[2]Consumo SEMANA ENEA'!$F:$EP,141,0),0)</f>
        <v>359</v>
      </c>
    </row>
    <row r="77" spans="1:12" x14ac:dyDescent="0.3">
      <c r="A77" s="2">
        <v>405305</v>
      </c>
      <c r="B77" s="2" t="s">
        <v>74</v>
      </c>
      <c r="C77" s="2" t="s">
        <v>1</v>
      </c>
      <c r="D77" s="2" t="s">
        <v>2</v>
      </c>
      <c r="E77" s="2">
        <v>20</v>
      </c>
      <c r="F77" s="5">
        <v>20948.900000000001</v>
      </c>
      <c r="G77" s="5">
        <v>418978</v>
      </c>
      <c r="H77" s="1">
        <f t="shared" ca="1" si="2"/>
        <v>46194</v>
      </c>
      <c r="I77" s="5">
        <f>IFERROR(VLOOKUP(A77,'[1]Consumo SEMANA ENEA'!$F:$EL,137,0),0)</f>
        <v>0</v>
      </c>
      <c r="J77" s="2" t="str">
        <f>IFERROR(VLOOKUP(A77,Hoja4!A:C,3,0),"")</f>
        <v>Esencia</v>
      </c>
      <c r="K77" s="9">
        <f t="shared" si="3"/>
        <v>0</v>
      </c>
      <c r="L77" s="6">
        <f>IFERROR(VLOOKUP(A77,'[2]Consumo SEMANA ENEA'!$F:$EP,141,0),0)</f>
        <v>0</v>
      </c>
    </row>
    <row r="78" spans="1:12" x14ac:dyDescent="0.3">
      <c r="A78" s="2">
        <v>405652</v>
      </c>
      <c r="B78" s="2" t="s">
        <v>75</v>
      </c>
      <c r="C78" s="2" t="s">
        <v>1</v>
      </c>
      <c r="D78" s="2" t="s">
        <v>2</v>
      </c>
      <c r="E78" s="2">
        <v>20</v>
      </c>
      <c r="F78" s="5">
        <v>1970.15</v>
      </c>
      <c r="G78" s="5">
        <v>39403</v>
      </c>
      <c r="H78" s="1">
        <f t="shared" ca="1" si="2"/>
        <v>46194</v>
      </c>
      <c r="I78" s="5">
        <f>IFERROR(VLOOKUP(A78,'[1]Consumo SEMANA ENEA'!$F:$EL,137,0),0)</f>
        <v>0.35897435897435898</v>
      </c>
      <c r="J78" s="2" t="str">
        <f>IFERROR(VLOOKUP(A78,Hoja4!A:C,3,0),"")</f>
        <v>Esencia</v>
      </c>
      <c r="K78" s="9">
        <f t="shared" si="3"/>
        <v>55.714285714285715</v>
      </c>
      <c r="L78" s="6">
        <f>IFERROR(VLOOKUP(A78,'[2]Consumo SEMANA ENEA'!$F:$EP,141,0),0)</f>
        <v>1.1428571428571428</v>
      </c>
    </row>
    <row r="79" spans="1:12" x14ac:dyDescent="0.3">
      <c r="A79" s="2">
        <v>405358</v>
      </c>
      <c r="B79" s="2" t="s">
        <v>76</v>
      </c>
      <c r="C79" s="2" t="s">
        <v>1</v>
      </c>
      <c r="D79" s="2" t="s">
        <v>2</v>
      </c>
      <c r="E79" s="5">
        <v>1000</v>
      </c>
      <c r="F79" s="2">
        <v>17.55</v>
      </c>
      <c r="G79" s="5">
        <v>17550</v>
      </c>
      <c r="H79" s="1">
        <f t="shared" ca="1" si="2"/>
        <v>46194</v>
      </c>
      <c r="I79" s="5">
        <f>IFERROR(VLOOKUP(A79,'[1]Consumo SEMANA ENEA'!$F:$EL,137,0),0)</f>
        <v>365.07936507936506</v>
      </c>
      <c r="J79" s="2" t="str">
        <f>IFERROR(VLOOKUP(A79,Hoja4!A:C,3,0),"")</f>
        <v>Etiquetas</v>
      </c>
      <c r="K79" s="9">
        <f t="shared" si="3"/>
        <v>2.7391304347826089</v>
      </c>
      <c r="L79" s="6">
        <f>IFERROR(VLOOKUP(A79,'[2]Consumo SEMANA ENEA'!$F:$EP,141,0),0)</f>
        <v>2844.4444444444448</v>
      </c>
    </row>
    <row r="80" spans="1:12" x14ac:dyDescent="0.3">
      <c r="A80" s="2">
        <v>405712</v>
      </c>
      <c r="B80" s="2" t="s">
        <v>77</v>
      </c>
      <c r="C80" s="2" t="s">
        <v>1</v>
      </c>
      <c r="D80" s="2" t="s">
        <v>2</v>
      </c>
      <c r="E80" s="5">
        <v>20000</v>
      </c>
      <c r="F80" s="2">
        <v>22.7</v>
      </c>
      <c r="G80" s="5">
        <v>454000</v>
      </c>
      <c r="H80" s="1">
        <f t="shared" ca="1" si="2"/>
        <v>46194</v>
      </c>
      <c r="I80" s="5">
        <f>IFERROR(VLOOKUP(A80,'[1]Consumo SEMANA ENEA'!$F:$EL,137,0),0)</f>
        <v>1666.6666666666667</v>
      </c>
      <c r="J80" s="2" t="str">
        <f>IFERROR(VLOOKUP(A80,Hoja4!A:C,3,0),"")</f>
        <v>Etiquetas</v>
      </c>
      <c r="K80" s="9">
        <f t="shared" si="3"/>
        <v>12</v>
      </c>
      <c r="L80" s="6">
        <f>IFERROR(VLOOKUP(A80,'[2]Consumo SEMANA ENEA'!$F:$EP,141,0),0)</f>
        <v>13333.333333333334</v>
      </c>
    </row>
    <row r="81" spans="1:12" x14ac:dyDescent="0.3">
      <c r="A81" s="2">
        <v>405453</v>
      </c>
      <c r="B81" s="2" t="s">
        <v>78</v>
      </c>
      <c r="C81" s="2" t="s">
        <v>1</v>
      </c>
      <c r="D81" s="2" t="s">
        <v>2</v>
      </c>
      <c r="E81" s="5">
        <v>2000</v>
      </c>
      <c r="F81" s="2">
        <v>20.7</v>
      </c>
      <c r="G81" s="5">
        <v>41400</v>
      </c>
      <c r="H81" s="1">
        <f t="shared" ca="1" si="2"/>
        <v>46194</v>
      </c>
      <c r="I81" s="5">
        <f>IFERROR(VLOOKUP(A81,'[1]Consumo SEMANA ENEA'!$F:$EL,137,0),0)</f>
        <v>166.66666666666666</v>
      </c>
      <c r="J81" s="2" t="str">
        <f>IFERROR(VLOOKUP(A81,Hoja4!A:C,3,0),"")</f>
        <v>Etiquetas</v>
      </c>
      <c r="K81" s="9">
        <f t="shared" si="3"/>
        <v>12</v>
      </c>
      <c r="L81" s="6">
        <f>IFERROR(VLOOKUP(A81,'[2]Consumo SEMANA ENEA'!$F:$EP,141,0),0)</f>
        <v>1333.3333333333333</v>
      </c>
    </row>
    <row r="82" spans="1:12" x14ac:dyDescent="0.3">
      <c r="A82" s="2">
        <v>405785</v>
      </c>
      <c r="B82" s="2" t="s">
        <v>79</v>
      </c>
      <c r="C82" s="2" t="s">
        <v>1</v>
      </c>
      <c r="D82" s="2" t="s">
        <v>2</v>
      </c>
      <c r="E82" s="5">
        <v>5000</v>
      </c>
      <c r="F82" s="2">
        <v>20.7</v>
      </c>
      <c r="G82" s="5">
        <v>103500</v>
      </c>
      <c r="H82" s="1">
        <f t="shared" ca="1" si="2"/>
        <v>46194</v>
      </c>
      <c r="I82" s="5">
        <f>IFERROR(VLOOKUP(A82,'[1]Consumo SEMANA ENEA'!$F:$EL,137,0),0)</f>
        <v>0</v>
      </c>
      <c r="J82" s="2" t="str">
        <f>IFERROR(VLOOKUP(A82,Hoja4!A:C,3,0),"")</f>
        <v>Etiquetas</v>
      </c>
      <c r="K82" s="9">
        <f t="shared" si="3"/>
        <v>0</v>
      </c>
      <c r="L82" s="6">
        <f>IFERROR(VLOOKUP(A82,'[2]Consumo SEMANA ENEA'!$F:$EP,141,0),0)</f>
        <v>0</v>
      </c>
    </row>
    <row r="83" spans="1:12" x14ac:dyDescent="0.3">
      <c r="A83" s="2">
        <v>405752</v>
      </c>
      <c r="B83" s="2" t="s">
        <v>80</v>
      </c>
      <c r="C83" s="2" t="s">
        <v>1</v>
      </c>
      <c r="D83" s="2" t="s">
        <v>2</v>
      </c>
      <c r="E83" s="5">
        <v>5000</v>
      </c>
      <c r="F83" s="2">
        <v>22.7</v>
      </c>
      <c r="G83" s="5">
        <v>113500</v>
      </c>
      <c r="H83" s="1">
        <f t="shared" ca="1" si="2"/>
        <v>46194</v>
      </c>
      <c r="I83" s="5">
        <f>IFERROR(VLOOKUP(A83,'[1]Consumo SEMANA ENEA'!$F:$EL,137,0),0)</f>
        <v>0</v>
      </c>
      <c r="J83" s="2" t="str">
        <f>IFERROR(VLOOKUP(A83,Hoja4!A:C,3,0),"")</f>
        <v>Etiquetas</v>
      </c>
      <c r="K83" s="9">
        <f t="shared" si="3"/>
        <v>0</v>
      </c>
      <c r="L83" s="6">
        <f>IFERROR(VLOOKUP(A83,'[2]Consumo SEMANA ENEA'!$F:$EP,141,0),0)</f>
        <v>0</v>
      </c>
    </row>
    <row r="84" spans="1:12" x14ac:dyDescent="0.3">
      <c r="A84" s="2">
        <v>405687</v>
      </c>
      <c r="B84" s="2" t="s">
        <v>81</v>
      </c>
      <c r="C84" s="2" t="s">
        <v>1</v>
      </c>
      <c r="D84" s="2" t="s">
        <v>2</v>
      </c>
      <c r="E84" s="5">
        <v>3000</v>
      </c>
      <c r="F84" s="2">
        <v>45</v>
      </c>
      <c r="G84" s="5">
        <v>135000</v>
      </c>
      <c r="H84" s="1">
        <f t="shared" ca="1" si="2"/>
        <v>46194</v>
      </c>
      <c r="I84" s="5">
        <f>IFERROR(VLOOKUP(A84,'[1]Consumo SEMANA ENEA'!$F:$EL,137,0),0)</f>
        <v>181.81818181818184</v>
      </c>
      <c r="J84" s="2" t="str">
        <f>IFERROR(VLOOKUP(A84,Hoja4!A:C,3,0),"")</f>
        <v>Etiquetas</v>
      </c>
      <c r="K84" s="9">
        <f t="shared" si="3"/>
        <v>16.499999999999996</v>
      </c>
      <c r="L84" s="6">
        <f>IFERROR(VLOOKUP(A84,'[2]Consumo SEMANA ENEA'!$F:$EP,141,0),0)</f>
        <v>1333.3333333333333</v>
      </c>
    </row>
    <row r="85" spans="1:12" x14ac:dyDescent="0.3">
      <c r="A85" s="2">
        <v>405353</v>
      </c>
      <c r="B85" s="2" t="s">
        <v>82</v>
      </c>
      <c r="C85" s="2" t="s">
        <v>1</v>
      </c>
      <c r="D85" s="2" t="s">
        <v>2</v>
      </c>
      <c r="E85" s="5">
        <v>4000</v>
      </c>
      <c r="F85" s="2">
        <v>22.7</v>
      </c>
      <c r="G85" s="5">
        <v>90800</v>
      </c>
      <c r="H85" s="1">
        <f t="shared" ca="1" si="2"/>
        <v>46194</v>
      </c>
      <c r="I85" s="5">
        <f>IFERROR(VLOOKUP(A85,'[1]Consumo SEMANA ENEA'!$F:$EL,137,0),0)</f>
        <v>678.57142857142856</v>
      </c>
      <c r="J85" s="2" t="str">
        <f>IFERROR(VLOOKUP(A85,Hoja4!A:C,3,0),"")</f>
        <v>Etiquetas</v>
      </c>
      <c r="K85" s="9">
        <f t="shared" si="3"/>
        <v>5.8947368421052637</v>
      </c>
      <c r="L85" s="6">
        <f>IFERROR(VLOOKUP(A85,'[2]Consumo SEMANA ENEA'!$F:$EP,141,0),0)</f>
        <v>5066.666666666667</v>
      </c>
    </row>
    <row r="86" spans="1:12" x14ac:dyDescent="0.3">
      <c r="A86" s="2">
        <v>405787</v>
      </c>
      <c r="B86" s="2" t="s">
        <v>83</v>
      </c>
      <c r="C86" s="2" t="s">
        <v>1</v>
      </c>
      <c r="D86" s="2" t="s">
        <v>2</v>
      </c>
      <c r="E86" s="5">
        <v>7000</v>
      </c>
      <c r="F86" s="2">
        <v>22.7</v>
      </c>
      <c r="G86" s="5">
        <v>158900</v>
      </c>
      <c r="H86" s="1">
        <f t="shared" ca="1" si="2"/>
        <v>46194</v>
      </c>
      <c r="I86" s="5">
        <f>IFERROR(VLOOKUP(A86,'[1]Consumo SEMANA ENEA'!$F:$EL,137,0),0)</f>
        <v>166.66666666666666</v>
      </c>
      <c r="J86" s="2" t="str">
        <f>IFERROR(VLOOKUP(A86,Hoja4!A:C,3,0),"")</f>
        <v>Etiquetas</v>
      </c>
      <c r="K86" s="9">
        <f t="shared" si="3"/>
        <v>42</v>
      </c>
      <c r="L86" s="6">
        <f>IFERROR(VLOOKUP(A86,'[2]Consumo SEMANA ENEA'!$F:$EP,141,0),0)</f>
        <v>0</v>
      </c>
    </row>
    <row r="87" spans="1:12" x14ac:dyDescent="0.3">
      <c r="A87" s="2">
        <v>405688</v>
      </c>
      <c r="B87" s="2" t="s">
        <v>84</v>
      </c>
      <c r="C87" s="2" t="s">
        <v>1</v>
      </c>
      <c r="D87" s="2" t="s">
        <v>2</v>
      </c>
      <c r="E87" s="5">
        <v>5000</v>
      </c>
      <c r="F87" s="2">
        <v>45</v>
      </c>
      <c r="G87" s="5">
        <v>225000</v>
      </c>
      <c r="H87" s="1">
        <f t="shared" ca="1" si="2"/>
        <v>46194</v>
      </c>
      <c r="I87" s="5">
        <f>IFERROR(VLOOKUP(A87,'[1]Consumo SEMANA ENEA'!$F:$EL,137,0),0)</f>
        <v>181.81818181818184</v>
      </c>
      <c r="J87" s="2" t="str">
        <f>IFERROR(VLOOKUP(A87,Hoja4!A:C,3,0),"")</f>
        <v>Etiquetas</v>
      </c>
      <c r="K87" s="9">
        <f t="shared" si="3"/>
        <v>27.499999999999996</v>
      </c>
      <c r="L87" s="6">
        <f>IFERROR(VLOOKUP(A87,'[2]Consumo SEMANA ENEA'!$F:$EP,141,0),0)</f>
        <v>1333.3333333333333</v>
      </c>
    </row>
    <row r="88" spans="1:12" x14ac:dyDescent="0.3">
      <c r="A88" s="2">
        <v>405698</v>
      </c>
      <c r="B88" s="2" t="s">
        <v>85</v>
      </c>
      <c r="C88" s="2" t="s">
        <v>1</v>
      </c>
      <c r="D88" s="2" t="s">
        <v>2</v>
      </c>
      <c r="E88" s="5">
        <v>3000</v>
      </c>
      <c r="F88" s="2">
        <v>26</v>
      </c>
      <c r="G88" s="5">
        <v>78000</v>
      </c>
      <c r="H88" s="1">
        <f t="shared" ca="1" si="2"/>
        <v>46194</v>
      </c>
      <c r="I88" s="5">
        <f>IFERROR(VLOOKUP(A88,'[1]Consumo SEMANA ENEA'!$F:$EL,137,0),0)</f>
        <v>214.28571428571431</v>
      </c>
      <c r="J88" s="2" t="str">
        <f>IFERROR(VLOOKUP(A88,Hoja4!A:C,3,0),"")</f>
        <v>Etiquetas</v>
      </c>
      <c r="K88" s="9">
        <f t="shared" si="3"/>
        <v>13.999999999999998</v>
      </c>
      <c r="L88" s="6">
        <f>IFERROR(VLOOKUP(A88,'[2]Consumo SEMANA ENEA'!$F:$EP,141,0),0)</f>
        <v>1333.3333333333333</v>
      </c>
    </row>
    <row r="89" spans="1:12" x14ac:dyDescent="0.3">
      <c r="A89" s="2">
        <v>405449</v>
      </c>
      <c r="B89" s="2" t="s">
        <v>86</v>
      </c>
      <c r="C89" s="2" t="s">
        <v>1</v>
      </c>
      <c r="D89" s="2" t="s">
        <v>2</v>
      </c>
      <c r="E89" s="5">
        <v>15000</v>
      </c>
      <c r="F89" s="2">
        <v>22.7</v>
      </c>
      <c r="G89" s="5">
        <v>340500</v>
      </c>
      <c r="H89" s="1">
        <f t="shared" ca="1" si="2"/>
        <v>46194</v>
      </c>
      <c r="I89" s="5">
        <f>IFERROR(VLOOKUP(A89,'[1]Consumo SEMANA ENEA'!$F:$EL,137,0),0)</f>
        <v>200</v>
      </c>
      <c r="J89" s="2" t="str">
        <f>IFERROR(VLOOKUP(A89,Hoja4!A:C,3,0),"")</f>
        <v>Etiquetas</v>
      </c>
      <c r="K89" s="9">
        <f t="shared" si="3"/>
        <v>75</v>
      </c>
      <c r="L89" s="6">
        <f>IFERROR(VLOOKUP(A89,'[2]Consumo SEMANA ENEA'!$F:$EP,141,0),0)</f>
        <v>1600</v>
      </c>
    </row>
    <row r="90" spans="1:12" x14ac:dyDescent="0.3">
      <c r="A90" s="2">
        <v>405448</v>
      </c>
      <c r="B90" s="2" t="s">
        <v>87</v>
      </c>
      <c r="C90" s="2" t="s">
        <v>1</v>
      </c>
      <c r="D90" s="2" t="s">
        <v>2</v>
      </c>
      <c r="E90" s="5">
        <v>6000</v>
      </c>
      <c r="F90" s="2">
        <v>21.95</v>
      </c>
      <c r="G90" s="5">
        <v>131700</v>
      </c>
      <c r="H90" s="1">
        <f t="shared" ca="1" si="2"/>
        <v>46194</v>
      </c>
      <c r="I90" s="5">
        <f>IFERROR(VLOOKUP(A90,'[1]Consumo SEMANA ENEA'!$F:$EL,137,0),0)</f>
        <v>166.66666666666666</v>
      </c>
      <c r="J90" s="2" t="str">
        <f>IFERROR(VLOOKUP(A90,Hoja4!A:C,3,0),"")</f>
        <v>Etiquetas</v>
      </c>
      <c r="K90" s="9">
        <f t="shared" si="3"/>
        <v>36</v>
      </c>
      <c r="L90" s="6">
        <f>IFERROR(VLOOKUP(A90,'[2]Consumo SEMANA ENEA'!$F:$EP,141,0),0)</f>
        <v>1333.3333333333333</v>
      </c>
    </row>
    <row r="91" spans="1:12" x14ac:dyDescent="0.3">
      <c r="A91" s="2">
        <v>405753</v>
      </c>
      <c r="B91" s="2" t="s">
        <v>88</v>
      </c>
      <c r="C91" s="2" t="s">
        <v>1</v>
      </c>
      <c r="D91" s="2" t="s">
        <v>2</v>
      </c>
      <c r="E91" s="5">
        <v>5000</v>
      </c>
      <c r="F91" s="2">
        <v>22.7</v>
      </c>
      <c r="G91" s="5">
        <v>113500</v>
      </c>
      <c r="H91" s="1">
        <f t="shared" ca="1" si="2"/>
        <v>46194</v>
      </c>
      <c r="I91" s="5">
        <f>IFERROR(VLOOKUP(A91,'[1]Consumo SEMANA ENEA'!$F:$EL,137,0),0)</f>
        <v>0</v>
      </c>
      <c r="J91" s="2" t="str">
        <f>IFERROR(VLOOKUP(A91,Hoja4!A:C,3,0),"")</f>
        <v>Etiquetas</v>
      </c>
      <c r="K91" s="9">
        <f t="shared" si="3"/>
        <v>0</v>
      </c>
      <c r="L91" s="6">
        <f>IFERROR(VLOOKUP(A91,'[2]Consumo SEMANA ENEA'!$F:$EP,141,0),0)</f>
        <v>0</v>
      </c>
    </row>
    <row r="92" spans="1:12" x14ac:dyDescent="0.3">
      <c r="A92" s="2">
        <v>405686</v>
      </c>
      <c r="B92" s="2" t="s">
        <v>89</v>
      </c>
      <c r="C92" s="2" t="s">
        <v>1</v>
      </c>
      <c r="D92" s="2" t="s">
        <v>2</v>
      </c>
      <c r="E92" s="5">
        <v>5000</v>
      </c>
      <c r="F92" s="2">
        <v>45</v>
      </c>
      <c r="G92" s="5">
        <v>225000</v>
      </c>
      <c r="H92" s="1">
        <f t="shared" ca="1" si="2"/>
        <v>46194</v>
      </c>
      <c r="I92" s="5">
        <f>IFERROR(VLOOKUP(A92,'[1]Consumo SEMANA ENEA'!$F:$EL,137,0),0)</f>
        <v>180.55555555555554</v>
      </c>
      <c r="J92" s="2" t="str">
        <f>IFERROR(VLOOKUP(A92,Hoja4!A:C,3,0),"")</f>
        <v>Etiquetas</v>
      </c>
      <c r="K92" s="9">
        <f t="shared" si="3"/>
        <v>27.692307692307693</v>
      </c>
      <c r="L92" s="6">
        <f>IFERROR(VLOOKUP(A92,'[2]Consumo SEMANA ENEA'!$F:$EP,141,0),0)</f>
        <v>1333.3333333333333</v>
      </c>
    </row>
    <row r="93" spans="1:12" x14ac:dyDescent="0.3">
      <c r="A93" s="2">
        <v>405301</v>
      </c>
      <c r="B93" s="2" t="s">
        <v>90</v>
      </c>
      <c r="C93" s="2" t="s">
        <v>1</v>
      </c>
      <c r="D93" s="2" t="s">
        <v>2</v>
      </c>
      <c r="E93" s="5">
        <v>8000</v>
      </c>
      <c r="F93" s="2">
        <v>17.170000000000002</v>
      </c>
      <c r="G93" s="5">
        <v>137360</v>
      </c>
      <c r="H93" s="1">
        <f t="shared" ca="1" si="2"/>
        <v>46194</v>
      </c>
      <c r="I93" s="5">
        <f>IFERROR(VLOOKUP(A93,'[1]Consumo SEMANA ENEA'!$F:$EL,137,0),0)</f>
        <v>186.27450980392157</v>
      </c>
      <c r="J93" s="2" t="str">
        <f>IFERROR(VLOOKUP(A93,Hoja4!A:C,3,0),"")</f>
        <v>Etiquetas</v>
      </c>
      <c r="K93" s="9">
        <f t="shared" si="3"/>
        <v>42.94736842105263</v>
      </c>
      <c r="L93" s="6">
        <f>IFERROR(VLOOKUP(A93,'[2]Consumo SEMANA ENEA'!$F:$EP,141,0),0)</f>
        <v>1428.5714285714284</v>
      </c>
    </row>
    <row r="94" spans="1:12" x14ac:dyDescent="0.3">
      <c r="A94" s="2">
        <v>405300</v>
      </c>
      <c r="B94" s="2" t="s">
        <v>91</v>
      </c>
      <c r="C94" s="2" t="s">
        <v>1</v>
      </c>
      <c r="D94" s="2" t="s">
        <v>2</v>
      </c>
      <c r="E94" s="5">
        <v>2000</v>
      </c>
      <c r="F94" s="2">
        <v>17.170000000000002</v>
      </c>
      <c r="G94" s="5">
        <v>34340</v>
      </c>
      <c r="H94" s="1">
        <f t="shared" ca="1" si="2"/>
        <v>46194</v>
      </c>
      <c r="I94" s="5">
        <f>IFERROR(VLOOKUP(A94,'[1]Consumo SEMANA ENEA'!$F:$EL,137,0),0)</f>
        <v>425</v>
      </c>
      <c r="J94" s="2" t="str">
        <f>IFERROR(VLOOKUP(A94,Hoja4!A:C,3,0),"")</f>
        <v>Etiquetas</v>
      </c>
      <c r="K94" s="9">
        <f t="shared" si="3"/>
        <v>4.7058823529411766</v>
      </c>
      <c r="L94" s="6">
        <f>IFERROR(VLOOKUP(A94,'[2]Consumo SEMANA ENEA'!$F:$EP,141,0),0)</f>
        <v>3238.0952380952381</v>
      </c>
    </row>
    <row r="95" spans="1:12" x14ac:dyDescent="0.3">
      <c r="A95" s="2">
        <v>405302</v>
      </c>
      <c r="B95" s="2" t="s">
        <v>92</v>
      </c>
      <c r="C95" s="2" t="s">
        <v>1</v>
      </c>
      <c r="D95" s="2" t="s">
        <v>2</v>
      </c>
      <c r="E95" s="5">
        <v>5000</v>
      </c>
      <c r="F95" s="2">
        <v>17.170000000000002</v>
      </c>
      <c r="G95" s="5">
        <v>85850</v>
      </c>
      <c r="H95" s="1">
        <f t="shared" ca="1" si="2"/>
        <v>46194</v>
      </c>
      <c r="I95" s="5">
        <f>IFERROR(VLOOKUP(A95,'[1]Consumo SEMANA ENEA'!$F:$EL,137,0),0)</f>
        <v>196.07843137254903</v>
      </c>
      <c r="J95" s="2" t="str">
        <f>IFERROR(VLOOKUP(A95,Hoja4!A:C,3,0),"")</f>
        <v>Etiquetas</v>
      </c>
      <c r="K95" s="9">
        <f t="shared" si="3"/>
        <v>25.499999999999996</v>
      </c>
      <c r="L95" s="6">
        <f>IFERROR(VLOOKUP(A95,'[2]Consumo SEMANA ENEA'!$F:$EP,141,0),0)</f>
        <v>1428.5714285714284</v>
      </c>
    </row>
    <row r="96" spans="1:12" x14ac:dyDescent="0.3">
      <c r="A96" s="2">
        <v>405535</v>
      </c>
      <c r="B96" s="2" t="s">
        <v>93</v>
      </c>
      <c r="C96" s="2" t="s">
        <v>1</v>
      </c>
      <c r="D96" s="2" t="s">
        <v>2</v>
      </c>
      <c r="E96" s="5">
        <v>12000</v>
      </c>
      <c r="F96" s="2">
        <v>26</v>
      </c>
      <c r="G96" s="5">
        <v>312000</v>
      </c>
      <c r="H96" s="1">
        <f t="shared" ca="1" si="2"/>
        <v>46194</v>
      </c>
      <c r="I96" s="5">
        <f>IFERROR(VLOOKUP(A96,'[1]Consumo SEMANA ENEA'!$F:$EL,137,0),0)</f>
        <v>0</v>
      </c>
      <c r="J96" s="2" t="str">
        <f>IFERROR(VLOOKUP(A96,Hoja4!A:C,3,0),"")</f>
        <v>Etiquetas</v>
      </c>
      <c r="K96" s="9">
        <f t="shared" si="3"/>
        <v>0</v>
      </c>
      <c r="L96" s="6">
        <f>IFERROR(VLOOKUP(A96,'[2]Consumo SEMANA ENEA'!$F:$EP,141,0),0)</f>
        <v>0</v>
      </c>
    </row>
    <row r="97" spans="1:12" x14ac:dyDescent="0.3">
      <c r="A97" s="2">
        <v>405129</v>
      </c>
      <c r="B97" s="2" t="s">
        <v>94</v>
      </c>
      <c r="C97" s="2" t="s">
        <v>1</v>
      </c>
      <c r="D97" s="2" t="s">
        <v>2</v>
      </c>
      <c r="E97" s="5">
        <v>20000</v>
      </c>
      <c r="F97" s="2">
        <v>20.7</v>
      </c>
      <c r="G97" s="5">
        <v>414000</v>
      </c>
      <c r="H97" s="1">
        <f t="shared" ca="1" si="2"/>
        <v>46194</v>
      </c>
      <c r="I97" s="5">
        <f>IFERROR(VLOOKUP(A97,'[1]Consumo SEMANA ENEA'!$F:$EL,137,0),0)</f>
        <v>1000</v>
      </c>
      <c r="J97" s="2" t="str">
        <f>IFERROR(VLOOKUP(A97,Hoja4!A:C,3,0),"")</f>
        <v>Etiquetas</v>
      </c>
      <c r="K97" s="9">
        <f t="shared" si="3"/>
        <v>20</v>
      </c>
      <c r="L97" s="6">
        <f>IFERROR(VLOOKUP(A97,'[2]Consumo SEMANA ENEA'!$F:$EP,141,0),0)</f>
        <v>8000</v>
      </c>
    </row>
    <row r="98" spans="1:12" x14ac:dyDescent="0.3">
      <c r="A98" s="2">
        <v>405754</v>
      </c>
      <c r="B98" s="2" t="s">
        <v>95</v>
      </c>
      <c r="C98" s="2" t="s">
        <v>1</v>
      </c>
      <c r="D98" s="2" t="s">
        <v>2</v>
      </c>
      <c r="E98" s="5">
        <v>2000</v>
      </c>
      <c r="F98" s="2">
        <v>45</v>
      </c>
      <c r="G98" s="5">
        <v>90000</v>
      </c>
      <c r="H98" s="1">
        <f t="shared" ca="1" si="2"/>
        <v>46194</v>
      </c>
      <c r="I98" s="5">
        <f>IFERROR(VLOOKUP(A98,'[1]Consumo SEMANA ENEA'!$F:$EL,137,0),0)</f>
        <v>166.66666666666666</v>
      </c>
      <c r="J98" s="2" t="str">
        <f>IFERROR(VLOOKUP(A98,Hoja4!A:C,3,0),"")</f>
        <v>Etiquetas</v>
      </c>
      <c r="K98" s="9">
        <f t="shared" si="3"/>
        <v>12</v>
      </c>
      <c r="L98" s="6">
        <f>IFERROR(VLOOKUP(A98,'[2]Consumo SEMANA ENEA'!$F:$EP,141,0),0)</f>
        <v>0</v>
      </c>
    </row>
    <row r="99" spans="1:12" x14ac:dyDescent="0.3">
      <c r="A99" s="2">
        <v>405207</v>
      </c>
      <c r="B99" s="2" t="s">
        <v>96</v>
      </c>
      <c r="C99" s="2" t="s">
        <v>1</v>
      </c>
      <c r="D99" s="2" t="s">
        <v>2</v>
      </c>
      <c r="E99" s="5">
        <v>14000</v>
      </c>
      <c r="F99" s="2">
        <v>29.4</v>
      </c>
      <c r="G99" s="5">
        <v>411600</v>
      </c>
      <c r="H99" s="1">
        <f t="shared" ca="1" si="2"/>
        <v>46194</v>
      </c>
      <c r="I99" s="5">
        <f>IFERROR(VLOOKUP(A99,'[1]Consumo SEMANA ENEA'!$F:$EL,137,0),0)</f>
        <v>200</v>
      </c>
      <c r="J99" s="2" t="str">
        <f>IFERROR(VLOOKUP(A99,Hoja4!A:C,3,0),"")</f>
        <v>Etiquetas</v>
      </c>
      <c r="K99" s="9">
        <f t="shared" si="3"/>
        <v>70</v>
      </c>
      <c r="L99" s="6">
        <f>IFERROR(VLOOKUP(A99,'[2]Consumo SEMANA ENEA'!$F:$EP,141,0),0)</f>
        <v>1511.1111111111111</v>
      </c>
    </row>
    <row r="100" spans="1:12" x14ac:dyDescent="0.3">
      <c r="A100" s="2">
        <v>405206</v>
      </c>
      <c r="B100" s="2" t="s">
        <v>97</v>
      </c>
      <c r="C100" s="2" t="s">
        <v>1</v>
      </c>
      <c r="D100" s="2" t="s">
        <v>2</v>
      </c>
      <c r="E100" s="5">
        <v>3000</v>
      </c>
      <c r="F100" s="2">
        <v>29.4</v>
      </c>
      <c r="G100" s="5">
        <v>88200</v>
      </c>
      <c r="H100" s="1">
        <f t="shared" ca="1" si="2"/>
        <v>46194</v>
      </c>
      <c r="I100" s="5">
        <f>IFERROR(VLOOKUP(A100,'[1]Consumo SEMANA ENEA'!$F:$EL,137,0),0)</f>
        <v>436.50793650793656</v>
      </c>
      <c r="J100" s="2" t="str">
        <f>IFERROR(VLOOKUP(A100,Hoja4!A:C,3,0),"")</f>
        <v>Etiquetas</v>
      </c>
      <c r="K100" s="9">
        <f t="shared" si="3"/>
        <v>6.8727272727272721</v>
      </c>
      <c r="L100" s="6">
        <f>IFERROR(VLOOKUP(A100,'[2]Consumo SEMANA ENEA'!$F:$EP,141,0),0)</f>
        <v>3111.1111111111113</v>
      </c>
    </row>
    <row r="101" spans="1:12" x14ac:dyDescent="0.3">
      <c r="A101" s="2">
        <v>405205</v>
      </c>
      <c r="B101" s="2" t="s">
        <v>98</v>
      </c>
      <c r="C101" s="2" t="s">
        <v>1</v>
      </c>
      <c r="D101" s="2" t="s">
        <v>2</v>
      </c>
      <c r="E101" s="5">
        <v>7000</v>
      </c>
      <c r="F101" s="2">
        <v>29.4</v>
      </c>
      <c r="G101" s="5">
        <v>205800</v>
      </c>
      <c r="H101" s="1">
        <f t="shared" ca="1" si="2"/>
        <v>46194</v>
      </c>
      <c r="I101" s="5">
        <f>IFERROR(VLOOKUP(A101,'[1]Consumo SEMANA ENEA'!$F:$EL,137,0),0)</f>
        <v>1246.031746031746</v>
      </c>
      <c r="J101" s="2" t="str">
        <f>IFERROR(VLOOKUP(A101,Hoja4!A:C,3,0),"")</f>
        <v>Etiquetas</v>
      </c>
      <c r="K101" s="9">
        <f t="shared" si="3"/>
        <v>5.6178343949044587</v>
      </c>
      <c r="L101" s="6">
        <f>IFERROR(VLOOKUP(A101,'[2]Consumo SEMANA ENEA'!$F:$EP,141,0),0)</f>
        <v>9955.5555555555566</v>
      </c>
    </row>
    <row r="102" spans="1:12" x14ac:dyDescent="0.3">
      <c r="A102" s="2">
        <v>405127</v>
      </c>
      <c r="B102" s="2" t="s">
        <v>99</v>
      </c>
      <c r="C102" s="2" t="s">
        <v>1</v>
      </c>
      <c r="D102" s="2" t="s">
        <v>2</v>
      </c>
      <c r="E102" s="5">
        <v>7000</v>
      </c>
      <c r="F102" s="2">
        <v>22.7</v>
      </c>
      <c r="G102" s="5">
        <v>158900</v>
      </c>
      <c r="H102" s="1">
        <f t="shared" ca="1" si="2"/>
        <v>46194</v>
      </c>
      <c r="I102" s="5">
        <f>IFERROR(VLOOKUP(A102,'[1]Consumo SEMANA ENEA'!$F:$EL,137,0),0)</f>
        <v>674.60317460317458</v>
      </c>
      <c r="J102" s="2" t="str">
        <f>IFERROR(VLOOKUP(A102,Hoja4!A:C,3,0),"")</f>
        <v>Etiquetas</v>
      </c>
      <c r="K102" s="9">
        <f t="shared" si="3"/>
        <v>10.376470588235295</v>
      </c>
      <c r="L102" s="6">
        <f>IFERROR(VLOOKUP(A102,'[2]Consumo SEMANA ENEA'!$F:$EP,141,0),0)</f>
        <v>5244.4444444444443</v>
      </c>
    </row>
    <row r="103" spans="1:12" x14ac:dyDescent="0.3">
      <c r="A103" s="2">
        <v>405160</v>
      </c>
      <c r="B103" s="2" t="s">
        <v>100</v>
      </c>
      <c r="C103" s="2" t="s">
        <v>1</v>
      </c>
      <c r="D103" s="2" t="s">
        <v>2</v>
      </c>
      <c r="E103" s="5">
        <v>10000</v>
      </c>
      <c r="F103" s="2">
        <v>16.16</v>
      </c>
      <c r="G103" s="5">
        <v>161600</v>
      </c>
      <c r="H103" s="1">
        <f t="shared" ca="1" si="2"/>
        <v>46194</v>
      </c>
      <c r="I103" s="5">
        <f>IFERROR(VLOOKUP(A103,'[1]Consumo SEMANA ENEA'!$F:$EL,137,0),0)</f>
        <v>1111.1111111111111</v>
      </c>
      <c r="J103" s="2" t="str">
        <f>IFERROR(VLOOKUP(A103,Hoja4!A:C,3,0),"")</f>
        <v>Etiquetas</v>
      </c>
      <c r="K103" s="9">
        <f t="shared" si="3"/>
        <v>9</v>
      </c>
      <c r="L103" s="6">
        <f>IFERROR(VLOOKUP(A103,'[2]Consumo SEMANA ENEA'!$F:$EP,141,0),0)</f>
        <v>10666.666666666666</v>
      </c>
    </row>
    <row r="104" spans="1:12" x14ac:dyDescent="0.3">
      <c r="A104" s="2">
        <v>405049</v>
      </c>
      <c r="B104" s="2" t="s">
        <v>101</v>
      </c>
      <c r="C104" s="2" t="s">
        <v>1</v>
      </c>
      <c r="D104" s="2" t="s">
        <v>2</v>
      </c>
      <c r="E104" s="5">
        <v>170000</v>
      </c>
      <c r="F104" s="2">
        <v>1.54</v>
      </c>
      <c r="G104" s="5">
        <v>261800</v>
      </c>
      <c r="H104" s="1">
        <f t="shared" ca="1" si="2"/>
        <v>46194</v>
      </c>
      <c r="I104" s="5">
        <f>IFERROR(VLOOKUP(A104,'[1]Consumo SEMANA ENEA'!$F:$EL,137,0),0)</f>
        <v>7000</v>
      </c>
      <c r="J104" s="2" t="str">
        <f>IFERROR(VLOOKUP(A104,Hoja4!A:C,3,0),"")</f>
        <v>Etiquetas</v>
      </c>
      <c r="K104" s="9">
        <f t="shared" si="3"/>
        <v>24.285714285714285</v>
      </c>
      <c r="L104" s="6">
        <f>IFERROR(VLOOKUP(A104,'[2]Consumo SEMANA ENEA'!$F:$EP,141,0),0)</f>
        <v>66666.666666666672</v>
      </c>
    </row>
    <row r="105" spans="1:12" x14ac:dyDescent="0.3">
      <c r="A105" s="2">
        <v>404719</v>
      </c>
      <c r="B105" s="2" t="s">
        <v>102</v>
      </c>
      <c r="C105" s="2" t="s">
        <v>1</v>
      </c>
      <c r="D105" s="2" t="s">
        <v>2</v>
      </c>
      <c r="E105" s="5">
        <v>36000</v>
      </c>
      <c r="F105" s="2">
        <v>15.86</v>
      </c>
      <c r="G105" s="5">
        <v>570960</v>
      </c>
      <c r="H105" s="1">
        <f t="shared" ca="1" si="2"/>
        <v>46194</v>
      </c>
      <c r="I105" s="5">
        <f>IFERROR(VLOOKUP(A105,'[1]Consumo SEMANA ENEA'!$F:$EL,137,0),0)</f>
        <v>0</v>
      </c>
      <c r="J105" s="2" t="str">
        <f>IFERROR(VLOOKUP(A105,Hoja4!A:C,3,0),"")</f>
        <v>Etiquetas</v>
      </c>
      <c r="K105" s="9">
        <f t="shared" si="3"/>
        <v>0</v>
      </c>
      <c r="L105" s="6">
        <f>IFERROR(VLOOKUP(A105,'[2]Consumo SEMANA ENEA'!$F:$EP,141,0),0)</f>
        <v>0</v>
      </c>
    </row>
    <row r="106" spans="1:12" x14ac:dyDescent="0.3">
      <c r="A106" s="2">
        <v>404718</v>
      </c>
      <c r="B106" s="2" t="s">
        <v>103</v>
      </c>
      <c r="C106" s="2" t="s">
        <v>1</v>
      </c>
      <c r="D106" s="2" t="s">
        <v>2</v>
      </c>
      <c r="E106" s="5">
        <v>10000</v>
      </c>
      <c r="F106" s="2">
        <v>7.9</v>
      </c>
      <c r="G106" s="5">
        <v>79000</v>
      </c>
      <c r="H106" s="1">
        <f t="shared" ca="1" si="2"/>
        <v>46194</v>
      </c>
      <c r="I106" s="5">
        <f>IFERROR(VLOOKUP(A106,'[1]Consumo SEMANA ENEA'!$F:$EL,137,0),0)</f>
        <v>520.83333333333337</v>
      </c>
      <c r="J106" s="2" t="str">
        <f>IFERROR(VLOOKUP(A106,Hoja4!A:C,3,0),"")</f>
        <v>Etiquetas</v>
      </c>
      <c r="K106" s="9">
        <f t="shared" si="3"/>
        <v>19.2</v>
      </c>
      <c r="L106" s="6">
        <f>IFERROR(VLOOKUP(A106,'[2]Consumo SEMANA ENEA'!$F:$EP,141,0),0)</f>
        <v>4078.4313725490197</v>
      </c>
    </row>
    <row r="107" spans="1:12" x14ac:dyDescent="0.3">
      <c r="A107" s="2">
        <v>405159</v>
      </c>
      <c r="B107" s="2" t="s">
        <v>104</v>
      </c>
      <c r="C107" s="2" t="s">
        <v>1</v>
      </c>
      <c r="D107" s="2" t="s">
        <v>2</v>
      </c>
      <c r="E107" s="5">
        <v>10000</v>
      </c>
      <c r="F107" s="2">
        <v>14.78</v>
      </c>
      <c r="G107" s="5">
        <v>147800</v>
      </c>
      <c r="H107" s="1">
        <f t="shared" ca="1" si="2"/>
        <v>46194</v>
      </c>
      <c r="I107" s="5">
        <f>IFERROR(VLOOKUP(A107,'[1]Consumo SEMANA ENEA'!$F:$EL,137,0),0)</f>
        <v>583.33333333333337</v>
      </c>
      <c r="J107" s="2" t="str">
        <f>IFERROR(VLOOKUP(A107,Hoja4!A:C,3,0),"")</f>
        <v>Etiquetas</v>
      </c>
      <c r="K107" s="9">
        <f t="shared" si="3"/>
        <v>17.142857142857142</v>
      </c>
      <c r="L107" s="6">
        <f>IFERROR(VLOOKUP(A107,'[2]Consumo SEMANA ENEA'!$F:$EP,141,0),0)</f>
        <v>6666.666666666667</v>
      </c>
    </row>
    <row r="108" spans="1:12" x14ac:dyDescent="0.3">
      <c r="A108" s="2">
        <v>405103</v>
      </c>
      <c r="B108" s="2" t="s">
        <v>105</v>
      </c>
      <c r="C108" s="2" t="s">
        <v>1</v>
      </c>
      <c r="D108" s="2" t="s">
        <v>2</v>
      </c>
      <c r="E108" s="5">
        <v>58000</v>
      </c>
      <c r="F108" s="2">
        <v>15.7</v>
      </c>
      <c r="G108" s="5">
        <v>910600</v>
      </c>
      <c r="H108" s="1">
        <f t="shared" ca="1" si="2"/>
        <v>46194</v>
      </c>
      <c r="I108" s="5">
        <f>IFERROR(VLOOKUP(A108,'[1]Consumo SEMANA ENEA'!$F:$EL,137,0),0)</f>
        <v>15576.388888888889</v>
      </c>
      <c r="J108" s="2" t="str">
        <f>IFERROR(VLOOKUP(A108,Hoja4!A:C,3,0),"")</f>
        <v>Etiquetas</v>
      </c>
      <c r="K108" s="9">
        <f t="shared" si="3"/>
        <v>3.7235844850646456</v>
      </c>
      <c r="L108" s="6">
        <f>IFERROR(VLOOKUP(A108,'[2]Consumo SEMANA ENEA'!$F:$EP,141,0),0)</f>
        <v>125176.4705882353</v>
      </c>
    </row>
    <row r="109" spans="1:12" x14ac:dyDescent="0.3">
      <c r="A109" s="2">
        <v>404722</v>
      </c>
      <c r="B109" s="2" t="s">
        <v>106</v>
      </c>
      <c r="C109" s="2" t="s">
        <v>1</v>
      </c>
      <c r="D109" s="2" t="s">
        <v>2</v>
      </c>
      <c r="E109" s="5">
        <v>220000</v>
      </c>
      <c r="F109" s="2">
        <v>2.72</v>
      </c>
      <c r="G109" s="5">
        <v>598400</v>
      </c>
      <c r="H109" s="1">
        <f t="shared" ca="1" si="2"/>
        <v>46194</v>
      </c>
      <c r="I109" s="5">
        <f>IFERROR(VLOOKUP(A109,'[1]Consumo SEMANA ENEA'!$F:$EL,137,0),0)</f>
        <v>20833.333333333332</v>
      </c>
      <c r="J109" s="2" t="str">
        <f>IFERROR(VLOOKUP(A109,Hoja4!A:C,3,0),"")</f>
        <v>Etiquetas</v>
      </c>
      <c r="K109" s="9">
        <f t="shared" si="3"/>
        <v>10.56</v>
      </c>
      <c r="L109" s="6">
        <f>IFERROR(VLOOKUP(A109,'[2]Consumo SEMANA ENEA'!$F:$EP,141,0),0)</f>
        <v>155555.55555555556</v>
      </c>
    </row>
    <row r="110" spans="1:12" x14ac:dyDescent="0.3">
      <c r="A110" s="2">
        <v>404748</v>
      </c>
      <c r="B110" s="2" t="s">
        <v>107</v>
      </c>
      <c r="C110" s="2" t="s">
        <v>1</v>
      </c>
      <c r="D110" s="2" t="s">
        <v>2</v>
      </c>
      <c r="E110" s="5">
        <v>32000</v>
      </c>
      <c r="F110" s="2">
        <v>13.69</v>
      </c>
      <c r="G110" s="5">
        <v>438080</v>
      </c>
      <c r="H110" s="1">
        <f t="shared" ca="1" si="2"/>
        <v>46194</v>
      </c>
      <c r="I110" s="5">
        <f>IFERROR(VLOOKUP(A110,'[1]Consumo SEMANA ENEA'!$F:$EL,137,0),0)</f>
        <v>561.40350877192975</v>
      </c>
      <c r="J110" s="2" t="str">
        <f>IFERROR(VLOOKUP(A110,Hoja4!A:C,3,0),"")</f>
        <v>Etiquetas</v>
      </c>
      <c r="K110" s="9">
        <f t="shared" si="3"/>
        <v>57.000000000000007</v>
      </c>
      <c r="L110" s="6">
        <f>IFERROR(VLOOKUP(A110,'[2]Consumo SEMANA ENEA'!$F:$EP,141,0),0)</f>
        <v>3555.5555555555552</v>
      </c>
    </row>
    <row r="111" spans="1:12" x14ac:dyDescent="0.3">
      <c r="A111" s="2">
        <v>405461</v>
      </c>
      <c r="B111" s="2" t="s">
        <v>108</v>
      </c>
      <c r="C111" s="2" t="s">
        <v>1</v>
      </c>
      <c r="D111" s="2" t="s">
        <v>2</v>
      </c>
      <c r="E111" s="5">
        <v>10000</v>
      </c>
      <c r="F111" s="2">
        <v>5</v>
      </c>
      <c r="G111" s="5">
        <v>50000</v>
      </c>
      <c r="H111" s="1">
        <f t="shared" ca="1" si="2"/>
        <v>46194</v>
      </c>
      <c r="I111" s="5">
        <f>IFERROR(VLOOKUP(A111,'[1]Consumo SEMANA ENEA'!$F:$EL,137,0),0)</f>
        <v>555.55555555555554</v>
      </c>
      <c r="J111" s="2" t="str">
        <f>IFERROR(VLOOKUP(A111,Hoja4!A:C,3,0),"")</f>
        <v>Etiquetas</v>
      </c>
      <c r="K111" s="9">
        <f t="shared" si="3"/>
        <v>18</v>
      </c>
      <c r="L111" s="6">
        <f>IFERROR(VLOOKUP(A111,'[2]Consumo SEMANA ENEA'!$F:$EP,141,0),0)</f>
        <v>3333.3333333333335</v>
      </c>
    </row>
    <row r="112" spans="1:12" x14ac:dyDescent="0.3">
      <c r="A112" s="2">
        <v>404736</v>
      </c>
      <c r="B112" s="2" t="s">
        <v>109</v>
      </c>
      <c r="C112" s="2" t="s">
        <v>1</v>
      </c>
      <c r="D112" s="2" t="s">
        <v>2</v>
      </c>
      <c r="E112" s="5">
        <v>2000</v>
      </c>
      <c r="F112" s="2">
        <v>17.170000000000002</v>
      </c>
      <c r="G112" s="5">
        <v>34340</v>
      </c>
      <c r="H112" s="1">
        <f t="shared" ca="1" si="2"/>
        <v>46194</v>
      </c>
      <c r="I112" s="5">
        <f>IFERROR(VLOOKUP(A112,'[1]Consumo SEMANA ENEA'!$F:$EL,137,0),0)</f>
        <v>217.39130434782609</v>
      </c>
      <c r="J112" s="2" t="str">
        <f>IFERROR(VLOOKUP(A112,Hoja4!A:C,3,0),"")</f>
        <v>Etiquetas</v>
      </c>
      <c r="K112" s="9">
        <f t="shared" si="3"/>
        <v>9.1999999999999993</v>
      </c>
      <c r="L112" s="6">
        <f>IFERROR(VLOOKUP(A112,'[2]Consumo SEMANA ENEA'!$F:$EP,141,0),0)</f>
        <v>1725.4901960784312</v>
      </c>
    </row>
    <row r="113" spans="1:12" x14ac:dyDescent="0.3">
      <c r="A113" s="2">
        <v>404735</v>
      </c>
      <c r="B113" s="2" t="s">
        <v>110</v>
      </c>
      <c r="C113" s="2" t="s">
        <v>1</v>
      </c>
      <c r="D113" s="2" t="s">
        <v>2</v>
      </c>
      <c r="E113" s="5">
        <v>4000</v>
      </c>
      <c r="F113" s="2">
        <v>17.170000000000002</v>
      </c>
      <c r="G113" s="5">
        <v>68680</v>
      </c>
      <c r="H113" s="1">
        <f t="shared" ca="1" si="2"/>
        <v>46194</v>
      </c>
      <c r="I113" s="5">
        <f>IFERROR(VLOOKUP(A113,'[1]Consumo SEMANA ENEA'!$F:$EL,137,0),0)</f>
        <v>391.66666666666669</v>
      </c>
      <c r="J113" s="2" t="str">
        <f>IFERROR(VLOOKUP(A113,Hoja4!A:C,3,0),"")</f>
        <v>Etiquetas</v>
      </c>
      <c r="K113" s="9">
        <f t="shared" si="3"/>
        <v>10.212765957446807</v>
      </c>
      <c r="L113" s="6">
        <f>IFERROR(VLOOKUP(A113,'[2]Consumo SEMANA ENEA'!$F:$EP,141,0),0)</f>
        <v>2933.3333333333335</v>
      </c>
    </row>
    <row r="114" spans="1:12" x14ac:dyDescent="0.3">
      <c r="A114" s="2">
        <v>107227</v>
      </c>
      <c r="B114" s="2" t="s">
        <v>111</v>
      </c>
      <c r="C114" s="2" t="s">
        <v>1</v>
      </c>
      <c r="D114" s="2" t="s">
        <v>2</v>
      </c>
      <c r="E114" s="5">
        <v>2000</v>
      </c>
      <c r="F114" s="2">
        <v>22.7</v>
      </c>
      <c r="G114" s="5">
        <v>45400</v>
      </c>
      <c r="H114" s="1">
        <f t="shared" ca="1" si="2"/>
        <v>46194</v>
      </c>
      <c r="I114" s="5">
        <f>IFERROR(VLOOKUP(A114,'[1]Consumo SEMANA ENEA'!$F:$EL,137,0),0)</f>
        <v>362.74509803921569</v>
      </c>
      <c r="J114" s="2" t="str">
        <f>IFERROR(VLOOKUP(A114,Hoja4!A:C,3,0),"")</f>
        <v>Etiquetas</v>
      </c>
      <c r="K114" s="9">
        <f t="shared" si="3"/>
        <v>5.5135135135135132</v>
      </c>
      <c r="L114" s="6">
        <f>IFERROR(VLOOKUP(A114,'[2]Consumo SEMANA ENEA'!$F:$EP,141,0),0)</f>
        <v>3111.1111111111113</v>
      </c>
    </row>
    <row r="115" spans="1:12" x14ac:dyDescent="0.3">
      <c r="A115" s="2">
        <v>107228</v>
      </c>
      <c r="B115" s="2" t="s">
        <v>112</v>
      </c>
      <c r="C115" s="2" t="s">
        <v>1</v>
      </c>
      <c r="D115" s="2" t="s">
        <v>2</v>
      </c>
      <c r="E115" s="5">
        <v>10000</v>
      </c>
      <c r="F115" s="2">
        <v>22.7</v>
      </c>
      <c r="G115" s="5">
        <v>227000</v>
      </c>
      <c r="H115" s="1">
        <f t="shared" ca="1" si="2"/>
        <v>46194</v>
      </c>
      <c r="I115" s="5">
        <f>IFERROR(VLOOKUP(A115,'[1]Consumo SEMANA ENEA'!$F:$EL,137,0),0)</f>
        <v>282.05128205128204</v>
      </c>
      <c r="J115" s="2" t="str">
        <f>IFERROR(VLOOKUP(A115,Hoja4!A:C,3,0),"")</f>
        <v>Etiquetas</v>
      </c>
      <c r="K115" s="9">
        <f t="shared" si="3"/>
        <v>35.454545454545453</v>
      </c>
      <c r="L115" s="6">
        <f>IFERROR(VLOOKUP(A115,'[2]Consumo SEMANA ENEA'!$F:$EP,141,0),0)</f>
        <v>2400</v>
      </c>
    </row>
    <row r="116" spans="1:12" x14ac:dyDescent="0.3">
      <c r="A116" s="2">
        <v>405798</v>
      </c>
      <c r="B116" s="2" t="s">
        <v>831</v>
      </c>
      <c r="C116" s="2" t="s">
        <v>1</v>
      </c>
      <c r="D116" s="2" t="s">
        <v>2</v>
      </c>
      <c r="E116" s="5">
        <v>10000</v>
      </c>
      <c r="F116" s="2">
        <v>22.7</v>
      </c>
      <c r="G116" s="5">
        <v>227000</v>
      </c>
      <c r="H116" s="1">
        <f t="shared" ca="1" si="2"/>
        <v>46194</v>
      </c>
      <c r="I116" s="5">
        <f>IFERROR(VLOOKUP(A116,'[1]Consumo SEMANA ENEA'!$F:$EL,137,0),0)</f>
        <v>0</v>
      </c>
      <c r="J116" s="2" t="str">
        <f>IFERROR(VLOOKUP(A116,Hoja4!A:C,3,0),"")</f>
        <v>Etiquetas</v>
      </c>
      <c r="K116" s="9">
        <f t="shared" si="3"/>
        <v>0</v>
      </c>
      <c r="L116" s="6">
        <f>IFERROR(VLOOKUP(A116,'[2]Consumo SEMANA ENEA'!$F:$EP,141,0),0)</f>
        <v>0</v>
      </c>
    </row>
    <row r="117" spans="1:12" x14ac:dyDescent="0.3">
      <c r="A117" s="2">
        <v>404737</v>
      </c>
      <c r="B117" s="2" t="s">
        <v>113</v>
      </c>
      <c r="C117" s="2" t="s">
        <v>1</v>
      </c>
      <c r="D117" s="2" t="s">
        <v>2</v>
      </c>
      <c r="E117" s="5">
        <v>7000</v>
      </c>
      <c r="F117" s="2">
        <v>22.7</v>
      </c>
      <c r="G117" s="5">
        <v>158900</v>
      </c>
      <c r="H117" s="1">
        <f t="shared" ca="1" si="2"/>
        <v>46194</v>
      </c>
      <c r="I117" s="5">
        <f>IFERROR(VLOOKUP(A117,'[1]Consumo SEMANA ENEA'!$F:$EL,137,0),0)</f>
        <v>911.1111111111112</v>
      </c>
      <c r="J117" s="2" t="str">
        <f>IFERROR(VLOOKUP(A117,Hoja4!A:C,3,0),"")</f>
        <v>Etiquetas</v>
      </c>
      <c r="K117" s="9">
        <f t="shared" si="3"/>
        <v>7.6829268292682915</v>
      </c>
      <c r="L117" s="6">
        <f>IFERROR(VLOOKUP(A117,'[2]Consumo SEMANA ENEA'!$F:$EP,141,0),0)</f>
        <v>6871.7948717948721</v>
      </c>
    </row>
    <row r="118" spans="1:12" x14ac:dyDescent="0.3">
      <c r="A118" s="2">
        <v>404739</v>
      </c>
      <c r="B118" s="2" t="s">
        <v>114</v>
      </c>
      <c r="C118" s="2" t="s">
        <v>1</v>
      </c>
      <c r="D118" s="2" t="s">
        <v>2</v>
      </c>
      <c r="E118" s="5">
        <v>13000</v>
      </c>
      <c r="F118" s="2">
        <v>22.68</v>
      </c>
      <c r="G118" s="5">
        <v>294840</v>
      </c>
      <c r="H118" s="1">
        <f t="shared" ca="1" si="2"/>
        <v>46194</v>
      </c>
      <c r="I118" s="5">
        <f>IFERROR(VLOOKUP(A118,'[1]Consumo SEMANA ENEA'!$F:$EL,137,0),0)</f>
        <v>1055.5555555555554</v>
      </c>
      <c r="J118" s="2" t="str">
        <f>IFERROR(VLOOKUP(A118,Hoja4!A:C,3,0),"")</f>
        <v>Etiquetas</v>
      </c>
      <c r="K118" s="9">
        <f t="shared" si="3"/>
        <v>12.315789473684212</v>
      </c>
      <c r="L118" s="6">
        <f>IFERROR(VLOOKUP(A118,'[2]Consumo SEMANA ENEA'!$F:$EP,141,0),0)</f>
        <v>10666.666666666666</v>
      </c>
    </row>
    <row r="119" spans="1:12" x14ac:dyDescent="0.3">
      <c r="A119" s="2">
        <v>404738</v>
      </c>
      <c r="B119" s="2" t="s">
        <v>115</v>
      </c>
      <c r="C119" s="2" t="s">
        <v>1</v>
      </c>
      <c r="D119" s="2" t="s">
        <v>2</v>
      </c>
      <c r="E119" s="5">
        <v>4000</v>
      </c>
      <c r="F119" s="2">
        <v>22.7</v>
      </c>
      <c r="G119" s="5">
        <v>90800</v>
      </c>
      <c r="H119" s="1">
        <f t="shared" ca="1" si="2"/>
        <v>46194</v>
      </c>
      <c r="I119" s="5">
        <f>IFERROR(VLOOKUP(A119,'[1]Consumo SEMANA ENEA'!$F:$EL,137,0),0)</f>
        <v>768.51851851851859</v>
      </c>
      <c r="J119" s="2" t="str">
        <f>IFERROR(VLOOKUP(A119,Hoja4!A:C,3,0),"")</f>
        <v>Etiquetas</v>
      </c>
      <c r="K119" s="9">
        <f t="shared" si="3"/>
        <v>5.2048192771084336</v>
      </c>
      <c r="L119" s="6">
        <f>IFERROR(VLOOKUP(A119,'[2]Consumo SEMANA ENEA'!$F:$EP,141,0),0)</f>
        <v>6051.2820512820508</v>
      </c>
    </row>
    <row r="120" spans="1:12" x14ac:dyDescent="0.3">
      <c r="A120" s="2">
        <v>404744</v>
      </c>
      <c r="B120" s="2" t="s">
        <v>116</v>
      </c>
      <c r="C120" s="2" t="s">
        <v>1</v>
      </c>
      <c r="D120" s="2" t="s">
        <v>2</v>
      </c>
      <c r="E120" s="5">
        <v>2000</v>
      </c>
      <c r="F120" s="2">
        <v>17.170000000000002</v>
      </c>
      <c r="G120" s="5">
        <v>34340</v>
      </c>
      <c r="H120" s="1">
        <f t="shared" ca="1" si="2"/>
        <v>46194</v>
      </c>
      <c r="I120" s="5">
        <f>IFERROR(VLOOKUP(A120,'[1]Consumo SEMANA ENEA'!$F:$EL,137,0),0)</f>
        <v>431.81818181818181</v>
      </c>
      <c r="J120" s="2" t="str">
        <f>IFERROR(VLOOKUP(A120,Hoja4!A:C,3,0),"")</f>
        <v>Etiquetas</v>
      </c>
      <c r="K120" s="9">
        <f t="shared" si="3"/>
        <v>4.6315789473684212</v>
      </c>
      <c r="L120" s="6">
        <f>IFERROR(VLOOKUP(A120,'[2]Consumo SEMANA ENEA'!$F:$EP,141,0),0)</f>
        <v>3294.1176470588234</v>
      </c>
    </row>
    <row r="121" spans="1:12" x14ac:dyDescent="0.3">
      <c r="A121" s="2">
        <v>404745</v>
      </c>
      <c r="B121" s="2" t="s">
        <v>117</v>
      </c>
      <c r="C121" s="2" t="s">
        <v>1</v>
      </c>
      <c r="D121" s="2" t="s">
        <v>2</v>
      </c>
      <c r="E121" s="5">
        <v>9000</v>
      </c>
      <c r="F121" s="2">
        <v>17.170000000000002</v>
      </c>
      <c r="G121" s="5">
        <v>154530</v>
      </c>
      <c r="H121" s="1">
        <f t="shared" ca="1" si="2"/>
        <v>46194</v>
      </c>
      <c r="I121" s="5">
        <f>IFERROR(VLOOKUP(A121,'[1]Consumo SEMANA ENEA'!$F:$EL,137,0),0)</f>
        <v>434.78260869565219</v>
      </c>
      <c r="J121" s="2" t="str">
        <f>IFERROR(VLOOKUP(A121,Hoja4!A:C,3,0),"")</f>
        <v>Etiquetas</v>
      </c>
      <c r="K121" s="9">
        <f t="shared" si="3"/>
        <v>20.7</v>
      </c>
      <c r="L121" s="6">
        <f>IFERROR(VLOOKUP(A121,'[2]Consumo SEMANA ENEA'!$F:$EP,141,0),0)</f>
        <v>3372.5490196078431</v>
      </c>
    </row>
    <row r="122" spans="1:12" x14ac:dyDescent="0.3">
      <c r="A122" s="2">
        <v>393422</v>
      </c>
      <c r="B122" s="2" t="s">
        <v>118</v>
      </c>
      <c r="C122" s="2" t="s">
        <v>1</v>
      </c>
      <c r="D122" s="2" t="s">
        <v>2</v>
      </c>
      <c r="E122" s="5">
        <v>8000</v>
      </c>
      <c r="F122" s="2">
        <v>22.43</v>
      </c>
      <c r="G122" s="5">
        <v>179440</v>
      </c>
      <c r="H122" s="1">
        <f t="shared" ca="1" si="2"/>
        <v>46194</v>
      </c>
      <c r="I122" s="5">
        <f>IFERROR(VLOOKUP(A122,'[1]Consumo SEMANA ENEA'!$F:$EL,137,0),0)</f>
        <v>203.7037037037037</v>
      </c>
      <c r="J122" s="2" t="str">
        <f>IFERROR(VLOOKUP(A122,Hoja4!A:C,3,0),"")</f>
        <v>Etiquetas</v>
      </c>
      <c r="K122" s="9">
        <f t="shared" si="3"/>
        <v>39.272727272727273</v>
      </c>
      <c r="L122" s="6">
        <f>IFERROR(VLOOKUP(A122,'[2]Consumo SEMANA ENEA'!$F:$EP,141,0),0)</f>
        <v>1629.6296296296296</v>
      </c>
    </row>
    <row r="123" spans="1:12" x14ac:dyDescent="0.3">
      <c r="A123" s="2">
        <v>393421</v>
      </c>
      <c r="B123" s="2" t="s">
        <v>119</v>
      </c>
      <c r="C123" s="2" t="s">
        <v>1</v>
      </c>
      <c r="D123" s="2" t="s">
        <v>2</v>
      </c>
      <c r="E123" s="5">
        <v>4000</v>
      </c>
      <c r="F123" s="2">
        <v>22.62</v>
      </c>
      <c r="G123" s="5">
        <v>90480</v>
      </c>
      <c r="H123" s="1">
        <f t="shared" ca="1" si="2"/>
        <v>46194</v>
      </c>
      <c r="I123" s="5">
        <f>IFERROR(VLOOKUP(A123,'[1]Consumo SEMANA ENEA'!$F:$EL,137,0),0)</f>
        <v>197.91666666666666</v>
      </c>
      <c r="J123" s="2" t="str">
        <f>IFERROR(VLOOKUP(A123,Hoja4!A:C,3,0),"")</f>
        <v>Etiquetas</v>
      </c>
      <c r="K123" s="9">
        <f t="shared" si="3"/>
        <v>20.210526315789476</v>
      </c>
      <c r="L123" s="6">
        <f>IFERROR(VLOOKUP(A123,'[2]Consumo SEMANA ENEA'!$F:$EP,141,0),0)</f>
        <v>1555.5555555555557</v>
      </c>
    </row>
    <row r="124" spans="1:12" x14ac:dyDescent="0.3">
      <c r="A124" s="2">
        <v>405615</v>
      </c>
      <c r="B124" s="2" t="s">
        <v>120</v>
      </c>
      <c r="C124" s="2" t="s">
        <v>1</v>
      </c>
      <c r="D124" s="2" t="s">
        <v>2</v>
      </c>
      <c r="E124" s="5">
        <v>10000</v>
      </c>
      <c r="F124" s="2">
        <v>22.7</v>
      </c>
      <c r="G124" s="5">
        <v>227000</v>
      </c>
      <c r="H124" s="1">
        <f t="shared" ca="1" si="2"/>
        <v>46194</v>
      </c>
      <c r="I124" s="5">
        <f>IFERROR(VLOOKUP(A124,'[1]Consumo SEMANA ENEA'!$F:$EL,137,0),0)</f>
        <v>200</v>
      </c>
      <c r="J124" s="2" t="str">
        <f>IFERROR(VLOOKUP(A124,Hoja4!A:C,3,0),"")</f>
        <v>Etiquetas</v>
      </c>
      <c r="K124" s="9">
        <f t="shared" si="3"/>
        <v>50</v>
      </c>
      <c r="L124" s="6">
        <f>IFERROR(VLOOKUP(A124,'[2]Consumo SEMANA ENEA'!$F:$EP,141,0),0)</f>
        <v>1600</v>
      </c>
    </row>
    <row r="125" spans="1:12" x14ac:dyDescent="0.3">
      <c r="A125" s="2">
        <v>405553</v>
      </c>
      <c r="B125" s="2" t="s">
        <v>121</v>
      </c>
      <c r="C125" s="2" t="s">
        <v>1</v>
      </c>
      <c r="D125" s="2" t="s">
        <v>2</v>
      </c>
      <c r="E125" s="5">
        <v>6000</v>
      </c>
      <c r="F125" s="2">
        <v>25.34</v>
      </c>
      <c r="G125" s="5">
        <v>152040</v>
      </c>
      <c r="H125" s="1">
        <f t="shared" ca="1" si="2"/>
        <v>46194</v>
      </c>
      <c r="I125" s="5">
        <f>IFERROR(VLOOKUP(A125,'[1]Consumo SEMANA ENEA'!$F:$EL,137,0),0)</f>
        <v>472.22222222222223</v>
      </c>
      <c r="J125" s="2" t="str">
        <f>IFERROR(VLOOKUP(A125,Hoja4!A:C,3,0),"")</f>
        <v>Etiquetas</v>
      </c>
      <c r="K125" s="9">
        <f t="shared" si="3"/>
        <v>12.705882352941176</v>
      </c>
      <c r="L125" s="6">
        <f>IFERROR(VLOOKUP(A125,'[2]Consumo SEMANA ENEA'!$F:$EP,141,0),0)</f>
        <v>3636.3636363636365</v>
      </c>
    </row>
    <row r="126" spans="1:12" x14ac:dyDescent="0.3">
      <c r="A126" s="2">
        <v>393426</v>
      </c>
      <c r="B126" s="2" t="s">
        <v>122</v>
      </c>
      <c r="C126" s="2" t="s">
        <v>1</v>
      </c>
      <c r="D126" s="2" t="s">
        <v>2</v>
      </c>
      <c r="E126" s="5">
        <v>4000</v>
      </c>
      <c r="F126" s="2">
        <v>17.170000000000002</v>
      </c>
      <c r="G126" s="5">
        <v>68680</v>
      </c>
      <c r="H126" s="1">
        <f t="shared" ca="1" si="2"/>
        <v>46194</v>
      </c>
      <c r="I126" s="5">
        <f>IFERROR(VLOOKUP(A126,'[1]Consumo SEMANA ENEA'!$F:$EL,137,0),0)</f>
        <v>382.35294117647055</v>
      </c>
      <c r="J126" s="2" t="str">
        <f>IFERROR(VLOOKUP(A126,Hoja4!A:C,3,0),"")</f>
        <v>Etiquetas</v>
      </c>
      <c r="K126" s="9">
        <f t="shared" si="3"/>
        <v>10.461538461538462</v>
      </c>
      <c r="L126" s="6">
        <f>IFERROR(VLOOKUP(A126,'[2]Consumo SEMANA ENEA'!$F:$EP,141,0),0)</f>
        <v>2755.5555555555552</v>
      </c>
    </row>
    <row r="127" spans="1:12" x14ac:dyDescent="0.3">
      <c r="A127" s="2">
        <v>405552</v>
      </c>
      <c r="B127" s="2" t="s">
        <v>123</v>
      </c>
      <c r="C127" s="2" t="s">
        <v>1</v>
      </c>
      <c r="D127" s="2" t="s">
        <v>2</v>
      </c>
      <c r="E127" s="5">
        <v>9000</v>
      </c>
      <c r="F127" s="2">
        <v>22.7</v>
      </c>
      <c r="G127" s="5">
        <v>204300</v>
      </c>
      <c r="H127" s="1">
        <f t="shared" ca="1" si="2"/>
        <v>46194</v>
      </c>
      <c r="I127" s="5">
        <f>IFERROR(VLOOKUP(A127,'[1]Consumo SEMANA ENEA'!$F:$EL,137,0),0)</f>
        <v>0</v>
      </c>
      <c r="J127" s="2" t="str">
        <f>IFERROR(VLOOKUP(A127,Hoja4!A:C,3,0),"")</f>
        <v>Etiquetas</v>
      </c>
      <c r="K127" s="9">
        <f t="shared" si="3"/>
        <v>0</v>
      </c>
      <c r="L127" s="6">
        <f>IFERROR(VLOOKUP(A127,'[2]Consumo SEMANA ENEA'!$F:$EP,141,0),0)</f>
        <v>0</v>
      </c>
    </row>
    <row r="128" spans="1:12" x14ac:dyDescent="0.3">
      <c r="A128" s="2">
        <v>405378</v>
      </c>
      <c r="B128" s="2" t="s">
        <v>124</v>
      </c>
      <c r="C128" s="2" t="s">
        <v>1</v>
      </c>
      <c r="D128" s="2" t="s">
        <v>2</v>
      </c>
      <c r="E128" s="5">
        <v>9000</v>
      </c>
      <c r="F128" s="2">
        <v>22.7</v>
      </c>
      <c r="G128" s="5">
        <v>204300</v>
      </c>
      <c r="H128" s="1">
        <f t="shared" ca="1" si="2"/>
        <v>46194</v>
      </c>
      <c r="I128" s="5">
        <f>IFERROR(VLOOKUP(A128,'[1]Consumo SEMANA ENEA'!$F:$EL,137,0),0)</f>
        <v>0</v>
      </c>
      <c r="J128" s="2" t="str">
        <f>IFERROR(VLOOKUP(A128,Hoja4!A:C,3,0),"")</f>
        <v>Etiquetas</v>
      </c>
      <c r="K128" s="9">
        <f t="shared" si="3"/>
        <v>0</v>
      </c>
      <c r="L128" s="6">
        <f>IFERROR(VLOOKUP(A128,'[2]Consumo SEMANA ENEA'!$F:$EP,141,0),0)</f>
        <v>0</v>
      </c>
    </row>
    <row r="129" spans="1:12" x14ac:dyDescent="0.3">
      <c r="A129" s="2">
        <v>405128</v>
      </c>
      <c r="B129" s="2" t="s">
        <v>125</v>
      </c>
      <c r="C129" s="2" t="s">
        <v>1</v>
      </c>
      <c r="D129" s="2" t="s">
        <v>2</v>
      </c>
      <c r="E129" s="5">
        <v>10000</v>
      </c>
      <c r="F129" s="2">
        <v>20.7</v>
      </c>
      <c r="G129" s="5">
        <v>207000</v>
      </c>
      <c r="H129" s="1">
        <f t="shared" ca="1" si="2"/>
        <v>46194</v>
      </c>
      <c r="I129" s="5">
        <f>IFERROR(VLOOKUP(A129,'[1]Consumo SEMANA ENEA'!$F:$EL,137,0),0)</f>
        <v>1133.3333333333333</v>
      </c>
      <c r="J129" s="2" t="str">
        <f>IFERROR(VLOOKUP(A129,Hoja4!A:C,3,0),"")</f>
        <v>Etiquetas</v>
      </c>
      <c r="K129" s="9">
        <f t="shared" si="3"/>
        <v>8.8235294117647065</v>
      </c>
      <c r="L129" s="6">
        <f>IFERROR(VLOOKUP(A129,'[2]Consumo SEMANA ENEA'!$F:$EP,141,0),0)</f>
        <v>10666.666666666666</v>
      </c>
    </row>
    <row r="130" spans="1:12" x14ac:dyDescent="0.3">
      <c r="A130" s="2">
        <v>405377</v>
      </c>
      <c r="B130" s="2" t="s">
        <v>126</v>
      </c>
      <c r="C130" s="2" t="s">
        <v>1</v>
      </c>
      <c r="D130" s="2" t="s">
        <v>2</v>
      </c>
      <c r="E130" s="5">
        <v>5000</v>
      </c>
      <c r="F130" s="2">
        <v>22.7</v>
      </c>
      <c r="G130" s="5">
        <v>113500</v>
      </c>
      <c r="H130" s="1">
        <f t="shared" ca="1" si="2"/>
        <v>46194</v>
      </c>
      <c r="I130" s="5">
        <f>IFERROR(VLOOKUP(A130,'[1]Consumo SEMANA ENEA'!$F:$EL,137,0),0)</f>
        <v>851.85185185185185</v>
      </c>
      <c r="J130" s="2" t="str">
        <f>IFERROR(VLOOKUP(A130,Hoja4!A:C,3,0),"")</f>
        <v>Etiquetas</v>
      </c>
      <c r="K130" s="9">
        <f t="shared" si="3"/>
        <v>5.8695652173913047</v>
      </c>
      <c r="L130" s="6">
        <f>IFERROR(VLOOKUP(A130,'[2]Consumo SEMANA ENEA'!$F:$EP,141,0),0)</f>
        <v>6974.3589743589737</v>
      </c>
    </row>
    <row r="131" spans="1:12" x14ac:dyDescent="0.3">
      <c r="A131" s="2">
        <v>393423</v>
      </c>
      <c r="B131" s="2" t="s">
        <v>127</v>
      </c>
      <c r="C131" s="2" t="s">
        <v>1</v>
      </c>
      <c r="D131" s="2" t="s">
        <v>2</v>
      </c>
      <c r="E131" s="5">
        <v>7000</v>
      </c>
      <c r="F131" s="2">
        <v>22.7</v>
      </c>
      <c r="G131" s="5">
        <v>158900</v>
      </c>
      <c r="H131" s="1">
        <f t="shared" ref="H131:H194" ca="1" si="4">TODAY()</f>
        <v>46194</v>
      </c>
      <c r="I131" s="5">
        <f>IFERROR(VLOOKUP(A131,'[1]Consumo SEMANA ENEA'!$F:$EL,137,0),0)</f>
        <v>288.88888888888886</v>
      </c>
      <c r="J131" s="2" t="str">
        <f>IFERROR(VLOOKUP(A131,Hoja4!A:C,3,0),"")</f>
        <v>Etiquetas</v>
      </c>
      <c r="K131" s="9">
        <f t="shared" ref="K131:K194" si="5">IFERROR(+E131/I131,0)</f>
        <v>24.230769230769234</v>
      </c>
      <c r="L131" s="6">
        <f>IFERROR(VLOOKUP(A131,'[2]Consumo SEMANA ENEA'!$F:$EP,141,0),0)</f>
        <v>2181.8181818181815</v>
      </c>
    </row>
    <row r="132" spans="1:12" x14ac:dyDescent="0.3">
      <c r="A132" s="2">
        <v>405554</v>
      </c>
      <c r="B132" s="2" t="s">
        <v>128</v>
      </c>
      <c r="C132" s="2" t="s">
        <v>1</v>
      </c>
      <c r="D132" s="2" t="s">
        <v>2</v>
      </c>
      <c r="E132" s="5">
        <v>10000</v>
      </c>
      <c r="F132" s="2">
        <v>26</v>
      </c>
      <c r="G132" s="5">
        <v>260000</v>
      </c>
      <c r="H132" s="1">
        <f t="shared" ca="1" si="4"/>
        <v>46194</v>
      </c>
      <c r="I132" s="5">
        <f>IFERROR(VLOOKUP(A132,'[1]Consumo SEMANA ENEA'!$F:$EL,137,0),0)</f>
        <v>166.66666666666666</v>
      </c>
      <c r="J132" s="2" t="str">
        <f>IFERROR(VLOOKUP(A132,Hoja4!A:C,3,0),"")</f>
        <v>Etiquetas</v>
      </c>
      <c r="K132" s="9">
        <f t="shared" si="5"/>
        <v>60</v>
      </c>
      <c r="L132" s="6">
        <f>IFERROR(VLOOKUP(A132,'[2]Consumo SEMANA ENEA'!$F:$EP,141,0),0)</f>
        <v>1333.3333333333333</v>
      </c>
    </row>
    <row r="133" spans="1:12" x14ac:dyDescent="0.3">
      <c r="A133" s="2">
        <v>405376</v>
      </c>
      <c r="B133" s="2" t="s">
        <v>129</v>
      </c>
      <c r="C133" s="2" t="s">
        <v>1</v>
      </c>
      <c r="D133" s="2" t="s">
        <v>2</v>
      </c>
      <c r="E133" s="5">
        <v>14000</v>
      </c>
      <c r="F133" s="2">
        <v>22.7</v>
      </c>
      <c r="G133" s="5">
        <v>317800</v>
      </c>
      <c r="H133" s="1">
        <f t="shared" ca="1" si="4"/>
        <v>46194</v>
      </c>
      <c r="I133" s="5">
        <f>IFERROR(VLOOKUP(A133,'[1]Consumo SEMANA ENEA'!$F:$EL,137,0),0)</f>
        <v>763.8888888888888</v>
      </c>
      <c r="J133" s="2" t="str">
        <f>IFERROR(VLOOKUP(A133,Hoja4!A:C,3,0),"")</f>
        <v>Etiquetas</v>
      </c>
      <c r="K133" s="9">
        <f t="shared" si="5"/>
        <v>18.327272727272728</v>
      </c>
      <c r="L133" s="6">
        <f>IFERROR(VLOOKUP(A133,'[2]Consumo SEMANA ENEA'!$F:$EP,141,0),0)</f>
        <v>5925.9259259259261</v>
      </c>
    </row>
    <row r="134" spans="1:12" x14ac:dyDescent="0.3">
      <c r="A134" s="2">
        <v>393425</v>
      </c>
      <c r="B134" s="2" t="s">
        <v>130</v>
      </c>
      <c r="C134" s="2" t="s">
        <v>1</v>
      </c>
      <c r="D134" s="2" t="s">
        <v>2</v>
      </c>
      <c r="E134" s="5">
        <v>2000</v>
      </c>
      <c r="F134" s="2">
        <v>22.27</v>
      </c>
      <c r="G134" s="5">
        <v>44540</v>
      </c>
      <c r="H134" s="1">
        <f t="shared" ca="1" si="4"/>
        <v>46194</v>
      </c>
      <c r="I134" s="5">
        <f>IFERROR(VLOOKUP(A134,'[1]Consumo SEMANA ENEA'!$F:$EL,137,0),0)</f>
        <v>212.12121212121212</v>
      </c>
      <c r="J134" s="2" t="str">
        <f>IFERROR(VLOOKUP(A134,Hoja4!A:C,3,0),"")</f>
        <v>Etiquetas</v>
      </c>
      <c r="K134" s="9">
        <f t="shared" si="5"/>
        <v>9.4285714285714288</v>
      </c>
      <c r="L134" s="6">
        <f>IFERROR(VLOOKUP(A134,'[2]Consumo SEMANA ENEA'!$F:$EP,141,0),0)</f>
        <v>1666.6666666666667</v>
      </c>
    </row>
    <row r="135" spans="1:12" x14ac:dyDescent="0.3">
      <c r="A135" s="2">
        <v>405614</v>
      </c>
      <c r="B135" s="2" t="s">
        <v>734</v>
      </c>
      <c r="C135" s="2" t="s">
        <v>1</v>
      </c>
      <c r="D135" s="2" t="s">
        <v>2</v>
      </c>
      <c r="E135" s="5">
        <v>3000</v>
      </c>
      <c r="F135" s="2">
        <v>22.7</v>
      </c>
      <c r="G135" s="5">
        <v>68100</v>
      </c>
      <c r="H135" s="1">
        <f t="shared" ca="1" si="4"/>
        <v>46194</v>
      </c>
      <c r="I135" s="5">
        <f>IFERROR(VLOOKUP(A135,'[1]Consumo SEMANA ENEA'!$F:$EL,137,0),0)</f>
        <v>296.2962962962963</v>
      </c>
      <c r="J135" s="2" t="str">
        <f>IFERROR(VLOOKUP(A135,Hoja4!A:C,3,0),"")</f>
        <v>Etiquetas</v>
      </c>
      <c r="K135" s="9">
        <f t="shared" si="5"/>
        <v>10.125</v>
      </c>
      <c r="L135" s="6">
        <f>IFERROR(VLOOKUP(A135,'[2]Consumo SEMANA ENEA'!$F:$EP,141,0),0)</f>
        <v>2095.238095238095</v>
      </c>
    </row>
    <row r="136" spans="1:12" x14ac:dyDescent="0.3">
      <c r="A136" s="2">
        <v>107266</v>
      </c>
      <c r="B136" s="2" t="s">
        <v>131</v>
      </c>
      <c r="C136" s="2" t="s">
        <v>1</v>
      </c>
      <c r="D136" s="2" t="s">
        <v>2</v>
      </c>
      <c r="E136" s="5">
        <v>6000</v>
      </c>
      <c r="F136" s="2">
        <v>13.65</v>
      </c>
      <c r="G136" s="5">
        <v>81900</v>
      </c>
      <c r="H136" s="1">
        <f t="shared" ca="1" si="4"/>
        <v>46194</v>
      </c>
      <c r="I136" s="5">
        <f>IFERROR(VLOOKUP(A136,'[1]Consumo SEMANA ENEA'!$F:$EL,137,0),0)</f>
        <v>500</v>
      </c>
      <c r="J136" s="2" t="str">
        <f>IFERROR(VLOOKUP(A136,Hoja4!A:C,3,0),"")</f>
        <v>Etiquetas</v>
      </c>
      <c r="K136" s="9">
        <f t="shared" si="5"/>
        <v>12</v>
      </c>
      <c r="L136" s="6">
        <f>IFERROR(VLOOKUP(A136,'[2]Consumo SEMANA ENEA'!$F:$EP,141,0),0)</f>
        <v>4000</v>
      </c>
    </row>
    <row r="137" spans="1:12" x14ac:dyDescent="0.3">
      <c r="A137" s="2">
        <v>405111</v>
      </c>
      <c r="B137" s="2" t="s">
        <v>512</v>
      </c>
      <c r="C137" s="2" t="s">
        <v>1</v>
      </c>
      <c r="D137" s="2" t="s">
        <v>2</v>
      </c>
      <c r="E137" s="5">
        <v>3000</v>
      </c>
      <c r="F137" s="2">
        <v>17.170000000000002</v>
      </c>
      <c r="G137" s="5">
        <v>51510</v>
      </c>
      <c r="H137" s="1">
        <f t="shared" ca="1" si="4"/>
        <v>46194</v>
      </c>
      <c r="I137" s="5">
        <f>IFERROR(VLOOKUP(A137,'[1]Consumo SEMANA ENEA'!$F:$EL,137,0),0)</f>
        <v>595.2380952380953</v>
      </c>
      <c r="J137" s="2" t="str">
        <f>IFERROR(VLOOKUP(A137,Hoja4!A:C,3,0),"")</f>
        <v>Etiquetas</v>
      </c>
      <c r="K137" s="9">
        <f t="shared" si="5"/>
        <v>5.0399999999999991</v>
      </c>
      <c r="L137" s="6">
        <f>IFERROR(VLOOKUP(A137,'[2]Consumo SEMANA ENEA'!$F:$EP,141,0),0)</f>
        <v>4666.666666666667</v>
      </c>
    </row>
    <row r="138" spans="1:12" x14ac:dyDescent="0.3">
      <c r="A138" s="2">
        <v>405310</v>
      </c>
      <c r="B138" s="2" t="s">
        <v>132</v>
      </c>
      <c r="C138" s="2" t="s">
        <v>1</v>
      </c>
      <c r="D138" s="2" t="s">
        <v>2</v>
      </c>
      <c r="E138" s="5">
        <v>100000</v>
      </c>
      <c r="F138" s="2">
        <v>8</v>
      </c>
      <c r="G138" s="5">
        <v>800000</v>
      </c>
      <c r="H138" s="1">
        <f t="shared" ca="1" si="4"/>
        <v>46194</v>
      </c>
      <c r="I138" s="5">
        <f>IFERROR(VLOOKUP(A138,'[1]Consumo SEMANA ENEA'!$F:$EL,137,0),0)</f>
        <v>404.76190476190476</v>
      </c>
      <c r="J138" s="2" t="str">
        <f>IFERROR(VLOOKUP(A138,Hoja4!A:C,3,0),"")</f>
        <v>Etiquetas</v>
      </c>
      <c r="K138" s="9">
        <f t="shared" si="5"/>
        <v>247.05882352941177</v>
      </c>
      <c r="L138" s="6">
        <f>IFERROR(VLOOKUP(A138,'[2]Consumo SEMANA ENEA'!$F:$EP,141,0),0)</f>
        <v>1555.5555555555557</v>
      </c>
    </row>
    <row r="139" spans="1:12" x14ac:dyDescent="0.3">
      <c r="A139" s="2">
        <v>405108</v>
      </c>
      <c r="B139" s="2" t="s">
        <v>133</v>
      </c>
      <c r="C139" s="2" t="s">
        <v>1</v>
      </c>
      <c r="D139" s="2" t="s">
        <v>2</v>
      </c>
      <c r="E139" s="5">
        <v>7000</v>
      </c>
      <c r="F139" s="2">
        <v>22.7</v>
      </c>
      <c r="G139" s="5">
        <v>158900</v>
      </c>
      <c r="H139" s="1">
        <f t="shared" ca="1" si="4"/>
        <v>46194</v>
      </c>
      <c r="I139" s="5">
        <f>IFERROR(VLOOKUP(A139,'[1]Consumo SEMANA ENEA'!$F:$EL,137,0),0)</f>
        <v>666.66666666666663</v>
      </c>
      <c r="J139" s="2" t="str">
        <f>IFERROR(VLOOKUP(A139,Hoja4!A:C,3,0),"")</f>
        <v>Etiquetas</v>
      </c>
      <c r="K139" s="9">
        <f t="shared" si="5"/>
        <v>10.5</v>
      </c>
      <c r="L139" s="6">
        <f>IFERROR(VLOOKUP(A139,'[2]Consumo SEMANA ENEA'!$F:$EP,141,0),0)</f>
        <v>5333.333333333333</v>
      </c>
    </row>
    <row r="140" spans="1:12" x14ac:dyDescent="0.3">
      <c r="A140" s="2">
        <v>405644</v>
      </c>
      <c r="B140" s="2" t="s">
        <v>134</v>
      </c>
      <c r="C140" s="2" t="s">
        <v>1</v>
      </c>
      <c r="D140" s="2" t="s">
        <v>2</v>
      </c>
      <c r="E140" s="5">
        <v>4000</v>
      </c>
      <c r="F140" s="2">
        <v>22.7</v>
      </c>
      <c r="G140" s="5">
        <v>90800</v>
      </c>
      <c r="H140" s="1">
        <f t="shared" ca="1" si="4"/>
        <v>46194</v>
      </c>
      <c r="I140" s="5">
        <f>IFERROR(VLOOKUP(A140,'[1]Consumo SEMANA ENEA'!$F:$EL,137,0),0)</f>
        <v>214.28571428571431</v>
      </c>
      <c r="J140" s="2" t="str">
        <f>IFERROR(VLOOKUP(A140,Hoja4!A:C,3,0),"")</f>
        <v>Etiquetas</v>
      </c>
      <c r="K140" s="9">
        <f t="shared" si="5"/>
        <v>18.666666666666664</v>
      </c>
      <c r="L140" s="6">
        <f>IFERROR(VLOOKUP(A140,'[2]Consumo SEMANA ENEA'!$F:$EP,141,0),0)</f>
        <v>1714.2857142857144</v>
      </c>
    </row>
    <row r="141" spans="1:12" x14ac:dyDescent="0.3">
      <c r="A141" s="2">
        <v>405089</v>
      </c>
      <c r="B141" s="2" t="s">
        <v>135</v>
      </c>
      <c r="C141" s="2" t="s">
        <v>1</v>
      </c>
      <c r="D141" s="2" t="s">
        <v>2</v>
      </c>
      <c r="E141" s="5">
        <v>10000</v>
      </c>
      <c r="F141" s="2">
        <v>22.7</v>
      </c>
      <c r="G141" s="5">
        <v>227000</v>
      </c>
      <c r="H141" s="1">
        <f t="shared" ca="1" si="4"/>
        <v>46194</v>
      </c>
      <c r="I141" s="5">
        <f>IFERROR(VLOOKUP(A141,'[1]Consumo SEMANA ENEA'!$F:$EL,137,0),0)</f>
        <v>291.66666666666669</v>
      </c>
      <c r="J141" s="2" t="str">
        <f>IFERROR(VLOOKUP(A141,Hoja4!A:C,3,0),"")</f>
        <v>Etiquetas</v>
      </c>
      <c r="K141" s="9">
        <f t="shared" si="5"/>
        <v>34.285714285714285</v>
      </c>
      <c r="L141" s="6">
        <f>IFERROR(VLOOKUP(A141,'[2]Consumo SEMANA ENEA'!$F:$EP,141,0),0)</f>
        <v>2666.6666666666665</v>
      </c>
    </row>
    <row r="142" spans="1:12" x14ac:dyDescent="0.3">
      <c r="A142" s="2">
        <v>405643</v>
      </c>
      <c r="B142" s="2" t="s">
        <v>136</v>
      </c>
      <c r="C142" s="2" t="s">
        <v>1</v>
      </c>
      <c r="D142" s="2" t="s">
        <v>2</v>
      </c>
      <c r="E142" s="5">
        <v>4000</v>
      </c>
      <c r="F142" s="2">
        <v>22.7</v>
      </c>
      <c r="G142" s="5">
        <v>90800</v>
      </c>
      <c r="H142" s="1">
        <f t="shared" ca="1" si="4"/>
        <v>46194</v>
      </c>
      <c r="I142" s="5">
        <f>IFERROR(VLOOKUP(A142,'[1]Consumo SEMANA ENEA'!$F:$EL,137,0),0)</f>
        <v>208.33333333333334</v>
      </c>
      <c r="J142" s="2" t="str">
        <f>IFERROR(VLOOKUP(A142,Hoja4!A:C,3,0),"")</f>
        <v>Etiquetas</v>
      </c>
      <c r="K142" s="9">
        <f t="shared" si="5"/>
        <v>19.2</v>
      </c>
      <c r="L142" s="6">
        <f>IFERROR(VLOOKUP(A142,'[2]Consumo SEMANA ENEA'!$F:$EP,141,0),0)</f>
        <v>1777.7777777777776</v>
      </c>
    </row>
    <row r="143" spans="1:12" x14ac:dyDescent="0.3">
      <c r="A143" s="2">
        <v>405090</v>
      </c>
      <c r="B143" s="2" t="s">
        <v>137</v>
      </c>
      <c r="C143" s="2" t="s">
        <v>1</v>
      </c>
      <c r="D143" s="2" t="s">
        <v>2</v>
      </c>
      <c r="E143" s="5">
        <v>14000</v>
      </c>
      <c r="F143" s="2">
        <v>22.7</v>
      </c>
      <c r="G143" s="5">
        <v>317800</v>
      </c>
      <c r="H143" s="1">
        <f t="shared" ca="1" si="4"/>
        <v>46194</v>
      </c>
      <c r="I143" s="5">
        <f>IFERROR(VLOOKUP(A143,'[1]Consumo SEMANA ENEA'!$F:$EL,137,0),0)</f>
        <v>291.66666666666669</v>
      </c>
      <c r="J143" s="2" t="str">
        <f>IFERROR(VLOOKUP(A143,Hoja4!A:C,3,0),"")</f>
        <v>Etiquetas</v>
      </c>
      <c r="K143" s="9">
        <f t="shared" si="5"/>
        <v>48</v>
      </c>
      <c r="L143" s="6">
        <f>IFERROR(VLOOKUP(A143,'[2]Consumo SEMANA ENEA'!$F:$EP,141,0),0)</f>
        <v>2370.3703703703704</v>
      </c>
    </row>
    <row r="144" spans="1:12" x14ac:dyDescent="0.3">
      <c r="A144" s="2">
        <v>405036</v>
      </c>
      <c r="B144" s="2" t="s">
        <v>139</v>
      </c>
      <c r="C144" s="2" t="s">
        <v>1</v>
      </c>
      <c r="D144" s="2" t="s">
        <v>2</v>
      </c>
      <c r="E144" s="5">
        <v>5000</v>
      </c>
      <c r="F144" s="2">
        <v>22.7</v>
      </c>
      <c r="G144" s="5">
        <v>113500</v>
      </c>
      <c r="H144" s="1">
        <f t="shared" ca="1" si="4"/>
        <v>46194</v>
      </c>
      <c r="I144" s="5">
        <f>IFERROR(VLOOKUP(A144,'[1]Consumo SEMANA ENEA'!$F:$EL,137,0),0)</f>
        <v>694.44444444444446</v>
      </c>
      <c r="J144" s="2" t="str">
        <f>IFERROR(VLOOKUP(A144,Hoja4!A:C,3,0),"")</f>
        <v>Etiquetas</v>
      </c>
      <c r="K144" s="9">
        <f t="shared" si="5"/>
        <v>7.2</v>
      </c>
      <c r="L144" s="6">
        <f>IFERROR(VLOOKUP(A144,'[2]Consumo SEMANA ENEA'!$F:$EP,141,0),0)</f>
        <v>5333.333333333333</v>
      </c>
    </row>
    <row r="145" spans="1:12" x14ac:dyDescent="0.3">
      <c r="A145" s="2">
        <v>405131</v>
      </c>
      <c r="B145" s="2" t="s">
        <v>140</v>
      </c>
      <c r="C145" s="2" t="s">
        <v>1</v>
      </c>
      <c r="D145" s="2" t="s">
        <v>2</v>
      </c>
      <c r="E145" s="5">
        <v>10000</v>
      </c>
      <c r="F145" s="2">
        <v>17.170000000000002</v>
      </c>
      <c r="G145" s="5">
        <v>171700</v>
      </c>
      <c r="H145" s="1">
        <f t="shared" ca="1" si="4"/>
        <v>46194</v>
      </c>
      <c r="I145" s="5">
        <f>IFERROR(VLOOKUP(A145,'[1]Consumo SEMANA ENEA'!$F:$EL,137,0),0)</f>
        <v>373.01587301587301</v>
      </c>
      <c r="J145" s="2" t="str">
        <f>IFERROR(VLOOKUP(A145,Hoja4!A:C,3,0),"")</f>
        <v>Etiquetas</v>
      </c>
      <c r="K145" s="9">
        <f t="shared" si="5"/>
        <v>26.808510638297872</v>
      </c>
      <c r="L145" s="6">
        <f>IFERROR(VLOOKUP(A145,'[2]Consumo SEMANA ENEA'!$F:$EP,141,0),0)</f>
        <v>2916.6666666666665</v>
      </c>
    </row>
    <row r="146" spans="1:12" x14ac:dyDescent="0.3">
      <c r="A146" s="2">
        <v>405124</v>
      </c>
      <c r="B146" s="2" t="s">
        <v>141</v>
      </c>
      <c r="C146" s="2" t="s">
        <v>1</v>
      </c>
      <c r="D146" s="2" t="s">
        <v>2</v>
      </c>
      <c r="E146" s="5">
        <v>10000</v>
      </c>
      <c r="F146" s="2">
        <v>17.170000000000002</v>
      </c>
      <c r="G146" s="5">
        <v>171700</v>
      </c>
      <c r="H146" s="1">
        <f t="shared" ca="1" si="4"/>
        <v>46194</v>
      </c>
      <c r="I146" s="5">
        <f>IFERROR(VLOOKUP(A146,'[1]Consumo SEMANA ENEA'!$F:$EL,137,0),0)</f>
        <v>651.5151515151515</v>
      </c>
      <c r="J146" s="2" t="str">
        <f>IFERROR(VLOOKUP(A146,Hoja4!A:C,3,0),"")</f>
        <v>Etiquetas</v>
      </c>
      <c r="K146" s="9">
        <f t="shared" si="5"/>
        <v>15.348837209302326</v>
      </c>
      <c r="L146" s="6">
        <f>IFERROR(VLOOKUP(A146,'[2]Consumo SEMANA ENEA'!$F:$EP,141,0),0)</f>
        <v>5250</v>
      </c>
    </row>
    <row r="147" spans="1:12" x14ac:dyDescent="0.3">
      <c r="A147" s="2">
        <v>405126</v>
      </c>
      <c r="B147" s="2" t="s">
        <v>142</v>
      </c>
      <c r="C147" s="2" t="s">
        <v>1</v>
      </c>
      <c r="D147" s="2" t="s">
        <v>2</v>
      </c>
      <c r="E147" s="5">
        <v>8000</v>
      </c>
      <c r="F147" s="2">
        <v>22.1</v>
      </c>
      <c r="G147" s="5">
        <v>176800</v>
      </c>
      <c r="H147" s="1">
        <f t="shared" ca="1" si="4"/>
        <v>46194</v>
      </c>
      <c r="I147" s="5">
        <f>IFERROR(VLOOKUP(A147,'[1]Consumo SEMANA ENEA'!$F:$EL,137,0),0)</f>
        <v>273.8095238095238</v>
      </c>
      <c r="J147" s="2" t="str">
        <f>IFERROR(VLOOKUP(A147,Hoja4!A:C,3,0),"")</f>
        <v>Etiquetas</v>
      </c>
      <c r="K147" s="9">
        <f t="shared" si="5"/>
        <v>29.217391304347828</v>
      </c>
      <c r="L147" s="6">
        <f>IFERROR(VLOOKUP(A147,'[2]Consumo SEMANA ENEA'!$F:$EP,141,0),0)</f>
        <v>2111.1111111111109</v>
      </c>
    </row>
    <row r="148" spans="1:12" x14ac:dyDescent="0.3">
      <c r="A148" s="2">
        <v>405784</v>
      </c>
      <c r="B148" s="2" t="s">
        <v>143</v>
      </c>
      <c r="C148" s="2" t="s">
        <v>1</v>
      </c>
      <c r="D148" s="2" t="s">
        <v>2</v>
      </c>
      <c r="E148" s="5">
        <v>3000</v>
      </c>
      <c r="F148" s="2">
        <v>22.7</v>
      </c>
      <c r="G148" s="5">
        <v>68100</v>
      </c>
      <c r="H148" s="1">
        <f t="shared" ca="1" si="4"/>
        <v>46194</v>
      </c>
      <c r="I148" s="5">
        <f>IFERROR(VLOOKUP(A148,'[1]Consumo SEMANA ENEA'!$F:$EL,137,0),0)</f>
        <v>583.33333333333337</v>
      </c>
      <c r="J148" s="2" t="str">
        <f>IFERROR(VLOOKUP(A148,Hoja4!A:C,3,0),"")</f>
        <v>Etiquetas</v>
      </c>
      <c r="K148" s="9">
        <f t="shared" si="5"/>
        <v>5.1428571428571423</v>
      </c>
      <c r="L148" s="6">
        <f>IFERROR(VLOOKUP(A148,'[2]Consumo SEMANA ENEA'!$F:$EP,141,0),0)</f>
        <v>0</v>
      </c>
    </row>
    <row r="149" spans="1:12" x14ac:dyDescent="0.3">
      <c r="A149" s="2">
        <v>405034</v>
      </c>
      <c r="B149" s="2" t="s">
        <v>144</v>
      </c>
      <c r="C149" s="2" t="s">
        <v>1</v>
      </c>
      <c r="D149" s="2" t="s">
        <v>2</v>
      </c>
      <c r="E149" s="5">
        <v>15000</v>
      </c>
      <c r="F149" s="2">
        <v>17.170000000000002</v>
      </c>
      <c r="G149" s="5">
        <v>257550</v>
      </c>
      <c r="H149" s="1">
        <f t="shared" ca="1" si="4"/>
        <v>46194</v>
      </c>
      <c r="I149" s="5">
        <f>IFERROR(VLOOKUP(A149,'[1]Consumo SEMANA ENEA'!$F:$EL,137,0),0)</f>
        <v>986.1111111111112</v>
      </c>
      <c r="J149" s="2" t="str">
        <f>IFERROR(VLOOKUP(A149,Hoja4!A:C,3,0),"")</f>
        <v>Etiquetas</v>
      </c>
      <c r="K149" s="9">
        <f t="shared" si="5"/>
        <v>15.211267605633802</v>
      </c>
      <c r="L149" s="6">
        <f>IFERROR(VLOOKUP(A149,'[2]Consumo SEMANA ENEA'!$F:$EP,141,0),0)</f>
        <v>6833.333333333333</v>
      </c>
    </row>
    <row r="150" spans="1:12" x14ac:dyDescent="0.3">
      <c r="A150" s="2">
        <v>405783</v>
      </c>
      <c r="B150" s="2" t="s">
        <v>145</v>
      </c>
      <c r="C150" s="2" t="s">
        <v>1</v>
      </c>
      <c r="D150" s="2" t="s">
        <v>2</v>
      </c>
      <c r="E150" s="5">
        <v>2000</v>
      </c>
      <c r="F150" s="2">
        <v>22.7</v>
      </c>
      <c r="G150" s="5">
        <v>45400</v>
      </c>
      <c r="H150" s="1">
        <f t="shared" ca="1" si="4"/>
        <v>46194</v>
      </c>
      <c r="I150" s="5">
        <f>IFERROR(VLOOKUP(A150,'[1]Consumo SEMANA ENEA'!$F:$EL,137,0),0)</f>
        <v>500</v>
      </c>
      <c r="J150" s="2" t="str">
        <f>IFERROR(VLOOKUP(A150,Hoja4!A:C,3,0),"")</f>
        <v>Etiquetas</v>
      </c>
      <c r="K150" s="9">
        <f t="shared" si="5"/>
        <v>4</v>
      </c>
      <c r="L150" s="6">
        <f>IFERROR(VLOOKUP(A150,'[2]Consumo SEMANA ENEA'!$F:$EP,141,0),0)</f>
        <v>0</v>
      </c>
    </row>
    <row r="151" spans="1:12" x14ac:dyDescent="0.3">
      <c r="A151" s="2">
        <v>405122</v>
      </c>
      <c r="B151" s="2" t="s">
        <v>514</v>
      </c>
      <c r="C151" s="2" t="s">
        <v>1</v>
      </c>
      <c r="D151" s="2" t="s">
        <v>2</v>
      </c>
      <c r="E151" s="5">
        <v>10000</v>
      </c>
      <c r="F151" s="2">
        <v>22.7</v>
      </c>
      <c r="G151" s="5">
        <v>227000</v>
      </c>
      <c r="H151" s="1">
        <f t="shared" ca="1" si="4"/>
        <v>46194</v>
      </c>
      <c r="I151" s="5">
        <f>IFERROR(VLOOKUP(A151,'[1]Consumo SEMANA ENEA'!$F:$EL,137,0),0)</f>
        <v>444.4444444444444</v>
      </c>
      <c r="J151" s="2" t="str">
        <f>IFERROR(VLOOKUP(A151,Hoja4!A:C,3,0),"")</f>
        <v>Etiquetas</v>
      </c>
      <c r="K151" s="9">
        <f t="shared" si="5"/>
        <v>22.500000000000004</v>
      </c>
      <c r="L151" s="6">
        <f>IFERROR(VLOOKUP(A151,'[2]Consumo SEMANA ENEA'!$F:$EP,141,0),0)</f>
        <v>3619.0476190476188</v>
      </c>
    </row>
    <row r="152" spans="1:12" x14ac:dyDescent="0.3">
      <c r="A152" s="2">
        <v>405119</v>
      </c>
      <c r="B152" s="2" t="s">
        <v>146</v>
      </c>
      <c r="C152" s="2" t="s">
        <v>1</v>
      </c>
      <c r="D152" s="2" t="s">
        <v>2</v>
      </c>
      <c r="E152" s="5">
        <v>7000</v>
      </c>
      <c r="F152" s="2">
        <v>17.170000000000002</v>
      </c>
      <c r="G152" s="5">
        <v>120190</v>
      </c>
      <c r="H152" s="1">
        <f t="shared" ca="1" si="4"/>
        <v>46194</v>
      </c>
      <c r="I152" s="5">
        <f>IFERROR(VLOOKUP(A152,'[1]Consumo SEMANA ENEA'!$F:$EL,137,0),0)</f>
        <v>431.81818181818181</v>
      </c>
      <c r="J152" s="2" t="str">
        <f>IFERROR(VLOOKUP(A152,Hoja4!A:C,3,0),"")</f>
        <v>Etiquetas</v>
      </c>
      <c r="K152" s="9">
        <f t="shared" si="5"/>
        <v>16.210526315789473</v>
      </c>
      <c r="L152" s="6">
        <f>IFERROR(VLOOKUP(A152,'[2]Consumo SEMANA ENEA'!$F:$EP,141,0),0)</f>
        <v>3450.9803921568623</v>
      </c>
    </row>
    <row r="153" spans="1:12" x14ac:dyDescent="0.3">
      <c r="A153" s="2">
        <v>405463</v>
      </c>
      <c r="B153" s="2" t="s">
        <v>147</v>
      </c>
      <c r="C153" s="2" t="s">
        <v>1</v>
      </c>
      <c r="D153" s="2" t="s">
        <v>2</v>
      </c>
      <c r="E153" s="5">
        <v>21000</v>
      </c>
      <c r="F153" s="2">
        <v>20.239999999999998</v>
      </c>
      <c r="G153" s="5">
        <v>425040</v>
      </c>
      <c r="H153" s="1">
        <f t="shared" ca="1" si="4"/>
        <v>46194</v>
      </c>
      <c r="I153" s="5">
        <f>IFERROR(VLOOKUP(A153,'[1]Consumo SEMANA ENEA'!$F:$EL,137,0),0)</f>
        <v>333.33333333333331</v>
      </c>
      <c r="J153" s="2" t="str">
        <f>IFERROR(VLOOKUP(A153,Hoja4!A:C,3,0),"")</f>
        <v>Etiquetas</v>
      </c>
      <c r="K153" s="9">
        <f t="shared" si="5"/>
        <v>63.000000000000007</v>
      </c>
      <c r="L153" s="6">
        <f>IFERROR(VLOOKUP(A153,'[2]Consumo SEMANA ENEA'!$F:$EP,141,0),0)</f>
        <v>2666.6666666666665</v>
      </c>
    </row>
    <row r="154" spans="1:12" x14ac:dyDescent="0.3">
      <c r="A154" s="2">
        <v>405130</v>
      </c>
      <c r="B154" s="2" t="s">
        <v>148</v>
      </c>
      <c r="C154" s="2" t="s">
        <v>1</v>
      </c>
      <c r="D154" s="2" t="s">
        <v>2</v>
      </c>
      <c r="E154" s="5">
        <v>9000</v>
      </c>
      <c r="F154" s="2">
        <v>22.62</v>
      </c>
      <c r="G154" s="5">
        <v>203580</v>
      </c>
      <c r="H154" s="1">
        <f t="shared" ca="1" si="4"/>
        <v>46194</v>
      </c>
      <c r="I154" s="5">
        <f>IFERROR(VLOOKUP(A154,'[1]Consumo SEMANA ENEA'!$F:$EL,137,0),0)</f>
        <v>250</v>
      </c>
      <c r="J154" s="2" t="str">
        <f>IFERROR(VLOOKUP(A154,Hoja4!A:C,3,0),"")</f>
        <v>Etiquetas</v>
      </c>
      <c r="K154" s="9">
        <f t="shared" si="5"/>
        <v>36</v>
      </c>
      <c r="L154" s="6">
        <f>IFERROR(VLOOKUP(A154,'[2]Consumo SEMANA ENEA'!$F:$EP,141,0),0)</f>
        <v>1846.153846153846</v>
      </c>
    </row>
    <row r="155" spans="1:12" x14ac:dyDescent="0.3">
      <c r="A155" s="2">
        <v>405123</v>
      </c>
      <c r="B155" s="2" t="s">
        <v>149</v>
      </c>
      <c r="C155" s="2" t="s">
        <v>1</v>
      </c>
      <c r="D155" s="2" t="s">
        <v>2</v>
      </c>
      <c r="E155" s="5">
        <v>2000</v>
      </c>
      <c r="F155" s="2">
        <v>17.170000000000002</v>
      </c>
      <c r="G155" s="5">
        <v>34340</v>
      </c>
      <c r="H155" s="1">
        <f t="shared" ca="1" si="4"/>
        <v>46194</v>
      </c>
      <c r="I155" s="5">
        <f>IFERROR(VLOOKUP(A155,'[1]Consumo SEMANA ENEA'!$F:$EL,137,0),0)</f>
        <v>413.04347826086956</v>
      </c>
      <c r="J155" s="2" t="str">
        <f>IFERROR(VLOOKUP(A155,Hoja4!A:C,3,0),"")</f>
        <v>Etiquetas</v>
      </c>
      <c r="K155" s="9">
        <f t="shared" si="5"/>
        <v>4.8421052631578947</v>
      </c>
      <c r="L155" s="6">
        <f>IFERROR(VLOOKUP(A155,'[2]Consumo SEMANA ENEA'!$F:$EP,141,0),0)</f>
        <v>3294.1176470588234</v>
      </c>
    </row>
    <row r="156" spans="1:12" x14ac:dyDescent="0.3">
      <c r="A156" s="2">
        <v>405031</v>
      </c>
      <c r="B156" s="2" t="s">
        <v>150</v>
      </c>
      <c r="C156" s="2" t="s">
        <v>1</v>
      </c>
      <c r="D156" s="2" t="s">
        <v>2</v>
      </c>
      <c r="E156" s="5">
        <v>11000</v>
      </c>
      <c r="F156" s="2">
        <v>17.170000000000002</v>
      </c>
      <c r="G156" s="5">
        <v>188870</v>
      </c>
      <c r="H156" s="1">
        <f t="shared" ca="1" si="4"/>
        <v>46194</v>
      </c>
      <c r="I156" s="5">
        <f>IFERROR(VLOOKUP(A156,'[1]Consumo SEMANA ENEA'!$F:$EL,137,0),0)</f>
        <v>484.1269841269841</v>
      </c>
      <c r="J156" s="2" t="str">
        <f>IFERROR(VLOOKUP(A156,Hoja4!A:C,3,0),"")</f>
        <v>Etiquetas</v>
      </c>
      <c r="K156" s="9">
        <f t="shared" si="5"/>
        <v>22.721311475409838</v>
      </c>
      <c r="L156" s="6">
        <f>IFERROR(VLOOKUP(A156,'[2]Consumo SEMANA ENEA'!$F:$EP,141,0),0)</f>
        <v>4000</v>
      </c>
    </row>
    <row r="157" spans="1:12" x14ac:dyDescent="0.3">
      <c r="A157" s="2">
        <v>405121</v>
      </c>
      <c r="B157" s="2" t="s">
        <v>151</v>
      </c>
      <c r="C157" s="2" t="s">
        <v>1</v>
      </c>
      <c r="D157" s="2" t="s">
        <v>2</v>
      </c>
      <c r="E157" s="5">
        <v>5000</v>
      </c>
      <c r="F157" s="2">
        <v>17.170000000000002</v>
      </c>
      <c r="G157" s="5">
        <v>85850</v>
      </c>
      <c r="H157" s="1">
        <f t="shared" ca="1" si="4"/>
        <v>46194</v>
      </c>
      <c r="I157" s="5">
        <f>IFERROR(VLOOKUP(A157,'[1]Consumo SEMANA ENEA'!$F:$EL,137,0),0)</f>
        <v>393.93939393939394</v>
      </c>
      <c r="J157" s="2" t="str">
        <f>IFERROR(VLOOKUP(A157,Hoja4!A:C,3,0),"")</f>
        <v>Etiquetas</v>
      </c>
      <c r="K157" s="9">
        <f t="shared" si="5"/>
        <v>12.692307692307692</v>
      </c>
      <c r="L157" s="6">
        <f>IFERROR(VLOOKUP(A157,'[2]Consumo SEMANA ENEA'!$F:$EP,141,0),0)</f>
        <v>3083.3333333333335</v>
      </c>
    </row>
    <row r="158" spans="1:12" x14ac:dyDescent="0.3">
      <c r="A158" s="2">
        <v>101108</v>
      </c>
      <c r="B158" s="2" t="s">
        <v>152</v>
      </c>
      <c r="C158" s="2" t="s">
        <v>1</v>
      </c>
      <c r="D158" s="2" t="s">
        <v>2</v>
      </c>
      <c r="E158" s="2">
        <v>10</v>
      </c>
      <c r="F158" s="5">
        <v>4060</v>
      </c>
      <c r="G158" s="5">
        <v>40600</v>
      </c>
      <c r="H158" s="1">
        <f t="shared" ca="1" si="4"/>
        <v>46194</v>
      </c>
      <c r="I158" s="5">
        <f>IFERROR(VLOOKUP(A158,'[1]Consumo SEMANA ENEA'!$F:$EL,137,0),0)</f>
        <v>1.6666666666666667</v>
      </c>
      <c r="J158" s="2" t="str">
        <f>IFERROR(VLOOKUP(A158,Hoja4!A:C,3,0),"")</f>
        <v>Chocolate</v>
      </c>
      <c r="K158" s="9">
        <f t="shared" si="5"/>
        <v>6</v>
      </c>
      <c r="L158" s="6">
        <f>IFERROR(VLOOKUP(A158,'[2]Consumo SEMANA ENEA'!$F:$EP,141,0),0)</f>
        <v>8.3333333333333339</v>
      </c>
    </row>
    <row r="159" spans="1:12" x14ac:dyDescent="0.3">
      <c r="A159" s="2">
        <v>107415</v>
      </c>
      <c r="B159" s="2" t="s">
        <v>153</v>
      </c>
      <c r="C159" s="2" t="s">
        <v>1</v>
      </c>
      <c r="D159" s="2" t="s">
        <v>2</v>
      </c>
      <c r="E159" s="2">
        <v>121.5</v>
      </c>
      <c r="F159" s="5">
        <v>5289.37</v>
      </c>
      <c r="G159" s="5">
        <v>642658.45499999996</v>
      </c>
      <c r="H159" s="1">
        <f t="shared" ca="1" si="4"/>
        <v>46194</v>
      </c>
      <c r="I159" s="5">
        <f>IFERROR(VLOOKUP(A159,'[1]Consumo SEMANA ENEA'!$F:$EL,137,0),0)</f>
        <v>11.58</v>
      </c>
      <c r="J159" s="2" t="str">
        <f>IFERROR(VLOOKUP(A159,Hoja4!A:C,3,0),"")</f>
        <v>Fruta conserva</v>
      </c>
      <c r="K159" s="9">
        <f t="shared" si="5"/>
        <v>10.492227979274611</v>
      </c>
      <c r="L159" s="6">
        <f>IFERROR(VLOOKUP(A159,'[2]Consumo SEMANA ENEA'!$F:$EP,141,0),0)</f>
        <v>46.666666666666664</v>
      </c>
    </row>
    <row r="160" spans="1:12" x14ac:dyDescent="0.3">
      <c r="A160" s="2">
        <v>107319</v>
      </c>
      <c r="B160" s="2" t="s">
        <v>154</v>
      </c>
      <c r="C160" s="2" t="s">
        <v>1</v>
      </c>
      <c r="D160" s="2" t="s">
        <v>2</v>
      </c>
      <c r="E160" s="5">
        <v>2137.5</v>
      </c>
      <c r="F160" s="5">
        <v>4359.78</v>
      </c>
      <c r="G160" s="5">
        <v>9319029.75</v>
      </c>
      <c r="H160" s="1">
        <f t="shared" ca="1" si="4"/>
        <v>46194</v>
      </c>
      <c r="I160" s="5">
        <f>IFERROR(VLOOKUP(A160,'[1]Consumo SEMANA ENEA'!$F:$EL,137,0),0)</f>
        <v>92.743055555555557</v>
      </c>
      <c r="J160" s="2" t="str">
        <f>IFERROR(VLOOKUP(A160,Hoja4!A:C,3,0),"")</f>
        <v>fruta Conserva</v>
      </c>
      <c r="K160" s="9">
        <f t="shared" si="5"/>
        <v>23.047547734930738</v>
      </c>
      <c r="L160" s="6">
        <f>IFERROR(VLOOKUP(A160,'[2]Consumo SEMANA ENEA'!$F:$EP,141,0),0)</f>
        <v>366.12962962962962</v>
      </c>
    </row>
    <row r="161" spans="1:12" x14ac:dyDescent="0.3">
      <c r="A161" s="2">
        <v>402111</v>
      </c>
      <c r="B161" s="2" t="s">
        <v>155</v>
      </c>
      <c r="C161" s="2" t="s">
        <v>1</v>
      </c>
      <c r="D161" s="2" t="s">
        <v>2</v>
      </c>
      <c r="E161" s="2">
        <v>285</v>
      </c>
      <c r="F161" s="5">
        <v>3251.09</v>
      </c>
      <c r="G161" s="5">
        <v>926560.65</v>
      </c>
      <c r="H161" s="1">
        <f t="shared" ca="1" si="4"/>
        <v>46194</v>
      </c>
      <c r="I161" s="5">
        <f>IFERROR(VLOOKUP(A161,'[1]Consumo SEMANA ENEA'!$F:$EL,137,0),0)</f>
        <v>0</v>
      </c>
      <c r="J161" s="2" t="str">
        <f>IFERROR(VLOOKUP(A161,Hoja4!A:C,3,0),"")</f>
        <v>Film</v>
      </c>
      <c r="K161" s="9">
        <f t="shared" si="5"/>
        <v>0</v>
      </c>
      <c r="L161" s="6">
        <f>IFERROR(VLOOKUP(A161,'[2]Consumo SEMANA ENEA'!$F:$EP,141,0),0)</f>
        <v>0</v>
      </c>
    </row>
    <row r="162" spans="1:12" x14ac:dyDescent="0.3">
      <c r="A162" s="2">
        <v>402132</v>
      </c>
      <c r="B162" s="2" t="s">
        <v>156</v>
      </c>
      <c r="C162" s="2" t="s">
        <v>1</v>
      </c>
      <c r="D162" s="2" t="s">
        <v>2</v>
      </c>
      <c r="E162" s="5">
        <v>1426</v>
      </c>
      <c r="F162" s="5">
        <v>5870</v>
      </c>
      <c r="G162" s="5">
        <v>8370620</v>
      </c>
      <c r="H162" s="1">
        <f t="shared" ca="1" si="4"/>
        <v>46194</v>
      </c>
      <c r="I162" s="5">
        <f>IFERROR(VLOOKUP(A162,'[1]Consumo SEMANA ENEA'!$F:$EL,137,0),0)</f>
        <v>93.147727272727266</v>
      </c>
      <c r="J162" s="2" t="str">
        <f>IFERROR(VLOOKUP(A162,Hoja4!A:C,3,0),"")</f>
        <v>Fruta Congelada</v>
      </c>
      <c r="K162" s="9">
        <f t="shared" si="5"/>
        <v>15.309015493473224</v>
      </c>
      <c r="L162" s="6">
        <f>IFERROR(VLOOKUP(A162,'[2]Consumo SEMANA ENEA'!$F:$EP,141,0),0)</f>
        <v>525.94444444444446</v>
      </c>
    </row>
    <row r="163" spans="1:12" x14ac:dyDescent="0.3">
      <c r="A163" s="2">
        <v>405506</v>
      </c>
      <c r="B163" s="2" t="s">
        <v>157</v>
      </c>
      <c r="C163" s="2" t="s">
        <v>1</v>
      </c>
      <c r="D163" s="2" t="s">
        <v>2</v>
      </c>
      <c r="E163" s="2">
        <v>280.15600000000001</v>
      </c>
      <c r="F163" s="5">
        <v>5246.9</v>
      </c>
      <c r="G163" s="5">
        <v>1469950.5164000001</v>
      </c>
      <c r="H163" s="1">
        <f t="shared" ca="1" si="4"/>
        <v>46194</v>
      </c>
      <c r="I163" s="5">
        <f>IFERROR(VLOOKUP(A163,'[1]Consumo SEMANA ENEA'!$F:$EL,137,0),0)</f>
        <v>11.88636842105263</v>
      </c>
      <c r="J163" s="2" t="str">
        <f>IFERROR(VLOOKUP(A163,Hoja4!A:C,3,0),"")</f>
        <v>Galleta</v>
      </c>
      <c r="K163" s="9">
        <f t="shared" si="5"/>
        <v>23.569520149131471</v>
      </c>
      <c r="L163" s="6">
        <f>IFERROR(VLOOKUP(A163,'[2]Consumo SEMANA ENEA'!$F:$EP,141,0),0)</f>
        <v>59.246025641025639</v>
      </c>
    </row>
    <row r="164" spans="1:12" x14ac:dyDescent="0.3">
      <c r="A164" s="2">
        <v>405750</v>
      </c>
      <c r="B164" s="2" t="s">
        <v>826</v>
      </c>
      <c r="C164" s="2" t="s">
        <v>1</v>
      </c>
      <c r="D164" s="2" t="s">
        <v>2</v>
      </c>
      <c r="E164" s="2">
        <v>488</v>
      </c>
      <c r="F164" s="5">
        <v>5769.25</v>
      </c>
      <c r="G164" s="5">
        <v>2815394</v>
      </c>
      <c r="H164" s="1">
        <f t="shared" ca="1" si="4"/>
        <v>46194</v>
      </c>
      <c r="I164" s="5">
        <f>IFERROR(VLOOKUP(A164,'[1]Consumo SEMANA ENEA'!$F:$EL,137,0),0)</f>
        <v>0</v>
      </c>
      <c r="J164" s="2" t="str">
        <f>IFERROR(VLOOKUP(A164,Hoja4!A:C,3,0),"")</f>
        <v>Chocolate</v>
      </c>
      <c r="K164" s="9">
        <f t="shared" si="5"/>
        <v>0</v>
      </c>
      <c r="L164" s="6">
        <f>IFERROR(VLOOKUP(A164,'[2]Consumo SEMANA ENEA'!$F:$EP,141,0),0)</f>
        <v>0</v>
      </c>
    </row>
    <row r="165" spans="1:12" x14ac:dyDescent="0.3">
      <c r="A165" s="2">
        <v>107133</v>
      </c>
      <c r="B165" s="2" t="s">
        <v>158</v>
      </c>
      <c r="C165" s="2" t="s">
        <v>1</v>
      </c>
      <c r="D165" s="2" t="s">
        <v>2</v>
      </c>
      <c r="E165" s="5">
        <v>2610</v>
      </c>
      <c r="F165" s="5">
        <v>4229.8599999999997</v>
      </c>
      <c r="G165" s="5">
        <v>11039934.6</v>
      </c>
      <c r="H165" s="1">
        <f t="shared" ca="1" si="4"/>
        <v>46194</v>
      </c>
      <c r="I165" s="5">
        <f>IFERROR(VLOOKUP(A165,'[1]Consumo SEMANA ENEA'!$F:$EL,137,0),0)</f>
        <v>81.289855072463766</v>
      </c>
      <c r="J165" s="2" t="str">
        <f>IFERROR(VLOOKUP(A165,Hoja4!A:C,3,0),"")</f>
        <v>Chocolate</v>
      </c>
      <c r="K165" s="9">
        <f t="shared" si="5"/>
        <v>32.107327509359955</v>
      </c>
      <c r="L165" s="6">
        <f>IFERROR(VLOOKUP(A165,'[2]Consumo SEMANA ENEA'!$F:$EP,141,0),0)</f>
        <v>328.43137254901961</v>
      </c>
    </row>
    <row r="166" spans="1:12" x14ac:dyDescent="0.3">
      <c r="A166" s="2">
        <v>107160</v>
      </c>
      <c r="B166" s="2" t="s">
        <v>159</v>
      </c>
      <c r="C166" s="2" t="s">
        <v>1</v>
      </c>
      <c r="D166" s="2" t="s">
        <v>2</v>
      </c>
      <c r="E166" s="2">
        <v>96</v>
      </c>
      <c r="F166" s="5">
        <v>5350</v>
      </c>
      <c r="G166" s="5">
        <v>513600</v>
      </c>
      <c r="H166" s="1">
        <f t="shared" ca="1" si="4"/>
        <v>46194</v>
      </c>
      <c r="I166" s="5">
        <f>IFERROR(VLOOKUP(A166,'[1]Consumo SEMANA ENEA'!$F:$EL,137,0),0)</f>
        <v>9.86</v>
      </c>
      <c r="J166" s="2" t="str">
        <f>IFERROR(VLOOKUP(A166,Hoja4!A:C,3,0),"")</f>
        <v>Gelatina</v>
      </c>
      <c r="K166" s="9">
        <f t="shared" si="5"/>
        <v>9.736308316430021</v>
      </c>
      <c r="L166" s="6">
        <f>IFERROR(VLOOKUP(A166,'[2]Consumo SEMANA ENEA'!$F:$EP,141,0),0)</f>
        <v>38.074074074074076</v>
      </c>
    </row>
    <row r="167" spans="1:12" x14ac:dyDescent="0.3">
      <c r="A167" s="2">
        <v>104013</v>
      </c>
      <c r="B167" s="2" t="s">
        <v>160</v>
      </c>
      <c r="C167" s="2" t="s">
        <v>1</v>
      </c>
      <c r="D167" s="2" t="s">
        <v>2</v>
      </c>
      <c r="E167" s="2">
        <v>25</v>
      </c>
      <c r="F167" s="5">
        <v>7600</v>
      </c>
      <c r="G167" s="5">
        <v>190000</v>
      </c>
      <c r="H167" s="1">
        <f t="shared" ca="1" si="4"/>
        <v>46194</v>
      </c>
      <c r="I167" s="5">
        <f>IFERROR(VLOOKUP(A167,'[1]Consumo SEMANA ENEA'!$F:$EL,137,0),0)</f>
        <v>8.9047619047619051</v>
      </c>
      <c r="J167" s="2" t="str">
        <f>IFERROR(VLOOKUP(A167,Hoja4!A:C,3,0),"")</f>
        <v>Gelatina</v>
      </c>
      <c r="K167" s="9">
        <f t="shared" si="5"/>
        <v>2.8074866310160425</v>
      </c>
      <c r="L167" s="6">
        <f>IFERROR(VLOOKUP(A167,'[2]Consumo SEMANA ENEA'!$F:$EP,141,0),0)</f>
        <v>35.61904761904762</v>
      </c>
    </row>
    <row r="168" spans="1:12" x14ac:dyDescent="0.3">
      <c r="A168" s="2">
        <v>107159</v>
      </c>
      <c r="B168" s="2" t="s">
        <v>161</v>
      </c>
      <c r="C168" s="2" t="s">
        <v>1</v>
      </c>
      <c r="D168" s="2" t="s">
        <v>2</v>
      </c>
      <c r="E168" s="2">
        <v>126.21</v>
      </c>
      <c r="F168" s="5">
        <v>9799.99</v>
      </c>
      <c r="G168" s="5">
        <v>1236856.7379000001</v>
      </c>
      <c r="H168" s="1">
        <f t="shared" ca="1" si="4"/>
        <v>46194</v>
      </c>
      <c r="I168" s="5">
        <f>IFERROR(VLOOKUP(A168,'[1]Consumo SEMANA ENEA'!$F:$EL,137,0),0)</f>
        <v>10.700062794871792</v>
      </c>
      <c r="J168" s="2" t="str">
        <f>IFERROR(VLOOKUP(A168,Hoja4!A:C,3,0),"")</f>
        <v>Gelatina</v>
      </c>
      <c r="K168" s="9">
        <f t="shared" si="5"/>
        <v>11.79525788021436</v>
      </c>
      <c r="L168" s="6">
        <f>IFERROR(VLOOKUP(A168,'[2]Consumo SEMANA ENEA'!$F:$EP,141,0),0)</f>
        <v>36.444444444444443</v>
      </c>
    </row>
    <row r="169" spans="1:12" x14ac:dyDescent="0.3">
      <c r="A169" s="2">
        <v>300004</v>
      </c>
      <c r="B169" s="2" t="s">
        <v>162</v>
      </c>
      <c r="C169" s="2" t="s">
        <v>1</v>
      </c>
      <c r="D169" s="2" t="s">
        <v>2</v>
      </c>
      <c r="E169" s="2">
        <v>240</v>
      </c>
      <c r="F169" s="2">
        <v>1.03</v>
      </c>
      <c r="G169" s="2">
        <v>247.2</v>
      </c>
      <c r="H169" s="1">
        <f t="shared" ca="1" si="4"/>
        <v>46194</v>
      </c>
      <c r="I169" s="5">
        <f>IFERROR(VLOOKUP(A169,'[1]Consumo SEMANA ENEA'!$F:$EL,137,0),0)</f>
        <v>37.55383333333333</v>
      </c>
      <c r="J169" s="2" t="str">
        <f>IFERROR(VLOOKUP(A169,Hoja4!A:C,3,0),"")</f>
        <v>Insumo</v>
      </c>
      <c r="K169" s="9">
        <f t="shared" si="5"/>
        <v>6.3908256147841103</v>
      </c>
      <c r="L169" s="6">
        <f>IFERROR(VLOOKUP(A169,'[2]Consumo SEMANA ENEA'!$F:$EP,141,0),0)</f>
        <v>156.62759259259258</v>
      </c>
    </row>
    <row r="170" spans="1:12" x14ac:dyDescent="0.3">
      <c r="A170" s="2">
        <v>300003</v>
      </c>
      <c r="B170" s="2" t="s">
        <v>163</v>
      </c>
      <c r="C170" s="2" t="s">
        <v>1</v>
      </c>
      <c r="D170" s="2" t="s">
        <v>2</v>
      </c>
      <c r="E170" s="2">
        <v>280</v>
      </c>
      <c r="F170" s="2">
        <v>1.03</v>
      </c>
      <c r="G170" s="2">
        <v>288.39999999999998</v>
      </c>
      <c r="H170" s="1">
        <f t="shared" ca="1" si="4"/>
        <v>46194</v>
      </c>
      <c r="I170" s="5">
        <f>IFERROR(VLOOKUP(A170,'[1]Consumo SEMANA ENEA'!$F:$EL,137,0),0)</f>
        <v>33.327000000000005</v>
      </c>
      <c r="J170" s="2" t="str">
        <f>IFERROR(VLOOKUP(A170,Hoja4!A:C,3,0),"")</f>
        <v>Insumo</v>
      </c>
      <c r="K170" s="9">
        <f t="shared" si="5"/>
        <v>8.4015963032976249</v>
      </c>
      <c r="L170" s="6">
        <f>IFERROR(VLOOKUP(A170,'[2]Consumo SEMANA ENEA'!$F:$EP,141,0),0)</f>
        <v>131.84074074074073</v>
      </c>
    </row>
    <row r="171" spans="1:12" x14ac:dyDescent="0.3">
      <c r="A171" s="2">
        <v>107170</v>
      </c>
      <c r="B171" s="2" t="s">
        <v>165</v>
      </c>
      <c r="C171" s="2" t="s">
        <v>1</v>
      </c>
      <c r="D171" s="2" t="s">
        <v>2</v>
      </c>
      <c r="E171" s="2">
        <v>300</v>
      </c>
      <c r="F171" s="5">
        <v>2662</v>
      </c>
      <c r="G171" s="5">
        <v>798600</v>
      </c>
      <c r="H171" s="1">
        <f t="shared" ca="1" si="4"/>
        <v>46194</v>
      </c>
      <c r="I171" s="5">
        <f>IFERROR(VLOOKUP(A171,'[1]Consumo SEMANA ENEA'!$F:$EL,137,0),0)</f>
        <v>27.770833333333332</v>
      </c>
      <c r="J171" s="2" t="str">
        <f>IFERROR(VLOOKUP(A171,Hoja4!A:C,3,0),"")</f>
        <v>Chocolate</v>
      </c>
      <c r="K171" s="9">
        <f t="shared" si="5"/>
        <v>10.802700675168794</v>
      </c>
      <c r="L171" s="6">
        <f>IFERROR(VLOOKUP(A171,'[2]Consumo SEMANA ENEA'!$F:$EP,141,0),0)</f>
        <v>173.55555555555554</v>
      </c>
    </row>
    <row r="172" spans="1:12" x14ac:dyDescent="0.3">
      <c r="A172" s="2">
        <v>107330</v>
      </c>
      <c r="B172" s="2" t="s">
        <v>166</v>
      </c>
      <c r="C172" s="2" t="s">
        <v>1</v>
      </c>
      <c r="D172" s="2" t="s">
        <v>2</v>
      </c>
      <c r="E172" s="2">
        <v>145</v>
      </c>
      <c r="F172" s="5">
        <v>2000</v>
      </c>
      <c r="G172" s="5">
        <v>290000</v>
      </c>
      <c r="H172" s="1">
        <f t="shared" ca="1" si="4"/>
        <v>46194</v>
      </c>
      <c r="I172" s="5">
        <f>IFERROR(VLOOKUP(A172,'[1]Consumo SEMANA ENEA'!$F:$EL,137,0),0)</f>
        <v>4.666666666666667</v>
      </c>
      <c r="J172" s="2" t="str">
        <f>IFERROR(VLOOKUP(A172,Hoja4!A:C,3,0),"")</f>
        <v>Mix</v>
      </c>
      <c r="K172" s="9">
        <f t="shared" si="5"/>
        <v>31.071428571428569</v>
      </c>
      <c r="L172" s="6">
        <f>IFERROR(VLOOKUP(A172,'[2]Consumo SEMANA ENEA'!$F:$EP,141,0),0)</f>
        <v>23.333333333333336</v>
      </c>
    </row>
    <row r="173" spans="1:12" x14ac:dyDescent="0.3">
      <c r="A173" s="2">
        <v>403368</v>
      </c>
      <c r="B173" s="2" t="s">
        <v>323</v>
      </c>
      <c r="C173" s="2" t="s">
        <v>1</v>
      </c>
      <c r="D173" s="2" t="s">
        <v>2</v>
      </c>
      <c r="E173" s="5">
        <v>1540</v>
      </c>
      <c r="F173" s="2">
        <v>165</v>
      </c>
      <c r="G173" s="5">
        <v>254100</v>
      </c>
      <c r="H173" s="1">
        <f t="shared" ca="1" si="4"/>
        <v>46194</v>
      </c>
      <c r="I173" s="5">
        <f>IFERROR(VLOOKUP(A173,'[1]Consumo SEMANA ENEA'!$F:$EL,137,0),0)</f>
        <v>316.5</v>
      </c>
      <c r="J173" s="2" t="str">
        <f>IFERROR(VLOOKUP(A173,Hoja4!A:C,3,0),"")</f>
        <v>Carton</v>
      </c>
      <c r="K173" s="9">
        <f t="shared" si="5"/>
        <v>4.8657187993680884</v>
      </c>
      <c r="L173" s="6">
        <f>IFERROR(VLOOKUP(A173,'[2]Consumo SEMANA ENEA'!$F:$EP,141,0),0)</f>
        <v>5474</v>
      </c>
    </row>
    <row r="174" spans="1:12" x14ac:dyDescent="0.3">
      <c r="A174" s="2">
        <v>403373</v>
      </c>
      <c r="B174" s="2" t="s">
        <v>167</v>
      </c>
      <c r="C174" s="2" t="s">
        <v>1</v>
      </c>
      <c r="D174" s="2" t="s">
        <v>2</v>
      </c>
      <c r="E174" s="5">
        <v>22000</v>
      </c>
      <c r="F174" s="2">
        <v>205</v>
      </c>
      <c r="G174" s="5">
        <v>4510000</v>
      </c>
      <c r="H174" s="1">
        <f t="shared" ca="1" si="4"/>
        <v>46194</v>
      </c>
      <c r="I174" s="5">
        <f>IFERROR(VLOOKUP(A174,'[1]Consumo SEMANA ENEA'!$F:$EL,137,0),0)</f>
        <v>666.66666666666663</v>
      </c>
      <c r="J174" s="2" t="str">
        <f>IFERROR(VLOOKUP(A174,Hoja4!A:C,3,0),"")</f>
        <v>Carton</v>
      </c>
      <c r="K174" s="9">
        <f t="shared" si="5"/>
        <v>33</v>
      </c>
      <c r="L174" s="6">
        <f>IFERROR(VLOOKUP(A174,'[2]Consumo SEMANA ENEA'!$F:$EP,141,0),0)</f>
        <v>11333.333333333334</v>
      </c>
    </row>
    <row r="175" spans="1:12" x14ac:dyDescent="0.3">
      <c r="A175" s="2">
        <v>393322</v>
      </c>
      <c r="B175" s="2" t="s">
        <v>168</v>
      </c>
      <c r="C175" s="2" t="s">
        <v>1</v>
      </c>
      <c r="D175" s="2" t="s">
        <v>2</v>
      </c>
      <c r="E175" s="5">
        <v>16000</v>
      </c>
      <c r="F175" s="2">
        <v>150.81</v>
      </c>
      <c r="G175" s="5">
        <v>2412960</v>
      </c>
      <c r="H175" s="1">
        <f t="shared" ca="1" si="4"/>
        <v>46194</v>
      </c>
      <c r="I175" s="5">
        <f>IFERROR(VLOOKUP(A175,'[1]Consumo SEMANA ENEA'!$F:$EL,137,0),0)</f>
        <v>500</v>
      </c>
      <c r="J175" s="2" t="str">
        <f>IFERROR(VLOOKUP(A175,Hoja4!A:C,3,0),"")</f>
        <v>Carton</v>
      </c>
      <c r="K175" s="9">
        <f t="shared" si="5"/>
        <v>32</v>
      </c>
      <c r="L175" s="6">
        <f>IFERROR(VLOOKUP(A175,'[2]Consumo SEMANA ENEA'!$F:$EP,141,0),0)</f>
        <v>8500</v>
      </c>
    </row>
    <row r="176" spans="1:12" x14ac:dyDescent="0.3">
      <c r="A176" s="2">
        <v>405789</v>
      </c>
      <c r="B176" s="2" t="s">
        <v>817</v>
      </c>
      <c r="C176" s="2" t="s">
        <v>1</v>
      </c>
      <c r="D176" s="2" t="s">
        <v>2</v>
      </c>
      <c r="E176" s="5">
        <v>1284</v>
      </c>
      <c r="F176" s="2">
        <v>145</v>
      </c>
      <c r="G176" s="5">
        <v>186180</v>
      </c>
      <c r="H176" s="1">
        <f t="shared" ca="1" si="4"/>
        <v>46194</v>
      </c>
      <c r="I176" s="5">
        <f>IFERROR(VLOOKUP(A176,'[1]Consumo SEMANA ENEA'!$F:$EL,137,0),0)</f>
        <v>745.33333333333337</v>
      </c>
      <c r="J176" s="2" t="str">
        <f>IFERROR(VLOOKUP(A176,Hoja4!A:C,3,0),"")</f>
        <v>Carton</v>
      </c>
      <c r="K176" s="9">
        <f t="shared" si="5"/>
        <v>1.7227191413237923</v>
      </c>
      <c r="L176" s="6">
        <f>IFERROR(VLOOKUP(A176,'[2]Consumo SEMANA ENEA'!$F:$EP,141,0),0)</f>
        <v>0</v>
      </c>
    </row>
    <row r="177" spans="1:12" x14ac:dyDescent="0.3">
      <c r="A177" s="2">
        <v>393320</v>
      </c>
      <c r="B177" s="2" t="s">
        <v>169</v>
      </c>
      <c r="C177" s="2" t="s">
        <v>1</v>
      </c>
      <c r="D177" s="2" t="s">
        <v>2</v>
      </c>
      <c r="E177" s="5">
        <v>16788.5</v>
      </c>
      <c r="F177" s="2">
        <v>151</v>
      </c>
      <c r="G177" s="5">
        <v>2535063.5</v>
      </c>
      <c r="H177" s="1">
        <f t="shared" ca="1" si="4"/>
        <v>46194</v>
      </c>
      <c r="I177" s="5">
        <f>IFERROR(VLOOKUP(A177,'[1]Consumo SEMANA ENEA'!$F:$EL,137,0),0)</f>
        <v>2539.1702898550725</v>
      </c>
      <c r="J177" s="2" t="str">
        <f>IFERROR(VLOOKUP(A177,Hoja4!A:C,3,0),"")</f>
        <v>Carton</v>
      </c>
      <c r="K177" s="9">
        <f t="shared" si="5"/>
        <v>6.6118054653822496</v>
      </c>
      <c r="L177" s="6">
        <f>IFERROR(VLOOKUP(A177,'[2]Consumo SEMANA ENEA'!$F:$EP,141,0),0)</f>
        <v>42032.333333333328</v>
      </c>
    </row>
    <row r="178" spans="1:12" x14ac:dyDescent="0.3">
      <c r="A178" s="2">
        <v>393321</v>
      </c>
      <c r="B178" s="2" t="s">
        <v>170</v>
      </c>
      <c r="C178" s="2" t="s">
        <v>1</v>
      </c>
      <c r="D178" s="2" t="s">
        <v>2</v>
      </c>
      <c r="E178" s="5">
        <v>2400</v>
      </c>
      <c r="F178" s="2">
        <v>151</v>
      </c>
      <c r="G178" s="5">
        <v>362400</v>
      </c>
      <c r="H178" s="1">
        <f t="shared" ca="1" si="4"/>
        <v>46194</v>
      </c>
      <c r="I178" s="5">
        <f>IFERROR(VLOOKUP(A178,'[1]Consumo SEMANA ENEA'!$F:$EL,137,0),0)</f>
        <v>809.09090909090912</v>
      </c>
      <c r="J178" s="2" t="str">
        <f>IFERROR(VLOOKUP(A178,Hoja4!A:C,3,0),"")</f>
        <v>Carton</v>
      </c>
      <c r="K178" s="9">
        <f t="shared" si="5"/>
        <v>2.9662921348314604</v>
      </c>
      <c r="L178" s="6">
        <f>IFERROR(VLOOKUP(A178,'[2]Consumo SEMANA ENEA'!$F:$EP,141,0),0)</f>
        <v>13800.000000000002</v>
      </c>
    </row>
    <row r="179" spans="1:12" x14ac:dyDescent="0.3">
      <c r="A179" s="2">
        <v>362105</v>
      </c>
      <c r="B179" s="2" t="s">
        <v>171</v>
      </c>
      <c r="C179" s="2" t="s">
        <v>1</v>
      </c>
      <c r="D179" s="2" t="s">
        <v>2</v>
      </c>
      <c r="E179" s="5">
        <v>119664</v>
      </c>
      <c r="F179" s="2">
        <v>178.44</v>
      </c>
      <c r="G179" s="5">
        <v>21352844.16</v>
      </c>
      <c r="H179" s="1">
        <f t="shared" ca="1" si="4"/>
        <v>46194</v>
      </c>
      <c r="I179" s="5">
        <f>IFERROR(VLOOKUP(A179,'[1]Consumo SEMANA ENEA'!$F:$EL,137,0),0)</f>
        <v>17915.466666666667</v>
      </c>
      <c r="J179" s="2" t="str">
        <f>IFERROR(VLOOKUP(A179,Hoja4!A:C,3,0),"")</f>
        <v>Insumo</v>
      </c>
      <c r="K179" s="9">
        <f t="shared" si="5"/>
        <v>6.6793682925740141</v>
      </c>
      <c r="L179" s="6">
        <f>IFERROR(VLOOKUP(A179,'[2]Consumo SEMANA ENEA'!$F:$EP,141,0),0)</f>
        <v>83907.962962962978</v>
      </c>
    </row>
    <row r="180" spans="1:12" x14ac:dyDescent="0.3">
      <c r="A180" s="2">
        <v>403104</v>
      </c>
      <c r="B180" s="2" t="s">
        <v>411</v>
      </c>
      <c r="C180" s="2" t="s">
        <v>1</v>
      </c>
      <c r="D180" s="2" t="s">
        <v>2</v>
      </c>
      <c r="E180" s="2">
        <v>300</v>
      </c>
      <c r="F180" s="2">
        <v>990</v>
      </c>
      <c r="G180" s="5">
        <v>297000</v>
      </c>
      <c r="H180" s="1">
        <f t="shared" ca="1" si="4"/>
        <v>46194</v>
      </c>
      <c r="I180" s="5">
        <f>IFERROR(VLOOKUP(A180,'[1]Consumo SEMANA ENEA'!$F:$EL,137,0),0)</f>
        <v>50</v>
      </c>
      <c r="J180" s="2" t="str">
        <f>IFERROR(VLOOKUP(A180,Hoja4!A:C,3,0),"")</f>
        <v>Carton</v>
      </c>
      <c r="K180" s="9">
        <f t="shared" si="5"/>
        <v>6</v>
      </c>
      <c r="L180" s="6">
        <f>IFERROR(VLOOKUP(A180,'[2]Consumo SEMANA ENEA'!$F:$EP,141,0),0)</f>
        <v>400</v>
      </c>
    </row>
    <row r="181" spans="1:12" x14ac:dyDescent="0.3">
      <c r="A181" s="2">
        <v>403268</v>
      </c>
      <c r="B181" s="2" t="s">
        <v>172</v>
      </c>
      <c r="C181" s="2" t="s">
        <v>1</v>
      </c>
      <c r="D181" s="2" t="s">
        <v>2</v>
      </c>
      <c r="E181" s="5">
        <v>14904</v>
      </c>
      <c r="F181" s="2">
        <v>182.32</v>
      </c>
      <c r="G181" s="5">
        <v>2717297.28</v>
      </c>
      <c r="H181" s="1">
        <f t="shared" ca="1" si="4"/>
        <v>46194</v>
      </c>
      <c r="I181" s="5">
        <f>IFERROR(VLOOKUP(A181,'[1]Consumo SEMANA ENEA'!$F:$EL,137,0),0)</f>
        <v>1167.9074074074074</v>
      </c>
      <c r="J181" s="2" t="str">
        <f>IFERROR(VLOOKUP(A181,Hoja4!A:C,3,0),"")</f>
        <v>Insumo</v>
      </c>
      <c r="K181" s="9">
        <f t="shared" si="5"/>
        <v>12.761285616883631</v>
      </c>
      <c r="L181" s="6">
        <f>IFERROR(VLOOKUP(A181,'[2]Consumo SEMANA ENEA'!$F:$EP,141,0),0)</f>
        <v>3976.6666666666665</v>
      </c>
    </row>
    <row r="182" spans="1:12" x14ac:dyDescent="0.3">
      <c r="A182" s="2">
        <v>393216</v>
      </c>
      <c r="B182" s="2" t="s">
        <v>173</v>
      </c>
      <c r="C182" s="2" t="s">
        <v>1</v>
      </c>
      <c r="D182" s="2" t="s">
        <v>2</v>
      </c>
      <c r="E182" s="2">
        <v>600</v>
      </c>
      <c r="F182" s="2">
        <v>703.65</v>
      </c>
      <c r="G182" s="5">
        <v>422190</v>
      </c>
      <c r="H182" s="1">
        <f t="shared" ca="1" si="4"/>
        <v>46194</v>
      </c>
      <c r="I182" s="5">
        <f>IFERROR(VLOOKUP(A182,'[1]Consumo SEMANA ENEA'!$F:$EL,137,0),0)</f>
        <v>852.67424242424249</v>
      </c>
      <c r="J182" s="2" t="str">
        <f>IFERROR(VLOOKUP(A182,Hoja4!A:C,3,0),"")</f>
        <v>Insumo</v>
      </c>
      <c r="K182" s="9">
        <f t="shared" si="5"/>
        <v>0.70366849395395936</v>
      </c>
      <c r="L182" s="6">
        <f>IFERROR(VLOOKUP(A182,'[2]Consumo SEMANA ENEA'!$F:$EP,141,0),0)</f>
        <v>3781.5416666666665</v>
      </c>
    </row>
    <row r="183" spans="1:12" x14ac:dyDescent="0.3">
      <c r="A183" s="2">
        <v>405577</v>
      </c>
      <c r="B183" s="2" t="s">
        <v>175</v>
      </c>
      <c r="C183" s="2" t="s">
        <v>1</v>
      </c>
      <c r="D183" s="2" t="s">
        <v>2</v>
      </c>
      <c r="E183" s="2">
        <v>839</v>
      </c>
      <c r="F183" s="5">
        <v>1060.98</v>
      </c>
      <c r="G183" s="5">
        <v>890162.22</v>
      </c>
      <c r="H183" s="1">
        <f t="shared" ca="1" si="4"/>
        <v>46194</v>
      </c>
      <c r="I183" s="5">
        <f>IFERROR(VLOOKUP(A183,'[1]Consumo SEMANA ENEA'!$F:$EL,137,0),0)</f>
        <v>197.46</v>
      </c>
      <c r="J183" s="2" t="str">
        <f>IFERROR(VLOOKUP(A183,Hoja4!A:C,3,0),"")</f>
        <v>Insumo</v>
      </c>
      <c r="K183" s="9">
        <f t="shared" si="5"/>
        <v>4.2489618150511497</v>
      </c>
      <c r="L183" s="6">
        <f>IFERROR(VLOOKUP(A183,'[2]Consumo SEMANA ENEA'!$F:$EP,141,0),0)</f>
        <v>710.8888888888888</v>
      </c>
    </row>
    <row r="184" spans="1:12" x14ac:dyDescent="0.3">
      <c r="A184" s="2">
        <v>393419</v>
      </c>
      <c r="B184" s="2" t="s">
        <v>176</v>
      </c>
      <c r="C184" s="2" t="s">
        <v>1</v>
      </c>
      <c r="D184" s="2" t="s">
        <v>2</v>
      </c>
      <c r="E184" s="2">
        <v>756</v>
      </c>
      <c r="F184" s="5">
        <v>1696.71</v>
      </c>
      <c r="G184" s="5">
        <v>1282712.76</v>
      </c>
      <c r="H184" s="1">
        <f t="shared" ca="1" si="4"/>
        <v>46194</v>
      </c>
      <c r="I184" s="5">
        <f>IFERROR(VLOOKUP(A184,'[1]Consumo SEMANA ENEA'!$F:$EL,137,0),0)</f>
        <v>94.289855072463766</v>
      </c>
      <c r="J184" s="2" t="str">
        <f>IFERROR(VLOOKUP(A184,Hoja4!A:C,3,0),"")</f>
        <v>Insumo</v>
      </c>
      <c r="K184" s="9">
        <f t="shared" si="5"/>
        <v>8.0178296956655402</v>
      </c>
      <c r="L184" s="6">
        <f>IFERROR(VLOOKUP(A184,'[2]Consumo SEMANA ENEA'!$F:$EP,141,0),0)</f>
        <v>380.86274509803917</v>
      </c>
    </row>
    <row r="185" spans="1:12" x14ac:dyDescent="0.3">
      <c r="A185" s="2">
        <v>353002</v>
      </c>
      <c r="B185" s="2" t="s">
        <v>178</v>
      </c>
      <c r="C185" s="2" t="s">
        <v>1</v>
      </c>
      <c r="D185" s="2" t="s">
        <v>2</v>
      </c>
      <c r="E185" s="5">
        <v>7375</v>
      </c>
      <c r="F185" s="2">
        <v>895.17</v>
      </c>
      <c r="G185" s="5">
        <v>6601878.75</v>
      </c>
      <c r="H185" s="1">
        <f t="shared" ca="1" si="4"/>
        <v>46194</v>
      </c>
      <c r="I185" s="5">
        <f>IFERROR(VLOOKUP(A185,'[1]Consumo SEMANA ENEA'!$F:$EL,137,0),0)</f>
        <v>1945.7</v>
      </c>
      <c r="J185" s="2" t="str">
        <f>IFERROR(VLOOKUP(A185,Hoja4!A:C,3,0),"")</f>
        <v>Insumo</v>
      </c>
      <c r="K185" s="9">
        <f t="shared" si="5"/>
        <v>3.7904096212160145</v>
      </c>
      <c r="L185" s="6">
        <f>IFERROR(VLOOKUP(A185,'[2]Consumo SEMANA ENEA'!$F:$EP,141,0),0)</f>
        <v>7579.333333333333</v>
      </c>
    </row>
    <row r="186" spans="1:12" x14ac:dyDescent="0.3">
      <c r="A186" s="2">
        <v>353001</v>
      </c>
      <c r="B186" s="2" t="s">
        <v>179</v>
      </c>
      <c r="C186" s="2" t="s">
        <v>1</v>
      </c>
      <c r="D186" s="2" t="s">
        <v>2</v>
      </c>
      <c r="E186" s="5">
        <v>7164</v>
      </c>
      <c r="F186" s="2">
        <v>839.79</v>
      </c>
      <c r="G186" s="5">
        <v>6016255.5599999996</v>
      </c>
      <c r="H186" s="1">
        <f t="shared" ca="1" si="4"/>
        <v>46194</v>
      </c>
      <c r="I186" s="5">
        <f>IFERROR(VLOOKUP(A186,'[1]Consumo SEMANA ENEA'!$F:$EL,137,0),0)</f>
        <v>1997.9066666666668</v>
      </c>
      <c r="J186" s="2" t="str">
        <f>IFERROR(VLOOKUP(A186,Hoja4!A:C,3,0),"")</f>
        <v>Insumo</v>
      </c>
      <c r="K186" s="9">
        <f t="shared" si="5"/>
        <v>3.5857530882323498</v>
      </c>
      <c r="L186" s="6">
        <f>IFERROR(VLOOKUP(A186,'[2]Consumo SEMANA ENEA'!$F:$EP,141,0),0)</f>
        <v>7858.1481481481487</v>
      </c>
    </row>
    <row r="187" spans="1:12" x14ac:dyDescent="0.3">
      <c r="A187" s="2">
        <v>107259</v>
      </c>
      <c r="B187" s="2" t="s">
        <v>180</v>
      </c>
      <c r="C187" s="2" t="s">
        <v>1</v>
      </c>
      <c r="D187" s="2" t="s">
        <v>2</v>
      </c>
      <c r="E187" s="5">
        <v>1670</v>
      </c>
      <c r="F187" s="5">
        <v>2190</v>
      </c>
      <c r="G187" s="5">
        <v>3657300</v>
      </c>
      <c r="H187" s="1">
        <f t="shared" ca="1" si="4"/>
        <v>46194</v>
      </c>
      <c r="I187" s="5">
        <f>IFERROR(VLOOKUP(A187,'[1]Consumo SEMANA ENEA'!$F:$EL,137,0),0)</f>
        <v>187.4102</v>
      </c>
      <c r="J187" s="2" t="str">
        <f>IFERROR(VLOOKUP(A187,Hoja4!A:C,3,0),"")</f>
        <v>Remojo</v>
      </c>
      <c r="K187" s="9">
        <f t="shared" si="5"/>
        <v>8.9109344101868526</v>
      </c>
      <c r="L187" s="6">
        <f>IFERROR(VLOOKUP(A187,'[2]Consumo SEMANA ENEA'!$F:$EP,141,0),0)</f>
        <v>845.37037037037044</v>
      </c>
    </row>
    <row r="188" spans="1:12" x14ac:dyDescent="0.3">
      <c r="A188" s="2">
        <v>107260</v>
      </c>
      <c r="B188" s="2" t="s">
        <v>181</v>
      </c>
      <c r="C188" s="2" t="s">
        <v>1</v>
      </c>
      <c r="D188" s="2" t="s">
        <v>2</v>
      </c>
      <c r="E188" s="5">
        <v>11700</v>
      </c>
      <c r="F188" s="2">
        <v>727.65</v>
      </c>
      <c r="G188" s="5">
        <v>8513505</v>
      </c>
      <c r="H188" s="1">
        <f t="shared" ca="1" si="4"/>
        <v>46194</v>
      </c>
      <c r="I188" s="5">
        <f>IFERROR(VLOOKUP(A188,'[1]Consumo SEMANA ENEA'!$F:$EL,137,0),0)</f>
        <v>994.66666666666663</v>
      </c>
      <c r="J188" s="2" t="str">
        <f>IFERROR(VLOOKUP(A188,Hoja4!A:C,3,0),"")</f>
        <v>Remojo</v>
      </c>
      <c r="K188" s="9">
        <f t="shared" si="5"/>
        <v>11.762734584450403</v>
      </c>
      <c r="L188" s="6">
        <f>IFERROR(VLOOKUP(A188,'[2]Consumo SEMANA ENEA'!$F:$EP,141,0),0)</f>
        <v>4876.1574074074069</v>
      </c>
    </row>
    <row r="189" spans="1:12" x14ac:dyDescent="0.3">
      <c r="A189" s="2">
        <v>107278</v>
      </c>
      <c r="B189" s="2" t="s">
        <v>182</v>
      </c>
      <c r="C189" s="2" t="s">
        <v>1</v>
      </c>
      <c r="D189" s="2" t="s">
        <v>2</v>
      </c>
      <c r="E189" s="5">
        <v>2194</v>
      </c>
      <c r="F189" s="2">
        <v>720.8</v>
      </c>
      <c r="G189" s="5">
        <v>1581435.2</v>
      </c>
      <c r="H189" s="1">
        <f t="shared" ca="1" si="4"/>
        <v>46194</v>
      </c>
      <c r="I189" s="5">
        <f>IFERROR(VLOOKUP(A189,'[1]Consumo SEMANA ENEA'!$F:$EL,137,0),0)</f>
        <v>152.09027777777777</v>
      </c>
      <c r="J189" s="2" t="str">
        <f>IFERROR(VLOOKUP(A189,Hoja4!A:C,3,0),"")</f>
        <v>Remojo</v>
      </c>
      <c r="K189" s="9">
        <f t="shared" si="5"/>
        <v>14.425642664718506</v>
      </c>
      <c r="L189" s="6">
        <f>IFERROR(VLOOKUP(A189,'[2]Consumo SEMANA ENEA'!$F:$EP,141,0),0)</f>
        <v>670.82352941176475</v>
      </c>
    </row>
    <row r="190" spans="1:12" x14ac:dyDescent="0.3">
      <c r="A190" s="2">
        <v>107355</v>
      </c>
      <c r="B190" s="2" t="s">
        <v>183</v>
      </c>
      <c r="C190" s="2" t="s">
        <v>1</v>
      </c>
      <c r="D190" s="2" t="s">
        <v>2</v>
      </c>
      <c r="E190" s="2">
        <v>555</v>
      </c>
      <c r="F190" s="5">
        <v>2818</v>
      </c>
      <c r="G190" s="5">
        <v>1563990</v>
      </c>
      <c r="H190" s="1">
        <f t="shared" ca="1" si="4"/>
        <v>46194</v>
      </c>
      <c r="I190" s="5">
        <f>IFERROR(VLOOKUP(A190,'[1]Consumo SEMANA ENEA'!$F:$EL,137,0),0)</f>
        <v>28.491228070175438</v>
      </c>
      <c r="J190" s="2" t="str">
        <f>IFERROR(VLOOKUP(A190,Hoja4!A:C,3,0),"")</f>
        <v>Jugo</v>
      </c>
      <c r="K190" s="9">
        <f t="shared" si="5"/>
        <v>19.479679802955665</v>
      </c>
      <c r="L190" s="6">
        <f>IFERROR(VLOOKUP(A190,'[2]Consumo SEMANA ENEA'!$F:$EP,141,0),0)</f>
        <v>99.652777777777771</v>
      </c>
    </row>
    <row r="191" spans="1:12" x14ac:dyDescent="0.3">
      <c r="A191" s="2">
        <v>405319</v>
      </c>
      <c r="B191" s="2" t="s">
        <v>184</v>
      </c>
      <c r="C191" s="2" t="s">
        <v>1</v>
      </c>
      <c r="D191" s="2" t="s">
        <v>2</v>
      </c>
      <c r="E191" s="5">
        <v>3800</v>
      </c>
      <c r="F191" s="2">
        <v>256</v>
      </c>
      <c r="G191" s="5">
        <v>972800</v>
      </c>
      <c r="H191" s="1">
        <f t="shared" ca="1" si="4"/>
        <v>46194</v>
      </c>
      <c r="I191" s="5">
        <f>IFERROR(VLOOKUP(A191,'[1]Consumo SEMANA ENEA'!$F:$EL,137,0),0)</f>
        <v>40.277777777777779</v>
      </c>
      <c r="J191" s="2" t="str">
        <f>IFERROR(VLOOKUP(A191,Hoja4!A:C,3,0),"")</f>
        <v>Carton</v>
      </c>
      <c r="K191" s="9">
        <f t="shared" si="5"/>
        <v>94.34482758620689</v>
      </c>
      <c r="L191" s="6">
        <f>IFERROR(VLOOKUP(A191,'[2]Consumo SEMANA ENEA'!$F:$EP,141,0),0)</f>
        <v>322.22222222222223</v>
      </c>
    </row>
    <row r="192" spans="1:12" x14ac:dyDescent="0.3">
      <c r="A192" s="2">
        <v>107215</v>
      </c>
      <c r="B192" s="2" t="s">
        <v>185</v>
      </c>
      <c r="C192" s="2" t="s">
        <v>1</v>
      </c>
      <c r="D192" s="2" t="s">
        <v>2</v>
      </c>
      <c r="E192" s="5">
        <v>1020</v>
      </c>
      <c r="F192" s="5">
        <v>3007.5</v>
      </c>
      <c r="G192" s="5">
        <v>3067650</v>
      </c>
      <c r="H192" s="1">
        <f t="shared" ca="1" si="4"/>
        <v>46194</v>
      </c>
      <c r="I192" s="5">
        <f>IFERROR(VLOOKUP(A192,'[1]Consumo SEMANA ENEA'!$F:$EL,137,0),0)</f>
        <v>134.09333333333333</v>
      </c>
      <c r="J192" s="2" t="str">
        <f>IFERROR(VLOOKUP(A192,Hoja4!A:C,3,0),"")</f>
        <v>Leche condensada</v>
      </c>
      <c r="K192" s="9">
        <f t="shared" si="5"/>
        <v>7.6066421398031219</v>
      </c>
      <c r="L192" s="6">
        <f>IFERROR(VLOOKUP(A192,'[2]Consumo SEMANA ENEA'!$F:$EP,141,0),0)</f>
        <v>622.03703703703707</v>
      </c>
    </row>
    <row r="193" spans="1:12" x14ac:dyDescent="0.3">
      <c r="A193" s="2">
        <v>107333</v>
      </c>
      <c r="B193" s="2" t="s">
        <v>186</v>
      </c>
      <c r="C193" s="2" t="s">
        <v>1</v>
      </c>
      <c r="D193" s="2" t="s">
        <v>2</v>
      </c>
      <c r="E193" s="2">
        <v>88.74</v>
      </c>
      <c r="F193" s="5">
        <v>4424.51</v>
      </c>
      <c r="G193" s="5">
        <v>392631.01740000001</v>
      </c>
      <c r="H193" s="1">
        <f t="shared" ca="1" si="4"/>
        <v>46194</v>
      </c>
      <c r="I193" s="5">
        <f>IFERROR(VLOOKUP(A193,'[1]Consumo SEMANA ENEA'!$F:$EL,137,0),0)</f>
        <v>7.5886363636363638</v>
      </c>
      <c r="J193" s="2" t="str">
        <f>IFERROR(VLOOKUP(A193,Hoja4!A:C,3,0),"")</f>
        <v>Leche condensada</v>
      </c>
      <c r="K193" s="9">
        <f t="shared" si="5"/>
        <v>11.693800539083558</v>
      </c>
      <c r="L193" s="6">
        <f>IFERROR(VLOOKUP(A193,'[2]Consumo SEMANA ENEA'!$F:$EP,141,0),0)</f>
        <v>40.237500000000011</v>
      </c>
    </row>
    <row r="194" spans="1:12" x14ac:dyDescent="0.3">
      <c r="A194" s="2">
        <v>405539</v>
      </c>
      <c r="B194" s="2" t="s">
        <v>187</v>
      </c>
      <c r="C194" s="2" t="s">
        <v>1</v>
      </c>
      <c r="D194" s="2" t="s">
        <v>2</v>
      </c>
      <c r="E194" s="2">
        <v>70</v>
      </c>
      <c r="F194" s="5">
        <v>2950</v>
      </c>
      <c r="G194" s="5">
        <v>206500</v>
      </c>
      <c r="H194" s="1">
        <f t="shared" ca="1" si="4"/>
        <v>46194</v>
      </c>
      <c r="I194" s="5">
        <f>IFERROR(VLOOKUP(A194,'[1]Consumo SEMANA ENEA'!$F:$EL,137,0),0)</f>
        <v>18.456666666666667</v>
      </c>
      <c r="J194" s="2" t="str">
        <f>IFERROR(VLOOKUP(A194,Hoja4!A:C,3,0),"")</f>
        <v>Leche condensada</v>
      </c>
      <c r="K194" s="9">
        <f t="shared" si="5"/>
        <v>3.7926675094816686</v>
      </c>
      <c r="L194" s="6">
        <f>IFERROR(VLOOKUP(A194,'[2]Consumo SEMANA ENEA'!$F:$EP,141,0),0)</f>
        <v>121.71428571428571</v>
      </c>
    </row>
    <row r="195" spans="1:12" x14ac:dyDescent="0.3">
      <c r="A195" s="2">
        <v>107109</v>
      </c>
      <c r="B195" s="2" t="s">
        <v>188</v>
      </c>
      <c r="C195" s="2" t="s">
        <v>1</v>
      </c>
      <c r="D195" s="2" t="s">
        <v>2</v>
      </c>
      <c r="E195" s="5">
        <v>9160</v>
      </c>
      <c r="F195" s="5">
        <v>2323</v>
      </c>
      <c r="G195" s="5">
        <v>21278680</v>
      </c>
      <c r="H195" s="1">
        <f t="shared" ref="H195:H258" ca="1" si="6">TODAY()</f>
        <v>46194</v>
      </c>
      <c r="I195" s="5">
        <f>IFERROR(VLOOKUP(A195,'[1]Consumo SEMANA ENEA'!$F:$EL,137,0),0)</f>
        <v>1456.4666666666665</v>
      </c>
      <c r="J195" s="2" t="str">
        <f>IFERROR(VLOOKUP(A195,Hoja4!A:C,3,0),"")</f>
        <v>Manjar</v>
      </c>
      <c r="K195" s="9">
        <f t="shared" ref="K195:K256" si="7">IFERROR(+E195/I195,0)</f>
        <v>6.2891930242138514</v>
      </c>
      <c r="L195" s="6">
        <f>IFERROR(VLOOKUP(A195,'[2]Consumo SEMANA ENEA'!$F:$EP,141,0),0)</f>
        <v>6729.8611111111113</v>
      </c>
    </row>
    <row r="196" spans="1:12" x14ac:dyDescent="0.3">
      <c r="A196" s="2">
        <v>107331</v>
      </c>
      <c r="B196" s="2" t="s">
        <v>189</v>
      </c>
      <c r="C196" s="2" t="s">
        <v>1</v>
      </c>
      <c r="D196" s="2" t="s">
        <v>2</v>
      </c>
      <c r="E196" s="2">
        <v>160</v>
      </c>
      <c r="F196" s="5">
        <v>5799.96</v>
      </c>
      <c r="G196" s="5">
        <v>927993.6</v>
      </c>
      <c r="H196" s="1">
        <f t="shared" ca="1" si="6"/>
        <v>46194</v>
      </c>
      <c r="I196" s="5">
        <f>IFERROR(VLOOKUP(A196,'[1]Consumo SEMANA ENEA'!$F:$EL,137,0),0)</f>
        <v>10.729166666666666</v>
      </c>
      <c r="J196" s="2" t="str">
        <f>IFERROR(VLOOKUP(A196,Hoja4!A:C,3,0),"")</f>
        <v>Margarina</v>
      </c>
      <c r="K196" s="9">
        <f t="shared" si="7"/>
        <v>14.912621359223301</v>
      </c>
      <c r="L196" s="6">
        <f>IFERROR(VLOOKUP(A196,'[2]Consumo SEMANA ENEA'!$F:$EP,141,0),0)</f>
        <v>63.636363636363633</v>
      </c>
    </row>
    <row r="197" spans="1:12" x14ac:dyDescent="0.3">
      <c r="A197" s="2">
        <v>107144</v>
      </c>
      <c r="B197" s="2" t="s">
        <v>190</v>
      </c>
      <c r="C197" s="2" t="s">
        <v>1</v>
      </c>
      <c r="D197" s="2" t="s">
        <v>2</v>
      </c>
      <c r="E197" s="2">
        <v>188.1</v>
      </c>
      <c r="F197" s="5">
        <v>2971.84</v>
      </c>
      <c r="G197" s="5">
        <v>559003.10400000005</v>
      </c>
      <c r="H197" s="1">
        <f t="shared" ca="1" si="6"/>
        <v>46194</v>
      </c>
      <c r="I197" s="5">
        <f>IFERROR(VLOOKUP(A197,'[1]Consumo SEMANA ENEA'!$F:$EL,137,0),0)</f>
        <v>0</v>
      </c>
      <c r="J197" s="2" t="str">
        <f>IFERROR(VLOOKUP(A197,Hoja4!A:C,3,0),"")</f>
        <v>fruta Conserva</v>
      </c>
      <c r="K197" s="9">
        <f t="shared" si="7"/>
        <v>0</v>
      </c>
      <c r="L197" s="6">
        <f>IFERROR(VLOOKUP(A197,'[2]Consumo SEMANA ENEA'!$F:$EP,141,0),0)</f>
        <v>0</v>
      </c>
    </row>
    <row r="198" spans="1:12" x14ac:dyDescent="0.3">
      <c r="A198" s="2">
        <v>405700</v>
      </c>
      <c r="B198" s="2" t="s">
        <v>822</v>
      </c>
      <c r="C198" s="2" t="s">
        <v>1</v>
      </c>
      <c r="D198" s="2" t="s">
        <v>2</v>
      </c>
      <c r="E198" s="5">
        <v>3130</v>
      </c>
      <c r="F198" s="5">
        <v>1472.97</v>
      </c>
      <c r="G198" s="5">
        <v>4610396.0999999996</v>
      </c>
      <c r="H198" s="1">
        <f t="shared" ca="1" si="6"/>
        <v>46194</v>
      </c>
      <c r="I198" s="5">
        <f>IFERROR(VLOOKUP(A198,'[1]Consumo SEMANA ENEA'!$F:$EL,137,0),0)</f>
        <v>300</v>
      </c>
      <c r="J198" s="2" t="str">
        <f>IFERROR(VLOOKUP(A198,Hoja4!A:C,3,0),"")</f>
        <v>Margarina</v>
      </c>
      <c r="K198" s="9">
        <f t="shared" si="7"/>
        <v>10.433333333333334</v>
      </c>
      <c r="L198" s="6">
        <f>IFERROR(VLOOKUP(A198,'[2]Consumo SEMANA ENEA'!$F:$EP,141,0),0)</f>
        <v>0</v>
      </c>
    </row>
    <row r="199" spans="1:12" x14ac:dyDescent="0.3">
      <c r="A199" s="2">
        <v>107001</v>
      </c>
      <c r="B199" s="2" t="s">
        <v>191</v>
      </c>
      <c r="C199" s="2" t="s">
        <v>1</v>
      </c>
      <c r="D199" s="2" t="s">
        <v>2</v>
      </c>
      <c r="E199" s="2">
        <v>342.88600000000002</v>
      </c>
      <c r="F199" s="5">
        <v>5603.57</v>
      </c>
      <c r="G199" s="5">
        <v>1921385.703</v>
      </c>
      <c r="H199" s="1">
        <f t="shared" ca="1" si="6"/>
        <v>46194</v>
      </c>
      <c r="I199" s="5">
        <f>IFERROR(VLOOKUP(A199,'[1]Consumo SEMANA ENEA'!$F:$EL,137,0),0)</f>
        <v>27.740083333333327</v>
      </c>
      <c r="J199" s="2" t="str">
        <f>IFERROR(VLOOKUP(A199,Hoja4!A:C,3,0),"")</f>
        <v>Fruta conserva</v>
      </c>
      <c r="K199" s="9">
        <f t="shared" si="7"/>
        <v>12.360669428414361</v>
      </c>
      <c r="L199" s="6">
        <f>IFERROR(VLOOKUP(A199,'[2]Consumo SEMANA ENEA'!$F:$EP,141,0),0)</f>
        <v>112.63999999999999</v>
      </c>
    </row>
    <row r="200" spans="1:12" x14ac:dyDescent="0.3">
      <c r="A200" s="2">
        <v>107324</v>
      </c>
      <c r="B200" s="2" t="s">
        <v>331</v>
      </c>
      <c r="C200" s="2" t="s">
        <v>1</v>
      </c>
      <c r="D200" s="2" t="s">
        <v>2</v>
      </c>
      <c r="E200" s="2">
        <v>120.4</v>
      </c>
      <c r="F200" s="5">
        <v>5177.66</v>
      </c>
      <c r="G200" s="5">
        <v>623390.26399999997</v>
      </c>
      <c r="H200" s="1">
        <f t="shared" ca="1" si="6"/>
        <v>46194</v>
      </c>
      <c r="I200" s="5">
        <f>IFERROR(VLOOKUP(A200,'[1]Consumo SEMANA ENEA'!$F:$EL,137,0),0)</f>
        <v>26.95993939393939</v>
      </c>
      <c r="J200" s="2" t="str">
        <f>IFERROR(VLOOKUP(A200,Hoja4!A:C,3,0),"")</f>
        <v>Fruta Conserva</v>
      </c>
      <c r="K200" s="9">
        <f t="shared" si="7"/>
        <v>4.465885410227072</v>
      </c>
      <c r="L200" s="6">
        <f>IFERROR(VLOOKUP(A200,'[2]Consumo SEMANA ENEA'!$F:$EP,141,0),0)</f>
        <v>195.88333333333333</v>
      </c>
    </row>
    <row r="201" spans="1:12" x14ac:dyDescent="0.3">
      <c r="A201" s="2">
        <v>405408</v>
      </c>
      <c r="B201" s="2" t="s">
        <v>192</v>
      </c>
      <c r="C201" s="2" t="s">
        <v>1</v>
      </c>
      <c r="D201" s="2" t="s">
        <v>2</v>
      </c>
      <c r="E201" s="2">
        <v>612</v>
      </c>
      <c r="F201" s="2">
        <v>116.8</v>
      </c>
      <c r="G201" s="5">
        <v>71481.600000000006</v>
      </c>
      <c r="H201" s="1">
        <f t="shared" ca="1" si="6"/>
        <v>46194</v>
      </c>
      <c r="I201" s="5">
        <f>IFERROR(VLOOKUP(A201,'[1]Consumo SEMANA ENEA'!$F:$EL,137,0),0)</f>
        <v>159.96</v>
      </c>
      <c r="J201" s="2" t="str">
        <f>IFERROR(VLOOKUP(A201,Hoja4!A:C,3,0),"")</f>
        <v>Insumo</v>
      </c>
      <c r="K201" s="9">
        <f t="shared" si="7"/>
        <v>3.8259564891222806</v>
      </c>
      <c r="L201" s="6">
        <f>IFERROR(VLOOKUP(A201,'[2]Consumo SEMANA ENEA'!$F:$EP,141,0),0)</f>
        <v>550.59259259259261</v>
      </c>
    </row>
    <row r="202" spans="1:12" x14ac:dyDescent="0.3">
      <c r="A202" s="2">
        <v>405420</v>
      </c>
      <c r="B202" s="2" t="s">
        <v>193</v>
      </c>
      <c r="C202" s="2" t="s">
        <v>1</v>
      </c>
      <c r="D202" s="2" t="s">
        <v>2</v>
      </c>
      <c r="E202" s="5">
        <v>4000</v>
      </c>
      <c r="F202" s="2">
        <v>13</v>
      </c>
      <c r="G202" s="5">
        <v>52000</v>
      </c>
      <c r="H202" s="1">
        <f t="shared" ca="1" si="6"/>
        <v>46194</v>
      </c>
      <c r="I202" s="5">
        <f>IFERROR(VLOOKUP(A202,'[1]Consumo SEMANA ENEA'!$F:$EL,137,0),0)</f>
        <v>333.33333333333331</v>
      </c>
      <c r="J202" s="2" t="str">
        <f>IFERROR(VLOOKUP(A202,Hoja4!A:C,3,0),"")</f>
        <v>Carton</v>
      </c>
      <c r="K202" s="9">
        <f t="shared" si="7"/>
        <v>12</v>
      </c>
      <c r="L202" s="6">
        <f>IFERROR(VLOOKUP(A202,'[2]Consumo SEMANA ENEA'!$F:$EP,141,0),0)</f>
        <v>0</v>
      </c>
    </row>
    <row r="203" spans="1:12" x14ac:dyDescent="0.3">
      <c r="A203" s="2">
        <v>107158</v>
      </c>
      <c r="B203" s="2" t="s">
        <v>194</v>
      </c>
      <c r="C203" s="2" t="s">
        <v>1</v>
      </c>
      <c r="D203" s="2" t="s">
        <v>2</v>
      </c>
      <c r="E203" s="2">
        <v>850</v>
      </c>
      <c r="F203" s="5">
        <v>3390.94</v>
      </c>
      <c r="G203" s="5">
        <v>2882299</v>
      </c>
      <c r="H203" s="1">
        <f t="shared" ca="1" si="6"/>
        <v>46194</v>
      </c>
      <c r="I203" s="5">
        <f>IFERROR(VLOOKUP(A203,'[1]Consumo SEMANA ENEA'!$F:$EL,137,0),0)</f>
        <v>97.633333333333326</v>
      </c>
      <c r="J203" s="2" t="str">
        <f>IFERROR(VLOOKUP(A203,Hoja4!A:C,3,0),"")</f>
        <v>Mermelada</v>
      </c>
      <c r="K203" s="9">
        <f t="shared" si="7"/>
        <v>8.7060430180949133</v>
      </c>
      <c r="L203" s="6">
        <f>IFERROR(VLOOKUP(A203,'[2]Consumo SEMANA ENEA'!$F:$EP,141,0),0)</f>
        <v>380</v>
      </c>
    </row>
    <row r="204" spans="1:12" x14ac:dyDescent="0.3">
      <c r="A204" s="2">
        <v>107112</v>
      </c>
      <c r="B204" s="2" t="s">
        <v>195</v>
      </c>
      <c r="C204" s="2" t="s">
        <v>1</v>
      </c>
      <c r="D204" s="2" t="s">
        <v>2</v>
      </c>
      <c r="E204" s="2">
        <v>915</v>
      </c>
      <c r="F204" s="5">
        <v>2711.95</v>
      </c>
      <c r="G204" s="5">
        <v>2481434.25</v>
      </c>
      <c r="H204" s="1">
        <f t="shared" ca="1" si="6"/>
        <v>46194</v>
      </c>
      <c r="I204" s="5">
        <f>IFERROR(VLOOKUP(A204,'[1]Consumo SEMANA ENEA'!$F:$EL,137,0),0)</f>
        <v>169.33333333333334</v>
      </c>
      <c r="J204" s="2" t="str">
        <f>IFERROR(VLOOKUP(A204,Hoja4!A:C,3,0),"")</f>
        <v>Insumo</v>
      </c>
      <c r="K204" s="9">
        <f t="shared" si="7"/>
        <v>5.4035433070866139</v>
      </c>
      <c r="L204" s="6">
        <f>IFERROR(VLOOKUP(A204,'[2]Consumo SEMANA ENEA'!$F:$EP,141,0),0)</f>
        <v>778.7037037037037</v>
      </c>
    </row>
    <row r="205" spans="1:12" x14ac:dyDescent="0.3">
      <c r="A205" s="2">
        <v>107211</v>
      </c>
      <c r="B205" s="2" t="s">
        <v>196</v>
      </c>
      <c r="C205" s="2" t="s">
        <v>1</v>
      </c>
      <c r="D205" s="2" t="s">
        <v>2</v>
      </c>
      <c r="E205" s="2">
        <v>145</v>
      </c>
      <c r="F205" s="5">
        <v>13006.38</v>
      </c>
      <c r="G205" s="5">
        <v>1885925.1</v>
      </c>
      <c r="H205" s="1">
        <f t="shared" ca="1" si="6"/>
        <v>46194</v>
      </c>
      <c r="I205" s="5">
        <f>IFERROR(VLOOKUP(A205,'[1]Consumo SEMANA ENEA'!$F:$EL,137,0),0)</f>
        <v>5.833333333333333</v>
      </c>
      <c r="J205" s="2" t="str">
        <f>IFERROR(VLOOKUP(A205,Hoja4!A:C,3,0),"")</f>
        <v>Insumo</v>
      </c>
      <c r="K205" s="9">
        <f t="shared" si="7"/>
        <v>24.857142857142858</v>
      </c>
      <c r="L205" s="6">
        <f>IFERROR(VLOOKUP(A205,'[2]Consumo SEMANA ENEA'!$F:$EP,141,0),0)</f>
        <v>34.935897435897431</v>
      </c>
    </row>
    <row r="206" spans="1:12" x14ac:dyDescent="0.3">
      <c r="A206" s="2">
        <v>170173</v>
      </c>
      <c r="B206" s="2" t="s">
        <v>197</v>
      </c>
      <c r="C206" s="2" t="s">
        <v>1</v>
      </c>
      <c r="D206" s="2" t="s">
        <v>2</v>
      </c>
      <c r="E206" s="2">
        <v>395</v>
      </c>
      <c r="F206" s="5">
        <v>2035.14</v>
      </c>
      <c r="G206" s="5">
        <v>803880.3</v>
      </c>
      <c r="H206" s="1">
        <f t="shared" ca="1" si="6"/>
        <v>46194</v>
      </c>
      <c r="I206" s="5">
        <f>IFERROR(VLOOKUP(A206,'[1]Consumo SEMANA ENEA'!$F:$EL,137,0),0)</f>
        <v>43.913333333333334</v>
      </c>
      <c r="J206" s="2" t="str">
        <f>IFERROR(VLOOKUP(A206,Hoja4!A:C,3,0),"")</f>
        <v>Mermelada</v>
      </c>
      <c r="K206" s="9">
        <f t="shared" si="7"/>
        <v>8.9949901320783354</v>
      </c>
      <c r="L206" s="6">
        <f>IFERROR(VLOOKUP(A206,'[2]Consumo SEMANA ENEA'!$F:$EP,141,0),0)</f>
        <v>170.07407407407408</v>
      </c>
    </row>
    <row r="207" spans="1:12" x14ac:dyDescent="0.3">
      <c r="A207" s="2">
        <v>107157</v>
      </c>
      <c r="B207" s="2" t="s">
        <v>198</v>
      </c>
      <c r="C207" s="2" t="s">
        <v>1</v>
      </c>
      <c r="D207" s="2" t="s">
        <v>2</v>
      </c>
      <c r="E207" s="5">
        <v>1750</v>
      </c>
      <c r="F207" s="5">
        <v>2098.8000000000002</v>
      </c>
      <c r="G207" s="5">
        <v>3672900</v>
      </c>
      <c r="H207" s="1">
        <f t="shared" ca="1" si="6"/>
        <v>46194</v>
      </c>
      <c r="I207" s="5">
        <f>IFERROR(VLOOKUP(A207,'[1]Consumo SEMANA ENEA'!$F:$EL,137,0),0)</f>
        <v>147.46212121212122</v>
      </c>
      <c r="J207" s="2" t="str">
        <f>IFERROR(VLOOKUP(A207,Hoja4!A:C,3,0),"")</f>
        <v>Mermelada</v>
      </c>
      <c r="K207" s="9">
        <f t="shared" si="7"/>
        <v>11.867454405342922</v>
      </c>
      <c r="L207" s="6">
        <f>IFERROR(VLOOKUP(A207,'[2]Consumo SEMANA ENEA'!$F:$EP,141,0),0)</f>
        <v>557.08333333333337</v>
      </c>
    </row>
    <row r="208" spans="1:12" x14ac:dyDescent="0.3">
      <c r="A208" s="2">
        <v>405447</v>
      </c>
      <c r="B208" s="2" t="s">
        <v>199</v>
      </c>
      <c r="C208" s="2" t="s">
        <v>1</v>
      </c>
      <c r="D208" s="2" t="s">
        <v>2</v>
      </c>
      <c r="E208" s="2">
        <v>560</v>
      </c>
      <c r="F208" s="5">
        <v>2928.13</v>
      </c>
      <c r="G208" s="5">
        <v>1639752.8</v>
      </c>
      <c r="H208" s="1">
        <f t="shared" ca="1" si="6"/>
        <v>46194</v>
      </c>
      <c r="I208" s="5">
        <f>IFERROR(VLOOKUP(A208,'[1]Consumo SEMANA ENEA'!$F:$EL,137,0),0)</f>
        <v>0</v>
      </c>
      <c r="J208" s="2" t="str">
        <f>IFERROR(VLOOKUP(A208,Hoja4!A:C,3,0),"")</f>
        <v>Mermelada</v>
      </c>
      <c r="K208" s="9">
        <f t="shared" si="7"/>
        <v>0</v>
      </c>
      <c r="L208" s="6">
        <f>IFERROR(VLOOKUP(A208,'[2]Consumo SEMANA ENEA'!$F:$EP,141,0),0)</f>
        <v>0</v>
      </c>
    </row>
    <row r="209" spans="1:12" x14ac:dyDescent="0.3">
      <c r="A209" s="2">
        <v>107172</v>
      </c>
      <c r="B209" s="2" t="s">
        <v>200</v>
      </c>
      <c r="C209" s="2" t="s">
        <v>1</v>
      </c>
      <c r="D209" s="2" t="s">
        <v>2</v>
      </c>
      <c r="E209" s="5">
        <v>1685</v>
      </c>
      <c r="F209" s="5">
        <v>2018.24</v>
      </c>
      <c r="G209" s="5">
        <v>3400734.4</v>
      </c>
      <c r="H209" s="1">
        <f t="shared" ca="1" si="6"/>
        <v>46194</v>
      </c>
      <c r="I209" s="5">
        <f>IFERROR(VLOOKUP(A209,'[1]Consumo SEMANA ENEA'!$F:$EL,137,0),0)</f>
        <v>107.32142857142857</v>
      </c>
      <c r="J209" s="2" t="str">
        <f>IFERROR(VLOOKUP(A209,Hoja4!A:C,3,0),"")</f>
        <v>Mermelada</v>
      </c>
      <c r="K209" s="9">
        <f t="shared" si="7"/>
        <v>15.700499168053245</v>
      </c>
      <c r="L209" s="6">
        <f>IFERROR(VLOOKUP(A209,'[2]Consumo SEMANA ENEA'!$F:$EP,141,0),0)</f>
        <v>433.66666666666669</v>
      </c>
    </row>
    <row r="210" spans="1:12" x14ac:dyDescent="0.3">
      <c r="A210" s="2">
        <v>107129</v>
      </c>
      <c r="B210" s="2" t="s">
        <v>201</v>
      </c>
      <c r="C210" s="2" t="s">
        <v>1</v>
      </c>
      <c r="D210" s="2" t="s">
        <v>2</v>
      </c>
      <c r="E210" s="5">
        <v>1175</v>
      </c>
      <c r="F210" s="5">
        <v>4316.32</v>
      </c>
      <c r="G210" s="5">
        <v>5071676</v>
      </c>
      <c r="H210" s="1">
        <f t="shared" ca="1" si="6"/>
        <v>46194</v>
      </c>
      <c r="I210" s="5">
        <f>IFERROR(VLOOKUP(A210,'[1]Consumo SEMANA ENEA'!$F:$EL,137,0),0)</f>
        <v>291.54666666666668</v>
      </c>
      <c r="J210" s="2" t="str">
        <f>IFERROR(VLOOKUP(A210,Hoja4!A:C,3,0),"")</f>
        <v>Mermelada</v>
      </c>
      <c r="K210" s="9">
        <f t="shared" si="7"/>
        <v>4.0302295801701273</v>
      </c>
      <c r="L210" s="6">
        <f>IFERROR(VLOOKUP(A210,'[2]Consumo SEMANA ENEA'!$F:$EP,141,0),0)</f>
        <v>1151.3703703703704</v>
      </c>
    </row>
    <row r="211" spans="1:12" x14ac:dyDescent="0.3">
      <c r="A211" s="2">
        <v>107113</v>
      </c>
      <c r="B211" s="2" t="s">
        <v>202</v>
      </c>
      <c r="C211" s="2" t="s">
        <v>1</v>
      </c>
      <c r="D211" s="2" t="s">
        <v>2</v>
      </c>
      <c r="E211" s="5">
        <v>2160</v>
      </c>
      <c r="F211" s="5">
        <v>3294.48</v>
      </c>
      <c r="G211" s="5">
        <v>7116076.7999999998</v>
      </c>
      <c r="H211" s="1">
        <f t="shared" ca="1" si="6"/>
        <v>46194</v>
      </c>
      <c r="I211" s="5">
        <f>IFERROR(VLOOKUP(A211,'[1]Consumo SEMANA ENEA'!$F:$EL,137,0),0)</f>
        <v>82.375</v>
      </c>
      <c r="J211" s="2" t="str">
        <f>IFERROR(VLOOKUP(A211,Hoja4!A:C,3,0),"")</f>
        <v>Mermelada</v>
      </c>
      <c r="K211" s="9">
        <f t="shared" si="7"/>
        <v>26.221547799696509</v>
      </c>
      <c r="L211" s="6">
        <f>IFERROR(VLOOKUP(A211,'[2]Consumo SEMANA ENEA'!$F:$EP,141,0),0)</f>
        <v>324.14814814814815</v>
      </c>
    </row>
    <row r="212" spans="1:12" x14ac:dyDescent="0.3">
      <c r="A212" s="2">
        <v>107193</v>
      </c>
      <c r="B212" s="2" t="s">
        <v>203</v>
      </c>
      <c r="C212" s="2" t="s">
        <v>1</v>
      </c>
      <c r="D212" s="2" t="s">
        <v>2</v>
      </c>
      <c r="E212" s="2">
        <v>480</v>
      </c>
      <c r="F212" s="5">
        <v>3837.2</v>
      </c>
      <c r="G212" s="5">
        <v>1841856</v>
      </c>
      <c r="H212" s="1">
        <f t="shared" ca="1" si="6"/>
        <v>46194</v>
      </c>
      <c r="I212" s="5">
        <f>IFERROR(VLOOKUP(A212,'[1]Consumo SEMANA ENEA'!$F:$EL,137,0),0)</f>
        <v>166.84</v>
      </c>
      <c r="J212" s="2" t="str">
        <f>IFERROR(VLOOKUP(A212,Hoja4!A:C,3,0),"")</f>
        <v>Mermelada</v>
      </c>
      <c r="K212" s="9">
        <f t="shared" si="7"/>
        <v>2.8770079117717575</v>
      </c>
      <c r="L212" s="6">
        <f>IFERROR(VLOOKUP(A212,'[2]Consumo SEMANA ENEA'!$F:$EP,141,0),0)</f>
        <v>648</v>
      </c>
    </row>
    <row r="213" spans="1:12" x14ac:dyDescent="0.3">
      <c r="A213" s="2">
        <v>405723</v>
      </c>
      <c r="B213" s="2" t="s">
        <v>204</v>
      </c>
      <c r="C213" s="2" t="s">
        <v>1</v>
      </c>
      <c r="D213" s="2" t="s">
        <v>2</v>
      </c>
      <c r="E213" s="2">
        <v>102</v>
      </c>
      <c r="F213" s="2">
        <v>828.9</v>
      </c>
      <c r="G213" s="5">
        <v>84547.8</v>
      </c>
      <c r="H213" s="1">
        <f t="shared" ca="1" si="6"/>
        <v>46194</v>
      </c>
      <c r="I213" s="5">
        <f>IFERROR(VLOOKUP(A213,'[1]Consumo SEMANA ENEA'!$F:$EL,137,0),0)</f>
        <v>2.5</v>
      </c>
      <c r="J213" s="2" t="str">
        <f>IFERROR(VLOOKUP(A213,Hoja4!A:C,3,0),"")</f>
        <v>Jugo</v>
      </c>
      <c r="K213" s="9">
        <f t="shared" si="7"/>
        <v>40.799999999999997</v>
      </c>
      <c r="L213" s="6">
        <f>IFERROR(VLOOKUP(A213,'[2]Consumo SEMANA ENEA'!$F:$EP,141,0),0)</f>
        <v>6.25</v>
      </c>
    </row>
    <row r="214" spans="1:12" x14ac:dyDescent="0.3">
      <c r="A214" s="2">
        <v>107280</v>
      </c>
      <c r="B214" s="2" t="s">
        <v>205</v>
      </c>
      <c r="C214" s="2" t="s">
        <v>1</v>
      </c>
      <c r="D214" s="2" t="s">
        <v>2</v>
      </c>
      <c r="E214" s="5">
        <v>1066.5</v>
      </c>
      <c r="F214" s="5">
        <v>2750</v>
      </c>
      <c r="G214" s="5">
        <v>2932875</v>
      </c>
      <c r="H214" s="1">
        <f t="shared" ca="1" si="6"/>
        <v>46194</v>
      </c>
      <c r="I214" s="5">
        <f>IFERROR(VLOOKUP(A214,'[1]Consumo SEMANA ENEA'!$F:$EL,137,0),0)</f>
        <v>98.04913333333333</v>
      </c>
      <c r="J214" s="2" t="str">
        <f>IFERROR(VLOOKUP(A214,Hoja4!A:C,3,0),"")</f>
        <v>Mermelada</v>
      </c>
      <c r="K214" s="9">
        <f t="shared" si="7"/>
        <v>10.877199662482143</v>
      </c>
      <c r="L214" s="6">
        <f>IFERROR(VLOOKUP(A214,'[2]Consumo SEMANA ENEA'!$F:$EP,141,0),0)</f>
        <v>479.85509259259254</v>
      </c>
    </row>
    <row r="215" spans="1:12" x14ac:dyDescent="0.3">
      <c r="A215" s="2">
        <v>405650</v>
      </c>
      <c r="B215" s="2" t="s">
        <v>206</v>
      </c>
      <c r="C215" s="2" t="s">
        <v>1</v>
      </c>
      <c r="D215" s="2" t="s">
        <v>2</v>
      </c>
      <c r="E215" s="2">
        <v>10</v>
      </c>
      <c r="F215" s="5">
        <v>7990</v>
      </c>
      <c r="G215" s="5">
        <v>79900</v>
      </c>
      <c r="H215" s="1">
        <f t="shared" ca="1" si="6"/>
        <v>46194</v>
      </c>
      <c r="I215" s="5">
        <f>IFERROR(VLOOKUP(A215,'[1]Consumo SEMANA ENEA'!$F:$EL,137,0),0)</f>
        <v>1.0606060606060606</v>
      </c>
      <c r="J215" s="2" t="str">
        <f>IFERROR(VLOOKUP(A215,Hoja4!A:C,3,0),"")</f>
        <v>Esencia</v>
      </c>
      <c r="K215" s="9">
        <f t="shared" si="7"/>
        <v>9.4285714285714288</v>
      </c>
      <c r="L215" s="6">
        <f>IFERROR(VLOOKUP(A215,'[2]Consumo SEMANA ENEA'!$F:$EP,141,0),0)</f>
        <v>4.4444444444444446</v>
      </c>
    </row>
    <row r="216" spans="1:12" x14ac:dyDescent="0.3">
      <c r="A216" s="2">
        <v>402130</v>
      </c>
      <c r="B216" s="2" t="s">
        <v>208</v>
      </c>
      <c r="C216" s="2" t="s">
        <v>1</v>
      </c>
      <c r="D216" s="2" t="s">
        <v>2</v>
      </c>
      <c r="E216" s="2">
        <v>75</v>
      </c>
      <c r="F216" s="5">
        <v>5000</v>
      </c>
      <c r="G216" s="5">
        <v>375000</v>
      </c>
      <c r="H216" s="1">
        <f t="shared" ca="1" si="6"/>
        <v>46194</v>
      </c>
      <c r="I216" s="5">
        <f>IFERROR(VLOOKUP(A216,'[1]Consumo SEMANA ENEA'!$F:$EL,137,0),0)</f>
        <v>2.9761904761904763</v>
      </c>
      <c r="J216" s="2" t="str">
        <f>IFERROR(VLOOKUP(A216,Hoja4!A:C,3,0),"")</f>
        <v>Esencia</v>
      </c>
      <c r="K216" s="9">
        <f t="shared" si="7"/>
        <v>25.2</v>
      </c>
      <c r="L216" s="6">
        <f>IFERROR(VLOOKUP(A216,'[2]Consumo SEMANA ENEA'!$F:$EP,141,0),0)</f>
        <v>8.8888888888888893</v>
      </c>
    </row>
    <row r="217" spans="1:12" x14ac:dyDescent="0.3">
      <c r="A217" s="2">
        <v>405507</v>
      </c>
      <c r="B217" s="2" t="s">
        <v>209</v>
      </c>
      <c r="C217" s="2" t="s">
        <v>1</v>
      </c>
      <c r="D217" s="2" t="s">
        <v>2</v>
      </c>
      <c r="E217" s="2">
        <v>180</v>
      </c>
      <c r="F217" s="5">
        <v>5312.5</v>
      </c>
      <c r="G217" s="5">
        <v>956250</v>
      </c>
      <c r="H217" s="1">
        <f t="shared" ca="1" si="6"/>
        <v>46194</v>
      </c>
      <c r="I217" s="5">
        <f>IFERROR(VLOOKUP(A217,'[1]Consumo SEMANA ENEA'!$F:$EL,137,0),0)</f>
        <v>26.936507936507937</v>
      </c>
      <c r="J217" s="2" t="str">
        <f>IFERROR(VLOOKUP(A217,Hoja4!A:C,3,0),"")</f>
        <v>Galleta</v>
      </c>
      <c r="K217" s="9">
        <f t="shared" si="7"/>
        <v>6.6823806717737186</v>
      </c>
      <c r="L217" s="6">
        <f>IFERROR(VLOOKUP(A217,'[2]Consumo SEMANA ENEA'!$F:$EP,141,0),0)</f>
        <v>128.77777777777777</v>
      </c>
    </row>
    <row r="218" spans="1:12" x14ac:dyDescent="0.3">
      <c r="A218" s="2">
        <v>393399</v>
      </c>
      <c r="B218" s="2" t="s">
        <v>210</v>
      </c>
      <c r="C218" s="2" t="s">
        <v>1</v>
      </c>
      <c r="D218" s="2" t="s">
        <v>2</v>
      </c>
      <c r="E218" s="2">
        <v>74.16</v>
      </c>
      <c r="F218" s="5">
        <v>57964.58</v>
      </c>
      <c r="G218" s="5">
        <v>4298653.2527999999</v>
      </c>
      <c r="H218" s="1">
        <f t="shared" ca="1" si="6"/>
        <v>46194</v>
      </c>
      <c r="I218" s="5">
        <f>IFERROR(VLOOKUP(A218,'[1]Consumo SEMANA ENEA'!$F:$EL,137,0),0)</f>
        <v>0.63933333333333331</v>
      </c>
      <c r="J218" s="2" t="str">
        <f>IFERROR(VLOOKUP(A218,Hoja4!A:C,3,0),"")</f>
        <v>Chocolate</v>
      </c>
      <c r="K218" s="9">
        <f t="shared" si="7"/>
        <v>115.99582898852972</v>
      </c>
      <c r="L218" s="6">
        <f>IFERROR(VLOOKUP(A218,'[2]Consumo SEMANA ENEA'!$F:$EP,141,0),0)</f>
        <v>2.907692307692308</v>
      </c>
    </row>
    <row r="219" spans="1:12" x14ac:dyDescent="0.3">
      <c r="A219" s="2">
        <v>107346</v>
      </c>
      <c r="B219" s="2" t="s">
        <v>211</v>
      </c>
      <c r="C219" s="2" t="s">
        <v>1</v>
      </c>
      <c r="D219" s="2" t="s">
        <v>2</v>
      </c>
      <c r="E219" s="5">
        <v>3221.84</v>
      </c>
      <c r="F219" s="5">
        <v>3045.24</v>
      </c>
      <c r="G219" s="5">
        <v>9811276.0416000001</v>
      </c>
      <c r="H219" s="1">
        <f t="shared" ca="1" si="6"/>
        <v>46194</v>
      </c>
      <c r="I219" s="5">
        <f>IFERROR(VLOOKUP(A219,'[1]Consumo SEMANA ENEA'!$F:$EL,137,0),0)</f>
        <v>226.06786666666667</v>
      </c>
      <c r="J219" s="2" t="str">
        <f>IFERROR(VLOOKUP(A219,Hoja4!A:C,3,0),"")</f>
        <v>Fruta conserva</v>
      </c>
      <c r="K219" s="9">
        <f t="shared" si="7"/>
        <v>14.251649504662023</v>
      </c>
      <c r="L219" s="6">
        <f>IFERROR(VLOOKUP(A219,'[2]Consumo SEMANA ENEA'!$F:$EP,141,0),0)</f>
        <v>885.75111111111107</v>
      </c>
    </row>
    <row r="220" spans="1:12" x14ac:dyDescent="0.3">
      <c r="A220" s="2">
        <v>107117</v>
      </c>
      <c r="B220" s="2" t="s">
        <v>446</v>
      </c>
      <c r="C220" s="2" t="s">
        <v>1</v>
      </c>
      <c r="D220" s="2" t="s">
        <v>2</v>
      </c>
      <c r="E220" s="2">
        <v>238.07</v>
      </c>
      <c r="F220" s="5">
        <v>2569.8200000000002</v>
      </c>
      <c r="G220" s="5">
        <v>611797.04740000004</v>
      </c>
      <c r="H220" s="1">
        <f t="shared" ca="1" si="6"/>
        <v>46194</v>
      </c>
      <c r="I220" s="5">
        <f>IFERROR(VLOOKUP(A220,'[1]Consumo SEMANA ENEA'!$F:$EL,137,0),0)</f>
        <v>57.371166666666674</v>
      </c>
      <c r="J220" s="2" t="str">
        <f>IFERROR(VLOOKUP(A220,Hoja4!A:C,3,0),"")</f>
        <v>Fruta Conserva</v>
      </c>
      <c r="K220" s="9">
        <f t="shared" si="7"/>
        <v>4.1496454374584211</v>
      </c>
      <c r="L220" s="6">
        <f>IFERROR(VLOOKUP(A220,'[2]Consumo SEMANA ENEA'!$F:$EP,141,0),0)</f>
        <v>246.35000000000002</v>
      </c>
    </row>
    <row r="221" spans="1:12" x14ac:dyDescent="0.3">
      <c r="A221" s="2">
        <v>405607</v>
      </c>
      <c r="B221" s="2" t="s">
        <v>213</v>
      </c>
      <c r="C221" s="2" t="s">
        <v>1</v>
      </c>
      <c r="D221" s="2" t="s">
        <v>2</v>
      </c>
      <c r="E221" s="2">
        <v>8</v>
      </c>
      <c r="F221" s="5">
        <v>34000</v>
      </c>
      <c r="G221" s="5">
        <v>272000</v>
      </c>
      <c r="H221" s="1">
        <f t="shared" ca="1" si="6"/>
        <v>46194</v>
      </c>
      <c r="I221" s="5">
        <f>IFERROR(VLOOKUP(A221,'[1]Consumo SEMANA ENEA'!$F:$EL,137,0),0)</f>
        <v>0.55555555555555558</v>
      </c>
      <c r="J221" s="2" t="str">
        <f>IFERROR(VLOOKUP(A221,Hoja4!A:C,3,0),"")</f>
        <v>Mermelada</v>
      </c>
      <c r="K221" s="9">
        <f t="shared" si="7"/>
        <v>14.399999999999999</v>
      </c>
      <c r="L221" s="6">
        <f>IFERROR(VLOOKUP(A221,'[2]Consumo SEMANA ENEA'!$F:$EP,141,0),0)</f>
        <v>2.1666666666666665</v>
      </c>
    </row>
    <row r="222" spans="1:12" x14ac:dyDescent="0.3">
      <c r="A222" s="2">
        <v>107316</v>
      </c>
      <c r="B222" s="2" t="s">
        <v>214</v>
      </c>
      <c r="C222" s="2" t="s">
        <v>1</v>
      </c>
      <c r="D222" s="2" t="s">
        <v>2</v>
      </c>
      <c r="E222" s="2">
        <v>120</v>
      </c>
      <c r="F222" s="2">
        <v>611</v>
      </c>
      <c r="G222" s="5">
        <v>73320</v>
      </c>
      <c r="H222" s="1">
        <f t="shared" ca="1" si="6"/>
        <v>46194</v>
      </c>
      <c r="I222" s="5">
        <f>IFERROR(VLOOKUP(A222,'[1]Consumo SEMANA ENEA'!$F:$EL,137,0),0)</f>
        <v>141.48782539999999</v>
      </c>
      <c r="J222" s="2" t="str">
        <f>IFERROR(VLOOKUP(A222,Hoja4!A:C,3,0),"")</f>
        <v>Carton</v>
      </c>
      <c r="K222" s="9">
        <f t="shared" si="7"/>
        <v>0.84812950980586632</v>
      </c>
      <c r="L222" s="6">
        <f>IFERROR(VLOOKUP(A222,'[2]Consumo SEMANA ENEA'!$F:$EP,141,0),0)</f>
        <v>2531.1111111111113</v>
      </c>
    </row>
    <row r="223" spans="1:12" x14ac:dyDescent="0.3">
      <c r="A223" s="2">
        <v>405793</v>
      </c>
      <c r="B223" s="2" t="s">
        <v>818</v>
      </c>
      <c r="C223" s="2" t="s">
        <v>1</v>
      </c>
      <c r="D223" s="2" t="s">
        <v>2</v>
      </c>
      <c r="E223" s="5">
        <v>2400</v>
      </c>
      <c r="F223" s="2">
        <v>617.33000000000004</v>
      </c>
      <c r="G223" s="5">
        <v>1481592</v>
      </c>
      <c r="H223" s="1">
        <f t="shared" ca="1" si="6"/>
        <v>46194</v>
      </c>
      <c r="I223" s="5">
        <f>IFERROR(VLOOKUP(A223,'[1]Consumo SEMANA ENEA'!$F:$EL,137,0),0)</f>
        <v>200</v>
      </c>
      <c r="J223" s="2" t="str">
        <f>IFERROR(VLOOKUP(A223,Hoja4!A:C,3,0),"")</f>
        <v>Carton</v>
      </c>
      <c r="K223" s="9">
        <f t="shared" si="7"/>
        <v>12</v>
      </c>
      <c r="L223" s="6">
        <f>IFERROR(VLOOKUP(A223,'[2]Consumo SEMANA ENEA'!$F:$EP,141,0),0)</f>
        <v>0</v>
      </c>
    </row>
    <row r="224" spans="1:12" x14ac:dyDescent="0.3">
      <c r="A224" s="2">
        <v>405570</v>
      </c>
      <c r="B224" s="2" t="s">
        <v>215</v>
      </c>
      <c r="C224" s="2" t="s">
        <v>1</v>
      </c>
      <c r="D224" s="2" t="s">
        <v>2</v>
      </c>
      <c r="E224" s="5">
        <v>4100</v>
      </c>
      <c r="F224" s="5">
        <v>1500</v>
      </c>
      <c r="G224" s="5">
        <v>6150000</v>
      </c>
      <c r="H224" s="1">
        <f t="shared" ca="1" si="6"/>
        <v>46194</v>
      </c>
      <c r="I224" s="5">
        <f>IFERROR(VLOOKUP(A224,'[1]Consumo SEMANA ENEA'!$F:$EL,137,0),0)</f>
        <v>184.10256410256409</v>
      </c>
      <c r="J224" s="2" t="str">
        <f>IFERROR(VLOOKUP(A224,Hoja4!A:C,3,0),"")</f>
        <v>mix</v>
      </c>
      <c r="K224" s="9">
        <f t="shared" si="7"/>
        <v>22.270194986072426</v>
      </c>
      <c r="L224" s="6">
        <f>IFERROR(VLOOKUP(A224,'[2]Consumo SEMANA ENEA'!$F:$EP,141,0),0)</f>
        <v>1054.1666666666667</v>
      </c>
    </row>
    <row r="225" spans="1:12" x14ac:dyDescent="0.3">
      <c r="A225" s="2">
        <v>353003</v>
      </c>
      <c r="B225" s="2" t="s">
        <v>216</v>
      </c>
      <c r="C225" s="2" t="s">
        <v>1</v>
      </c>
      <c r="D225" s="2" t="s">
        <v>2</v>
      </c>
      <c r="E225" s="2">
        <v>16</v>
      </c>
      <c r="F225" s="5">
        <v>6198.69</v>
      </c>
      <c r="G225" s="5">
        <v>99179.04</v>
      </c>
      <c r="H225" s="1">
        <f t="shared" ca="1" si="6"/>
        <v>46194</v>
      </c>
      <c r="I225" s="5">
        <f>IFERROR(VLOOKUP(A225,'[1]Consumo SEMANA ENEA'!$F:$EL,137,0),0)</f>
        <v>4.2133333333333338</v>
      </c>
      <c r="J225" s="2" t="str">
        <f>IFERROR(VLOOKUP(A225,Hoja4!A:C,3,0),"")</f>
        <v>Insumo</v>
      </c>
      <c r="K225" s="9">
        <f t="shared" si="7"/>
        <v>3.7974683544303791</v>
      </c>
      <c r="L225" s="6">
        <f>IFERROR(VLOOKUP(A225,'[2]Consumo SEMANA ENEA'!$F:$EP,141,0),0)</f>
        <v>15.25925925925926</v>
      </c>
    </row>
    <row r="226" spans="1:12" x14ac:dyDescent="0.3">
      <c r="A226" s="2">
        <v>102103</v>
      </c>
      <c r="B226" s="2" t="s">
        <v>439</v>
      </c>
      <c r="C226" s="2" t="s">
        <v>1</v>
      </c>
      <c r="D226" s="2" t="s">
        <v>2</v>
      </c>
      <c r="E226" s="2">
        <v>70</v>
      </c>
      <c r="F226" s="5">
        <v>3690</v>
      </c>
      <c r="G226" s="5">
        <v>258300</v>
      </c>
      <c r="H226" s="1">
        <f t="shared" ca="1" si="6"/>
        <v>46194</v>
      </c>
      <c r="I226" s="5">
        <f>IFERROR(VLOOKUP(A226,'[1]Consumo SEMANA ENEA'!$F:$EL,137,0),0)</f>
        <v>7</v>
      </c>
      <c r="J226" s="2" t="str">
        <f>IFERROR(VLOOKUP(A226,Hoja4!A:C,3,0),"")</f>
        <v>Propionato</v>
      </c>
      <c r="K226" s="9">
        <f t="shared" si="7"/>
        <v>10</v>
      </c>
      <c r="L226" s="6">
        <f>IFERROR(VLOOKUP(A226,'[2]Consumo SEMANA ENEA'!$F:$EP,141,0),0)</f>
        <v>35</v>
      </c>
    </row>
    <row r="227" spans="1:12" x14ac:dyDescent="0.3">
      <c r="A227" s="2">
        <v>107095</v>
      </c>
      <c r="B227" s="2" t="s">
        <v>217</v>
      </c>
      <c r="C227" s="2" t="s">
        <v>1</v>
      </c>
      <c r="D227" s="2" t="s">
        <v>2</v>
      </c>
      <c r="E227" s="5">
        <v>2317.5</v>
      </c>
      <c r="F227" s="5">
        <v>4446.7</v>
      </c>
      <c r="G227" s="5">
        <v>10305227.25</v>
      </c>
      <c r="H227" s="1">
        <f t="shared" ca="1" si="6"/>
        <v>46194</v>
      </c>
      <c r="I227" s="5">
        <f>IFERROR(VLOOKUP(A227,'[1]Consumo SEMANA ENEA'!$F:$EL,137,0),0)</f>
        <v>302.85013333333336</v>
      </c>
      <c r="J227" s="2" t="str">
        <f>IFERROR(VLOOKUP(A227,Hoja4!A:C,3,0),"")</f>
        <v>Mermelada</v>
      </c>
      <c r="K227" s="9">
        <f t="shared" si="7"/>
        <v>7.6522997513401565</v>
      </c>
      <c r="L227" s="6">
        <f>IFERROR(VLOOKUP(A227,'[2]Consumo SEMANA ENEA'!$F:$EP,141,0),0)</f>
        <v>1206.0007407407409</v>
      </c>
    </row>
    <row r="228" spans="1:12" x14ac:dyDescent="0.3">
      <c r="A228" s="2">
        <v>405436</v>
      </c>
      <c r="B228" s="2" t="s">
        <v>218</v>
      </c>
      <c r="C228" s="2" t="s">
        <v>1</v>
      </c>
      <c r="D228" s="2" t="s">
        <v>2</v>
      </c>
      <c r="E228" s="2">
        <v>271</v>
      </c>
      <c r="F228" s="5">
        <v>2428.58</v>
      </c>
      <c r="G228" s="5">
        <v>658145.18000000005</v>
      </c>
      <c r="H228" s="1">
        <f t="shared" ca="1" si="6"/>
        <v>46194</v>
      </c>
      <c r="I228" s="5">
        <f>IFERROR(VLOOKUP(A228,'[1]Consumo SEMANA ENEA'!$F:$EL,137,0),0)</f>
        <v>31.945454545454549</v>
      </c>
      <c r="J228" s="2" t="str">
        <f>IFERROR(VLOOKUP(A228,Hoja4!A:C,3,0),"")</f>
        <v>Mermelada</v>
      </c>
      <c r="K228" s="9">
        <f t="shared" si="7"/>
        <v>8.4832100170745584</v>
      </c>
      <c r="L228" s="6">
        <f>IFERROR(VLOOKUP(A228,'[2]Consumo SEMANA ENEA'!$F:$EP,141,0),0)</f>
        <v>130.16</v>
      </c>
    </row>
    <row r="229" spans="1:12" x14ac:dyDescent="0.3">
      <c r="A229" s="2">
        <v>405133</v>
      </c>
      <c r="B229" s="2" t="s">
        <v>219</v>
      </c>
      <c r="C229" s="2" t="s">
        <v>1</v>
      </c>
      <c r="D229" s="2" t="s">
        <v>2</v>
      </c>
      <c r="E229" s="2">
        <v>420</v>
      </c>
      <c r="F229" s="5">
        <v>5887</v>
      </c>
      <c r="G229" s="5">
        <v>2472540</v>
      </c>
      <c r="H229" s="1">
        <f t="shared" ca="1" si="6"/>
        <v>46194</v>
      </c>
      <c r="I229" s="5">
        <f>IFERROR(VLOOKUP(A229,'[1]Consumo SEMANA ENEA'!$F:$EL,137,0),0)</f>
        <v>28.9375</v>
      </c>
      <c r="J229" s="2" t="str">
        <f>IFERROR(VLOOKUP(A229,Hoja4!A:C,3,0),"")</f>
        <v>Chocolate</v>
      </c>
      <c r="K229" s="9">
        <f t="shared" si="7"/>
        <v>14.514038876889849</v>
      </c>
      <c r="L229" s="6">
        <f>IFERROR(VLOOKUP(A229,'[2]Consumo SEMANA ENEA'!$F:$EP,141,0),0)</f>
        <v>177.05555555555554</v>
      </c>
    </row>
    <row r="230" spans="1:12" x14ac:dyDescent="0.3">
      <c r="A230" s="2">
        <v>405556</v>
      </c>
      <c r="B230" s="2" t="s">
        <v>220</v>
      </c>
      <c r="C230" s="2" t="s">
        <v>1</v>
      </c>
      <c r="D230" s="2" t="s">
        <v>2</v>
      </c>
      <c r="E230" s="2">
        <v>544.5</v>
      </c>
      <c r="F230" s="5">
        <v>3299.99</v>
      </c>
      <c r="G230" s="5">
        <v>1796844.5549999999</v>
      </c>
      <c r="H230" s="1">
        <f t="shared" ca="1" si="6"/>
        <v>46194</v>
      </c>
      <c r="I230" s="5">
        <f>IFERROR(VLOOKUP(A230,'[1]Consumo SEMANA ENEA'!$F:$EL,137,0),0)</f>
        <v>55.916666666666664</v>
      </c>
      <c r="J230" s="2" t="str">
        <f>IFERROR(VLOOKUP(A230,Hoja4!A:C,3,0),"")</f>
        <v>Mermelada</v>
      </c>
      <c r="K230" s="9">
        <f t="shared" si="7"/>
        <v>9.7377049180327866</v>
      </c>
      <c r="L230" s="6">
        <f>IFERROR(VLOOKUP(A230,'[2]Consumo SEMANA ENEA'!$F:$EP,141,0),0)</f>
        <v>191.4</v>
      </c>
    </row>
    <row r="231" spans="1:12" x14ac:dyDescent="0.3">
      <c r="A231" s="2">
        <v>107360</v>
      </c>
      <c r="B231" s="2" t="s">
        <v>221</v>
      </c>
      <c r="C231" s="2" t="s">
        <v>1</v>
      </c>
      <c r="D231" s="2" t="s">
        <v>2</v>
      </c>
      <c r="E231" s="2">
        <v>27</v>
      </c>
      <c r="F231" s="5">
        <v>2957.74</v>
      </c>
      <c r="G231" s="5">
        <v>79858.98</v>
      </c>
      <c r="H231" s="1">
        <f t="shared" ca="1" si="6"/>
        <v>46194</v>
      </c>
      <c r="I231" s="5">
        <f>IFERROR(VLOOKUP(A231,'[1]Consumo SEMANA ENEA'!$F:$EL,137,0),0)</f>
        <v>0</v>
      </c>
      <c r="J231" s="2" t="str">
        <f>IFERROR(VLOOKUP(A231,Hoja4!A:C,3,0),"")</f>
        <v>Mermelada</v>
      </c>
      <c r="K231" s="9">
        <f t="shared" si="7"/>
        <v>0</v>
      </c>
      <c r="L231" s="6">
        <f>IFERROR(VLOOKUP(A231,'[2]Consumo SEMANA ENEA'!$F:$EP,141,0),0)</f>
        <v>0</v>
      </c>
    </row>
    <row r="232" spans="1:12" x14ac:dyDescent="0.3">
      <c r="A232" s="2">
        <v>107204</v>
      </c>
      <c r="B232" s="2" t="s">
        <v>222</v>
      </c>
      <c r="C232" s="2" t="s">
        <v>1</v>
      </c>
      <c r="D232" s="2" t="s">
        <v>2</v>
      </c>
      <c r="E232" s="2">
        <v>454.5</v>
      </c>
      <c r="F232" s="5">
        <v>3304.6</v>
      </c>
      <c r="G232" s="5">
        <v>1501940.7</v>
      </c>
      <c r="H232" s="1">
        <f t="shared" ca="1" si="6"/>
        <v>46194</v>
      </c>
      <c r="I232" s="5">
        <f>IFERROR(VLOOKUP(A232,'[1]Consumo SEMANA ENEA'!$F:$EL,137,0),0)</f>
        <v>20.099999999999998</v>
      </c>
      <c r="J232" s="2" t="str">
        <f>IFERROR(VLOOKUP(A232,Hoja4!A:C,3,0),"")</f>
        <v>Mermelada</v>
      </c>
      <c r="K232" s="9">
        <f t="shared" si="7"/>
        <v>22.611940298507466</v>
      </c>
      <c r="L232" s="6">
        <f>IFERROR(VLOOKUP(A232,'[2]Consumo SEMANA ENEA'!$F:$EP,141,0),0)</f>
        <v>83</v>
      </c>
    </row>
    <row r="233" spans="1:12" x14ac:dyDescent="0.3">
      <c r="A233" s="2">
        <v>405537</v>
      </c>
      <c r="B233" s="2" t="s">
        <v>714</v>
      </c>
      <c r="C233" s="2" t="s">
        <v>1</v>
      </c>
      <c r="D233" s="2" t="s">
        <v>2</v>
      </c>
      <c r="E233" s="2">
        <v>60</v>
      </c>
      <c r="F233" s="5">
        <v>9990</v>
      </c>
      <c r="G233" s="5">
        <v>599400</v>
      </c>
      <c r="H233" s="1">
        <f t="shared" ca="1" si="6"/>
        <v>46194</v>
      </c>
      <c r="I233" s="5">
        <f>IFERROR(VLOOKUP(A233,'[1]Consumo SEMANA ENEA'!$F:$EL,137,0),0)</f>
        <v>0</v>
      </c>
      <c r="J233" s="2" t="str">
        <f>IFERROR(VLOOKUP(A233,Hoja4!A:C,3,0),"")</f>
        <v>Mermelada</v>
      </c>
      <c r="K233" s="9">
        <f t="shared" si="7"/>
        <v>0</v>
      </c>
      <c r="L233" s="6">
        <f>IFERROR(VLOOKUP(A233,'[2]Consumo SEMANA ENEA'!$F:$EP,141,0),0)</f>
        <v>0</v>
      </c>
    </row>
    <row r="234" spans="1:12" x14ac:dyDescent="0.3">
      <c r="A234" s="2">
        <v>107262</v>
      </c>
      <c r="B234" s="2" t="s">
        <v>223</v>
      </c>
      <c r="C234" s="2" t="s">
        <v>1</v>
      </c>
      <c r="D234" s="2" t="s">
        <v>2</v>
      </c>
      <c r="E234" s="2">
        <v>676.23199999999997</v>
      </c>
      <c r="F234" s="5">
        <v>1987.9</v>
      </c>
      <c r="G234" s="5">
        <v>1344281.5928</v>
      </c>
      <c r="H234" s="1">
        <f t="shared" ca="1" si="6"/>
        <v>46194</v>
      </c>
      <c r="I234" s="5">
        <f>IFERROR(VLOOKUP(A234,'[1]Consumo SEMANA ENEA'!$F:$EL,137,0),0)</f>
        <v>97.208463768115948</v>
      </c>
      <c r="J234" s="2" t="str">
        <f>IFERROR(VLOOKUP(A234,Hoja4!A:C,3,0),"")</f>
        <v>Remojo</v>
      </c>
      <c r="K234" s="9">
        <f t="shared" si="7"/>
        <v>6.9565135975515933</v>
      </c>
      <c r="L234" s="6">
        <f>IFERROR(VLOOKUP(A234,'[2]Consumo SEMANA ENEA'!$F:$EP,141,0),0)</f>
        <v>405.96078431372553</v>
      </c>
    </row>
    <row r="235" spans="1:12" x14ac:dyDescent="0.3">
      <c r="A235" s="2">
        <v>170180</v>
      </c>
      <c r="B235" s="2" t="s">
        <v>224</v>
      </c>
      <c r="C235" s="2" t="s">
        <v>1</v>
      </c>
      <c r="D235" s="2" t="s">
        <v>2</v>
      </c>
      <c r="E235" s="5">
        <v>2045</v>
      </c>
      <c r="F235" s="5">
        <v>1930</v>
      </c>
      <c r="G235" s="5">
        <v>3946850</v>
      </c>
      <c r="H235" s="1">
        <f t="shared" ca="1" si="6"/>
        <v>46194</v>
      </c>
      <c r="I235" s="5">
        <f>IFERROR(VLOOKUP(A235,'[1]Consumo SEMANA ENEA'!$F:$EL,137,0),0)</f>
        <v>222.03093333333334</v>
      </c>
      <c r="J235" s="2" t="str">
        <f>IFERROR(VLOOKUP(A235,Hoja4!A:C,3,0),"")</f>
        <v>Mermelada</v>
      </c>
      <c r="K235" s="9">
        <f t="shared" si="7"/>
        <v>9.2104283367122424</v>
      </c>
      <c r="L235" s="6">
        <f>IFERROR(VLOOKUP(A235,'[2]Consumo SEMANA ENEA'!$F:$EP,141,0),0)</f>
        <v>960.40000000000009</v>
      </c>
    </row>
    <row r="236" spans="1:12" x14ac:dyDescent="0.3">
      <c r="A236" s="2">
        <v>107148</v>
      </c>
      <c r="B236" s="2" t="s">
        <v>225</v>
      </c>
      <c r="C236" s="2" t="s">
        <v>1</v>
      </c>
      <c r="D236" s="2" t="s">
        <v>2</v>
      </c>
      <c r="E236" s="2">
        <v>20</v>
      </c>
      <c r="F236" s="5">
        <v>20900</v>
      </c>
      <c r="G236" s="5">
        <v>418000</v>
      </c>
      <c r="H236" s="1">
        <f t="shared" ca="1" si="6"/>
        <v>46194</v>
      </c>
      <c r="I236" s="5">
        <f>IFERROR(VLOOKUP(A236,'[1]Consumo SEMANA ENEA'!$F:$EL,137,0),0)</f>
        <v>3.5416666666666665</v>
      </c>
      <c r="J236" s="2" t="str">
        <f>IFERROR(VLOOKUP(A236,Hoja4!A:C,3,0),"")</f>
        <v>Esencia</v>
      </c>
      <c r="K236" s="9">
        <f t="shared" si="7"/>
        <v>5.6470588235294121</v>
      </c>
      <c r="L236" s="6">
        <f>IFERROR(VLOOKUP(A236,'[2]Consumo SEMANA ENEA'!$F:$EP,141,0),0)</f>
        <v>22.5</v>
      </c>
    </row>
    <row r="237" spans="1:12" x14ac:dyDescent="0.3">
      <c r="A237" s="2">
        <v>107246</v>
      </c>
      <c r="B237" s="2" t="s">
        <v>226</v>
      </c>
      <c r="C237" s="2" t="s">
        <v>1</v>
      </c>
      <c r="D237" s="2" t="s">
        <v>2</v>
      </c>
      <c r="E237" s="2">
        <v>275</v>
      </c>
      <c r="F237" s="5">
        <v>4334</v>
      </c>
      <c r="G237" s="5">
        <v>1191850</v>
      </c>
      <c r="H237" s="1">
        <f t="shared" ca="1" si="6"/>
        <v>46194</v>
      </c>
      <c r="I237" s="5">
        <f>IFERROR(VLOOKUP(A237,'[1]Consumo SEMANA ENEA'!$F:$EL,137,0),0)</f>
        <v>8.9583333333333339</v>
      </c>
      <c r="J237" s="2" t="str">
        <f>IFERROR(VLOOKUP(A237,Hoja4!A:C,3,0),"")</f>
        <v>Mermelada</v>
      </c>
      <c r="K237" s="9">
        <f t="shared" si="7"/>
        <v>30.697674418604649</v>
      </c>
      <c r="L237" s="6">
        <f>IFERROR(VLOOKUP(A237,'[2]Consumo SEMANA ENEA'!$F:$EP,141,0),0)</f>
        <v>33.333333333333336</v>
      </c>
    </row>
    <row r="238" spans="1:12" x14ac:dyDescent="0.3">
      <c r="A238" s="2">
        <v>107275</v>
      </c>
      <c r="B238" s="2" t="s">
        <v>227</v>
      </c>
      <c r="C238" s="2" t="s">
        <v>1</v>
      </c>
      <c r="D238" s="2" t="s">
        <v>2</v>
      </c>
      <c r="E238" s="2">
        <v>620</v>
      </c>
      <c r="F238" s="5">
        <v>5524.72</v>
      </c>
      <c r="G238" s="5">
        <v>3425326.4</v>
      </c>
      <c r="H238" s="1">
        <f t="shared" ca="1" si="6"/>
        <v>46194</v>
      </c>
      <c r="I238" s="5">
        <f>IFERROR(VLOOKUP(A238,'[1]Consumo SEMANA ENEA'!$F:$EL,137,0),0)</f>
        <v>111.43333333333334</v>
      </c>
      <c r="J238" s="2" t="str">
        <f>IFERROR(VLOOKUP(A238,Hoja4!A:C,3,0),"")</f>
        <v>Mermelada</v>
      </c>
      <c r="K238" s="9">
        <f t="shared" si="7"/>
        <v>5.5638647921029012</v>
      </c>
      <c r="L238" s="6">
        <f>IFERROR(VLOOKUP(A238,'[2]Consumo SEMANA ENEA'!$F:$EP,141,0),0)</f>
        <v>420.92592592592592</v>
      </c>
    </row>
    <row r="239" spans="1:12" x14ac:dyDescent="0.3">
      <c r="A239" s="2">
        <v>405651</v>
      </c>
      <c r="B239" s="2" t="s">
        <v>228</v>
      </c>
      <c r="C239" s="2" t="s">
        <v>1</v>
      </c>
      <c r="D239" s="2" t="s">
        <v>2</v>
      </c>
      <c r="E239" s="2">
        <v>45</v>
      </c>
      <c r="F239" s="5">
        <v>6990.02</v>
      </c>
      <c r="G239" s="5">
        <v>314550.90000000002</v>
      </c>
      <c r="H239" s="1">
        <f t="shared" ca="1" si="6"/>
        <v>46194</v>
      </c>
      <c r="I239" s="5">
        <f>IFERROR(VLOOKUP(A239,'[1]Consumo SEMANA ENEA'!$F:$EL,137,0),0)</f>
        <v>2.5925925925925926</v>
      </c>
      <c r="J239" s="2" t="str">
        <f>IFERROR(VLOOKUP(A239,Hoja4!A:C,3,0),"")</f>
        <v>Esencia</v>
      </c>
      <c r="K239" s="9">
        <f t="shared" si="7"/>
        <v>17.357142857142858</v>
      </c>
      <c r="L239" s="6">
        <f>IFERROR(VLOOKUP(A239,'[2]Consumo SEMANA ENEA'!$F:$EP,141,0),0)</f>
        <v>8.8888888888888893</v>
      </c>
    </row>
    <row r="240" spans="1:12" x14ac:dyDescent="0.3">
      <c r="A240" s="2">
        <v>401015</v>
      </c>
      <c r="B240" s="2" t="s">
        <v>229</v>
      </c>
      <c r="C240" s="2" t="s">
        <v>1</v>
      </c>
      <c r="D240" s="2" t="s">
        <v>2</v>
      </c>
      <c r="E240" s="2">
        <v>56</v>
      </c>
      <c r="F240" s="5">
        <v>3930.93</v>
      </c>
      <c r="G240" s="5">
        <v>220132.08</v>
      </c>
      <c r="H240" s="1">
        <f t="shared" ca="1" si="6"/>
        <v>46194</v>
      </c>
      <c r="I240" s="5">
        <f>IFERROR(VLOOKUP(A240,'[1]Consumo SEMANA ENEA'!$F:$EL,137,0),0)</f>
        <v>1.2857142857142858</v>
      </c>
      <c r="J240" s="2" t="str">
        <f>IFERROR(VLOOKUP(A240,Hoja4!A:C,3,0),"")</f>
        <v>Film</v>
      </c>
      <c r="K240" s="9">
        <f t="shared" si="7"/>
        <v>43.55555555555555</v>
      </c>
      <c r="L240" s="6">
        <f>IFERROR(VLOOKUP(A240,'[2]Consumo SEMANA ENEA'!$F:$EP,141,0),0)</f>
        <v>7.1999999999999993</v>
      </c>
    </row>
    <row r="241" spans="1:12" x14ac:dyDescent="0.3">
      <c r="A241" s="2">
        <v>401014</v>
      </c>
      <c r="B241" s="2" t="s">
        <v>230</v>
      </c>
      <c r="C241" s="2" t="s">
        <v>1</v>
      </c>
      <c r="D241" s="2" t="s">
        <v>2</v>
      </c>
      <c r="E241" s="2">
        <v>24</v>
      </c>
      <c r="F241" s="5">
        <v>3803.92</v>
      </c>
      <c r="G241" s="5">
        <v>91294.080000000002</v>
      </c>
      <c r="H241" s="1">
        <f t="shared" ca="1" si="6"/>
        <v>46194</v>
      </c>
      <c r="I241" s="5">
        <f>IFERROR(VLOOKUP(A241,'[1]Consumo SEMANA ENEA'!$F:$EL,137,0),0)</f>
        <v>1.125</v>
      </c>
      <c r="J241" s="2" t="str">
        <f>IFERROR(VLOOKUP(A241,Hoja4!A:C,3,0),"")</f>
        <v>Film</v>
      </c>
      <c r="K241" s="9">
        <f t="shared" si="7"/>
        <v>21.333333333333332</v>
      </c>
      <c r="L241" s="6">
        <f>IFERROR(VLOOKUP(A241,'[2]Consumo SEMANA ENEA'!$F:$EP,141,0),0)</f>
        <v>6</v>
      </c>
    </row>
    <row r="242" spans="1:12" x14ac:dyDescent="0.3">
      <c r="A242" s="2">
        <v>401013</v>
      </c>
      <c r="B242" s="2" t="s">
        <v>231</v>
      </c>
      <c r="C242" s="2" t="s">
        <v>1</v>
      </c>
      <c r="D242" s="2" t="s">
        <v>2</v>
      </c>
      <c r="E242" s="2">
        <v>102</v>
      </c>
      <c r="F242" s="5">
        <v>3960</v>
      </c>
      <c r="G242" s="5">
        <v>403920</v>
      </c>
      <c r="H242" s="1">
        <f t="shared" ca="1" si="6"/>
        <v>46194</v>
      </c>
      <c r="I242" s="5">
        <f>IFERROR(VLOOKUP(A242,'[1]Consumo SEMANA ENEA'!$F:$EL,137,0),0)</f>
        <v>2.7272727272727271</v>
      </c>
      <c r="J242" s="2" t="str">
        <f>IFERROR(VLOOKUP(A242,Hoja4!A:C,3,0),"")</f>
        <v>Film</v>
      </c>
      <c r="K242" s="9">
        <f t="shared" si="7"/>
        <v>37.400000000000006</v>
      </c>
      <c r="L242" s="6">
        <f>IFERROR(VLOOKUP(A242,'[2]Consumo SEMANA ENEA'!$F:$EP,141,0),0)</f>
        <v>17.294117647058822</v>
      </c>
    </row>
    <row r="243" spans="1:12" x14ac:dyDescent="0.3">
      <c r="A243" s="2">
        <v>401010</v>
      </c>
      <c r="B243" s="2" t="s">
        <v>232</v>
      </c>
      <c r="C243" s="2" t="s">
        <v>1</v>
      </c>
      <c r="D243" s="2" t="s">
        <v>2</v>
      </c>
      <c r="E243" s="2">
        <v>69</v>
      </c>
      <c r="F243" s="5">
        <v>3944.68</v>
      </c>
      <c r="G243" s="5">
        <v>272182.92</v>
      </c>
      <c r="H243" s="1">
        <f t="shared" ca="1" si="6"/>
        <v>46194</v>
      </c>
      <c r="I243" s="5">
        <f>IFERROR(VLOOKUP(A243,'[1]Consumo SEMANA ENEA'!$F:$EL,137,0),0)</f>
        <v>1.4375</v>
      </c>
      <c r="J243" s="2" t="str">
        <f>IFERROR(VLOOKUP(A243,Hoja4!A:C,3,0),"")</f>
        <v>Film</v>
      </c>
      <c r="K243" s="9">
        <f t="shared" si="7"/>
        <v>48</v>
      </c>
      <c r="L243" s="6">
        <f>IFERROR(VLOOKUP(A243,'[2]Consumo SEMANA ENEA'!$F:$EP,141,0),0)</f>
        <v>7.5</v>
      </c>
    </row>
    <row r="244" spans="1:12" x14ac:dyDescent="0.3">
      <c r="A244" s="2">
        <v>401011</v>
      </c>
      <c r="B244" s="2" t="s">
        <v>233</v>
      </c>
      <c r="C244" s="2" t="s">
        <v>1</v>
      </c>
      <c r="D244" s="2" t="s">
        <v>2</v>
      </c>
      <c r="E244" s="2">
        <v>317</v>
      </c>
      <c r="F244" s="5">
        <v>3934.97</v>
      </c>
      <c r="G244" s="5">
        <v>1247385.49</v>
      </c>
      <c r="H244" s="1">
        <f t="shared" ca="1" si="6"/>
        <v>46194</v>
      </c>
      <c r="I244" s="5">
        <f>IFERROR(VLOOKUP(A244,'[1]Consumo SEMANA ENEA'!$F:$EL,137,0),0)</f>
        <v>1.2857142857142858</v>
      </c>
      <c r="J244" s="2" t="str">
        <f>IFERROR(VLOOKUP(A244,Hoja4!A:C,3,0),"")</f>
        <v>Film</v>
      </c>
      <c r="K244" s="9">
        <f t="shared" si="7"/>
        <v>246.55555555555554</v>
      </c>
      <c r="L244" s="6">
        <f>IFERROR(VLOOKUP(A244,'[2]Consumo SEMANA ENEA'!$F:$EP,141,0),0)</f>
        <v>6</v>
      </c>
    </row>
    <row r="245" spans="1:12" x14ac:dyDescent="0.3">
      <c r="A245" s="2">
        <v>401019</v>
      </c>
      <c r="B245" s="2" t="s">
        <v>234</v>
      </c>
      <c r="C245" s="2" t="s">
        <v>1</v>
      </c>
      <c r="D245" s="2" t="s">
        <v>2</v>
      </c>
      <c r="E245" s="2">
        <v>128</v>
      </c>
      <c r="F245" s="5">
        <v>3833.38</v>
      </c>
      <c r="G245" s="5">
        <v>490672.64000000001</v>
      </c>
      <c r="H245" s="1">
        <f t="shared" ca="1" si="6"/>
        <v>46194</v>
      </c>
      <c r="I245" s="5">
        <f>IFERROR(VLOOKUP(A245,'[1]Consumo SEMANA ENEA'!$F:$EL,137,0),0)</f>
        <v>1</v>
      </c>
      <c r="J245" s="2" t="str">
        <f>IFERROR(VLOOKUP(A245,Hoja4!A:C,3,0),"")</f>
        <v>Film</v>
      </c>
      <c r="K245" s="9">
        <f t="shared" si="7"/>
        <v>128</v>
      </c>
      <c r="L245" s="6">
        <f>IFERROR(VLOOKUP(A245,'[2]Consumo SEMANA ENEA'!$F:$EP,141,0),0)</f>
        <v>6</v>
      </c>
    </row>
    <row r="246" spans="1:12" x14ac:dyDescent="0.3">
      <c r="A246" s="2">
        <v>401012</v>
      </c>
      <c r="B246" s="2" t="s">
        <v>235</v>
      </c>
      <c r="C246" s="2" t="s">
        <v>1</v>
      </c>
      <c r="D246" s="2" t="s">
        <v>2</v>
      </c>
      <c r="E246" s="2">
        <v>87</v>
      </c>
      <c r="F246" s="5">
        <v>3946.33</v>
      </c>
      <c r="G246" s="5">
        <v>343330.71</v>
      </c>
      <c r="H246" s="1">
        <f t="shared" ca="1" si="6"/>
        <v>46194</v>
      </c>
      <c r="I246" s="5">
        <f>IFERROR(VLOOKUP(A246,'[1]Consumo SEMANA ENEA'!$F:$EL,137,0),0)</f>
        <v>1.3333333333333333</v>
      </c>
      <c r="J246" s="2" t="str">
        <f>IFERROR(VLOOKUP(A246,Hoja4!A:C,3,0),"")</f>
        <v>Film</v>
      </c>
      <c r="K246" s="9">
        <f t="shared" si="7"/>
        <v>65.25</v>
      </c>
      <c r="L246" s="6">
        <f>IFERROR(VLOOKUP(A246,'[2]Consumo SEMANA ENEA'!$F:$EP,141,0),0)</f>
        <v>8</v>
      </c>
    </row>
    <row r="247" spans="1:12" x14ac:dyDescent="0.3">
      <c r="A247" s="2">
        <v>393040</v>
      </c>
      <c r="B247" s="2" t="s">
        <v>236</v>
      </c>
      <c r="C247" s="2" t="s">
        <v>1</v>
      </c>
      <c r="D247" s="2" t="s">
        <v>2</v>
      </c>
      <c r="E247" s="5">
        <v>10215</v>
      </c>
      <c r="F247" s="2">
        <v>181.43</v>
      </c>
      <c r="G247" s="5">
        <v>1853307.45</v>
      </c>
      <c r="H247" s="1">
        <f t="shared" ca="1" si="6"/>
        <v>46194</v>
      </c>
      <c r="I247" s="5">
        <f>IFERROR(VLOOKUP(A247,'[1]Consumo SEMANA ENEA'!$F:$EL,137,0),0)</f>
        <v>5312.1333333333332</v>
      </c>
      <c r="J247" s="2" t="str">
        <f>IFERROR(VLOOKUP(A247,Hoja4!A:C,3,0),"")</f>
        <v>Insumo</v>
      </c>
      <c r="K247" s="9">
        <f t="shared" si="7"/>
        <v>1.9229562510981151</v>
      </c>
      <c r="L247" s="6">
        <f>IFERROR(VLOOKUP(A247,'[2]Consumo SEMANA ENEA'!$F:$EP,141,0),0)</f>
        <v>21271.85185185185</v>
      </c>
    </row>
    <row r="248" spans="1:12" x14ac:dyDescent="0.3">
      <c r="A248" s="2">
        <v>393427</v>
      </c>
      <c r="B248" s="2" t="s">
        <v>493</v>
      </c>
      <c r="C248" s="2" t="s">
        <v>1</v>
      </c>
      <c r="D248" s="2" t="s">
        <v>2</v>
      </c>
      <c r="E248" s="2">
        <v>456</v>
      </c>
      <c r="F248" s="2">
        <v>530.55999999999995</v>
      </c>
      <c r="G248" s="5">
        <v>241935.35999999999</v>
      </c>
      <c r="H248" s="1">
        <f t="shared" ca="1" si="6"/>
        <v>46194</v>
      </c>
      <c r="I248" s="5">
        <f>IFERROR(VLOOKUP(A248,'[1]Consumo SEMANA ENEA'!$F:$EL,137,0),0)</f>
        <v>605.04666666666674</v>
      </c>
      <c r="J248" s="2" t="str">
        <f>IFERROR(VLOOKUP(A248,Hoja4!A:C,3,0),"")</f>
        <v>Insumo</v>
      </c>
      <c r="K248" s="9">
        <f t="shared" si="7"/>
        <v>0.75366087464327813</v>
      </c>
      <c r="L248" s="6">
        <f>IFERROR(VLOOKUP(A248,'[2]Consumo SEMANA ENEA'!$F:$EP,141,0),0)</f>
        <v>2514.5555555555557</v>
      </c>
    </row>
    <row r="249" spans="1:12" x14ac:dyDescent="0.3">
      <c r="A249" s="2">
        <v>393349</v>
      </c>
      <c r="B249" s="2" t="s">
        <v>237</v>
      </c>
      <c r="C249" s="2" t="s">
        <v>1</v>
      </c>
      <c r="D249" s="2" t="s">
        <v>2</v>
      </c>
      <c r="E249" s="5">
        <v>1632</v>
      </c>
      <c r="F249" s="2">
        <v>395.2</v>
      </c>
      <c r="G249" s="5">
        <v>644966.40000000002</v>
      </c>
      <c r="H249" s="1">
        <f t="shared" ca="1" si="6"/>
        <v>46194</v>
      </c>
      <c r="I249" s="5">
        <f>IFERROR(VLOOKUP(A249,'[1]Consumo SEMANA ENEA'!$F:$EL,137,0),0)</f>
        <v>237.76</v>
      </c>
      <c r="J249" s="2" t="str">
        <f>IFERROR(VLOOKUP(A249,Hoja4!A:C,3,0),"")</f>
        <v>Insumo</v>
      </c>
      <c r="K249" s="9">
        <f t="shared" si="7"/>
        <v>6.8640646029609691</v>
      </c>
      <c r="L249" s="6">
        <f>IFERROR(VLOOKUP(A249,'[2]Consumo SEMANA ENEA'!$F:$EP,141,0),0)</f>
        <v>848</v>
      </c>
    </row>
    <row r="250" spans="1:12" x14ac:dyDescent="0.3">
      <c r="A250" s="2">
        <v>405371</v>
      </c>
      <c r="B250" s="2" t="s">
        <v>238</v>
      </c>
      <c r="C250" s="2" t="s">
        <v>1</v>
      </c>
      <c r="D250" s="2" t="s">
        <v>2</v>
      </c>
      <c r="E250" s="5">
        <v>2000</v>
      </c>
      <c r="F250" s="2">
        <v>45</v>
      </c>
      <c r="G250" s="5">
        <v>90000</v>
      </c>
      <c r="H250" s="1">
        <f t="shared" ca="1" si="6"/>
        <v>46194</v>
      </c>
      <c r="I250" s="5">
        <f>IFERROR(VLOOKUP(A250,'[1]Consumo SEMANA ENEA'!$F:$EL,137,0),0)</f>
        <v>416</v>
      </c>
      <c r="J250" s="2" t="str">
        <f>IFERROR(VLOOKUP(A250,Hoja4!A:C,3,0),"")</f>
        <v>Chocolate</v>
      </c>
      <c r="K250" s="9">
        <f t="shared" si="7"/>
        <v>4.8076923076923075</v>
      </c>
      <c r="L250" s="6">
        <f>IFERROR(VLOOKUP(A250,'[2]Consumo SEMANA ENEA'!$F:$EP,141,0),0)</f>
        <v>2400</v>
      </c>
    </row>
    <row r="251" spans="1:12" x14ac:dyDescent="0.3">
      <c r="A251" s="2">
        <v>405134</v>
      </c>
      <c r="B251" s="2" t="s">
        <v>239</v>
      </c>
      <c r="C251" s="2" t="s">
        <v>1</v>
      </c>
      <c r="D251" s="2" t="s">
        <v>2</v>
      </c>
      <c r="E251" s="5">
        <v>21200</v>
      </c>
      <c r="F251" s="2">
        <v>36</v>
      </c>
      <c r="G251" s="5">
        <v>763200</v>
      </c>
      <c r="H251" s="1">
        <f t="shared" ca="1" si="6"/>
        <v>46194</v>
      </c>
      <c r="I251" s="5">
        <f>IFERROR(VLOOKUP(A251,'[1]Consumo SEMANA ENEA'!$F:$EL,137,0),0)</f>
        <v>1200</v>
      </c>
      <c r="J251" s="2" t="str">
        <f>IFERROR(VLOOKUP(A251,Hoja4!A:C,3,0),"")</f>
        <v>Chocolate</v>
      </c>
      <c r="K251" s="9">
        <f t="shared" si="7"/>
        <v>17.666666666666668</v>
      </c>
      <c r="L251" s="6">
        <f>IFERROR(VLOOKUP(A251,'[2]Consumo SEMANA ENEA'!$F:$EP,141,0),0)</f>
        <v>7300</v>
      </c>
    </row>
    <row r="252" spans="1:12" x14ac:dyDescent="0.3">
      <c r="A252" s="2">
        <v>405683</v>
      </c>
      <c r="B252" s="2" t="s">
        <v>240</v>
      </c>
      <c r="C252" s="2" t="s">
        <v>1</v>
      </c>
      <c r="D252" s="2" t="s">
        <v>2</v>
      </c>
      <c r="E252" s="5">
        <v>6992</v>
      </c>
      <c r="F252" s="2">
        <v>138</v>
      </c>
      <c r="G252" s="5">
        <v>964896</v>
      </c>
      <c r="H252" s="1">
        <f t="shared" ca="1" si="6"/>
        <v>46194</v>
      </c>
      <c r="I252" s="5">
        <f>IFERROR(VLOOKUP(A252,'[1]Consumo SEMANA ENEA'!$F:$EL,137,0),0)</f>
        <v>198.38333333333333</v>
      </c>
      <c r="J252" s="2" t="str">
        <f>IFERROR(VLOOKUP(A252,Hoja4!A:C,3,0),"")</f>
        <v>Chocolate</v>
      </c>
      <c r="K252" s="9">
        <f t="shared" si="7"/>
        <v>35.24489624464421</v>
      </c>
      <c r="L252" s="6">
        <f>IFERROR(VLOOKUP(A252,'[2]Consumo SEMANA ENEA'!$F:$EP,141,0),0)</f>
        <v>1486.4999999999998</v>
      </c>
    </row>
    <row r="253" spans="1:12" x14ac:dyDescent="0.3">
      <c r="A253" s="2">
        <v>107102</v>
      </c>
      <c r="B253" s="2" t="s">
        <v>241</v>
      </c>
      <c r="C253" s="2" t="s">
        <v>1</v>
      </c>
      <c r="D253" s="2" t="s">
        <v>2</v>
      </c>
      <c r="E253" s="5">
        <v>1616</v>
      </c>
      <c r="F253" s="5">
        <v>3120</v>
      </c>
      <c r="G253" s="5">
        <v>5041920</v>
      </c>
      <c r="H253" s="1">
        <f t="shared" ca="1" si="6"/>
        <v>46194</v>
      </c>
      <c r="I253" s="5">
        <f>IFERROR(VLOOKUP(A253,'[1]Consumo SEMANA ENEA'!$F:$EL,137,0),0)</f>
        <v>158.47058823529412</v>
      </c>
      <c r="J253" s="2" t="str">
        <f>IFERROR(VLOOKUP(A253,Hoja4!A:C,3,0),"")</f>
        <v>Fruta Conserva</v>
      </c>
      <c r="K253" s="9">
        <f t="shared" si="7"/>
        <v>10.197475872308834</v>
      </c>
      <c r="L253" s="6">
        <f>IFERROR(VLOOKUP(A253,'[2]Consumo SEMANA ENEA'!$F:$EP,141,0),0)</f>
        <v>745.12820512820508</v>
      </c>
    </row>
    <row r="254" spans="1:12" x14ac:dyDescent="0.3">
      <c r="A254" s="2">
        <v>405533</v>
      </c>
      <c r="B254" s="2" t="s">
        <v>242</v>
      </c>
      <c r="C254" s="2" t="s">
        <v>1</v>
      </c>
      <c r="D254" s="2" t="s">
        <v>2</v>
      </c>
      <c r="E254" s="5">
        <v>1107.06</v>
      </c>
      <c r="F254" s="5">
        <v>2266</v>
      </c>
      <c r="G254" s="5">
        <v>2508597.96</v>
      </c>
      <c r="H254" s="1">
        <f t="shared" ca="1" si="6"/>
        <v>46194</v>
      </c>
      <c r="I254" s="5">
        <f>IFERROR(VLOOKUP(A254,'[1]Consumo SEMANA ENEA'!$F:$EL,137,0),0)</f>
        <v>188.74626666666666</v>
      </c>
      <c r="J254" s="2" t="str">
        <f>IFERROR(VLOOKUP(A254,Hoja4!A:C,3,0),"")</f>
        <v>cremas</v>
      </c>
      <c r="K254" s="9">
        <f t="shared" si="7"/>
        <v>5.8653345549616169</v>
      </c>
      <c r="L254" s="6">
        <f>IFERROR(VLOOKUP(A254,'[2]Consumo SEMANA ENEA'!$F:$EP,141,0),0)</f>
        <v>934.30555555555566</v>
      </c>
    </row>
    <row r="255" spans="1:12" x14ac:dyDescent="0.3">
      <c r="A255" s="2">
        <v>405590</v>
      </c>
      <c r="B255" s="2" t="s">
        <v>740</v>
      </c>
      <c r="C255" s="2" t="s">
        <v>1</v>
      </c>
      <c r="D255" s="2" t="s">
        <v>2</v>
      </c>
      <c r="E255" s="5">
        <v>20000</v>
      </c>
      <c r="F255" s="2">
        <v>12.2</v>
      </c>
      <c r="G255" s="5">
        <v>244000</v>
      </c>
      <c r="H255" s="1">
        <f t="shared" ca="1" si="6"/>
        <v>46194</v>
      </c>
      <c r="I255" s="5">
        <f>IFERROR(VLOOKUP(A255,'[1]Consumo SEMANA ENEA'!$F:$EL,137,0),0)</f>
        <v>0</v>
      </c>
      <c r="J255" s="2" t="str">
        <f>IFERROR(VLOOKUP(A255,Hoja4!A:C,3,0),"")</f>
        <v>Carton</v>
      </c>
      <c r="K255" s="9">
        <f t="shared" si="7"/>
        <v>0</v>
      </c>
      <c r="L255" s="6">
        <f>IFERROR(VLOOKUP(A255,'[2]Consumo SEMANA ENEA'!$F:$EP,141,0),0)</f>
        <v>0</v>
      </c>
    </row>
    <row r="256" spans="1:12" x14ac:dyDescent="0.3">
      <c r="A256" s="2">
        <v>106101</v>
      </c>
      <c r="B256" s="2" t="s">
        <v>418</v>
      </c>
      <c r="C256" s="2" t="s">
        <v>1</v>
      </c>
      <c r="D256" s="2" t="s">
        <v>2</v>
      </c>
      <c r="E256" s="2">
        <v>400</v>
      </c>
      <c r="F256" s="2">
        <v>620</v>
      </c>
      <c r="G256" s="5">
        <v>248000</v>
      </c>
      <c r="H256" s="1">
        <f t="shared" ca="1" si="6"/>
        <v>46194</v>
      </c>
      <c r="I256" s="5">
        <f>IFERROR(VLOOKUP(A256,'[1]Consumo SEMANA ENEA'!$F:$EL,137,0),0)</f>
        <v>46.25</v>
      </c>
      <c r="J256" s="2" t="str">
        <f>IFERROR(VLOOKUP(A256,Hoja4!A:C,3,0),"")</f>
        <v>insumo</v>
      </c>
      <c r="K256" s="9">
        <f t="shared" si="7"/>
        <v>8.6486486486486491</v>
      </c>
      <c r="L256" s="6">
        <f>IFERROR(VLOOKUP(A256,'[2]Consumo SEMANA ENEA'!$F:$EP,141,0),0)</f>
        <v>323.75</v>
      </c>
    </row>
    <row r="257" spans="1:12" x14ac:dyDescent="0.3">
      <c r="A257" s="2">
        <v>107164</v>
      </c>
      <c r="B257" s="2" t="s">
        <v>243</v>
      </c>
      <c r="C257" s="2" t="s">
        <v>1</v>
      </c>
      <c r="D257" s="2" t="s">
        <v>2</v>
      </c>
      <c r="E257" s="2">
        <v>741.62</v>
      </c>
      <c r="F257" s="5">
        <v>1129</v>
      </c>
      <c r="G257" s="5">
        <v>837288.98</v>
      </c>
      <c r="H257" s="1">
        <f t="shared" ca="1" si="6"/>
        <v>46194</v>
      </c>
      <c r="I257" s="5">
        <f>IFERROR(VLOOKUP(A257,'[1]Consumo SEMANA ENEA'!$F:$EL,137,0),0)</f>
        <v>171.64253333333332</v>
      </c>
      <c r="J257" s="2" t="str">
        <f>IFERROR(VLOOKUP(A257,Hoja4!A:C,3,0),"")</f>
        <v>Yogurt</v>
      </c>
      <c r="K257" s="9">
        <f t="shared" ref="K257:K258" si="8">IFERROR(+E257/I257,0)</f>
        <v>4.3207239231301644</v>
      </c>
      <c r="L257" s="6">
        <f>IFERROR(VLOOKUP(A257,'[2]Consumo SEMANA ENEA'!$F:$EP,141,0),0)</f>
        <v>836.71296296296282</v>
      </c>
    </row>
    <row r="258" spans="1:12" x14ac:dyDescent="0.3">
      <c r="A258" s="2">
        <v>405797</v>
      </c>
      <c r="B258" s="2" t="s">
        <v>819</v>
      </c>
      <c r="C258" s="2" t="s">
        <v>1</v>
      </c>
      <c r="D258" s="2" t="s">
        <v>2</v>
      </c>
      <c r="E258" s="2">
        <v>9.7579999999999991</v>
      </c>
      <c r="F258" s="5">
        <v>7709.37</v>
      </c>
      <c r="G258" s="5">
        <v>75228.032500000001</v>
      </c>
      <c r="H258" s="1">
        <f t="shared" ca="1" si="6"/>
        <v>46194</v>
      </c>
      <c r="I258" s="5">
        <f>IFERROR(VLOOKUP(A258,'[1]Consumo SEMANA ENEA'!$F:$EL,137,0),0)</f>
        <v>0.999</v>
      </c>
      <c r="J258" s="2" t="str">
        <f>IFERROR(VLOOKUP(A258,Hoja4!A:C,3,0),"")</f>
        <v>Fruta Congelada</v>
      </c>
      <c r="K258" s="9">
        <f t="shared" si="8"/>
        <v>9.7677677677677668</v>
      </c>
      <c r="L258" s="6">
        <f>IFERROR(VLOOKUP(A258,'[2]Consumo SEMANA ENEA'!$F:$EP,141,0),0)</f>
        <v>0</v>
      </c>
    </row>
    <row r="259" spans="1:12" x14ac:dyDescent="0.3">
      <c r="A259" s="2">
        <v>104006</v>
      </c>
      <c r="B259" s="2" t="s">
        <v>5</v>
      </c>
      <c r="C259" s="2" t="s">
        <v>253</v>
      </c>
      <c r="D259" s="2" t="s">
        <v>254</v>
      </c>
      <c r="E259" s="2">
        <v>1288</v>
      </c>
      <c r="F259" s="2">
        <v>900</v>
      </c>
      <c r="G259" s="5">
        <v>1159200</v>
      </c>
      <c r="H259" s="1">
        <f t="shared" ref="H259:H322" ca="1" si="9">TODAY()</f>
        <v>46194</v>
      </c>
      <c r="I259" s="5">
        <f>IFERROR(VLOOKUP(A259,'[3]Consumo SEMANAL PV '!$B:$DI,112,0),0)</f>
        <v>50.266666666666673</v>
      </c>
      <c r="J259" s="2" t="str">
        <f>IFERROR(VLOOKUP(A259,Hoja4!A:C,3,0),"")</f>
        <v>Azucar</v>
      </c>
      <c r="K259" s="9">
        <f t="shared" ref="K259:K322" si="10">IFERROR(+E259/I259,0)</f>
        <v>25.623342175066309</v>
      </c>
      <c r="L259" s="6">
        <f>IFERROR(VLOOKUP(A259,'[4]Consumo SEMANAL PV '!$B:$DN,117,0),0)</f>
        <v>172.98039215686276</v>
      </c>
    </row>
    <row r="260" spans="1:12" x14ac:dyDescent="0.3">
      <c r="A260" s="2">
        <v>104004</v>
      </c>
      <c r="B260" s="2" t="s">
        <v>255</v>
      </c>
      <c r="C260" s="2" t="s">
        <v>253</v>
      </c>
      <c r="D260" s="2" t="s">
        <v>254</v>
      </c>
      <c r="E260" s="2">
        <v>93</v>
      </c>
      <c r="F260" s="5">
        <v>1239.49</v>
      </c>
      <c r="G260" s="5">
        <v>115272.57</v>
      </c>
      <c r="H260" s="1">
        <f t="shared" ca="1" si="9"/>
        <v>46194</v>
      </c>
      <c r="I260" s="5">
        <f>IFERROR(VLOOKUP(A260,'[3]Consumo SEMANAL PV '!$B:$DI,112,0),0)</f>
        <v>0</v>
      </c>
      <c r="J260" s="2" t="str">
        <f>IFERROR(VLOOKUP(A260,Hoja4!A:C,3,0),"")</f>
        <v>Azucar</v>
      </c>
      <c r="K260" s="9">
        <f t="shared" si="10"/>
        <v>0</v>
      </c>
      <c r="L260" s="6">
        <f>IFERROR(VLOOKUP(A260,'[4]Consumo SEMANAL PV '!$B:$DN,117,0),0)</f>
        <v>0</v>
      </c>
    </row>
    <row r="261" spans="1:12" x14ac:dyDescent="0.3">
      <c r="A261" s="2">
        <v>405445</v>
      </c>
      <c r="B261" s="2" t="s">
        <v>6</v>
      </c>
      <c r="C261" s="2" t="s">
        <v>253</v>
      </c>
      <c r="D261" s="2" t="s">
        <v>254</v>
      </c>
      <c r="E261" s="5">
        <v>7400</v>
      </c>
      <c r="F261" s="2">
        <v>93.59</v>
      </c>
      <c r="G261" s="5">
        <v>692566</v>
      </c>
      <c r="H261" s="1">
        <f t="shared" ca="1" si="9"/>
        <v>46194</v>
      </c>
      <c r="I261" s="5">
        <f>IFERROR(VLOOKUP(A261,'[3]Consumo SEMANAL PV '!$B:$DI,112,0),0)</f>
        <v>3355.072463768116</v>
      </c>
      <c r="J261" s="2" t="str">
        <f>IFERROR(VLOOKUP(A261,Hoja4!A:C,3,0),"")</f>
        <v>Cupula</v>
      </c>
      <c r="K261" s="9">
        <f t="shared" si="10"/>
        <v>2.2056155507559394</v>
      </c>
      <c r="L261" s="6">
        <f>IFERROR(VLOOKUP(A261,'[4]Consumo SEMANAL PV '!$B:$DN,117,0),0)</f>
        <v>11626.666666666666</v>
      </c>
    </row>
    <row r="262" spans="1:12" x14ac:dyDescent="0.3">
      <c r="A262" s="2">
        <v>405501</v>
      </c>
      <c r="B262" s="2" t="s">
        <v>256</v>
      </c>
      <c r="C262" s="2" t="s">
        <v>253</v>
      </c>
      <c r="D262" s="2" t="s">
        <v>254</v>
      </c>
      <c r="E262" s="5">
        <v>1000</v>
      </c>
      <c r="F262" s="2">
        <v>65</v>
      </c>
      <c r="G262" s="5">
        <v>65000</v>
      </c>
      <c r="H262" s="1">
        <f t="shared" ca="1" si="9"/>
        <v>46194</v>
      </c>
      <c r="I262" s="5">
        <f>IFERROR(VLOOKUP(A262,'[3]Consumo SEMANAL PV '!$B:$DI,112,0),0)</f>
        <v>231.25</v>
      </c>
      <c r="J262" s="2" t="str">
        <f>IFERROR(VLOOKUP(A262,Hoja4!A:C,3,0),"")</f>
        <v>Cupula</v>
      </c>
      <c r="K262" s="9">
        <f t="shared" si="10"/>
        <v>4.3243243243243246</v>
      </c>
      <c r="L262" s="6">
        <f>IFERROR(VLOOKUP(A262,'[4]Consumo SEMANAL PV '!$B:$DN,117,0),0)</f>
        <v>1038.0952380952381</v>
      </c>
    </row>
    <row r="263" spans="1:12" x14ac:dyDescent="0.3">
      <c r="A263" s="2">
        <v>103104</v>
      </c>
      <c r="B263" s="2" t="s">
        <v>252</v>
      </c>
      <c r="C263" s="2" t="s">
        <v>253</v>
      </c>
      <c r="D263" s="2" t="s">
        <v>254</v>
      </c>
      <c r="E263" s="5">
        <v>2665</v>
      </c>
      <c r="F263" s="2">
        <v>1600</v>
      </c>
      <c r="G263" s="5">
        <v>4264000</v>
      </c>
      <c r="H263" s="1">
        <f t="shared" ca="1" si="9"/>
        <v>46194</v>
      </c>
      <c r="I263" s="5">
        <f>IFERROR(VLOOKUP(A263,'[3]Consumo SEMANAL PV '!$B:$DI,112,0),0)</f>
        <v>34.72</v>
      </c>
      <c r="J263" s="2" t="str">
        <f>IFERROR(VLOOKUP(A263,Hoja4!A:C,3,0),"")</f>
        <v>Aceite</v>
      </c>
      <c r="K263" s="9">
        <f t="shared" si="10"/>
        <v>76.756912442396313</v>
      </c>
      <c r="L263" s="6">
        <f>IFERROR(VLOOKUP(A263,'[4]Consumo SEMANAL PV '!$B:$DN,117,0),0)</f>
        <v>125.21568627450979</v>
      </c>
    </row>
    <row r="264" spans="1:12" x14ac:dyDescent="0.3">
      <c r="A264" s="2">
        <v>403338</v>
      </c>
      <c r="B264" s="2" t="s">
        <v>9</v>
      </c>
      <c r="C264" s="2" t="s">
        <v>253</v>
      </c>
      <c r="D264" s="2" t="s">
        <v>254</v>
      </c>
      <c r="E264" s="5">
        <v>15000</v>
      </c>
      <c r="F264" s="2">
        <v>49.44</v>
      </c>
      <c r="G264" s="5">
        <v>741600</v>
      </c>
      <c r="H264" s="1">
        <f t="shared" ca="1" si="9"/>
        <v>46194</v>
      </c>
      <c r="I264" s="5">
        <f>IFERROR(VLOOKUP(A264,'[3]Consumo SEMANAL PV '!$B:$DI,112,0),0)</f>
        <v>3970.6666666666665</v>
      </c>
      <c r="J264" s="2" t="str">
        <f>IFERROR(VLOOKUP(A264,Hoja4!A:C,3,0),"")</f>
        <v>Cupula</v>
      </c>
      <c r="K264" s="9">
        <f t="shared" si="10"/>
        <v>3.7777031564808596</v>
      </c>
      <c r="L264" s="6">
        <f>IFERROR(VLOOKUP(A264,'[4]Consumo SEMANAL PV '!$B:$DN,117,0),0)</f>
        <v>19137.254901960783</v>
      </c>
    </row>
    <row r="265" spans="1:12" x14ac:dyDescent="0.3">
      <c r="A265" s="2">
        <v>405418</v>
      </c>
      <c r="B265" s="2" t="s">
        <v>4</v>
      </c>
      <c r="C265" s="2" t="s">
        <v>253</v>
      </c>
      <c r="D265" s="2" t="s">
        <v>254</v>
      </c>
      <c r="E265" s="2">
        <v>170</v>
      </c>
      <c r="F265" s="5">
        <v>1371.63</v>
      </c>
      <c r="G265" s="5">
        <v>233177.1</v>
      </c>
      <c r="H265" s="1">
        <f t="shared" ca="1" si="9"/>
        <v>46194</v>
      </c>
      <c r="I265" s="5">
        <f>IFERROR(VLOOKUP(A265,'[3]Consumo SEMANAL PV '!$B:$DI,112,0),0)</f>
        <v>76.233333333333334</v>
      </c>
      <c r="J265" s="2" t="str">
        <f>IFERROR(VLOOKUP(A265,Hoja4!A:C,3,0),"")</f>
        <v>Azucar</v>
      </c>
      <c r="K265" s="9">
        <f t="shared" si="10"/>
        <v>2.2299956274595538</v>
      </c>
      <c r="L265" s="6">
        <f>IFERROR(VLOOKUP(A265,'[4]Consumo SEMANAL PV '!$B:$DN,117,0),0)</f>
        <v>291.96078431372547</v>
      </c>
    </row>
    <row r="266" spans="1:12" x14ac:dyDescent="0.3">
      <c r="A266" s="2">
        <v>400101</v>
      </c>
      <c r="B266" s="2" t="s">
        <v>567</v>
      </c>
      <c r="C266" s="2" t="s">
        <v>253</v>
      </c>
      <c r="D266" s="2" t="s">
        <v>254</v>
      </c>
      <c r="E266" s="2">
        <v>52000</v>
      </c>
      <c r="F266" s="5">
        <v>22.5</v>
      </c>
      <c r="G266" s="5">
        <v>1170000</v>
      </c>
      <c r="H266" s="1">
        <f t="shared" ca="1" si="9"/>
        <v>46194</v>
      </c>
      <c r="I266" s="5">
        <f>IFERROR(VLOOKUP(A266,'[3]Consumo SEMANAL PV '!$B:$DI,112,0),0)</f>
        <v>961.36363636363637</v>
      </c>
      <c r="J266" s="2" t="str">
        <f>IFERROR(VLOOKUP(A266,Hoja4!A:C,3,0),"")</f>
        <v>Bolsas</v>
      </c>
      <c r="K266" s="9">
        <f t="shared" si="10"/>
        <v>54.089834515366427</v>
      </c>
      <c r="L266" s="6">
        <f>IFERROR(VLOOKUP(A266,'[4]Consumo SEMANAL PV '!$B:$DN,117,0),0)</f>
        <v>6708.3333333333339</v>
      </c>
    </row>
    <row r="267" spans="1:12" x14ac:dyDescent="0.3">
      <c r="A267" s="2">
        <v>400202</v>
      </c>
      <c r="B267" s="2" t="s">
        <v>258</v>
      </c>
      <c r="C267" s="2" t="s">
        <v>253</v>
      </c>
      <c r="D267" s="2" t="s">
        <v>254</v>
      </c>
      <c r="E267" s="2">
        <v>170</v>
      </c>
      <c r="F267" s="5">
        <v>2550</v>
      </c>
      <c r="G267" s="5">
        <v>433500</v>
      </c>
      <c r="H267" s="1">
        <f t="shared" ca="1" si="9"/>
        <v>46194</v>
      </c>
      <c r="I267" s="5">
        <f>IFERROR(VLOOKUP(A267,'[3]Consumo SEMANAL PV '!$B:$DI,112,0),0)</f>
        <v>3.0952380952380953</v>
      </c>
      <c r="J267" s="2" t="str">
        <f>IFERROR(VLOOKUP(A267,Hoja4!A:C,3,0),"")</f>
        <v>Bolsas</v>
      </c>
      <c r="K267" s="9">
        <f t="shared" si="10"/>
        <v>54.92307692307692</v>
      </c>
      <c r="L267" s="6">
        <f>IFERROR(VLOOKUP(A267,'[4]Consumo SEMANAL PV '!$B:$DN,117,0),0)</f>
        <v>23.333333333333336</v>
      </c>
    </row>
    <row r="268" spans="1:12" x14ac:dyDescent="0.3">
      <c r="A268" s="2">
        <v>400203</v>
      </c>
      <c r="B268" s="2" t="s">
        <v>11</v>
      </c>
      <c r="C268" s="2" t="s">
        <v>253</v>
      </c>
      <c r="D268" s="2" t="s">
        <v>254</v>
      </c>
      <c r="E268" s="5">
        <v>8.4</v>
      </c>
      <c r="F268" s="2">
        <v>2749.88</v>
      </c>
      <c r="G268" s="5">
        <v>23098.991999999998</v>
      </c>
      <c r="H268" s="1">
        <f t="shared" ca="1" si="9"/>
        <v>46194</v>
      </c>
      <c r="I268" s="5">
        <f>IFERROR(VLOOKUP(A268,'[3]Consumo SEMANAL PV '!$B:$DI,112,0),0)</f>
        <v>30.194444444444443</v>
      </c>
      <c r="J268" s="2" t="str">
        <f>IFERROR(VLOOKUP(A268,Hoja4!A:C,3,0),"")</f>
        <v>Bolsas</v>
      </c>
      <c r="K268" s="9">
        <f t="shared" si="10"/>
        <v>0.27819687212511501</v>
      </c>
      <c r="L268" s="6">
        <f>IFERROR(VLOOKUP(A268,'[4]Consumo SEMANAL PV '!$B:$DN,117,0),0)</f>
        <v>246.6462962962963</v>
      </c>
    </row>
    <row r="269" spans="1:12" x14ac:dyDescent="0.3">
      <c r="A269" s="2">
        <v>403245</v>
      </c>
      <c r="B269" s="2" t="s">
        <v>259</v>
      </c>
      <c r="C269" s="2" t="s">
        <v>253</v>
      </c>
      <c r="D269" s="2" t="s">
        <v>254</v>
      </c>
      <c r="E269" s="5">
        <v>5200</v>
      </c>
      <c r="F269" s="5">
        <v>160</v>
      </c>
      <c r="G269" s="5">
        <v>832000</v>
      </c>
      <c r="H269" s="1">
        <f t="shared" ca="1" si="9"/>
        <v>46194</v>
      </c>
      <c r="I269" s="5">
        <f>IFERROR(VLOOKUP(A269,'[3]Consumo SEMANAL PV '!$B:$DI,112,0),0)</f>
        <v>1115.4166666666667</v>
      </c>
      <c r="J269" s="2" t="str">
        <f>IFERROR(VLOOKUP(A269,Hoja4!A:C,3,0),"")</f>
        <v>Carton</v>
      </c>
      <c r="K269" s="9">
        <f t="shared" si="10"/>
        <v>4.6619350018677617</v>
      </c>
      <c r="L269" s="6">
        <f>IFERROR(VLOOKUP(A269,'[4]Consumo SEMANAL PV '!$B:$DN,117,0),0)</f>
        <v>7314.2857142857138</v>
      </c>
    </row>
    <row r="270" spans="1:12" x14ac:dyDescent="0.3">
      <c r="A270" s="2">
        <v>107120</v>
      </c>
      <c r="B270" s="2" t="s">
        <v>12</v>
      </c>
      <c r="C270" s="2" t="s">
        <v>253</v>
      </c>
      <c r="D270" s="2" t="s">
        <v>254</v>
      </c>
      <c r="E270" s="2">
        <v>625.5</v>
      </c>
      <c r="F270" s="2">
        <v>1829.39</v>
      </c>
      <c r="G270" s="5">
        <v>1144283.4450000001</v>
      </c>
      <c r="H270" s="1">
        <f t="shared" ca="1" si="9"/>
        <v>46194</v>
      </c>
      <c r="I270" s="5">
        <f>IFERROR(VLOOKUP(A270,'[3]Consumo SEMANAL PV '!$B:$DI,112,0),0)</f>
        <v>48.81</v>
      </c>
      <c r="J270" s="2" t="str">
        <f>IFERROR(VLOOKUP(A270,Hoja4!A:C,3,0),"")</f>
        <v>Mermelada</v>
      </c>
      <c r="K270" s="9">
        <f t="shared" si="10"/>
        <v>12.81499692685925</v>
      </c>
      <c r="L270" s="6">
        <f>IFERROR(VLOOKUP(A270,'[4]Consumo SEMANAL PV '!$B:$DN,117,0),0)</f>
        <v>279</v>
      </c>
    </row>
    <row r="271" spans="1:12" x14ac:dyDescent="0.3">
      <c r="A271" s="2">
        <v>107361</v>
      </c>
      <c r="B271" s="2" t="s">
        <v>15</v>
      </c>
      <c r="C271" s="2" t="s">
        <v>253</v>
      </c>
      <c r="D271" s="2" t="s">
        <v>254</v>
      </c>
      <c r="E271" s="5">
        <v>500</v>
      </c>
      <c r="F271" s="2">
        <v>585</v>
      </c>
      <c r="G271" s="5">
        <v>292500</v>
      </c>
      <c r="H271" s="1">
        <f t="shared" ca="1" si="9"/>
        <v>46194</v>
      </c>
      <c r="I271" s="5">
        <f>IFERROR(VLOOKUP(A271,'[3]Consumo SEMANAL PV '!$B:$DI,112,0),0)</f>
        <v>83.333333333333329</v>
      </c>
      <c r="J271" s="2" t="str">
        <f>IFERROR(VLOOKUP(A271,Hoja4!A:C,3,0),"")</f>
        <v>Caja</v>
      </c>
      <c r="K271" s="9">
        <f t="shared" si="10"/>
        <v>6</v>
      </c>
      <c r="L271" s="6">
        <f>IFERROR(VLOOKUP(A271,'[4]Consumo SEMANAL PV '!$B:$DN,117,0),0)</f>
        <v>1416.6666666666667</v>
      </c>
    </row>
    <row r="272" spans="1:12" x14ac:dyDescent="0.3">
      <c r="A272" s="2">
        <v>107367</v>
      </c>
      <c r="B272" s="2" t="s">
        <v>16</v>
      </c>
      <c r="C272" s="2" t="s">
        <v>253</v>
      </c>
      <c r="D272" s="2" t="s">
        <v>254</v>
      </c>
      <c r="E272" s="5">
        <v>1100</v>
      </c>
      <c r="F272" s="2">
        <v>890.76</v>
      </c>
      <c r="G272" s="5">
        <v>979836</v>
      </c>
      <c r="H272" s="1">
        <f t="shared" ca="1" si="9"/>
        <v>46194</v>
      </c>
      <c r="I272" s="5">
        <f>IFERROR(VLOOKUP(A272,'[3]Consumo SEMANAL PV '!$B:$DI,112,0),0)</f>
        <v>75</v>
      </c>
      <c r="J272" s="2" t="str">
        <f>IFERROR(VLOOKUP(A272,Hoja4!A:C,3,0),"")</f>
        <v>Caja</v>
      </c>
      <c r="K272" s="9">
        <f t="shared" si="10"/>
        <v>14.666666666666666</v>
      </c>
      <c r="L272" s="6">
        <f>IFERROR(VLOOKUP(A272,'[4]Consumo SEMANAL PV '!$B:$DN,117,0),0)</f>
        <v>1173.8095238095239</v>
      </c>
    </row>
    <row r="273" spans="1:12" x14ac:dyDescent="0.3">
      <c r="A273" s="2">
        <v>405696</v>
      </c>
      <c r="B273" s="2" t="s">
        <v>18</v>
      </c>
      <c r="C273" s="2" t="s">
        <v>253</v>
      </c>
      <c r="D273" s="2" t="s">
        <v>254</v>
      </c>
      <c r="E273" s="2">
        <v>1100</v>
      </c>
      <c r="F273" s="2">
        <v>600</v>
      </c>
      <c r="G273" s="5">
        <v>660000</v>
      </c>
      <c r="H273" s="1">
        <f t="shared" ca="1" si="9"/>
        <v>46194</v>
      </c>
      <c r="I273" s="5">
        <f>IFERROR(VLOOKUP(A273,'[3]Consumo SEMANAL PV '!$B:$DI,112,0),0)</f>
        <v>83.333333333333329</v>
      </c>
      <c r="J273" s="2" t="str">
        <f>IFERROR(VLOOKUP(A273,Hoja4!A:C,3,0),"")</f>
        <v>Caja</v>
      </c>
      <c r="K273" s="9">
        <f t="shared" si="10"/>
        <v>13.200000000000001</v>
      </c>
      <c r="L273" s="6">
        <f>IFERROR(VLOOKUP(A273,'[4]Consumo SEMANAL PV '!$B:$DN,117,0),0)</f>
        <v>1416.6666666666667</v>
      </c>
    </row>
    <row r="274" spans="1:12" x14ac:dyDescent="0.3">
      <c r="A274" s="2">
        <v>405794</v>
      </c>
      <c r="B274" s="2" t="s">
        <v>830</v>
      </c>
      <c r="C274" s="2" t="s">
        <v>253</v>
      </c>
      <c r="D274" s="2" t="s">
        <v>254</v>
      </c>
      <c r="E274" s="2">
        <v>1117</v>
      </c>
      <c r="F274" s="2">
        <v>600</v>
      </c>
      <c r="G274" s="5">
        <v>670200</v>
      </c>
      <c r="H274" s="1">
        <f t="shared" ca="1" si="9"/>
        <v>46194</v>
      </c>
      <c r="I274" s="5">
        <f>IFERROR(VLOOKUP(A274,'[3]Consumo SEMANAL PV '!$B:$DI,112,0),0)</f>
        <v>0</v>
      </c>
      <c r="J274" s="2" t="str">
        <f>IFERROR(VLOOKUP(A274,Hoja4!A:C,3,0),"")</f>
        <v>Carton</v>
      </c>
      <c r="K274" s="9">
        <f t="shared" si="10"/>
        <v>0</v>
      </c>
      <c r="L274" s="6">
        <f>IFERROR(VLOOKUP(A274,'[4]Consumo SEMANAL PV '!$B:$DN,117,0),0)</f>
        <v>0</v>
      </c>
    </row>
    <row r="275" spans="1:12" x14ac:dyDescent="0.3">
      <c r="A275" s="2">
        <v>107365</v>
      </c>
      <c r="B275" s="2" t="s">
        <v>260</v>
      </c>
      <c r="C275" s="2" t="s">
        <v>253</v>
      </c>
      <c r="D275" s="2" t="s">
        <v>254</v>
      </c>
      <c r="E275" s="2">
        <v>500</v>
      </c>
      <c r="F275" s="2">
        <v>493</v>
      </c>
      <c r="G275" s="5">
        <v>246500</v>
      </c>
      <c r="H275" s="1">
        <f t="shared" ca="1" si="9"/>
        <v>46194</v>
      </c>
      <c r="I275" s="5">
        <f>IFERROR(VLOOKUP(A275,'[3]Consumo SEMANAL PV '!$B:$DI,112,0),0)</f>
        <v>91.5138888888889</v>
      </c>
      <c r="J275" s="2" t="str">
        <f>IFERROR(VLOOKUP(A275,Hoja4!A:C,3,0),"")</f>
        <v>Caja</v>
      </c>
      <c r="K275" s="9">
        <f t="shared" si="10"/>
        <v>5.4636515404461976</v>
      </c>
      <c r="L275" s="6">
        <f>IFERROR(VLOOKUP(A275,'[4]Consumo SEMANAL PV '!$B:$DN,117,0),0)</f>
        <v>1593.75</v>
      </c>
    </row>
    <row r="276" spans="1:12" x14ac:dyDescent="0.3">
      <c r="A276" s="2">
        <v>402251</v>
      </c>
      <c r="B276" s="2" t="s">
        <v>261</v>
      </c>
      <c r="C276" s="2" t="s">
        <v>253</v>
      </c>
      <c r="D276" s="2" t="s">
        <v>254</v>
      </c>
      <c r="E276" s="2">
        <v>440</v>
      </c>
      <c r="F276" s="2">
        <v>566.26</v>
      </c>
      <c r="G276" s="5">
        <v>249154.4</v>
      </c>
      <c r="H276" s="1">
        <f t="shared" ca="1" si="9"/>
        <v>46194</v>
      </c>
      <c r="I276" s="5">
        <f>IFERROR(VLOOKUP(A276,'[3]Consumo SEMANAL PV '!$B:$DI,112,0),0)</f>
        <v>89.393939393939391</v>
      </c>
      <c r="J276" s="2" t="str">
        <f>IFERROR(VLOOKUP(A276,Hoja4!A:C,3,0),"")</f>
        <v>Caja</v>
      </c>
      <c r="K276" s="9">
        <f t="shared" si="10"/>
        <v>4.9220338983050853</v>
      </c>
      <c r="L276" s="6">
        <f>IFERROR(VLOOKUP(A276,'[4]Consumo SEMANAL PV '!$B:$DN,117,0),0)</f>
        <v>1619.0476190476193</v>
      </c>
    </row>
    <row r="277" spans="1:12" x14ac:dyDescent="0.3">
      <c r="A277" s="2">
        <v>403393</v>
      </c>
      <c r="B277" s="2" t="s">
        <v>262</v>
      </c>
      <c r="C277" s="2" t="s">
        <v>253</v>
      </c>
      <c r="D277" s="2" t="s">
        <v>254</v>
      </c>
      <c r="E277" s="2">
        <v>550</v>
      </c>
      <c r="F277" s="2">
        <v>555</v>
      </c>
      <c r="G277" s="5">
        <v>305250</v>
      </c>
      <c r="H277" s="1">
        <f t="shared" ca="1" si="9"/>
        <v>46194</v>
      </c>
      <c r="I277" s="5">
        <f>IFERROR(VLOOKUP(A277,'[3]Consumo SEMANAL PV '!$B:$DI,112,0),0)</f>
        <v>81.666666666666671</v>
      </c>
      <c r="J277" s="2" t="str">
        <f>IFERROR(VLOOKUP(A277,Hoja4!A:C,3,0),"")</f>
        <v>Caja</v>
      </c>
      <c r="K277" s="9">
        <f t="shared" si="10"/>
        <v>6.7346938775510203</v>
      </c>
      <c r="L277" s="6">
        <f>IFERROR(VLOOKUP(A277,'[4]Consumo SEMANAL PV '!$B:$DN,117,0),0)</f>
        <v>1416.6666666666667</v>
      </c>
    </row>
    <row r="278" spans="1:12" x14ac:dyDescent="0.3">
      <c r="A278" s="2">
        <v>402253</v>
      </c>
      <c r="B278" s="2" t="s">
        <v>263</v>
      </c>
      <c r="C278" s="2" t="s">
        <v>253</v>
      </c>
      <c r="D278" s="2" t="s">
        <v>254</v>
      </c>
      <c r="E278" s="2">
        <v>500</v>
      </c>
      <c r="F278" s="5">
        <v>518.45000000000005</v>
      </c>
      <c r="G278" s="5">
        <v>259225</v>
      </c>
      <c r="H278" s="1">
        <f t="shared" ca="1" si="9"/>
        <v>46194</v>
      </c>
      <c r="I278" s="5">
        <f>IFERROR(VLOOKUP(A278,'[3]Consumo SEMANAL PV '!$B:$DI,112,0),0)</f>
        <v>83.333333333333329</v>
      </c>
      <c r="J278" s="2" t="str">
        <f>IFERROR(VLOOKUP(A278,Hoja4!A:C,3,0),"")</f>
        <v>Caja</v>
      </c>
      <c r="K278" s="9">
        <f t="shared" si="10"/>
        <v>6</v>
      </c>
      <c r="L278" s="6">
        <f>IFERROR(VLOOKUP(A278,'[4]Consumo SEMANAL PV '!$B:$DN,117,0),0)</f>
        <v>1700</v>
      </c>
    </row>
    <row r="279" spans="1:12" x14ac:dyDescent="0.3">
      <c r="A279" s="2">
        <v>106302</v>
      </c>
      <c r="B279" s="2" t="s">
        <v>264</v>
      </c>
      <c r="C279" s="2" t="s">
        <v>253</v>
      </c>
      <c r="D279" s="2" t="s">
        <v>254</v>
      </c>
      <c r="E279" s="5">
        <v>126</v>
      </c>
      <c r="F279" s="2">
        <v>9777.9699999999993</v>
      </c>
      <c r="G279" s="5">
        <v>1232024.22</v>
      </c>
      <c r="H279" s="1">
        <f t="shared" ca="1" si="9"/>
        <v>46194</v>
      </c>
      <c r="I279" s="5">
        <f>IFERROR(VLOOKUP(A279,'[3]Consumo SEMANAL PV '!$B:$DI,112,0),0)</f>
        <v>0.40972222222222227</v>
      </c>
      <c r="J279" s="2" t="str">
        <f>IFERROR(VLOOKUP(A279,Hoja4!A:C,3,0),"")</f>
        <v>Esencia</v>
      </c>
      <c r="K279" s="9">
        <f t="shared" si="10"/>
        <v>307.52542372881351</v>
      </c>
      <c r="L279" s="6">
        <f>IFERROR(VLOOKUP(A279,'[4]Consumo SEMANAL PV '!$B:$DN,117,0),0)</f>
        <v>2.1354166666666665</v>
      </c>
    </row>
    <row r="280" spans="1:12" x14ac:dyDescent="0.3">
      <c r="A280" s="2">
        <v>403219</v>
      </c>
      <c r="B280" s="2" t="s">
        <v>20</v>
      </c>
      <c r="C280" s="2" t="s">
        <v>253</v>
      </c>
      <c r="D280" s="2" t="s">
        <v>254</v>
      </c>
      <c r="E280" s="5">
        <v>17000</v>
      </c>
      <c r="F280" s="2">
        <v>6.1</v>
      </c>
      <c r="G280" s="5">
        <v>103700</v>
      </c>
      <c r="H280" s="1">
        <f t="shared" ca="1" si="9"/>
        <v>46194</v>
      </c>
      <c r="I280" s="5">
        <f>IFERROR(VLOOKUP(A280,'[3]Consumo SEMANAL PV '!$B:$DI,112,0),0)</f>
        <v>3700</v>
      </c>
      <c r="J280" s="2" t="str">
        <f>IFERROR(VLOOKUP(A280,Hoja4!A:C,3,0),"")</f>
        <v>Cupula</v>
      </c>
      <c r="K280" s="9">
        <f t="shared" si="10"/>
        <v>4.5945945945945947</v>
      </c>
      <c r="L280" s="6">
        <f>IFERROR(VLOOKUP(A280,'[4]Consumo SEMANAL PV '!$B:$DN,117,0),0)</f>
        <v>19215.686274509804</v>
      </c>
    </row>
    <row r="281" spans="1:12" x14ac:dyDescent="0.3">
      <c r="A281" s="2">
        <v>403258</v>
      </c>
      <c r="B281" s="2" t="s">
        <v>265</v>
      </c>
      <c r="C281" s="2" t="s">
        <v>253</v>
      </c>
      <c r="D281" s="2" t="s">
        <v>254</v>
      </c>
      <c r="E281" s="2">
        <v>2000</v>
      </c>
      <c r="F281" s="5">
        <v>14.23</v>
      </c>
      <c r="G281" s="5">
        <v>28460</v>
      </c>
      <c r="H281" s="1">
        <f t="shared" ca="1" si="9"/>
        <v>46194</v>
      </c>
      <c r="I281" s="5">
        <f>IFERROR(VLOOKUP(A281,'[3]Consumo SEMANAL PV '!$B:$DI,112,0),0)</f>
        <v>566.66666666666663</v>
      </c>
      <c r="J281" s="2" t="str">
        <f>IFERROR(VLOOKUP(A281,Hoja4!A:C,3,0),"")</f>
        <v>Carton</v>
      </c>
      <c r="K281" s="9">
        <f t="shared" si="10"/>
        <v>3.5294117647058827</v>
      </c>
      <c r="L281" s="6">
        <f>IFERROR(VLOOKUP(A281,'[4]Consumo SEMANAL PV '!$B:$DN,117,0),0)</f>
        <v>0</v>
      </c>
    </row>
    <row r="282" spans="1:12" x14ac:dyDescent="0.3">
      <c r="A282" s="2">
        <v>405728</v>
      </c>
      <c r="B282" s="2" t="s">
        <v>266</v>
      </c>
      <c r="C282" s="2" t="s">
        <v>253</v>
      </c>
      <c r="D282" s="2" t="s">
        <v>254</v>
      </c>
      <c r="E282" s="5">
        <v>28</v>
      </c>
      <c r="F282" s="5">
        <v>13496.89</v>
      </c>
      <c r="G282" s="5">
        <v>377912.92</v>
      </c>
      <c r="H282" s="1">
        <f t="shared" ca="1" si="9"/>
        <v>46194</v>
      </c>
      <c r="I282" s="5">
        <f>IFERROR(VLOOKUP(A282,'[3]Consumo SEMANAL PV '!$B:$DI,112,0),0)</f>
        <v>5.1794871794871797</v>
      </c>
      <c r="J282" s="2" t="str">
        <f>IFERROR(VLOOKUP(A282,Hoja4!A:C,3,0),"")</f>
        <v>Chocolate</v>
      </c>
      <c r="K282" s="9">
        <f t="shared" si="10"/>
        <v>5.4059405940594054</v>
      </c>
      <c r="L282" s="6">
        <f>IFERROR(VLOOKUP(A282,'[4]Consumo SEMANAL PV '!$B:$DN,117,0),0)</f>
        <v>38.4</v>
      </c>
    </row>
    <row r="283" spans="1:12" x14ac:dyDescent="0.3">
      <c r="A283" s="2">
        <v>402255</v>
      </c>
      <c r="B283" s="2" t="s">
        <v>26</v>
      </c>
      <c r="C283" s="2" t="s">
        <v>253</v>
      </c>
      <c r="D283" s="2" t="s">
        <v>254</v>
      </c>
      <c r="E283" s="2">
        <v>1040</v>
      </c>
      <c r="F283" s="5">
        <v>1290</v>
      </c>
      <c r="G283" s="5">
        <v>1341600</v>
      </c>
      <c r="H283" s="1">
        <f t="shared" ca="1" si="9"/>
        <v>46194</v>
      </c>
      <c r="I283" s="5">
        <f>IFERROR(VLOOKUP(A283,'[3]Consumo SEMANAL PV '!$B:$DI,112,0),0)</f>
        <v>13.36</v>
      </c>
      <c r="J283" s="2" t="str">
        <f>IFERROR(VLOOKUP(A283,Hoja4!A:C,3,0),"")</f>
        <v>Empaque</v>
      </c>
      <c r="K283" s="9">
        <f t="shared" si="10"/>
        <v>77.844311377245518</v>
      </c>
      <c r="L283" s="6">
        <f>IFERROR(VLOOKUP(A283,'[4]Consumo SEMANAL PV '!$B:$DN,117,0),0)</f>
        <v>76.127450980392155</v>
      </c>
    </row>
    <row r="284" spans="1:12" x14ac:dyDescent="0.3">
      <c r="A284" s="2">
        <v>107134</v>
      </c>
      <c r="B284" s="2" t="s">
        <v>30</v>
      </c>
      <c r="C284" s="2" t="s">
        <v>253</v>
      </c>
      <c r="D284" s="2" t="s">
        <v>254</v>
      </c>
      <c r="E284" s="2">
        <v>160</v>
      </c>
      <c r="F284" s="5">
        <v>3599.97</v>
      </c>
      <c r="G284" s="5">
        <v>575995.19999999995</v>
      </c>
      <c r="H284" s="1">
        <f t="shared" ca="1" si="9"/>
        <v>46194</v>
      </c>
      <c r="I284" s="5">
        <f>IFERROR(VLOOKUP(A284,'[3]Consumo SEMANAL PV '!$B:$DI,112,0),0)</f>
        <v>7.4305555555555562</v>
      </c>
      <c r="J284" s="2" t="str">
        <f>IFERROR(VLOOKUP(A284,Hoja4!A:C,3,0),"")</f>
        <v>Esencia</v>
      </c>
      <c r="K284" s="9">
        <f t="shared" si="10"/>
        <v>21.532710280373831</v>
      </c>
      <c r="L284" s="6">
        <f>IFERROR(VLOOKUP(A284,'[4]Consumo SEMANAL PV '!$B:$DN,117,0),0)</f>
        <v>35.9375</v>
      </c>
    </row>
    <row r="285" spans="1:12" x14ac:dyDescent="0.3">
      <c r="A285" s="2">
        <v>405304</v>
      </c>
      <c r="B285" s="2" t="s">
        <v>267</v>
      </c>
      <c r="C285" s="2" t="s">
        <v>253</v>
      </c>
      <c r="D285" s="2" t="s">
        <v>254</v>
      </c>
      <c r="E285" s="5">
        <v>55</v>
      </c>
      <c r="F285" s="2">
        <v>10134</v>
      </c>
      <c r="G285" s="5">
        <v>557370</v>
      </c>
      <c r="H285" s="1">
        <f t="shared" ca="1" si="9"/>
        <v>46194</v>
      </c>
      <c r="I285" s="5">
        <f>IFERROR(VLOOKUP(A285,'[3]Consumo SEMANAL PV '!$B:$DI,112,0),0)</f>
        <v>1.6666666666666667</v>
      </c>
      <c r="J285" s="2" t="str">
        <f>IFERROR(VLOOKUP(A285,Hoja4!A:C,3,0),"")</f>
        <v>Colorante</v>
      </c>
      <c r="K285" s="9">
        <f t="shared" si="10"/>
        <v>33</v>
      </c>
      <c r="L285" s="6">
        <f>IFERROR(VLOOKUP(A285,'[4]Consumo SEMANAL PV '!$B:$DN,117,0),0)</f>
        <v>10</v>
      </c>
    </row>
    <row r="286" spans="1:12" x14ac:dyDescent="0.3">
      <c r="A286" s="2">
        <v>107300</v>
      </c>
      <c r="B286" s="2" t="s">
        <v>36</v>
      </c>
      <c r="C286" s="2" t="s">
        <v>253</v>
      </c>
      <c r="D286" s="2" t="s">
        <v>254</v>
      </c>
      <c r="E286" s="2">
        <v>3570</v>
      </c>
      <c r="F286" s="5">
        <v>212.87</v>
      </c>
      <c r="G286" s="5">
        <v>759945.9</v>
      </c>
      <c r="H286" s="1">
        <f t="shared" ca="1" si="9"/>
        <v>46194</v>
      </c>
      <c r="I286" s="5">
        <f>IFERROR(VLOOKUP(A286,'[3]Consumo SEMANAL PV '!$B:$DI,112,0),0)</f>
        <v>1316.1111111111111</v>
      </c>
      <c r="J286" s="2" t="str">
        <f>IFERROR(VLOOKUP(A286,Hoja4!A:C,3,0),"")</f>
        <v>Cupula</v>
      </c>
      <c r="K286" s="9">
        <f t="shared" si="10"/>
        <v>2.7125369354157871</v>
      </c>
      <c r="L286" s="6">
        <f>IFERROR(VLOOKUP(A286,'[4]Consumo SEMANAL PV '!$B:$DN,117,0),0)</f>
        <v>5375.416666666667</v>
      </c>
    </row>
    <row r="287" spans="1:12" x14ac:dyDescent="0.3">
      <c r="A287" s="2">
        <v>170183</v>
      </c>
      <c r="B287" s="2" t="s">
        <v>40</v>
      </c>
      <c r="C287" s="2" t="s">
        <v>253</v>
      </c>
      <c r="D287" s="2" t="s">
        <v>254</v>
      </c>
      <c r="E287" s="2">
        <v>300</v>
      </c>
      <c r="F287" s="5">
        <v>3376</v>
      </c>
      <c r="G287" s="5">
        <v>1012800</v>
      </c>
      <c r="H287" s="1">
        <f t="shared" ca="1" si="9"/>
        <v>46194</v>
      </c>
      <c r="I287" s="5">
        <f>IFERROR(VLOOKUP(A287,'[3]Consumo SEMANAL PV '!$B:$DI,112,0),0)</f>
        <v>0</v>
      </c>
      <c r="J287" s="2" t="str">
        <f>IFERROR(VLOOKUP(A287,Hoja4!A:C,3,0),"")</f>
        <v>cremas</v>
      </c>
      <c r="K287" s="9">
        <f t="shared" si="10"/>
        <v>0</v>
      </c>
      <c r="L287" s="6">
        <f>IFERROR(VLOOKUP(A287,'[4]Consumo SEMANAL PV '!$B:$DN,117,0),0)</f>
        <v>0</v>
      </c>
    </row>
    <row r="288" spans="1:12" x14ac:dyDescent="0.3">
      <c r="A288" s="2">
        <v>107237</v>
      </c>
      <c r="B288" s="2" t="s">
        <v>42</v>
      </c>
      <c r="C288" s="2" t="s">
        <v>253</v>
      </c>
      <c r="D288" s="2" t="s">
        <v>254</v>
      </c>
      <c r="E288" s="2">
        <v>508</v>
      </c>
      <c r="F288" s="5">
        <v>4078.17</v>
      </c>
      <c r="G288" s="5">
        <v>2071710.36</v>
      </c>
      <c r="H288" s="1">
        <f t="shared" ca="1" si="9"/>
        <v>46194</v>
      </c>
      <c r="I288" s="5">
        <f>IFERROR(VLOOKUP(A288,'[3]Consumo SEMANAL PV '!$B:$DI,112,0),0)</f>
        <v>15.086956521739131</v>
      </c>
      <c r="J288" s="2" t="str">
        <f>IFERROR(VLOOKUP(A288,Hoja4!A:C,3,0),"")</f>
        <v>Cremas</v>
      </c>
      <c r="K288" s="9">
        <f t="shared" si="10"/>
        <v>33.671469740634002</v>
      </c>
      <c r="L288" s="6">
        <f>IFERROR(VLOOKUP(A288,'[4]Consumo SEMANAL PV '!$B:$DN,117,0),0)</f>
        <v>80.3125</v>
      </c>
    </row>
    <row r="289" spans="1:12" x14ac:dyDescent="0.3">
      <c r="A289" s="2">
        <v>107104</v>
      </c>
      <c r="B289" s="2" t="s">
        <v>43</v>
      </c>
      <c r="C289" s="2" t="s">
        <v>253</v>
      </c>
      <c r="D289" s="2" t="s">
        <v>254</v>
      </c>
      <c r="E289" s="2">
        <v>313</v>
      </c>
      <c r="F289" s="5">
        <v>3380</v>
      </c>
      <c r="G289" s="5">
        <v>1057940</v>
      </c>
      <c r="H289" s="1">
        <f t="shared" ca="1" si="9"/>
        <v>46194</v>
      </c>
      <c r="I289" s="5">
        <f>IFERROR(VLOOKUP(A289,'[3]Consumo SEMANAL PV '!$B:$DI,112,0),0)</f>
        <v>182.32666666666668</v>
      </c>
      <c r="J289" s="2" t="str">
        <f>IFERROR(VLOOKUP(A289,Hoja4!A:C,3,0),"")</f>
        <v>Cremas</v>
      </c>
      <c r="K289" s="9">
        <f t="shared" si="10"/>
        <v>1.7166989652272477</v>
      </c>
      <c r="L289" s="6">
        <f>IFERROR(VLOOKUP(A289,'[4]Consumo SEMANAL PV '!$B:$DN,117,0),0)</f>
        <v>672.66666666666663</v>
      </c>
    </row>
    <row r="290" spans="1:12" x14ac:dyDescent="0.3">
      <c r="A290" s="2">
        <v>107142</v>
      </c>
      <c r="B290" s="2" t="s">
        <v>44</v>
      </c>
      <c r="C290" s="2" t="s">
        <v>253</v>
      </c>
      <c r="D290" s="2" t="s">
        <v>254</v>
      </c>
      <c r="E290" s="5">
        <v>121</v>
      </c>
      <c r="F290" s="5">
        <v>3249.98</v>
      </c>
      <c r="G290" s="5">
        <v>393247.58</v>
      </c>
      <c r="H290" s="1">
        <f t="shared" ca="1" si="9"/>
        <v>46194</v>
      </c>
      <c r="I290" s="5">
        <f>IFERROR(VLOOKUP(A290,'[3]Consumo SEMANAL PV '!$B:$DI,112,0),0)</f>
        <v>69.320000000000007</v>
      </c>
      <c r="J290" s="2" t="str">
        <f>IFERROR(VLOOKUP(A290,Hoja4!A:C,3,0),"")</f>
        <v>Cremas</v>
      </c>
      <c r="K290" s="9">
        <f t="shared" si="10"/>
        <v>1.7455279861511828</v>
      </c>
      <c r="L290" s="6">
        <f>IFERROR(VLOOKUP(A290,'[4]Consumo SEMANAL PV '!$B:$DN,117,0),0)</f>
        <v>341.58823529411762</v>
      </c>
    </row>
    <row r="291" spans="1:12" x14ac:dyDescent="0.3">
      <c r="A291" s="2">
        <v>405161</v>
      </c>
      <c r="B291" s="2" t="s">
        <v>268</v>
      </c>
      <c r="C291" s="2" t="s">
        <v>253</v>
      </c>
      <c r="D291" s="2" t="s">
        <v>254</v>
      </c>
      <c r="E291" s="2">
        <v>1080</v>
      </c>
      <c r="F291" s="5">
        <v>2557.06</v>
      </c>
      <c r="G291" s="5">
        <v>2761624.8</v>
      </c>
      <c r="H291" s="1">
        <f t="shared" ca="1" si="9"/>
        <v>46194</v>
      </c>
      <c r="I291" s="5">
        <f>IFERROR(VLOOKUP(A291,'[3]Consumo SEMANAL PV '!$B:$DI,112,0),0)</f>
        <v>33.083333333333336</v>
      </c>
      <c r="J291" s="2" t="str">
        <f>IFERROR(VLOOKUP(A291,Hoja4!A:C,3,0),"")</f>
        <v>Cremas</v>
      </c>
      <c r="K291" s="9">
        <f t="shared" si="10"/>
        <v>32.644836272040301</v>
      </c>
      <c r="L291" s="6">
        <f>IFERROR(VLOOKUP(A291,'[4]Consumo SEMANAL PV '!$B:$DN,117,0),0)</f>
        <v>117.61904761904762</v>
      </c>
    </row>
    <row r="292" spans="1:12" x14ac:dyDescent="0.3">
      <c r="A292" s="2">
        <v>107098</v>
      </c>
      <c r="B292" s="2" t="s">
        <v>45</v>
      </c>
      <c r="C292" s="2" t="s">
        <v>253</v>
      </c>
      <c r="D292" s="2" t="s">
        <v>254</v>
      </c>
      <c r="E292" s="2">
        <v>414.5</v>
      </c>
      <c r="F292" s="5">
        <v>3199.39</v>
      </c>
      <c r="G292" s="5">
        <v>1326147.155</v>
      </c>
      <c r="H292" s="1">
        <f t="shared" ca="1" si="9"/>
        <v>46194</v>
      </c>
      <c r="I292" s="5">
        <f>IFERROR(VLOOKUP(A292,'[3]Consumo SEMANAL PV '!$B:$DI,112,0),0)</f>
        <v>148.50333333333333</v>
      </c>
      <c r="J292" s="2" t="str">
        <f>IFERROR(VLOOKUP(A292,Hoja4!A:C,3,0),"")</f>
        <v>Cremas</v>
      </c>
      <c r="K292" s="9">
        <f t="shared" si="10"/>
        <v>2.7911831384256245</v>
      </c>
      <c r="L292" s="6">
        <f>IFERROR(VLOOKUP(A292,'[4]Consumo SEMANAL PV '!$B:$DN,117,0),0)</f>
        <v>980</v>
      </c>
    </row>
    <row r="293" spans="1:12" x14ac:dyDescent="0.3">
      <c r="A293" s="2">
        <v>107417</v>
      </c>
      <c r="B293" s="2" t="s">
        <v>269</v>
      </c>
      <c r="C293" s="2" t="s">
        <v>253</v>
      </c>
      <c r="D293" s="2" t="s">
        <v>254</v>
      </c>
      <c r="E293" s="2">
        <v>640</v>
      </c>
      <c r="F293" s="5">
        <v>2980</v>
      </c>
      <c r="G293" s="5">
        <v>1907200</v>
      </c>
      <c r="H293" s="1">
        <f t="shared" ca="1" si="9"/>
        <v>46194</v>
      </c>
      <c r="I293" s="5">
        <f>IFERROR(VLOOKUP(A293,'[3]Consumo SEMANAL PV '!$B:$DI,112,0),0)</f>
        <v>61.111111111111114</v>
      </c>
      <c r="J293" s="2" t="str">
        <f>IFERROR(VLOOKUP(A293,Hoja4!A:C,3,0),"")</f>
        <v>Cremas</v>
      </c>
      <c r="K293" s="9">
        <f t="shared" si="10"/>
        <v>10.472727272727273</v>
      </c>
      <c r="L293" s="6">
        <f>IFERROR(VLOOKUP(A293,'[4]Consumo SEMANAL PV '!$B:$DN,117,0),0)</f>
        <v>322.61904761904771</v>
      </c>
    </row>
    <row r="294" spans="1:12" x14ac:dyDescent="0.3">
      <c r="A294" s="2">
        <v>107242</v>
      </c>
      <c r="B294" s="2" t="s">
        <v>46</v>
      </c>
      <c r="C294" s="2" t="s">
        <v>253</v>
      </c>
      <c r="D294" s="2" t="s">
        <v>254</v>
      </c>
      <c r="E294" s="2">
        <v>190</v>
      </c>
      <c r="F294" s="5">
        <v>4270.74</v>
      </c>
      <c r="G294" s="5">
        <v>811440.6</v>
      </c>
      <c r="H294" s="1">
        <f t="shared" ca="1" si="9"/>
        <v>46194</v>
      </c>
      <c r="I294" s="5">
        <f>IFERROR(VLOOKUP(A294,'[3]Consumo SEMANAL PV '!$B:$DI,112,0),0)</f>
        <v>56.666666666666664</v>
      </c>
      <c r="J294" s="2" t="str">
        <f>IFERROR(VLOOKUP(A294,Hoja4!A:C,3,0),"")</f>
        <v>Cremas</v>
      </c>
      <c r="K294" s="9">
        <f t="shared" si="10"/>
        <v>3.3529411764705883</v>
      </c>
      <c r="L294" s="6">
        <f>IFERROR(VLOOKUP(A294,'[4]Consumo SEMANAL PV '!$B:$DN,117,0),0)</f>
        <v>106.47058823529413</v>
      </c>
    </row>
    <row r="295" spans="1:12" x14ac:dyDescent="0.3">
      <c r="A295" s="2">
        <v>103612</v>
      </c>
      <c r="B295" s="2" t="s">
        <v>48</v>
      </c>
      <c r="C295" s="2" t="s">
        <v>253</v>
      </c>
      <c r="D295" s="2" t="s">
        <v>254</v>
      </c>
      <c r="E295" s="5">
        <v>629</v>
      </c>
      <c r="F295" s="5">
        <v>2600</v>
      </c>
      <c r="G295" s="5">
        <v>1635400</v>
      </c>
      <c r="H295" s="1">
        <f t="shared" ca="1" si="9"/>
        <v>46194</v>
      </c>
      <c r="I295" s="5">
        <f>IFERROR(VLOOKUP(A295,'[3]Consumo SEMANAL PV '!$B:$DI,112,0),0)</f>
        <v>7.3666666666666671</v>
      </c>
      <c r="J295" s="2" t="str">
        <f>IFERROR(VLOOKUP(A295,Hoja4!A:C,3,0),"")</f>
        <v>Cremas</v>
      </c>
      <c r="K295" s="9">
        <f t="shared" si="10"/>
        <v>85.384615384615373</v>
      </c>
      <c r="L295" s="6">
        <f>IFERROR(VLOOKUP(A295,'[4]Consumo SEMANAL PV '!$B:$DN,117,0),0)</f>
        <v>29.490196078431371</v>
      </c>
    </row>
    <row r="296" spans="1:12" x14ac:dyDescent="0.3">
      <c r="A296" s="2">
        <v>107209</v>
      </c>
      <c r="B296" s="2" t="s">
        <v>49</v>
      </c>
      <c r="C296" s="2" t="s">
        <v>253</v>
      </c>
      <c r="D296" s="2" t="s">
        <v>254</v>
      </c>
      <c r="E296" s="2">
        <v>1596</v>
      </c>
      <c r="F296" s="5">
        <v>2402.4899999999998</v>
      </c>
      <c r="G296" s="5">
        <v>3834374.04</v>
      </c>
      <c r="H296" s="1">
        <f t="shared" ca="1" si="9"/>
        <v>46194</v>
      </c>
      <c r="I296" s="5">
        <f>IFERROR(VLOOKUP(A296,'[3]Consumo SEMANAL PV '!$B:$DI,112,0),0)</f>
        <v>810.64</v>
      </c>
      <c r="J296" s="2" t="str">
        <f>IFERROR(VLOOKUP(A296,Hoja4!A:C,3,0),"")</f>
        <v>Cremas</v>
      </c>
      <c r="K296" s="9">
        <f t="shared" si="10"/>
        <v>1.9688147636435409</v>
      </c>
      <c r="L296" s="6">
        <f>IFERROR(VLOOKUP(A296,'[4]Consumo SEMANAL PV '!$B:$DN,117,0),0)</f>
        <v>3923.7254901960778</v>
      </c>
    </row>
    <row r="297" spans="1:12" x14ac:dyDescent="0.3">
      <c r="A297" s="2">
        <v>405524</v>
      </c>
      <c r="B297" s="2" t="s">
        <v>270</v>
      </c>
      <c r="C297" s="2" t="s">
        <v>253</v>
      </c>
      <c r="D297" s="2" t="s">
        <v>254</v>
      </c>
      <c r="E297" s="5">
        <v>78</v>
      </c>
      <c r="F297" s="5">
        <v>3627.97</v>
      </c>
      <c r="G297" s="5">
        <v>282981.65999999997</v>
      </c>
      <c r="H297" s="1">
        <f t="shared" ca="1" si="9"/>
        <v>46194</v>
      </c>
      <c r="I297" s="5">
        <f>IFERROR(VLOOKUP(A297,'[3]Consumo SEMANAL PV '!$B:$DI,112,0),0)</f>
        <v>8.1319444444444446</v>
      </c>
      <c r="J297" s="2" t="str">
        <f>IFERROR(VLOOKUP(A297,Hoja4!A:C,3,0),"")</f>
        <v>Mermelada</v>
      </c>
      <c r="K297" s="9">
        <f t="shared" si="10"/>
        <v>9.5918018787361223</v>
      </c>
      <c r="L297" s="6">
        <f>IFERROR(VLOOKUP(A297,'[4]Consumo SEMANAL PV '!$B:$DN,117,0),0)</f>
        <v>53.352941176470594</v>
      </c>
    </row>
    <row r="298" spans="1:12" x14ac:dyDescent="0.3">
      <c r="A298" s="2">
        <v>405214</v>
      </c>
      <c r="B298" s="2" t="s">
        <v>271</v>
      </c>
      <c r="C298" s="2" t="s">
        <v>253</v>
      </c>
      <c r="D298" s="2" t="s">
        <v>254</v>
      </c>
      <c r="E298" s="2">
        <v>3740</v>
      </c>
      <c r="F298" s="5">
        <v>2980</v>
      </c>
      <c r="G298" s="5">
        <v>11145200</v>
      </c>
      <c r="H298" s="1">
        <f t="shared" ca="1" si="9"/>
        <v>46194</v>
      </c>
      <c r="I298" s="5">
        <f>IFERROR(VLOOKUP(A298,'[3]Consumo SEMANAL PV '!$B:$DI,112,0),0)</f>
        <v>105.79545454545455</v>
      </c>
      <c r="J298" s="2" t="str">
        <f>IFERROR(VLOOKUP(A298,Hoja4!A:C,3,0),"")</f>
        <v>Cremas</v>
      </c>
      <c r="K298" s="9">
        <f t="shared" si="10"/>
        <v>35.351235230934478</v>
      </c>
      <c r="L298" s="6">
        <f>IFERROR(VLOOKUP(A298,'[4]Consumo SEMANAL PV '!$B:$DN,117,0),0)</f>
        <v>607.5</v>
      </c>
    </row>
    <row r="299" spans="1:12" x14ac:dyDescent="0.3">
      <c r="A299" s="2">
        <v>107317</v>
      </c>
      <c r="B299" s="2" t="s">
        <v>272</v>
      </c>
      <c r="C299" s="2" t="s">
        <v>253</v>
      </c>
      <c r="D299" s="2" t="s">
        <v>254</v>
      </c>
      <c r="E299" s="2">
        <v>320</v>
      </c>
      <c r="F299" s="5">
        <v>4202.0600000000004</v>
      </c>
      <c r="G299" s="5">
        <v>1344659.2</v>
      </c>
      <c r="H299" s="1">
        <f t="shared" ca="1" si="9"/>
        <v>46194</v>
      </c>
      <c r="I299" s="5">
        <f>IFERROR(VLOOKUP(A299,'[3]Consumo SEMANAL PV '!$B:$DI,112,0),0)</f>
        <v>34.545454545454547</v>
      </c>
      <c r="J299" s="2" t="str">
        <f>IFERROR(VLOOKUP(A299,Hoja4!A:C,3,0),"")</f>
        <v>Fruta Congelada</v>
      </c>
      <c r="K299" s="9">
        <f t="shared" si="10"/>
        <v>9.2631578947368425</v>
      </c>
      <c r="L299" s="6">
        <f>IFERROR(VLOOKUP(A299,'[4]Consumo SEMANAL PV '!$B:$DN,117,0),0)</f>
        <v>227.08333333333331</v>
      </c>
    </row>
    <row r="300" spans="1:12" x14ac:dyDescent="0.3">
      <c r="A300" s="2">
        <v>107240</v>
      </c>
      <c r="B300" s="2" t="s">
        <v>273</v>
      </c>
      <c r="C300" s="2" t="s">
        <v>253</v>
      </c>
      <c r="D300" s="2" t="s">
        <v>254</v>
      </c>
      <c r="E300" s="5">
        <v>208.1</v>
      </c>
      <c r="F300" s="2">
        <v>3378.32</v>
      </c>
      <c r="G300" s="5">
        <v>703028.39199999999</v>
      </c>
      <c r="H300" s="1">
        <f t="shared" ca="1" si="9"/>
        <v>46194</v>
      </c>
      <c r="I300" s="5">
        <f>IFERROR(VLOOKUP(A300,'[3]Consumo SEMANAL PV '!$B:$DI,112,0),0)</f>
        <v>1.8944444444444446</v>
      </c>
      <c r="J300" s="2" t="str">
        <f>IFERROR(VLOOKUP(A300,Hoja4!A:C,3,0),"")</f>
        <v>Fruta Conserva</v>
      </c>
      <c r="K300" s="9">
        <f t="shared" si="10"/>
        <v>109.84750733137828</v>
      </c>
      <c r="L300" s="6">
        <f>IFERROR(VLOOKUP(A300,'[4]Consumo SEMANAL PV '!$B:$DN,117,0),0)</f>
        <v>9.4722222222222232</v>
      </c>
    </row>
    <row r="301" spans="1:12" x14ac:dyDescent="0.3">
      <c r="A301" s="2">
        <v>107345</v>
      </c>
      <c r="B301" s="2" t="s">
        <v>51</v>
      </c>
      <c r="C301" s="2" t="s">
        <v>253</v>
      </c>
      <c r="D301" s="2" t="s">
        <v>254</v>
      </c>
      <c r="E301" s="5">
        <v>3090</v>
      </c>
      <c r="F301" s="2">
        <v>185.4</v>
      </c>
      <c r="G301" s="5">
        <v>572886</v>
      </c>
      <c r="H301" s="1">
        <f t="shared" ca="1" si="9"/>
        <v>46194</v>
      </c>
      <c r="I301" s="5">
        <f>IFERROR(VLOOKUP(A301,'[3]Consumo SEMANAL PV '!$B:$DI,112,0),0)</f>
        <v>381.2</v>
      </c>
      <c r="J301" s="2" t="str">
        <f>IFERROR(VLOOKUP(A301,Hoja4!A:C,3,0),"")</f>
        <v>Cupula</v>
      </c>
      <c r="K301" s="9">
        <f t="shared" si="10"/>
        <v>8.1059811122770196</v>
      </c>
      <c r="L301" s="6">
        <f>IFERROR(VLOOKUP(A301,'[4]Consumo SEMANAL PV '!$B:$DN,117,0),0)</f>
        <v>1720.5882352941176</v>
      </c>
    </row>
    <row r="302" spans="1:12" x14ac:dyDescent="0.3">
      <c r="A302" s="2">
        <v>403244</v>
      </c>
      <c r="B302" s="2" t="s">
        <v>274</v>
      </c>
      <c r="C302" s="2" t="s">
        <v>253</v>
      </c>
      <c r="D302" s="2" t="s">
        <v>254</v>
      </c>
      <c r="E302" s="5">
        <v>6300</v>
      </c>
      <c r="F302" s="2">
        <v>231.75</v>
      </c>
      <c r="G302" s="5">
        <v>1460025</v>
      </c>
      <c r="H302" s="1">
        <f t="shared" ca="1" si="9"/>
        <v>46194</v>
      </c>
      <c r="I302" s="5">
        <f>IFERROR(VLOOKUP(A302,'[3]Consumo SEMANAL PV '!$B:$DI,112,0),0)</f>
        <v>585.6</v>
      </c>
      <c r="J302" s="2" t="str">
        <f>IFERROR(VLOOKUP(A302,Hoja4!A:C,3,0),"")</f>
        <v>Cupula</v>
      </c>
      <c r="K302" s="9">
        <f t="shared" si="10"/>
        <v>10.758196721311474</v>
      </c>
      <c r="L302" s="6">
        <f>IFERROR(VLOOKUP(A302,'[4]Consumo SEMANAL PV '!$B:$DN,117,0),0)</f>
        <v>3820.588235294118</v>
      </c>
    </row>
    <row r="303" spans="1:12" x14ac:dyDescent="0.3">
      <c r="A303" s="2">
        <v>107339</v>
      </c>
      <c r="B303" s="2" t="s">
        <v>54</v>
      </c>
      <c r="C303" s="2" t="s">
        <v>253</v>
      </c>
      <c r="D303" s="2" t="s">
        <v>254</v>
      </c>
      <c r="E303" s="2">
        <v>8540</v>
      </c>
      <c r="F303" s="2">
        <v>258.94</v>
      </c>
      <c r="G303" s="5">
        <v>2211347.6</v>
      </c>
      <c r="H303" s="1">
        <f t="shared" ca="1" si="9"/>
        <v>46194</v>
      </c>
      <c r="I303" s="5">
        <f>IFERROR(VLOOKUP(A303,'[3]Consumo SEMANAL PV '!$B:$DI,112,0),0)</f>
        <v>647.73333333333335</v>
      </c>
      <c r="J303" s="2" t="str">
        <f>IFERROR(VLOOKUP(A303,Hoja4!A:C,3,0),"")</f>
        <v>Cupula</v>
      </c>
      <c r="K303" s="9">
        <f t="shared" si="10"/>
        <v>13.184438040345821</v>
      </c>
      <c r="L303" s="6">
        <f>IFERROR(VLOOKUP(A303,'[4]Consumo SEMANAL PV '!$B:$DN,117,0),0)</f>
        <v>2360.7843137254899</v>
      </c>
    </row>
    <row r="304" spans="1:12" x14ac:dyDescent="0.3">
      <c r="A304" s="2">
        <v>405489</v>
      </c>
      <c r="B304" s="2" t="s">
        <v>275</v>
      </c>
      <c r="C304" s="2" t="s">
        <v>253</v>
      </c>
      <c r="D304" s="2" t="s">
        <v>254</v>
      </c>
      <c r="E304" s="5">
        <v>800</v>
      </c>
      <c r="F304" s="2">
        <v>247</v>
      </c>
      <c r="G304" s="5">
        <v>197600</v>
      </c>
      <c r="H304" s="1">
        <f t="shared" ca="1" si="9"/>
        <v>46194</v>
      </c>
      <c r="I304" s="5">
        <f>IFERROR(VLOOKUP(A304,'[3]Consumo SEMANAL PV '!$B:$DI,112,0),0)</f>
        <v>114.16666666666667</v>
      </c>
      <c r="J304" s="2" t="str">
        <f>IFERROR(VLOOKUP(A304,Hoja4!A:C,3,0),"")</f>
        <v>Cupula</v>
      </c>
      <c r="K304" s="9">
        <f t="shared" si="10"/>
        <v>7.0072992700729921</v>
      </c>
      <c r="L304" s="6">
        <f>IFERROR(VLOOKUP(A304,'[4]Consumo SEMANAL PV '!$B:$DN,117,0),0)</f>
        <v>456.66666666666669</v>
      </c>
    </row>
    <row r="305" spans="1:12" x14ac:dyDescent="0.3">
      <c r="A305" s="2">
        <v>405444</v>
      </c>
      <c r="B305" s="2" t="s">
        <v>55</v>
      </c>
      <c r="C305" s="2" t="s">
        <v>253</v>
      </c>
      <c r="D305" s="2" t="s">
        <v>254</v>
      </c>
      <c r="E305" s="5">
        <v>7200</v>
      </c>
      <c r="F305" s="2">
        <v>252</v>
      </c>
      <c r="G305" s="5">
        <v>1814400</v>
      </c>
      <c r="H305" s="1">
        <f t="shared" ca="1" si="9"/>
        <v>46194</v>
      </c>
      <c r="I305" s="5">
        <f>IFERROR(VLOOKUP(A305,'[3]Consumo SEMANAL PV '!$B:$DI,112,0),0)</f>
        <v>3233.3333333333335</v>
      </c>
      <c r="J305" s="2" t="str">
        <f>IFERROR(VLOOKUP(A305,Hoja4!A:C,3,0),"")</f>
        <v>Cupula</v>
      </c>
      <c r="K305" s="9">
        <f t="shared" si="10"/>
        <v>2.2268041237113403</v>
      </c>
      <c r="L305" s="6">
        <f>IFERROR(VLOOKUP(A305,'[4]Consumo SEMANAL PV '!$B:$DN,117,0),0)</f>
        <v>11090.196078431372</v>
      </c>
    </row>
    <row r="306" spans="1:12" x14ac:dyDescent="0.3">
      <c r="A306" s="2">
        <v>405770</v>
      </c>
      <c r="B306" s="2" t="s">
        <v>276</v>
      </c>
      <c r="C306" s="2" t="s">
        <v>253</v>
      </c>
      <c r="D306" s="2" t="s">
        <v>254</v>
      </c>
      <c r="E306" s="5">
        <v>6700</v>
      </c>
      <c r="F306" s="2">
        <v>200</v>
      </c>
      <c r="G306" s="5">
        <v>1340000</v>
      </c>
      <c r="H306" s="1">
        <f t="shared" ca="1" si="9"/>
        <v>46194</v>
      </c>
      <c r="I306" s="5">
        <f>IFERROR(VLOOKUP(A306,'[3]Consumo SEMANAL PV '!$B:$DI,112,0),0)</f>
        <v>427.77777777777777</v>
      </c>
      <c r="J306" s="2" t="str">
        <f>IFERROR(VLOOKUP(A306,Hoja4!A:C,3,0),"")</f>
        <v>Cupula</v>
      </c>
      <c r="K306" s="9">
        <f t="shared" si="10"/>
        <v>15.662337662337663</v>
      </c>
      <c r="L306" s="6">
        <f>IFERROR(VLOOKUP(A306,'[4]Consumo SEMANAL PV '!$B:$DN,117,0),0)</f>
        <v>0</v>
      </c>
    </row>
    <row r="307" spans="1:12" x14ac:dyDescent="0.3">
      <c r="A307" s="2">
        <v>405278</v>
      </c>
      <c r="B307" s="2" t="s">
        <v>56</v>
      </c>
      <c r="C307" s="2" t="s">
        <v>253</v>
      </c>
      <c r="D307" s="2" t="s">
        <v>254</v>
      </c>
      <c r="E307" s="5">
        <v>4760</v>
      </c>
      <c r="F307" s="2">
        <v>244.99</v>
      </c>
      <c r="G307" s="5">
        <v>1166152.3999999999</v>
      </c>
      <c r="H307" s="1">
        <f t="shared" ca="1" si="9"/>
        <v>46194</v>
      </c>
      <c r="I307" s="5">
        <f>IFERROR(VLOOKUP(A307,'[3]Consumo SEMANAL PV '!$B:$DI,112,0),0)</f>
        <v>213.88888888888889</v>
      </c>
      <c r="J307" s="2" t="str">
        <f>IFERROR(VLOOKUP(A307,Hoja4!A:C,3,0),"")</f>
        <v>Cupula</v>
      </c>
      <c r="K307" s="9">
        <f t="shared" si="10"/>
        <v>22.254545454545454</v>
      </c>
      <c r="L307" s="6">
        <f>IFERROR(VLOOKUP(A307,'[4]Consumo SEMANAL PV '!$B:$DN,117,0),0)</f>
        <v>620.39215686274508</v>
      </c>
    </row>
    <row r="308" spans="1:12" x14ac:dyDescent="0.3">
      <c r="A308" s="2">
        <v>405594</v>
      </c>
      <c r="B308" s="2" t="s">
        <v>277</v>
      </c>
      <c r="C308" s="2" t="s">
        <v>253</v>
      </c>
      <c r="D308" s="2" t="s">
        <v>254</v>
      </c>
      <c r="E308" s="5">
        <v>2000</v>
      </c>
      <c r="F308" s="2">
        <v>176</v>
      </c>
      <c r="G308" s="5">
        <v>352000</v>
      </c>
      <c r="H308" s="1">
        <f t="shared" ca="1" si="9"/>
        <v>46194</v>
      </c>
      <c r="I308" s="5">
        <f>IFERROR(VLOOKUP(A308,'[3]Consumo SEMANAL PV '!$B:$DI,112,0),0)</f>
        <v>0</v>
      </c>
      <c r="J308" s="2" t="str">
        <f>IFERROR(VLOOKUP(A308,Hoja4!A:C,3,0),"")</f>
        <v>Cupula</v>
      </c>
      <c r="K308" s="9">
        <f t="shared" si="10"/>
        <v>0</v>
      </c>
      <c r="L308" s="6">
        <f>IFERROR(VLOOKUP(A308,'[4]Consumo SEMANAL PV '!$B:$DN,117,0),0)</f>
        <v>0</v>
      </c>
    </row>
    <row r="309" spans="1:12" x14ac:dyDescent="0.3">
      <c r="A309" s="2">
        <v>107344</v>
      </c>
      <c r="B309" s="2" t="s">
        <v>57</v>
      </c>
      <c r="C309" s="2" t="s">
        <v>253</v>
      </c>
      <c r="D309" s="2" t="s">
        <v>254</v>
      </c>
      <c r="E309" s="2">
        <v>8750</v>
      </c>
      <c r="F309" s="5">
        <v>235.06</v>
      </c>
      <c r="G309" s="5">
        <v>2056775</v>
      </c>
      <c r="H309" s="1">
        <f t="shared" ca="1" si="9"/>
        <v>46194</v>
      </c>
      <c r="I309" s="5">
        <f>IFERROR(VLOOKUP(A309,'[3]Consumo SEMANAL PV '!$B:$DI,112,0),0)</f>
        <v>436.42857142857139</v>
      </c>
      <c r="J309" s="2" t="str">
        <f>IFERROR(VLOOKUP(A309,Hoja4!A:C,3,0),"")</f>
        <v>Cupula</v>
      </c>
      <c r="K309" s="9">
        <f t="shared" si="10"/>
        <v>20.04909983633388</v>
      </c>
      <c r="L309" s="6">
        <f>IFERROR(VLOOKUP(A309,'[4]Consumo SEMANAL PV '!$B:$DN,117,0),0)</f>
        <v>1952.4444444444443</v>
      </c>
    </row>
    <row r="310" spans="1:12" x14ac:dyDescent="0.3">
      <c r="A310" s="2">
        <v>107127</v>
      </c>
      <c r="B310" s="2" t="s">
        <v>59</v>
      </c>
      <c r="C310" s="2" t="s">
        <v>253</v>
      </c>
      <c r="D310" s="2" t="s">
        <v>254</v>
      </c>
      <c r="E310" s="2">
        <v>484</v>
      </c>
      <c r="F310" s="5">
        <v>6286.93</v>
      </c>
      <c r="G310" s="5">
        <v>3042874.12</v>
      </c>
      <c r="H310" s="1">
        <f t="shared" ca="1" si="9"/>
        <v>46194</v>
      </c>
      <c r="I310" s="5">
        <f>IFERROR(VLOOKUP(A310,'[3]Consumo SEMANAL PV '!$B:$DI,112,0),0)</f>
        <v>6.4208333333333334</v>
      </c>
      <c r="J310" s="2" t="str">
        <f>IFERROR(VLOOKUP(A310,Hoja4!A:C,3,0),"")</f>
        <v>Chocolate</v>
      </c>
      <c r="K310" s="9">
        <f t="shared" si="10"/>
        <v>75.379623621025303</v>
      </c>
      <c r="L310" s="6">
        <f>IFERROR(VLOOKUP(A310,'[4]Consumo SEMANAL PV '!$B:$DN,117,0),0)</f>
        <v>36.65625</v>
      </c>
    </row>
    <row r="311" spans="1:12" x14ac:dyDescent="0.3">
      <c r="A311" s="2">
        <v>107108</v>
      </c>
      <c r="B311" s="2" t="s">
        <v>60</v>
      </c>
      <c r="C311" s="2" t="s">
        <v>253</v>
      </c>
      <c r="D311" s="2" t="s">
        <v>254</v>
      </c>
      <c r="E311" s="5">
        <v>840.5</v>
      </c>
      <c r="F311" s="5">
        <v>4200</v>
      </c>
      <c r="G311" s="5">
        <v>3530100</v>
      </c>
      <c r="H311" s="1">
        <f t="shared" ca="1" si="9"/>
        <v>46194</v>
      </c>
      <c r="I311" s="5">
        <f>IFERROR(VLOOKUP(A311,'[3]Consumo SEMANAL PV '!$B:$DI,112,0),0)</f>
        <v>77.94</v>
      </c>
      <c r="J311" s="2" t="str">
        <f>IFERROR(VLOOKUP(A311,Hoja4!A:C,3,0),"")</f>
        <v>Chocolate</v>
      </c>
      <c r="K311" s="9">
        <f t="shared" si="10"/>
        <v>10.783936361303567</v>
      </c>
      <c r="L311" s="6">
        <f>IFERROR(VLOOKUP(A311,'[4]Consumo SEMANAL PV '!$B:$DN,117,0),0)</f>
        <v>379.52941176470586</v>
      </c>
    </row>
    <row r="312" spans="1:12" x14ac:dyDescent="0.3">
      <c r="A312" s="2">
        <v>201002</v>
      </c>
      <c r="B312" s="2" t="s">
        <v>278</v>
      </c>
      <c r="C312" s="2" t="s">
        <v>253</v>
      </c>
      <c r="D312" s="2" t="s">
        <v>254</v>
      </c>
      <c r="E312" s="5">
        <v>1440</v>
      </c>
      <c r="F312" s="2">
        <v>3210</v>
      </c>
      <c r="G312" s="5">
        <v>4622400</v>
      </c>
      <c r="H312" s="1">
        <f t="shared" ca="1" si="9"/>
        <v>46194</v>
      </c>
      <c r="I312" s="5">
        <f>IFERROR(VLOOKUP(A312,'[3]Consumo SEMANAL PV '!$B:$DI,112,0),0)</f>
        <v>67.266666666666666</v>
      </c>
      <c r="J312" s="2" t="str">
        <f>IFERROR(VLOOKUP(A312,Hoja4!A:C,3,0),"")</f>
        <v>Desmoldante</v>
      </c>
      <c r="K312" s="9">
        <f t="shared" si="10"/>
        <v>21.40733399405352</v>
      </c>
      <c r="L312" s="6">
        <f>IFERROR(VLOOKUP(A312,'[4]Consumo SEMANAL PV '!$B:$DN,117,0),0)</f>
        <v>404.11764705882354</v>
      </c>
    </row>
    <row r="313" spans="1:12" x14ac:dyDescent="0.3">
      <c r="A313" s="2">
        <v>405739</v>
      </c>
      <c r="B313" s="2" t="s">
        <v>279</v>
      </c>
      <c r="C313" s="2" t="s">
        <v>253</v>
      </c>
      <c r="D313" s="2" t="s">
        <v>254</v>
      </c>
      <c r="E313" s="5">
        <v>166000</v>
      </c>
      <c r="F313" s="2">
        <v>20.9</v>
      </c>
      <c r="G313" s="5">
        <v>3469400</v>
      </c>
      <c r="H313" s="1">
        <f t="shared" ca="1" si="9"/>
        <v>46194</v>
      </c>
      <c r="I313" s="5">
        <f>IFERROR(VLOOKUP(A313,'[3]Consumo SEMANAL PV '!$B:$DI,112,0),0)</f>
        <v>1475.7575757575758</v>
      </c>
      <c r="J313" s="2" t="str">
        <f>IFERROR(VLOOKUP(A313,Hoja4!A:C,3,0),"")</f>
        <v>Carton</v>
      </c>
      <c r="K313" s="9">
        <f t="shared" si="10"/>
        <v>112.48459958932239</v>
      </c>
      <c r="L313" s="6">
        <f>IFERROR(VLOOKUP(A313,'[4]Consumo SEMANAL PV '!$B:$DN,117,0),0)</f>
        <v>5800</v>
      </c>
    </row>
    <row r="314" spans="1:12" x14ac:dyDescent="0.3">
      <c r="A314" s="2">
        <v>405740</v>
      </c>
      <c r="B314" s="2" t="s">
        <v>61</v>
      </c>
      <c r="C314" s="2" t="s">
        <v>253</v>
      </c>
      <c r="D314" s="2" t="s">
        <v>254</v>
      </c>
      <c r="E314" s="5">
        <v>32700</v>
      </c>
      <c r="F314" s="2">
        <v>24.9</v>
      </c>
      <c r="G314" s="5">
        <v>814230</v>
      </c>
      <c r="H314" s="1">
        <f t="shared" ca="1" si="9"/>
        <v>46194</v>
      </c>
      <c r="I314" s="5">
        <f>IFERROR(VLOOKUP(A314,'[3]Consumo SEMANAL PV '!$B:$DI,112,0),0)</f>
        <v>6595.454545454545</v>
      </c>
      <c r="J314" s="2" t="str">
        <f>IFERROR(VLOOKUP(A314,Hoja4!A:C,3,0),"")</f>
        <v>Carton</v>
      </c>
      <c r="K314" s="9">
        <f t="shared" si="10"/>
        <v>4.9579600275671956</v>
      </c>
      <c r="L314" s="6">
        <f>IFERROR(VLOOKUP(A314,'[4]Consumo SEMANAL PV '!$B:$DN,117,0),0)</f>
        <v>28200</v>
      </c>
    </row>
    <row r="315" spans="1:12" x14ac:dyDescent="0.3">
      <c r="A315" s="2">
        <v>405741</v>
      </c>
      <c r="B315" s="2" t="s">
        <v>281</v>
      </c>
      <c r="C315" s="2" t="s">
        <v>253</v>
      </c>
      <c r="D315" s="2" t="s">
        <v>254</v>
      </c>
      <c r="E315" s="5">
        <v>198400</v>
      </c>
      <c r="F315" s="2">
        <v>33.4</v>
      </c>
      <c r="G315" s="5">
        <v>6626560</v>
      </c>
      <c r="H315" s="1">
        <f t="shared" ca="1" si="9"/>
        <v>46194</v>
      </c>
      <c r="I315" s="5">
        <f>IFERROR(VLOOKUP(A315,'[3]Consumo SEMANAL PV '!$B:$DI,112,0),0)</f>
        <v>913.33333333333337</v>
      </c>
      <c r="J315" s="2" t="str">
        <f>IFERROR(VLOOKUP(A315,Hoja4!A:C,3,0),"")</f>
        <v>Carton</v>
      </c>
      <c r="K315" s="9">
        <f t="shared" si="10"/>
        <v>217.22627737226276</v>
      </c>
      <c r="L315" s="6">
        <f>IFERROR(VLOOKUP(A315,'[4]Consumo SEMANAL PV '!$B:$DN,117,0),0)</f>
        <v>2500</v>
      </c>
    </row>
    <row r="316" spans="1:12" x14ac:dyDescent="0.3">
      <c r="A316" s="2">
        <v>403100</v>
      </c>
      <c r="B316" s="2" t="s">
        <v>282</v>
      </c>
      <c r="C316" s="2" t="s">
        <v>253</v>
      </c>
      <c r="D316" s="2" t="s">
        <v>254</v>
      </c>
      <c r="E316" s="2">
        <v>40600</v>
      </c>
      <c r="F316" s="2">
        <v>34.1</v>
      </c>
      <c r="G316" s="5">
        <v>1384460</v>
      </c>
      <c r="H316" s="1">
        <f t="shared" ca="1" si="9"/>
        <v>46194</v>
      </c>
      <c r="I316" s="5">
        <f>IFERROR(VLOOKUP(A316,'[3]Consumo SEMANAL PV '!$B:$DI,112,0),0)</f>
        <v>1982.936507936508</v>
      </c>
      <c r="J316" s="2" t="str">
        <f>IFERROR(VLOOKUP(A316,Hoja4!A:C,3,0),"")</f>
        <v>Carton</v>
      </c>
      <c r="K316" s="9">
        <f t="shared" si="10"/>
        <v>20.474684810886533</v>
      </c>
      <c r="L316" s="6">
        <f>IFERROR(VLOOKUP(A316,'[4]Consumo SEMANAL PV '!$B:$DN,117,0),0)</f>
        <v>13867.647058823532</v>
      </c>
    </row>
    <row r="317" spans="1:12" x14ac:dyDescent="0.3">
      <c r="A317" s="2">
        <v>403271</v>
      </c>
      <c r="B317" s="2" t="s">
        <v>64</v>
      </c>
      <c r="C317" s="2" t="s">
        <v>253</v>
      </c>
      <c r="D317" s="2" t="s">
        <v>254</v>
      </c>
      <c r="E317" s="5">
        <v>24600</v>
      </c>
      <c r="F317" s="2">
        <v>37</v>
      </c>
      <c r="G317" s="5">
        <v>910200</v>
      </c>
      <c r="H317" s="1">
        <f t="shared" ca="1" si="9"/>
        <v>46194</v>
      </c>
      <c r="I317" s="5">
        <f>IFERROR(VLOOKUP(A317,'[3]Consumo SEMANAL PV '!$B:$DI,112,0),0)</f>
        <v>1023.7719298245614</v>
      </c>
      <c r="J317" s="2" t="str">
        <f>IFERROR(VLOOKUP(A317,Hoja4!A:C,3,0),"")</f>
        <v>Carton</v>
      </c>
      <c r="K317" s="9">
        <f t="shared" si="10"/>
        <v>24.028789306828891</v>
      </c>
      <c r="L317" s="6">
        <f>IFERROR(VLOOKUP(A317,'[4]Consumo SEMANAL PV '!$B:$DN,117,0),0)</f>
        <v>19528.75</v>
      </c>
    </row>
    <row r="318" spans="1:12" x14ac:dyDescent="0.3">
      <c r="A318" s="2">
        <v>107292</v>
      </c>
      <c r="B318" s="2" t="s">
        <v>65</v>
      </c>
      <c r="C318" s="2" t="s">
        <v>253</v>
      </c>
      <c r="D318" s="2" t="s">
        <v>254</v>
      </c>
      <c r="E318" s="2">
        <v>51</v>
      </c>
      <c r="F318" s="2">
        <v>39</v>
      </c>
      <c r="G318" s="5">
        <v>1989</v>
      </c>
      <c r="H318" s="1">
        <f t="shared" ca="1" si="9"/>
        <v>46194</v>
      </c>
      <c r="I318" s="5">
        <f>IFERROR(VLOOKUP(A318,'[3]Consumo SEMANAL PV '!$B:$DI,112,0),0)</f>
        <v>2066.6736111111109</v>
      </c>
      <c r="J318" s="2" t="str">
        <f>IFERROR(VLOOKUP(A318,Hoja4!A:C,3,0),"")</f>
        <v>Carton</v>
      </c>
      <c r="K318" s="9">
        <f t="shared" si="10"/>
        <v>2.4677336433681342E-2</v>
      </c>
      <c r="L318" s="6">
        <f>IFERROR(VLOOKUP(A318,'[4]Consumo SEMANAL PV '!$B:$DN,117,0),0)</f>
        <v>37426.5625</v>
      </c>
    </row>
    <row r="319" spans="1:12" x14ac:dyDescent="0.3">
      <c r="A319" s="2">
        <v>107210</v>
      </c>
      <c r="B319" s="2" t="s">
        <v>67</v>
      </c>
      <c r="C319" s="2" t="s">
        <v>253</v>
      </c>
      <c r="D319" s="2" t="s">
        <v>254</v>
      </c>
      <c r="E319" s="2">
        <v>648</v>
      </c>
      <c r="F319" s="2">
        <v>771.66</v>
      </c>
      <c r="G319" s="5">
        <v>500035.68</v>
      </c>
      <c r="H319" s="1">
        <f t="shared" ca="1" si="9"/>
        <v>46194</v>
      </c>
      <c r="I319" s="5">
        <f>IFERROR(VLOOKUP(A319,'[3]Consumo SEMANAL PV '!$B:$DI,112,0),0)</f>
        <v>235.71428571428569</v>
      </c>
      <c r="J319" s="2" t="str">
        <f>IFERROR(VLOOKUP(A319,Hoja4!A:C,3,0),"")</f>
        <v>Insumo</v>
      </c>
      <c r="K319" s="9">
        <f t="shared" si="10"/>
        <v>2.7490909090909095</v>
      </c>
      <c r="L319" s="6">
        <f>IFERROR(VLOOKUP(A319,'[4]Consumo SEMANAL PV '!$B:$DN,117,0),0)</f>
        <v>1300</v>
      </c>
    </row>
    <row r="320" spans="1:12" x14ac:dyDescent="0.3">
      <c r="A320" s="2">
        <v>405583</v>
      </c>
      <c r="B320" s="2" t="s">
        <v>69</v>
      </c>
      <c r="C320" s="2" t="s">
        <v>253</v>
      </c>
      <c r="D320" s="2" t="s">
        <v>254</v>
      </c>
      <c r="E320" s="5">
        <v>31500</v>
      </c>
      <c r="F320" s="2">
        <v>49</v>
      </c>
      <c r="G320" s="5">
        <v>1543500</v>
      </c>
      <c r="H320" s="1">
        <f t="shared" ca="1" si="9"/>
        <v>46194</v>
      </c>
      <c r="I320" s="5">
        <f>IFERROR(VLOOKUP(A320,'[3]Consumo SEMANAL PV '!$B:$DI,112,0),0)</f>
        <v>1587.0370370370372</v>
      </c>
      <c r="J320" s="2" t="str">
        <f>IFERROR(VLOOKUP(A320,Hoja4!A:C,3,0),"")</f>
        <v>Carton</v>
      </c>
      <c r="K320" s="9">
        <f t="shared" si="10"/>
        <v>19.848308051341888</v>
      </c>
      <c r="L320" s="6">
        <f>IFERROR(VLOOKUP(A320,'[4]Consumo SEMANAL PV '!$B:$DN,117,0),0)</f>
        <v>29689.285714285717</v>
      </c>
    </row>
    <row r="321" spans="1:12" x14ac:dyDescent="0.3">
      <c r="A321" s="2">
        <v>353009</v>
      </c>
      <c r="B321" s="2" t="s">
        <v>70</v>
      </c>
      <c r="C321" s="2" t="s">
        <v>253</v>
      </c>
      <c r="D321" s="2" t="s">
        <v>254</v>
      </c>
      <c r="E321" s="5">
        <v>4320</v>
      </c>
      <c r="F321" s="2">
        <v>152.16999999999999</v>
      </c>
      <c r="G321" s="5">
        <v>657374.4</v>
      </c>
      <c r="H321" s="1">
        <f t="shared" ca="1" si="9"/>
        <v>46194</v>
      </c>
      <c r="I321" s="5">
        <f>IFERROR(VLOOKUP(A321,'[3]Consumo SEMANAL PV '!$B:$DI,112,0),0)</f>
        <v>2279.4583333333335</v>
      </c>
      <c r="J321" s="2" t="str">
        <f>IFERROR(VLOOKUP(A321,Hoja4!A:C,3,0),"")</f>
        <v>Insumo</v>
      </c>
      <c r="K321" s="9">
        <f t="shared" si="10"/>
        <v>1.89518708757563</v>
      </c>
      <c r="L321" s="6">
        <f>IFERROR(VLOOKUP(A321,'[4]Consumo SEMANAL PV '!$B:$DN,117,0),0)</f>
        <v>7548.2666666666664</v>
      </c>
    </row>
    <row r="322" spans="1:12" x14ac:dyDescent="0.3">
      <c r="A322" s="2">
        <v>107294</v>
      </c>
      <c r="B322" s="2" t="s">
        <v>72</v>
      </c>
      <c r="C322" s="2" t="s">
        <v>253</v>
      </c>
      <c r="D322" s="2" t="s">
        <v>254</v>
      </c>
      <c r="E322" s="5">
        <v>2784</v>
      </c>
      <c r="F322" s="5">
        <v>1660</v>
      </c>
      <c r="G322" s="5">
        <v>4621440</v>
      </c>
      <c r="H322" s="1">
        <f t="shared" ca="1" si="9"/>
        <v>46194</v>
      </c>
      <c r="I322" s="5">
        <f>IFERROR(VLOOKUP(A322,'[3]Consumo SEMANAL PV '!$B:$DI,112,0),0)</f>
        <v>235.64</v>
      </c>
      <c r="J322" s="2" t="str">
        <f>IFERROR(VLOOKUP(A322,Hoja4!A:C,3,0),"")</f>
        <v>Mermelada</v>
      </c>
      <c r="K322" s="9">
        <f t="shared" si="10"/>
        <v>11.814632490239349</v>
      </c>
      <c r="L322" s="6">
        <f>IFERROR(VLOOKUP(A322,'[4]Consumo SEMANAL PV '!$B:$DN,117,0),0)</f>
        <v>1176.9411764705883</v>
      </c>
    </row>
    <row r="323" spans="1:12" x14ac:dyDescent="0.3">
      <c r="A323" s="2">
        <v>107125</v>
      </c>
      <c r="B323" s="2" t="s">
        <v>283</v>
      </c>
      <c r="C323" s="2" t="s">
        <v>253</v>
      </c>
      <c r="D323" s="2" t="s">
        <v>254</v>
      </c>
      <c r="E323" s="2">
        <v>664.2</v>
      </c>
      <c r="F323" s="5">
        <v>2582.38</v>
      </c>
      <c r="G323" s="5">
        <v>1715216.7960000001</v>
      </c>
      <c r="H323" s="1">
        <f t="shared" ref="H323:H386" ca="1" si="11">TODAY()</f>
        <v>46194</v>
      </c>
      <c r="I323" s="5">
        <f>IFERROR(VLOOKUP(A323,'[3]Consumo SEMANAL PV '!$B:$DI,112,0),0)</f>
        <v>35.951399999999992</v>
      </c>
      <c r="J323" s="2" t="str">
        <f>IFERROR(VLOOKUP(A323,Hoja4!A:C,3,0),"")</f>
        <v>Fruta Conserva</v>
      </c>
      <c r="K323" s="9">
        <f t="shared" ref="K323:K386" si="12">IFERROR(+E323/I323,0)</f>
        <v>18.474941170580287</v>
      </c>
      <c r="L323" s="6">
        <f>IFERROR(VLOOKUP(A323,'[4]Consumo SEMANAL PV '!$B:$DN,117,0),0)</f>
        <v>159.66813725490195</v>
      </c>
    </row>
    <row r="324" spans="1:12" x14ac:dyDescent="0.3">
      <c r="A324" s="2">
        <v>107124</v>
      </c>
      <c r="B324" s="2" t="s">
        <v>284</v>
      </c>
      <c r="C324" s="2" t="s">
        <v>253</v>
      </c>
      <c r="D324" s="2" t="s">
        <v>254</v>
      </c>
      <c r="E324" s="5">
        <v>486</v>
      </c>
      <c r="F324" s="2">
        <v>2694.44</v>
      </c>
      <c r="G324" s="5">
        <v>1309497.8400000001</v>
      </c>
      <c r="H324" s="1">
        <f t="shared" ca="1" si="11"/>
        <v>46194</v>
      </c>
      <c r="I324" s="5">
        <f>IFERROR(VLOOKUP(A324,'[3]Consumo SEMANAL PV '!$B:$DI,112,0),0)</f>
        <v>0.6</v>
      </c>
      <c r="J324" s="2" t="str">
        <f>IFERROR(VLOOKUP(A324,Hoja4!A:C,3,0),"")</f>
        <v>Fruta Conserva</v>
      </c>
      <c r="K324" s="9">
        <f t="shared" si="12"/>
        <v>810</v>
      </c>
      <c r="L324" s="6">
        <f>IFERROR(VLOOKUP(A324,'[4]Consumo SEMANAL PV '!$B:$DN,117,0),0)</f>
        <v>3</v>
      </c>
    </row>
    <row r="325" spans="1:12" x14ac:dyDescent="0.3">
      <c r="A325" s="2">
        <v>405720</v>
      </c>
      <c r="B325" s="2" t="s">
        <v>285</v>
      </c>
      <c r="C325" s="2" t="s">
        <v>253</v>
      </c>
      <c r="D325" s="2" t="s">
        <v>254</v>
      </c>
      <c r="E325" s="5">
        <v>3000</v>
      </c>
      <c r="F325" s="2">
        <v>18.34</v>
      </c>
      <c r="G325" s="5">
        <v>55020</v>
      </c>
      <c r="H325" s="1">
        <f t="shared" ca="1" si="11"/>
        <v>46194</v>
      </c>
      <c r="I325" s="5">
        <f>IFERROR(VLOOKUP(A325,'[3]Consumo SEMANAL PV '!$B:$DI,112,0),0)</f>
        <v>708.33333333333337</v>
      </c>
      <c r="J325" s="2" t="str">
        <f>IFERROR(VLOOKUP(A325,Hoja4!A:C,3,0),"")</f>
        <v>Etiquetas</v>
      </c>
      <c r="K325" s="9">
        <f t="shared" si="12"/>
        <v>4.2352941176470589</v>
      </c>
      <c r="L325" s="6">
        <f>IFERROR(VLOOKUP(A325,'[4]Consumo SEMANAL PV '!$B:$DN,117,0),0)</f>
        <v>6000</v>
      </c>
    </row>
    <row r="326" spans="1:12" x14ac:dyDescent="0.3">
      <c r="A326" s="2">
        <v>405719</v>
      </c>
      <c r="B326" s="2" t="s">
        <v>286</v>
      </c>
      <c r="C326" s="2" t="s">
        <v>253</v>
      </c>
      <c r="D326" s="2" t="s">
        <v>254</v>
      </c>
      <c r="E326" s="5">
        <v>18000</v>
      </c>
      <c r="F326" s="2">
        <v>18.34</v>
      </c>
      <c r="G326" s="5">
        <v>330120</v>
      </c>
      <c r="H326" s="1">
        <f t="shared" ca="1" si="11"/>
        <v>46194</v>
      </c>
      <c r="I326" s="5">
        <f>IFERROR(VLOOKUP(A326,'[3]Consumo SEMANAL PV '!$B:$DI,112,0),0)</f>
        <v>687.5</v>
      </c>
      <c r="J326" s="2" t="str">
        <f>IFERROR(VLOOKUP(A326,Hoja4!A:C,3,0),"")</f>
        <v>Etiquetas</v>
      </c>
      <c r="K326" s="9">
        <f t="shared" si="12"/>
        <v>26.181818181818183</v>
      </c>
      <c r="L326" s="6">
        <f>IFERROR(VLOOKUP(A326,'[4]Consumo SEMANAL PV '!$B:$DN,117,0),0)</f>
        <v>6666.666666666667</v>
      </c>
    </row>
    <row r="327" spans="1:12" x14ac:dyDescent="0.3">
      <c r="A327" s="2">
        <v>405773</v>
      </c>
      <c r="B327" s="2" t="s">
        <v>287</v>
      </c>
      <c r="C327" s="2" t="s">
        <v>253</v>
      </c>
      <c r="D327" s="2" t="s">
        <v>254</v>
      </c>
      <c r="E327" s="5">
        <v>10000</v>
      </c>
      <c r="F327" s="2">
        <v>20.399999999999999</v>
      </c>
      <c r="G327" s="5">
        <v>204000</v>
      </c>
      <c r="H327" s="1">
        <f t="shared" ca="1" si="11"/>
        <v>46194</v>
      </c>
      <c r="I327" s="5">
        <f>IFERROR(VLOOKUP(A327,'[3]Consumo SEMANAL PV '!$B:$DI,112,0),0)</f>
        <v>166.66666666666666</v>
      </c>
      <c r="J327" s="2" t="str">
        <f>IFERROR(VLOOKUP(A327,Hoja4!A:C,3,0),"")</f>
        <v>Etiquetas</v>
      </c>
      <c r="K327" s="9">
        <f t="shared" si="12"/>
        <v>60</v>
      </c>
      <c r="L327" s="6">
        <f>IFERROR(VLOOKUP(A327,'[4]Consumo SEMANAL PV '!$B:$DN,117,0),0)</f>
        <v>0</v>
      </c>
    </row>
    <row r="328" spans="1:12" x14ac:dyDescent="0.3">
      <c r="A328" s="2">
        <v>405354</v>
      </c>
      <c r="B328" s="2" t="s">
        <v>288</v>
      </c>
      <c r="C328" s="2" t="s">
        <v>253</v>
      </c>
      <c r="D328" s="2" t="s">
        <v>254</v>
      </c>
      <c r="E328" s="5">
        <v>3000</v>
      </c>
      <c r="F328" s="2">
        <v>17.170000000000002</v>
      </c>
      <c r="G328" s="5">
        <v>51510</v>
      </c>
      <c r="H328" s="1">
        <f t="shared" ca="1" si="11"/>
        <v>46194</v>
      </c>
      <c r="I328" s="5">
        <f>IFERROR(VLOOKUP(A328,'[3]Consumo SEMANAL PV '!$B:$DI,112,0),0)</f>
        <v>216.66666666666666</v>
      </c>
      <c r="J328" s="2" t="str">
        <f>IFERROR(VLOOKUP(A328,Hoja4!A:C,3,0),"")</f>
        <v>Etiquetas</v>
      </c>
      <c r="K328" s="9">
        <f t="shared" si="12"/>
        <v>13.846153846153847</v>
      </c>
      <c r="L328" s="6">
        <f>IFERROR(VLOOKUP(A328,'[4]Consumo SEMANAL PV '!$B:$DN,117,0),0)</f>
        <v>1666.6666666666667</v>
      </c>
    </row>
    <row r="329" spans="1:12" x14ac:dyDescent="0.3">
      <c r="A329" s="2">
        <v>405360</v>
      </c>
      <c r="B329" s="2" t="s">
        <v>608</v>
      </c>
      <c r="C329" s="2" t="s">
        <v>253</v>
      </c>
      <c r="D329" s="2" t="s">
        <v>254</v>
      </c>
      <c r="E329" s="5">
        <v>2000</v>
      </c>
      <c r="F329" s="2">
        <v>17.170000000000002</v>
      </c>
      <c r="G329" s="5">
        <v>34340</v>
      </c>
      <c r="H329" s="1">
        <f t="shared" ca="1" si="11"/>
        <v>46194</v>
      </c>
      <c r="I329" s="5">
        <f>IFERROR(VLOOKUP(A329,'[3]Consumo SEMANAL PV '!$B:$DI,112,0),0)</f>
        <v>269.23076923076923</v>
      </c>
      <c r="J329" s="2" t="str">
        <f>IFERROR(VLOOKUP(A329,Hoja4!A:C,3,0),"")</f>
        <v>Etiquetas</v>
      </c>
      <c r="K329" s="9">
        <f t="shared" si="12"/>
        <v>7.4285714285714288</v>
      </c>
      <c r="L329" s="6">
        <f>IFERROR(VLOOKUP(A329,'[4]Consumo SEMANAL PV '!$B:$DN,117,0),0)</f>
        <v>2518.5185185185187</v>
      </c>
    </row>
    <row r="330" spans="1:12" x14ac:dyDescent="0.3">
      <c r="A330" s="2">
        <v>405704</v>
      </c>
      <c r="B330" s="2" t="s">
        <v>289</v>
      </c>
      <c r="C330" s="2" t="s">
        <v>253</v>
      </c>
      <c r="D330" s="2" t="s">
        <v>254</v>
      </c>
      <c r="E330" s="5">
        <v>6000</v>
      </c>
      <c r="F330" s="2">
        <v>20.7</v>
      </c>
      <c r="G330" s="5">
        <v>124200</v>
      </c>
      <c r="H330" s="1">
        <f t="shared" ca="1" si="11"/>
        <v>46194</v>
      </c>
      <c r="I330" s="5">
        <f>IFERROR(VLOOKUP(A330,'[3]Consumo SEMANAL PV '!$B:$DI,112,0),0)</f>
        <v>166.66666666666666</v>
      </c>
      <c r="J330" s="2" t="str">
        <f>IFERROR(VLOOKUP(A330,Hoja4!A:C,3,0),"")</f>
        <v>Etiquetas</v>
      </c>
      <c r="K330" s="9">
        <f t="shared" si="12"/>
        <v>36</v>
      </c>
      <c r="L330" s="6">
        <f>IFERROR(VLOOKUP(A330,'[4]Consumo SEMANAL PV '!$B:$DN,117,0),0)</f>
        <v>0</v>
      </c>
    </row>
    <row r="331" spans="1:12" x14ac:dyDescent="0.3">
      <c r="A331" s="2">
        <v>405356</v>
      </c>
      <c r="B331" s="2" t="s">
        <v>290</v>
      </c>
      <c r="C331" s="2" t="s">
        <v>253</v>
      </c>
      <c r="D331" s="2" t="s">
        <v>254</v>
      </c>
      <c r="E331" s="5">
        <v>7000</v>
      </c>
      <c r="F331" s="2">
        <v>19.38</v>
      </c>
      <c r="G331" s="5">
        <v>135660</v>
      </c>
      <c r="H331" s="1">
        <f t="shared" ca="1" si="11"/>
        <v>46194</v>
      </c>
      <c r="I331" s="5">
        <f>IFERROR(VLOOKUP(A331,'[3]Consumo SEMANAL PV '!$B:$DI,112,0),0)</f>
        <v>224.35897435897436</v>
      </c>
      <c r="J331" s="2" t="str">
        <f>IFERROR(VLOOKUP(A331,Hoja4!A:C,3,0),"")</f>
        <v>Etiquetas</v>
      </c>
      <c r="K331" s="9">
        <f t="shared" si="12"/>
        <v>31.2</v>
      </c>
      <c r="L331" s="6">
        <f>IFERROR(VLOOKUP(A331,'[4]Consumo SEMANAL PV '!$B:$DN,117,0),0)</f>
        <v>1800</v>
      </c>
    </row>
    <row r="332" spans="1:12" x14ac:dyDescent="0.3">
      <c r="A332" s="2">
        <v>405357</v>
      </c>
      <c r="B332" s="2" t="s">
        <v>291</v>
      </c>
      <c r="C332" s="2" t="s">
        <v>253</v>
      </c>
      <c r="D332" s="2" t="s">
        <v>254</v>
      </c>
      <c r="E332" s="5">
        <v>6500</v>
      </c>
      <c r="F332" s="2">
        <v>20.49</v>
      </c>
      <c r="G332" s="5">
        <v>133185</v>
      </c>
      <c r="H332" s="1">
        <f t="shared" ca="1" si="11"/>
        <v>46194</v>
      </c>
      <c r="I332" s="5">
        <f>IFERROR(VLOOKUP(A332,'[3]Consumo SEMANAL PV '!$B:$DI,112,0),0)</f>
        <v>194.44444444444446</v>
      </c>
      <c r="J332" s="2" t="str">
        <f>IFERROR(VLOOKUP(A332,Hoja4!A:C,3,0),"")</f>
        <v>Etiquetas</v>
      </c>
      <c r="K332" s="9">
        <f t="shared" si="12"/>
        <v>33.428571428571423</v>
      </c>
      <c r="L332" s="6">
        <f>IFERROR(VLOOKUP(A332,'[4]Consumo SEMANAL PV '!$B:$DN,117,0),0)</f>
        <v>1416.6666666666667</v>
      </c>
    </row>
    <row r="333" spans="1:12" x14ac:dyDescent="0.3">
      <c r="A333" s="2">
        <v>405718</v>
      </c>
      <c r="B333" s="2" t="s">
        <v>292</v>
      </c>
      <c r="C333" s="2" t="s">
        <v>253</v>
      </c>
      <c r="D333" s="2" t="s">
        <v>254</v>
      </c>
      <c r="E333" s="5">
        <v>7500</v>
      </c>
      <c r="F333" s="2">
        <v>22.7</v>
      </c>
      <c r="G333" s="5">
        <v>170250</v>
      </c>
      <c r="H333" s="1">
        <f t="shared" ca="1" si="11"/>
        <v>46194</v>
      </c>
      <c r="I333" s="5">
        <f>IFERROR(VLOOKUP(A333,'[3]Consumo SEMANAL PV '!$B:$DI,112,0),0)</f>
        <v>787.03703703703707</v>
      </c>
      <c r="J333" s="2" t="str">
        <f>IFERROR(VLOOKUP(A333,Hoja4!A:C,3,0),"")</f>
        <v>Etiquetas</v>
      </c>
      <c r="K333" s="9">
        <f t="shared" si="12"/>
        <v>9.5294117647058822</v>
      </c>
      <c r="L333" s="6">
        <f>IFERROR(VLOOKUP(A333,'[4]Consumo SEMANAL PV '!$B:$DN,117,0),0)</f>
        <v>7833.333333333333</v>
      </c>
    </row>
    <row r="334" spans="1:12" x14ac:dyDescent="0.3">
      <c r="A334" s="2">
        <v>405736</v>
      </c>
      <c r="B334" s="2" t="s">
        <v>293</v>
      </c>
      <c r="C334" s="2" t="s">
        <v>253</v>
      </c>
      <c r="D334" s="2" t="s">
        <v>254</v>
      </c>
      <c r="E334" s="5">
        <v>13000</v>
      </c>
      <c r="F334" s="2">
        <v>22.7</v>
      </c>
      <c r="G334" s="5">
        <v>295100</v>
      </c>
      <c r="H334" s="1">
        <f t="shared" ca="1" si="11"/>
        <v>46194</v>
      </c>
      <c r="I334" s="5">
        <f>IFERROR(VLOOKUP(A334,'[3]Consumo SEMANAL PV '!$B:$DI,112,0),0)</f>
        <v>562.5</v>
      </c>
      <c r="J334" s="2" t="str">
        <f>IFERROR(VLOOKUP(A334,Hoja4!A:C,3,0),"")</f>
        <v>Etiquetas</v>
      </c>
      <c r="K334" s="9">
        <f t="shared" si="12"/>
        <v>23.111111111111111</v>
      </c>
      <c r="L334" s="6">
        <f>IFERROR(VLOOKUP(A334,'[4]Consumo SEMANAL PV '!$B:$DN,117,0),0)</f>
        <v>4888.8888888888887</v>
      </c>
    </row>
    <row r="335" spans="1:12" x14ac:dyDescent="0.3">
      <c r="A335" s="2">
        <v>405710</v>
      </c>
      <c r="B335" s="2" t="s">
        <v>294</v>
      </c>
      <c r="C335" s="2" t="s">
        <v>253</v>
      </c>
      <c r="D335" s="2" t="s">
        <v>254</v>
      </c>
      <c r="E335" s="5">
        <v>17000</v>
      </c>
      <c r="F335" s="2">
        <v>22.7</v>
      </c>
      <c r="G335" s="5">
        <v>385900</v>
      </c>
      <c r="H335" s="1">
        <f t="shared" ca="1" si="11"/>
        <v>46194</v>
      </c>
      <c r="I335" s="5">
        <f>IFERROR(VLOOKUP(A335,'[3]Consumo SEMANAL PV '!$B:$DI,112,0),0)</f>
        <v>500</v>
      </c>
      <c r="J335" s="2" t="str">
        <f>IFERROR(VLOOKUP(A335,Hoja4!A:C,3,0),"")</f>
        <v>Etiquetas</v>
      </c>
      <c r="K335" s="9">
        <f t="shared" si="12"/>
        <v>34</v>
      </c>
      <c r="L335" s="6">
        <f>IFERROR(VLOOKUP(A335,'[4]Consumo SEMANAL PV '!$B:$DN,117,0),0)</f>
        <v>4000</v>
      </c>
    </row>
    <row r="336" spans="1:12" x14ac:dyDescent="0.3">
      <c r="A336" s="2">
        <v>405711</v>
      </c>
      <c r="B336" s="2" t="s">
        <v>295</v>
      </c>
      <c r="C336" s="2" t="s">
        <v>253</v>
      </c>
      <c r="D336" s="2" t="s">
        <v>254</v>
      </c>
      <c r="E336" s="5">
        <v>23500</v>
      </c>
      <c r="F336" s="2">
        <v>22.7</v>
      </c>
      <c r="G336" s="5">
        <v>533450</v>
      </c>
      <c r="H336" s="1">
        <f t="shared" ca="1" si="11"/>
        <v>46194</v>
      </c>
      <c r="I336" s="5">
        <f>IFERROR(VLOOKUP(A336,'[3]Consumo SEMANAL PV '!$B:$DI,112,0),0)</f>
        <v>178.57142857142856</v>
      </c>
      <c r="J336" s="2" t="str">
        <f>IFERROR(VLOOKUP(A336,Hoja4!A:C,3,0),"")</f>
        <v>Etiquetas</v>
      </c>
      <c r="K336" s="9">
        <f t="shared" si="12"/>
        <v>131.60000000000002</v>
      </c>
      <c r="L336" s="6">
        <f>IFERROR(VLOOKUP(A336,'[4]Consumo SEMANAL PV '!$B:$DN,117,0),0)</f>
        <v>1555.5555555555557</v>
      </c>
    </row>
    <row r="337" spans="1:12" x14ac:dyDescent="0.3">
      <c r="A337" s="2">
        <v>405712</v>
      </c>
      <c r="B337" s="2" t="s">
        <v>77</v>
      </c>
      <c r="C337" s="2" t="s">
        <v>253</v>
      </c>
      <c r="D337" s="2" t="s">
        <v>254</v>
      </c>
      <c r="E337" s="5">
        <v>5000</v>
      </c>
      <c r="F337" s="2">
        <v>22.7</v>
      </c>
      <c r="G337" s="5">
        <v>113500</v>
      </c>
      <c r="H337" s="1">
        <f t="shared" ca="1" si="11"/>
        <v>46194</v>
      </c>
      <c r="I337" s="5">
        <f>IFERROR(VLOOKUP(A337,'[3]Consumo SEMANAL PV '!$B:$DI,112,0),0)</f>
        <v>2708.3333333333335</v>
      </c>
      <c r="J337" s="2" t="str">
        <f>IFERROR(VLOOKUP(A337,Hoja4!A:C,3,0),"")</f>
        <v>Etiquetas</v>
      </c>
      <c r="K337" s="9">
        <f t="shared" si="12"/>
        <v>1.846153846153846</v>
      </c>
      <c r="L337" s="6">
        <f>IFERROR(VLOOKUP(A337,'[4]Consumo SEMANAL PV '!$B:$DN,117,0),0)</f>
        <v>26666.666666666668</v>
      </c>
    </row>
    <row r="338" spans="1:12" x14ac:dyDescent="0.3">
      <c r="A338" s="2">
        <v>405713</v>
      </c>
      <c r="B338" s="2" t="s">
        <v>296</v>
      </c>
      <c r="C338" s="2" t="s">
        <v>253</v>
      </c>
      <c r="D338" s="2" t="s">
        <v>254</v>
      </c>
      <c r="E338" s="5">
        <v>6000</v>
      </c>
      <c r="F338" s="2">
        <v>22.7</v>
      </c>
      <c r="G338" s="5">
        <v>136200</v>
      </c>
      <c r="H338" s="1">
        <f t="shared" ca="1" si="11"/>
        <v>46194</v>
      </c>
      <c r="I338" s="5">
        <f>IFERROR(VLOOKUP(A338,'[3]Consumo SEMANAL PV '!$B:$DI,112,0),0)</f>
        <v>513.88888888888891</v>
      </c>
      <c r="J338" s="2" t="str">
        <f>IFERROR(VLOOKUP(A338,Hoja4!A:C,3,0),"")</f>
        <v>Etiquetas</v>
      </c>
      <c r="K338" s="9">
        <f t="shared" si="12"/>
        <v>11.675675675675675</v>
      </c>
      <c r="L338" s="6">
        <f>IFERROR(VLOOKUP(A338,'[4]Consumo SEMANAL PV '!$B:$DN,117,0),0)</f>
        <v>3600</v>
      </c>
    </row>
    <row r="339" spans="1:12" x14ac:dyDescent="0.3">
      <c r="A339" s="2">
        <v>405733</v>
      </c>
      <c r="B339" s="2" t="s">
        <v>297</v>
      </c>
      <c r="C339" s="2" t="s">
        <v>253</v>
      </c>
      <c r="D339" s="2" t="s">
        <v>254</v>
      </c>
      <c r="E339" s="5">
        <v>6000</v>
      </c>
      <c r="F339" s="2">
        <v>22.7</v>
      </c>
      <c r="G339" s="5">
        <v>136200</v>
      </c>
      <c r="H339" s="1">
        <f t="shared" ca="1" si="11"/>
        <v>46194</v>
      </c>
      <c r="I339" s="5">
        <f>IFERROR(VLOOKUP(A339,'[3]Consumo SEMANAL PV '!$B:$DI,112,0),0)</f>
        <v>850</v>
      </c>
      <c r="J339" s="2" t="str">
        <f>IFERROR(VLOOKUP(A339,Hoja4!A:C,3,0),"")</f>
        <v>Etiquetas</v>
      </c>
      <c r="K339" s="9">
        <f t="shared" si="12"/>
        <v>7.0588235294117645</v>
      </c>
      <c r="L339" s="6">
        <f>IFERROR(VLOOKUP(A339,'[4]Consumo SEMANAL PV '!$B:$DN,117,0),0)</f>
        <v>5666.666666666667</v>
      </c>
    </row>
    <row r="340" spans="1:12" x14ac:dyDescent="0.3">
      <c r="A340" s="2">
        <v>405709</v>
      </c>
      <c r="B340" s="2" t="s">
        <v>298</v>
      </c>
      <c r="C340" s="2" t="s">
        <v>253</v>
      </c>
      <c r="D340" s="2" t="s">
        <v>254</v>
      </c>
      <c r="E340" s="5">
        <v>15000</v>
      </c>
      <c r="F340" s="2">
        <v>22.7</v>
      </c>
      <c r="G340" s="5">
        <v>340500</v>
      </c>
      <c r="H340" s="1">
        <f t="shared" ca="1" si="11"/>
        <v>46194</v>
      </c>
      <c r="I340" s="5">
        <f>IFERROR(VLOOKUP(A340,'[3]Consumo SEMANAL PV '!$B:$DI,112,0),0)</f>
        <v>595.2380952380953</v>
      </c>
      <c r="J340" s="2" t="str">
        <f>IFERROR(VLOOKUP(A340,Hoja4!A:C,3,0),"")</f>
        <v>Etiquetas</v>
      </c>
      <c r="K340" s="9">
        <f t="shared" si="12"/>
        <v>25.199999999999996</v>
      </c>
      <c r="L340" s="6">
        <f>IFERROR(VLOOKUP(A340,'[4]Consumo SEMANAL PV '!$B:$DN,117,0),0)</f>
        <v>4888.8888888888887</v>
      </c>
    </row>
    <row r="341" spans="1:12" x14ac:dyDescent="0.3">
      <c r="A341" s="2">
        <v>405737</v>
      </c>
      <c r="B341" s="2" t="s">
        <v>299</v>
      </c>
      <c r="C341" s="2" t="s">
        <v>253</v>
      </c>
      <c r="D341" s="2" t="s">
        <v>254</v>
      </c>
      <c r="E341" s="5">
        <v>8000</v>
      </c>
      <c r="F341" s="2">
        <v>22.7</v>
      </c>
      <c r="G341" s="5">
        <v>181600</v>
      </c>
      <c r="H341" s="1">
        <f t="shared" ca="1" si="11"/>
        <v>46194</v>
      </c>
      <c r="I341" s="5">
        <f>IFERROR(VLOOKUP(A341,'[3]Consumo SEMANAL PV '!$B:$DI,112,0),0)</f>
        <v>683.33333333333337</v>
      </c>
      <c r="J341" s="2" t="str">
        <f>IFERROR(VLOOKUP(A341,Hoja4!A:C,3,0),"")</f>
        <v>Etiquetas</v>
      </c>
      <c r="K341" s="9">
        <f t="shared" si="12"/>
        <v>11.707317073170731</v>
      </c>
      <c r="L341" s="6">
        <f>IFERROR(VLOOKUP(A341,'[4]Consumo SEMANAL PV '!$B:$DN,117,0),0)</f>
        <v>8000</v>
      </c>
    </row>
    <row r="342" spans="1:12" x14ac:dyDescent="0.3">
      <c r="A342" s="2">
        <v>405734</v>
      </c>
      <c r="B342" s="2" t="s">
        <v>300</v>
      </c>
      <c r="C342" s="2" t="s">
        <v>253</v>
      </c>
      <c r="D342" s="2" t="s">
        <v>254</v>
      </c>
      <c r="E342" s="5">
        <v>6000</v>
      </c>
      <c r="F342" s="2">
        <v>22.7</v>
      </c>
      <c r="G342" s="5">
        <v>136200</v>
      </c>
      <c r="H342" s="1">
        <f t="shared" ca="1" si="11"/>
        <v>46194</v>
      </c>
      <c r="I342" s="5">
        <f>IFERROR(VLOOKUP(A342,'[3]Consumo SEMANAL PV '!$B:$DI,112,0),0)</f>
        <v>966.66666666666663</v>
      </c>
      <c r="J342" s="2" t="str">
        <f>IFERROR(VLOOKUP(A342,Hoja4!A:C,3,0),"")</f>
        <v>Etiquetas</v>
      </c>
      <c r="K342" s="9">
        <f t="shared" si="12"/>
        <v>6.2068965517241379</v>
      </c>
      <c r="L342" s="6">
        <f>IFERROR(VLOOKUP(A342,'[4]Consumo SEMANAL PV '!$B:$DN,117,0),0)</f>
        <v>8000</v>
      </c>
    </row>
    <row r="343" spans="1:12" x14ac:dyDescent="0.3">
      <c r="A343" s="2">
        <v>405716</v>
      </c>
      <c r="B343" s="2" t="s">
        <v>301</v>
      </c>
      <c r="C343" s="2" t="s">
        <v>253</v>
      </c>
      <c r="D343" s="2" t="s">
        <v>254</v>
      </c>
      <c r="E343" s="5">
        <v>10000</v>
      </c>
      <c r="F343" s="2">
        <v>22.7</v>
      </c>
      <c r="G343" s="5">
        <v>227000</v>
      </c>
      <c r="H343" s="1">
        <f t="shared" ca="1" si="11"/>
        <v>46194</v>
      </c>
      <c r="I343" s="5">
        <f>IFERROR(VLOOKUP(A343,'[3]Consumo SEMANAL PV '!$B:$DI,112,0),0)</f>
        <v>0</v>
      </c>
      <c r="J343" s="2" t="str">
        <f>IFERROR(VLOOKUP(A343,Hoja4!A:C,3,0),"")</f>
        <v>Etiquetas</v>
      </c>
      <c r="K343" s="9">
        <f t="shared" si="12"/>
        <v>0</v>
      </c>
      <c r="L343" s="6">
        <f>IFERROR(VLOOKUP(A343,'[4]Consumo SEMANAL PV '!$B:$DN,117,0),0)</f>
        <v>0</v>
      </c>
    </row>
    <row r="344" spans="1:12" x14ac:dyDescent="0.3">
      <c r="A344" s="2">
        <v>405717</v>
      </c>
      <c r="B344" s="2" t="s">
        <v>302</v>
      </c>
      <c r="C344" s="2" t="s">
        <v>253</v>
      </c>
      <c r="D344" s="2" t="s">
        <v>254</v>
      </c>
      <c r="E344" s="5">
        <v>8000</v>
      </c>
      <c r="F344" s="2">
        <v>22.7</v>
      </c>
      <c r="G344" s="5">
        <v>181600</v>
      </c>
      <c r="H344" s="1">
        <f t="shared" ca="1" si="11"/>
        <v>46194</v>
      </c>
      <c r="I344" s="5">
        <f>IFERROR(VLOOKUP(A344,'[3]Consumo SEMANAL PV '!$B:$DI,112,0),0)</f>
        <v>979.16666666666663</v>
      </c>
      <c r="J344" s="2" t="str">
        <f>IFERROR(VLOOKUP(A344,Hoja4!A:C,3,0),"")</f>
        <v>Etiquetas</v>
      </c>
      <c r="K344" s="9">
        <f t="shared" si="12"/>
        <v>8.1702127659574479</v>
      </c>
      <c r="L344" s="6">
        <f>IFERROR(VLOOKUP(A344,'[4]Consumo SEMANAL PV '!$B:$DN,117,0),0)</f>
        <v>8888.8888888888887</v>
      </c>
    </row>
    <row r="345" spans="1:12" x14ac:dyDescent="0.3">
      <c r="A345" s="2">
        <v>405714</v>
      </c>
      <c r="B345" s="2" t="s">
        <v>303</v>
      </c>
      <c r="C345" s="2" t="s">
        <v>253</v>
      </c>
      <c r="D345" s="2" t="s">
        <v>254</v>
      </c>
      <c r="E345" s="5">
        <v>4000</v>
      </c>
      <c r="F345" s="2">
        <v>22.7</v>
      </c>
      <c r="G345" s="5">
        <v>90800</v>
      </c>
      <c r="H345" s="1">
        <f t="shared" ca="1" si="11"/>
        <v>46194</v>
      </c>
      <c r="I345" s="5">
        <f>IFERROR(VLOOKUP(A345,'[3]Consumo SEMANAL PV '!$B:$DI,112,0),0)</f>
        <v>1027.7777777777778</v>
      </c>
      <c r="J345" s="2" t="str">
        <f>IFERROR(VLOOKUP(A345,Hoja4!A:C,3,0),"")</f>
        <v>Etiquetas</v>
      </c>
      <c r="K345" s="9">
        <f t="shared" si="12"/>
        <v>3.8918918918918917</v>
      </c>
      <c r="L345" s="6">
        <f>IFERROR(VLOOKUP(A345,'[4]Consumo SEMANAL PV '!$B:$DN,117,0),0)</f>
        <v>8533.3333333333339</v>
      </c>
    </row>
    <row r="346" spans="1:12" x14ac:dyDescent="0.3">
      <c r="A346" s="2">
        <v>405735</v>
      </c>
      <c r="B346" s="2" t="s">
        <v>304</v>
      </c>
      <c r="C346" s="2" t="s">
        <v>253</v>
      </c>
      <c r="D346" s="2" t="s">
        <v>254</v>
      </c>
      <c r="E346" s="5">
        <v>4000</v>
      </c>
      <c r="F346" s="2">
        <v>22.7</v>
      </c>
      <c r="G346" s="5">
        <v>90800</v>
      </c>
      <c r="H346" s="1">
        <f t="shared" ca="1" si="11"/>
        <v>46194</v>
      </c>
      <c r="I346" s="5">
        <f>IFERROR(VLOOKUP(A346,'[3]Consumo SEMANAL PV '!$B:$DI,112,0),0)</f>
        <v>600</v>
      </c>
      <c r="J346" s="2" t="str">
        <f>IFERROR(VLOOKUP(A346,Hoja4!A:C,3,0),"")</f>
        <v>Etiquetas</v>
      </c>
      <c r="K346" s="9">
        <f t="shared" si="12"/>
        <v>6.666666666666667</v>
      </c>
      <c r="L346" s="6">
        <f>IFERROR(VLOOKUP(A346,'[4]Consumo SEMANAL PV '!$B:$DN,117,0),0)</f>
        <v>5000</v>
      </c>
    </row>
    <row r="347" spans="1:12" x14ac:dyDescent="0.3">
      <c r="A347" s="2">
        <v>405160</v>
      </c>
      <c r="B347" s="2" t="s">
        <v>100</v>
      </c>
      <c r="C347" s="2" t="s">
        <v>253</v>
      </c>
      <c r="D347" s="2" t="s">
        <v>254</v>
      </c>
      <c r="E347" s="5">
        <v>16000</v>
      </c>
      <c r="F347" s="2">
        <v>16.16</v>
      </c>
      <c r="G347" s="5">
        <v>258560</v>
      </c>
      <c r="H347" s="1">
        <f t="shared" ca="1" si="11"/>
        <v>46194</v>
      </c>
      <c r="I347" s="5">
        <f>IFERROR(VLOOKUP(A347,'[3]Consumo SEMANAL PV '!$B:$DI,112,0),0)</f>
        <v>1291.6666666666667</v>
      </c>
      <c r="J347" s="2" t="str">
        <f>IFERROR(VLOOKUP(A347,Hoja4!A:C,3,0),"")</f>
        <v>Etiquetas</v>
      </c>
      <c r="K347" s="9">
        <f t="shared" si="12"/>
        <v>12.387096774193548</v>
      </c>
      <c r="L347" s="6">
        <f>IFERROR(VLOOKUP(A347,'[4]Consumo SEMANAL PV '!$B:$DN,117,0),0)</f>
        <v>9714.2857142857138</v>
      </c>
    </row>
    <row r="348" spans="1:12" x14ac:dyDescent="0.3">
      <c r="A348" s="2">
        <v>405771</v>
      </c>
      <c r="B348" s="2" t="s">
        <v>305</v>
      </c>
      <c r="C348" s="2" t="s">
        <v>253</v>
      </c>
      <c r="D348" s="2" t="s">
        <v>254</v>
      </c>
      <c r="E348" s="5">
        <v>4000</v>
      </c>
      <c r="F348" s="2">
        <v>45.5</v>
      </c>
      <c r="G348" s="5">
        <v>182000</v>
      </c>
      <c r="H348" s="1">
        <f t="shared" ca="1" si="11"/>
        <v>46194</v>
      </c>
      <c r="I348" s="5">
        <f>IFERROR(VLOOKUP(A348,'[3]Consumo SEMANAL PV '!$B:$DI,112,0),0)</f>
        <v>333.33333333333331</v>
      </c>
      <c r="J348" s="2" t="str">
        <f>IFERROR(VLOOKUP(A348,Hoja4!A:C,3,0),"")</f>
        <v>Etiquetas</v>
      </c>
      <c r="K348" s="9">
        <f t="shared" si="12"/>
        <v>12</v>
      </c>
      <c r="L348" s="6">
        <f>IFERROR(VLOOKUP(A348,'[4]Consumo SEMANAL PV '!$B:$DN,117,0),0)</f>
        <v>0</v>
      </c>
    </row>
    <row r="349" spans="1:12" x14ac:dyDescent="0.3">
      <c r="A349" s="2">
        <v>405772</v>
      </c>
      <c r="B349" s="2" t="s">
        <v>306</v>
      </c>
      <c r="C349" s="2" t="s">
        <v>253</v>
      </c>
      <c r="D349" s="2" t="s">
        <v>254</v>
      </c>
      <c r="E349" s="5">
        <v>10000</v>
      </c>
      <c r="F349" s="2">
        <v>45.5</v>
      </c>
      <c r="G349" s="5">
        <v>455000</v>
      </c>
      <c r="H349" s="1">
        <f t="shared" ca="1" si="11"/>
        <v>46194</v>
      </c>
      <c r="I349" s="5">
        <f>IFERROR(VLOOKUP(A349,'[3]Consumo SEMANAL PV '!$B:$DI,112,0),0)</f>
        <v>0</v>
      </c>
      <c r="J349" s="2" t="str">
        <f>IFERROR(VLOOKUP(A349,Hoja4!A:C,3,0),"")</f>
        <v>Etiquetas</v>
      </c>
      <c r="K349" s="9">
        <f t="shared" si="12"/>
        <v>0</v>
      </c>
      <c r="L349" s="6">
        <f>IFERROR(VLOOKUP(A349,'[4]Consumo SEMANAL PV '!$B:$DN,117,0),0)</f>
        <v>0</v>
      </c>
    </row>
    <row r="350" spans="1:12" x14ac:dyDescent="0.3">
      <c r="A350" s="2">
        <v>405049</v>
      </c>
      <c r="B350" s="2" t="s">
        <v>101</v>
      </c>
      <c r="C350" s="2" t="s">
        <v>253</v>
      </c>
      <c r="D350" s="2" t="s">
        <v>254</v>
      </c>
      <c r="E350" s="5">
        <v>145000</v>
      </c>
      <c r="F350" s="2">
        <v>1.54</v>
      </c>
      <c r="G350" s="5">
        <v>223300</v>
      </c>
      <c r="H350" s="1">
        <f t="shared" ca="1" si="11"/>
        <v>46194</v>
      </c>
      <c r="I350" s="5">
        <f>IFERROR(VLOOKUP(A350,'[3]Consumo SEMANAL PV '!$B:$DI,112,0),0)</f>
        <v>10277.777777777777</v>
      </c>
      <c r="J350" s="2" t="str">
        <f>IFERROR(VLOOKUP(A350,Hoja4!A:C,3,0),"")</f>
        <v>Etiquetas</v>
      </c>
      <c r="K350" s="9">
        <f t="shared" si="12"/>
        <v>14.108108108108109</v>
      </c>
      <c r="L350" s="6">
        <f>IFERROR(VLOOKUP(A350,'[4]Consumo SEMANAL PV '!$B:$DN,117,0),0)</f>
        <v>98333.333333333328</v>
      </c>
    </row>
    <row r="351" spans="1:12" x14ac:dyDescent="0.3">
      <c r="A351" s="2">
        <v>404720</v>
      </c>
      <c r="B351" s="2" t="s">
        <v>307</v>
      </c>
      <c r="C351" s="2" t="s">
        <v>253</v>
      </c>
      <c r="D351" s="2" t="s">
        <v>254</v>
      </c>
      <c r="E351" s="5">
        <v>221000</v>
      </c>
      <c r="F351" s="2">
        <v>6.56</v>
      </c>
      <c r="G351" s="5">
        <v>1449760</v>
      </c>
      <c r="H351" s="1">
        <f t="shared" ca="1" si="11"/>
        <v>46194</v>
      </c>
      <c r="I351" s="5">
        <f>IFERROR(VLOOKUP(A351,'[3]Consumo SEMANAL PV '!$B:$DI,112,0),0)</f>
        <v>5811.594202898551</v>
      </c>
      <c r="J351" s="2" t="str">
        <f>IFERROR(VLOOKUP(A351,Hoja4!A:C,3,0),"")</f>
        <v>Etiquetas</v>
      </c>
      <c r="K351" s="9">
        <f t="shared" si="12"/>
        <v>38.02743142144638</v>
      </c>
      <c r="L351" s="6">
        <f>IFERROR(VLOOKUP(A351,'[4]Consumo SEMANAL PV '!$B:$DN,117,0),0)</f>
        <v>45155.555555555555</v>
      </c>
    </row>
    <row r="352" spans="1:12" x14ac:dyDescent="0.3">
      <c r="A352" s="2">
        <v>404718</v>
      </c>
      <c r="B352" s="2" t="s">
        <v>103</v>
      </c>
      <c r="C352" s="2" t="s">
        <v>253</v>
      </c>
      <c r="D352" s="2" t="s">
        <v>254</v>
      </c>
      <c r="E352" s="5">
        <v>97000</v>
      </c>
      <c r="F352" s="2">
        <v>7.99</v>
      </c>
      <c r="G352" s="5">
        <v>775030</v>
      </c>
      <c r="H352" s="1">
        <f t="shared" ca="1" si="11"/>
        <v>46194</v>
      </c>
      <c r="I352" s="5">
        <f>IFERROR(VLOOKUP(A352,'[3]Consumo SEMANAL PV '!$B:$DI,112,0),0)</f>
        <v>3068.181818181818</v>
      </c>
      <c r="J352" s="2" t="str">
        <f>IFERROR(VLOOKUP(A352,Hoja4!A:C,3,0),"")</f>
        <v>Etiquetas</v>
      </c>
      <c r="K352" s="9">
        <f t="shared" si="12"/>
        <v>31.614814814814817</v>
      </c>
      <c r="L352" s="6">
        <f>IFERROR(VLOOKUP(A352,'[4]Consumo SEMANAL PV '!$B:$DN,117,0),0)</f>
        <v>20622.222222222223</v>
      </c>
    </row>
    <row r="353" spans="1:12" x14ac:dyDescent="0.3">
      <c r="A353" s="2">
        <v>405479</v>
      </c>
      <c r="B353" s="2" t="s">
        <v>308</v>
      </c>
      <c r="C353" s="2" t="s">
        <v>253</v>
      </c>
      <c r="D353" s="2" t="s">
        <v>254</v>
      </c>
      <c r="E353" s="5">
        <v>32400</v>
      </c>
      <c r="F353" s="2">
        <v>10.95</v>
      </c>
      <c r="G353" s="5">
        <v>354780</v>
      </c>
      <c r="H353" s="1">
        <f t="shared" ca="1" si="11"/>
        <v>46194</v>
      </c>
      <c r="I353" s="5">
        <f>IFERROR(VLOOKUP(A353,'[3]Consumo SEMANAL PV '!$B:$DI,112,0),0)</f>
        <v>0</v>
      </c>
      <c r="J353" s="2" t="str">
        <f>IFERROR(VLOOKUP(A353,Hoja4!A:C,3,0),"")</f>
        <v>Etiquetas</v>
      </c>
      <c r="K353" s="9">
        <f t="shared" si="12"/>
        <v>0</v>
      </c>
      <c r="L353" s="6">
        <f>IFERROR(VLOOKUP(A353,'[4]Consumo SEMANAL PV '!$B:$DN,117,0),0)</f>
        <v>0</v>
      </c>
    </row>
    <row r="354" spans="1:12" x14ac:dyDescent="0.3">
      <c r="A354" s="2">
        <v>405103</v>
      </c>
      <c r="B354" s="2" t="s">
        <v>105</v>
      </c>
      <c r="C354" s="2" t="s">
        <v>253</v>
      </c>
      <c r="D354" s="2" t="s">
        <v>254</v>
      </c>
      <c r="E354" s="5">
        <v>91000</v>
      </c>
      <c r="F354" s="2">
        <v>17.27</v>
      </c>
      <c r="G354" s="5">
        <v>1571570</v>
      </c>
      <c r="H354" s="1">
        <f t="shared" ca="1" si="11"/>
        <v>46194</v>
      </c>
      <c r="I354" s="5">
        <f>IFERROR(VLOOKUP(A354,'[3]Consumo SEMANAL PV '!$B:$DI,112,0),0)</f>
        <v>1206.140350877193</v>
      </c>
      <c r="J354" s="2" t="str">
        <f>IFERROR(VLOOKUP(A354,Hoja4!A:C,3,0),"")</f>
        <v>Etiquetas</v>
      </c>
      <c r="K354" s="9">
        <f t="shared" si="12"/>
        <v>75.447272727272733</v>
      </c>
      <c r="L354" s="6">
        <f>IFERROR(VLOOKUP(A354,'[4]Consumo SEMANAL PV '!$B:$DN,117,0),0)</f>
        <v>9692.3076923076933</v>
      </c>
    </row>
    <row r="355" spans="1:12" x14ac:dyDescent="0.3">
      <c r="A355" s="2">
        <v>404748</v>
      </c>
      <c r="B355" s="2" t="s">
        <v>107</v>
      </c>
      <c r="C355" s="2" t="s">
        <v>253</v>
      </c>
      <c r="D355" s="2" t="s">
        <v>254</v>
      </c>
      <c r="E355" s="5">
        <v>9000</v>
      </c>
      <c r="F355" s="2">
        <v>13.68</v>
      </c>
      <c r="G355" s="5">
        <v>123120</v>
      </c>
      <c r="H355" s="1">
        <f t="shared" ca="1" si="11"/>
        <v>46194</v>
      </c>
      <c r="I355" s="5">
        <f>IFERROR(VLOOKUP(A355,'[3]Consumo SEMANAL PV '!$B:$DI,112,0),0)</f>
        <v>753.62318840579712</v>
      </c>
      <c r="J355" s="2" t="str">
        <f>IFERROR(VLOOKUP(A355,Hoja4!A:C,3,0),"")</f>
        <v>Etiquetas</v>
      </c>
      <c r="K355" s="9">
        <f t="shared" si="12"/>
        <v>11.942307692307692</v>
      </c>
      <c r="L355" s="6">
        <f>IFERROR(VLOOKUP(A355,'[4]Consumo SEMANAL PV '!$B:$DN,117,0),0)</f>
        <v>5250</v>
      </c>
    </row>
    <row r="356" spans="1:12" x14ac:dyDescent="0.3">
      <c r="A356" s="2">
        <v>405461</v>
      </c>
      <c r="B356" s="2" t="s">
        <v>108</v>
      </c>
      <c r="C356" s="2" t="s">
        <v>253</v>
      </c>
      <c r="D356" s="2" t="s">
        <v>254</v>
      </c>
      <c r="E356" s="5">
        <v>6000</v>
      </c>
      <c r="F356" s="2">
        <v>5</v>
      </c>
      <c r="G356" s="5">
        <v>30000</v>
      </c>
      <c r="H356" s="1">
        <f t="shared" ca="1" si="11"/>
        <v>46194</v>
      </c>
      <c r="I356" s="5">
        <f>IFERROR(VLOOKUP(A356,'[3]Consumo SEMANAL PV '!$B:$DI,112,0),0)</f>
        <v>1595.2380952380952</v>
      </c>
      <c r="J356" s="2" t="str">
        <f>IFERROR(VLOOKUP(A356,Hoja4!A:C,3,0),"")</f>
        <v>Etiquetas</v>
      </c>
      <c r="K356" s="9">
        <f t="shared" si="12"/>
        <v>3.7611940298507465</v>
      </c>
      <c r="L356" s="6">
        <f>IFERROR(VLOOKUP(A356,'[4]Consumo SEMANAL PV '!$B:$DN,117,0),0)</f>
        <v>12000</v>
      </c>
    </row>
    <row r="357" spans="1:12" x14ac:dyDescent="0.3">
      <c r="A357" s="2">
        <v>405721</v>
      </c>
      <c r="B357" s="2" t="s">
        <v>309</v>
      </c>
      <c r="C357" s="2" t="s">
        <v>253</v>
      </c>
      <c r="D357" s="2" t="s">
        <v>254</v>
      </c>
      <c r="E357" s="5">
        <v>15000</v>
      </c>
      <c r="F357" s="2">
        <v>20.7</v>
      </c>
      <c r="G357" s="5">
        <v>310500</v>
      </c>
      <c r="H357" s="1">
        <f t="shared" ca="1" si="11"/>
        <v>46194</v>
      </c>
      <c r="I357" s="5">
        <f>IFERROR(VLOOKUP(A357,'[3]Consumo SEMANAL PV '!$B:$DI,112,0),0)</f>
        <v>8282.0512820512831</v>
      </c>
      <c r="J357" s="2" t="str">
        <f>IFERROR(VLOOKUP(A357,Hoja4!A:C,3,0),"")</f>
        <v>Etiquetas</v>
      </c>
      <c r="K357" s="9">
        <f t="shared" si="12"/>
        <v>1.8111455108359131</v>
      </c>
      <c r="L357" s="6">
        <f>IFERROR(VLOOKUP(A357,'[4]Consumo SEMANAL PV '!$B:$DN,117,0),0)</f>
        <v>79466.666666666672</v>
      </c>
    </row>
    <row r="358" spans="1:12" x14ac:dyDescent="0.3">
      <c r="A358" s="2">
        <v>405722</v>
      </c>
      <c r="B358" s="2" t="s">
        <v>310</v>
      </c>
      <c r="C358" s="2" t="s">
        <v>253</v>
      </c>
      <c r="D358" s="2" t="s">
        <v>254</v>
      </c>
      <c r="E358" s="5">
        <v>113000</v>
      </c>
      <c r="F358" s="2">
        <v>14.2</v>
      </c>
      <c r="G358" s="5">
        <v>1604600</v>
      </c>
      <c r="H358" s="1">
        <f t="shared" ca="1" si="11"/>
        <v>46194</v>
      </c>
      <c r="I358" s="5">
        <f>IFERROR(VLOOKUP(A358,'[3]Consumo SEMANAL PV '!$B:$DI,112,0),0)</f>
        <v>3858.9743589743589</v>
      </c>
      <c r="J358" s="2" t="str">
        <f>IFERROR(VLOOKUP(A358,Hoja4!A:C,3,0),"")</f>
        <v>Etiquetas</v>
      </c>
      <c r="K358" s="9">
        <f t="shared" si="12"/>
        <v>29.282392026578073</v>
      </c>
      <c r="L358" s="6">
        <f>IFERROR(VLOOKUP(A358,'[4]Consumo SEMANAL PV '!$B:$DN,117,0),0)</f>
        <v>37333.333333333336</v>
      </c>
    </row>
    <row r="359" spans="1:12" x14ac:dyDescent="0.3">
      <c r="A359" s="2">
        <v>405199</v>
      </c>
      <c r="B359" s="2" t="s">
        <v>311</v>
      </c>
      <c r="C359" s="2" t="s">
        <v>253</v>
      </c>
      <c r="D359" s="2" t="s">
        <v>254</v>
      </c>
      <c r="E359" s="5">
        <v>32000</v>
      </c>
      <c r="F359" s="2">
        <v>9.8699999999999992</v>
      </c>
      <c r="G359" s="5">
        <v>315840</v>
      </c>
      <c r="H359" s="1">
        <f t="shared" ca="1" si="11"/>
        <v>46194</v>
      </c>
      <c r="I359" s="5">
        <f>IFERROR(VLOOKUP(A359,'[3]Consumo SEMANAL PV '!$B:$DI,112,0),0)</f>
        <v>2363.6363636363635</v>
      </c>
      <c r="J359" s="2" t="str">
        <f>IFERROR(VLOOKUP(A359,Hoja4!A:C,3,0),"")</f>
        <v>Etiquetas</v>
      </c>
      <c r="K359" s="9">
        <f t="shared" si="12"/>
        <v>13.538461538461538</v>
      </c>
      <c r="L359" s="6">
        <f>IFERROR(VLOOKUP(A359,'[4]Consumo SEMANAL PV '!$B:$DN,117,0),0)</f>
        <v>18909.090909090908</v>
      </c>
    </row>
    <row r="360" spans="1:12" x14ac:dyDescent="0.3">
      <c r="A360" s="2">
        <v>405738</v>
      </c>
      <c r="B360" s="2" t="s">
        <v>312</v>
      </c>
      <c r="C360" s="2" t="s">
        <v>253</v>
      </c>
      <c r="D360" s="2" t="s">
        <v>254</v>
      </c>
      <c r="E360" s="5">
        <v>134000</v>
      </c>
      <c r="F360" s="2">
        <v>14.2</v>
      </c>
      <c r="G360" s="5">
        <v>1902800</v>
      </c>
      <c r="H360" s="1">
        <f t="shared" ca="1" si="11"/>
        <v>46194</v>
      </c>
      <c r="I360" s="5">
        <f>IFERROR(VLOOKUP(A360,'[3]Consumo SEMANAL PV '!$B:$DI,112,0),0)</f>
        <v>3527.7777777777778</v>
      </c>
      <c r="J360" s="2" t="str">
        <f>IFERROR(VLOOKUP(A360,Hoja4!A:C,3,0),"")</f>
        <v>Etiquetas</v>
      </c>
      <c r="K360" s="9">
        <f t="shared" si="12"/>
        <v>37.984251968503933</v>
      </c>
      <c r="L360" s="6">
        <f>IFERROR(VLOOKUP(A360,'[4]Consumo SEMANAL PV '!$B:$DN,117,0),0)</f>
        <v>40000</v>
      </c>
    </row>
    <row r="361" spans="1:12" x14ac:dyDescent="0.3">
      <c r="A361" s="2">
        <v>405493</v>
      </c>
      <c r="B361" s="2" t="s">
        <v>313</v>
      </c>
      <c r="C361" s="2" t="s">
        <v>253</v>
      </c>
      <c r="D361" s="2" t="s">
        <v>254</v>
      </c>
      <c r="E361" s="5">
        <v>5000</v>
      </c>
      <c r="F361" s="2">
        <v>7.74</v>
      </c>
      <c r="G361" s="5">
        <v>38700</v>
      </c>
      <c r="H361" s="1">
        <f t="shared" ca="1" si="11"/>
        <v>46194</v>
      </c>
      <c r="I361" s="5">
        <f>IFERROR(VLOOKUP(A361,'[3]Consumo SEMANAL PV '!$B:$DI,112,0),0)</f>
        <v>0</v>
      </c>
      <c r="J361" s="2" t="str">
        <f>IFERROR(VLOOKUP(A361,Hoja4!A:C,3,0),"")</f>
        <v>Etiquetas</v>
      </c>
      <c r="K361" s="9">
        <f t="shared" si="12"/>
        <v>0</v>
      </c>
      <c r="L361" s="6">
        <f>IFERROR(VLOOKUP(A361,'[4]Consumo SEMANAL PV '!$B:$DN,117,0),0)</f>
        <v>0</v>
      </c>
    </row>
    <row r="362" spans="1:12" x14ac:dyDescent="0.3">
      <c r="A362" s="2">
        <v>405494</v>
      </c>
      <c r="B362" s="2" t="s">
        <v>314</v>
      </c>
      <c r="C362" s="2" t="s">
        <v>253</v>
      </c>
      <c r="D362" s="2" t="s">
        <v>254</v>
      </c>
      <c r="E362" s="5">
        <v>17500</v>
      </c>
      <c r="F362" s="2">
        <v>7.74</v>
      </c>
      <c r="G362" s="5">
        <v>135450</v>
      </c>
      <c r="H362" s="1">
        <f t="shared" ca="1" si="11"/>
        <v>46194</v>
      </c>
      <c r="I362" s="5">
        <f>IFERROR(VLOOKUP(A362,'[3]Consumo SEMANAL PV '!$B:$DI,112,0),0)</f>
        <v>0</v>
      </c>
      <c r="J362" s="2" t="str">
        <f>IFERROR(VLOOKUP(A362,Hoja4!A:C,3,0),"")</f>
        <v>Etiquetas</v>
      </c>
      <c r="K362" s="9">
        <f t="shared" si="12"/>
        <v>0</v>
      </c>
      <c r="L362" s="6">
        <f>IFERROR(VLOOKUP(A362,'[4]Consumo SEMANAL PV '!$B:$DN,117,0),0)</f>
        <v>0</v>
      </c>
    </row>
    <row r="363" spans="1:12" x14ac:dyDescent="0.3">
      <c r="A363" s="2">
        <v>405497</v>
      </c>
      <c r="B363" s="2" t="s">
        <v>315</v>
      </c>
      <c r="C363" s="2" t="s">
        <v>253</v>
      </c>
      <c r="D363" s="2" t="s">
        <v>254</v>
      </c>
      <c r="E363" s="5">
        <v>20000</v>
      </c>
      <c r="F363" s="2">
        <v>7.74</v>
      </c>
      <c r="G363" s="5">
        <v>154800</v>
      </c>
      <c r="H363" s="1">
        <f t="shared" ca="1" si="11"/>
        <v>46194</v>
      </c>
      <c r="I363" s="5">
        <f>IFERROR(VLOOKUP(A363,'[3]Consumo SEMANAL PV '!$B:$DI,112,0),0)</f>
        <v>0</v>
      </c>
      <c r="J363" s="2" t="str">
        <f>IFERROR(VLOOKUP(A363,Hoja4!A:C,3,0),"")</f>
        <v>Etiquetas</v>
      </c>
      <c r="K363" s="9">
        <f t="shared" si="12"/>
        <v>0</v>
      </c>
      <c r="L363" s="6">
        <f>IFERROR(VLOOKUP(A363,'[4]Consumo SEMANAL PV '!$B:$DN,117,0),0)</f>
        <v>0</v>
      </c>
    </row>
    <row r="364" spans="1:12" x14ac:dyDescent="0.3">
      <c r="A364" s="2">
        <v>405495</v>
      </c>
      <c r="B364" s="2" t="s">
        <v>316</v>
      </c>
      <c r="C364" s="2" t="s">
        <v>253</v>
      </c>
      <c r="D364" s="2" t="s">
        <v>254</v>
      </c>
      <c r="E364" s="5">
        <v>17500</v>
      </c>
      <c r="F364" s="2">
        <v>7.74</v>
      </c>
      <c r="G364" s="5">
        <v>135450</v>
      </c>
      <c r="H364" s="1">
        <f t="shared" ca="1" si="11"/>
        <v>46194</v>
      </c>
      <c r="I364" s="5">
        <f>IFERROR(VLOOKUP(A364,'[3]Consumo SEMANAL PV '!$B:$DI,112,0),0)</f>
        <v>0</v>
      </c>
      <c r="J364" s="2" t="str">
        <f>IFERROR(VLOOKUP(A364,Hoja4!A:C,3,0),"")</f>
        <v>Etiquetas</v>
      </c>
      <c r="K364" s="9">
        <f t="shared" si="12"/>
        <v>0</v>
      </c>
      <c r="L364" s="6">
        <f>IFERROR(VLOOKUP(A364,'[4]Consumo SEMANAL PV '!$B:$DN,117,0),0)</f>
        <v>0</v>
      </c>
    </row>
    <row r="365" spans="1:12" x14ac:dyDescent="0.3">
      <c r="A365" s="2">
        <v>405498</v>
      </c>
      <c r="B365" s="2" t="s">
        <v>317</v>
      </c>
      <c r="C365" s="2" t="s">
        <v>253</v>
      </c>
      <c r="D365" s="2" t="s">
        <v>254</v>
      </c>
      <c r="E365" s="5">
        <v>20000</v>
      </c>
      <c r="F365" s="2">
        <v>7.74</v>
      </c>
      <c r="G365" s="5">
        <v>154800</v>
      </c>
      <c r="H365" s="1">
        <f t="shared" ca="1" si="11"/>
        <v>46194</v>
      </c>
      <c r="I365" s="5">
        <f>IFERROR(VLOOKUP(A365,'[3]Consumo SEMANAL PV '!$B:$DI,112,0),0)</f>
        <v>0</v>
      </c>
      <c r="J365" s="2" t="str">
        <f>IFERROR(VLOOKUP(A365,Hoja4!A:C,3,0),"")</f>
        <v>Etiquetas</v>
      </c>
      <c r="K365" s="9">
        <f t="shared" si="12"/>
        <v>0</v>
      </c>
      <c r="L365" s="6">
        <f>IFERROR(VLOOKUP(A365,'[4]Consumo SEMANAL PV '!$B:$DN,117,0),0)</f>
        <v>0</v>
      </c>
    </row>
    <row r="366" spans="1:12" x14ac:dyDescent="0.3">
      <c r="A366" s="2">
        <v>107408</v>
      </c>
      <c r="B366" s="2" t="s">
        <v>318</v>
      </c>
      <c r="C366" s="2" t="s">
        <v>253</v>
      </c>
      <c r="D366" s="2" t="s">
        <v>254</v>
      </c>
      <c r="E366" s="5">
        <v>3000</v>
      </c>
      <c r="F366" s="2">
        <v>18.760000000000002</v>
      </c>
      <c r="G366" s="5">
        <v>56280</v>
      </c>
      <c r="H366" s="1">
        <f t="shared" ca="1" si="11"/>
        <v>46194</v>
      </c>
      <c r="I366" s="5">
        <f>IFERROR(VLOOKUP(A366,'[3]Consumo SEMANAL PV '!$B:$DI,112,0),0)</f>
        <v>0</v>
      </c>
      <c r="J366" s="2" t="str">
        <f>IFERROR(VLOOKUP(A366,Hoja4!A:C,3,0),"")</f>
        <v>Etiquetas</v>
      </c>
      <c r="K366" s="9">
        <f t="shared" si="12"/>
        <v>0</v>
      </c>
      <c r="L366" s="6">
        <f>IFERROR(VLOOKUP(A366,'[4]Consumo SEMANAL PV '!$B:$DN,117,0),0)</f>
        <v>0</v>
      </c>
    </row>
    <row r="367" spans="1:12" x14ac:dyDescent="0.3">
      <c r="A367" s="2">
        <v>405310</v>
      </c>
      <c r="B367" s="2" t="s">
        <v>132</v>
      </c>
      <c r="C367" s="2" t="s">
        <v>253</v>
      </c>
      <c r="D367" s="2" t="s">
        <v>254</v>
      </c>
      <c r="E367" s="5">
        <v>170000</v>
      </c>
      <c r="F367" s="2">
        <v>7.3</v>
      </c>
      <c r="G367" s="5">
        <v>1241000</v>
      </c>
      <c r="H367" s="1">
        <f t="shared" ca="1" si="11"/>
        <v>46194</v>
      </c>
      <c r="I367" s="5">
        <f>IFERROR(VLOOKUP(A367,'[3]Consumo SEMANAL PV '!$B:$DI,112,0),0)</f>
        <v>2777.7777777777778</v>
      </c>
      <c r="J367" s="2" t="str">
        <f>IFERROR(VLOOKUP(A367,Hoja4!A:C,3,0),"")</f>
        <v>Etiquetas</v>
      </c>
      <c r="K367" s="9">
        <f t="shared" si="12"/>
        <v>61.199999999999996</v>
      </c>
      <c r="L367" s="6">
        <f>IFERROR(VLOOKUP(A367,'[4]Consumo SEMANAL PV '!$B:$DN,117,0),0)</f>
        <v>20000</v>
      </c>
    </row>
    <row r="368" spans="1:12" x14ac:dyDescent="0.3">
      <c r="A368" s="2">
        <v>405491</v>
      </c>
      <c r="B368" s="2" t="s">
        <v>319</v>
      </c>
      <c r="C368" s="2" t="s">
        <v>253</v>
      </c>
      <c r="D368" s="2" t="s">
        <v>254</v>
      </c>
      <c r="E368" s="2">
        <v>411.5</v>
      </c>
      <c r="F368" s="5">
        <v>2767.54</v>
      </c>
      <c r="G368" s="5">
        <v>1138842.71</v>
      </c>
      <c r="H368" s="1">
        <f t="shared" ca="1" si="11"/>
        <v>46194</v>
      </c>
      <c r="I368" s="5">
        <f>IFERROR(VLOOKUP(A368,'[3]Consumo SEMANAL PV '!$B:$DI,112,0),0)</f>
        <v>46.94466666666667</v>
      </c>
      <c r="J368" s="2" t="str">
        <f>IFERROR(VLOOKUP(A368,Hoja4!A:C,3,0),"")</f>
        <v>Mermelada</v>
      </c>
      <c r="K368" s="9">
        <f t="shared" si="12"/>
        <v>8.7656389792237661</v>
      </c>
      <c r="L368" s="6">
        <f>IFERROR(VLOOKUP(A368,'[4]Consumo SEMANAL PV '!$B:$DN,117,0),0)</f>
        <v>167.61568627450978</v>
      </c>
    </row>
    <row r="369" spans="1:12" x14ac:dyDescent="0.3">
      <c r="A369" s="2">
        <v>402132</v>
      </c>
      <c r="B369" s="2" t="s">
        <v>156</v>
      </c>
      <c r="C369" s="2" t="s">
        <v>253</v>
      </c>
      <c r="D369" s="2" t="s">
        <v>254</v>
      </c>
      <c r="E369" s="2">
        <v>72.5</v>
      </c>
      <c r="F369" s="5">
        <v>5870</v>
      </c>
      <c r="G369" s="5">
        <v>425575</v>
      </c>
      <c r="H369" s="1">
        <f t="shared" ca="1" si="11"/>
        <v>46194</v>
      </c>
      <c r="I369" s="5">
        <f>IFERROR(VLOOKUP(A369,'[3]Consumo SEMANAL PV '!$B:$DI,112,0),0)</f>
        <v>26.799206349206347</v>
      </c>
      <c r="J369" s="2" t="str">
        <f>IFERROR(VLOOKUP(A369,Hoja4!A:C,3,0),"")</f>
        <v>Fruta Congelada</v>
      </c>
      <c r="K369" s="9">
        <f t="shared" si="12"/>
        <v>2.7053039950247286</v>
      </c>
      <c r="L369" s="6">
        <f>IFERROR(VLOOKUP(A369,'[4]Consumo SEMANAL PV '!$B:$DN,117,0),0)</f>
        <v>137.44871794871793</v>
      </c>
    </row>
    <row r="370" spans="1:12" x14ac:dyDescent="0.3">
      <c r="A370" s="2">
        <v>107183</v>
      </c>
      <c r="B370" s="2" t="s">
        <v>320</v>
      </c>
      <c r="C370" s="2" t="s">
        <v>253</v>
      </c>
      <c r="D370" s="2" t="s">
        <v>254</v>
      </c>
      <c r="E370" s="2">
        <v>244.65</v>
      </c>
      <c r="F370" s="5">
        <v>2300</v>
      </c>
      <c r="G370" s="5">
        <v>562695</v>
      </c>
      <c r="H370" s="1">
        <f t="shared" ca="1" si="11"/>
        <v>46194</v>
      </c>
      <c r="I370" s="5">
        <f>IFERROR(VLOOKUP(A370,'[3]Consumo SEMANAL PV '!$B:$DI,112,0),0)</f>
        <v>58.722222222222229</v>
      </c>
      <c r="J370" s="2" t="str">
        <f>IFERROR(VLOOKUP(A370,Hoja4!A:C,3,0),"")</f>
        <v>fruta Conserva</v>
      </c>
      <c r="K370" s="9">
        <f t="shared" si="12"/>
        <v>4.1662251655629134</v>
      </c>
      <c r="L370" s="6">
        <f>IFERROR(VLOOKUP(A370,'[4]Consumo SEMANAL PV '!$B:$DN,117,0),0)</f>
        <v>555.07307692307688</v>
      </c>
    </row>
    <row r="371" spans="1:12" x14ac:dyDescent="0.3">
      <c r="A371" s="2">
        <v>107335</v>
      </c>
      <c r="B371" s="2" t="s">
        <v>321</v>
      </c>
      <c r="C371" s="2" t="s">
        <v>253</v>
      </c>
      <c r="D371" s="2" t="s">
        <v>254</v>
      </c>
      <c r="E371" s="2">
        <v>395.8</v>
      </c>
      <c r="F371" s="5">
        <v>4290.32</v>
      </c>
      <c r="G371" s="5">
        <v>1698108.656</v>
      </c>
      <c r="H371" s="1">
        <f t="shared" ca="1" si="11"/>
        <v>46194</v>
      </c>
      <c r="I371" s="5">
        <f>IFERROR(VLOOKUP(A371,'[3]Consumo SEMANAL PV '!$B:$DI,112,0),0)</f>
        <v>11.19</v>
      </c>
      <c r="J371" s="2" t="str">
        <f>IFERROR(VLOOKUP(A371,Hoja4!A:C,3,0),"")</f>
        <v>Galleta</v>
      </c>
      <c r="K371" s="9">
        <f t="shared" si="12"/>
        <v>35.370866845397678</v>
      </c>
      <c r="L371" s="6">
        <f>IFERROR(VLOOKUP(A371,'[4]Consumo SEMANAL PV '!$B:$DN,117,0),0)</f>
        <v>44.76</v>
      </c>
    </row>
    <row r="372" spans="1:12" x14ac:dyDescent="0.3">
      <c r="A372" s="2">
        <v>107160</v>
      </c>
      <c r="B372" s="2" t="s">
        <v>159</v>
      </c>
      <c r="C372" s="2" t="s">
        <v>253</v>
      </c>
      <c r="D372" s="2" t="s">
        <v>254</v>
      </c>
      <c r="E372" s="2">
        <v>108</v>
      </c>
      <c r="F372" s="5">
        <v>5349.94</v>
      </c>
      <c r="G372" s="5">
        <v>577793.52</v>
      </c>
      <c r="H372" s="1">
        <f t="shared" ca="1" si="11"/>
        <v>46194</v>
      </c>
      <c r="I372" s="5">
        <f>IFERROR(VLOOKUP(A372,'[3]Consumo SEMANAL PV '!$B:$DI,112,0),0)</f>
        <v>3.5555555555555554</v>
      </c>
      <c r="J372" s="2" t="str">
        <f>IFERROR(VLOOKUP(A372,Hoja4!A:C,3,0),"")</f>
        <v>Gelatina</v>
      </c>
      <c r="K372" s="9">
        <f t="shared" si="12"/>
        <v>30.375</v>
      </c>
      <c r="L372" s="6">
        <f>IFERROR(VLOOKUP(A372,'[4]Consumo SEMANAL PV '!$B:$DN,117,0),0)</f>
        <v>16.764705882352942</v>
      </c>
    </row>
    <row r="373" spans="1:12" x14ac:dyDescent="0.3">
      <c r="A373" s="2">
        <v>107159</v>
      </c>
      <c r="B373" s="2" t="s">
        <v>161</v>
      </c>
      <c r="C373" s="2" t="s">
        <v>253</v>
      </c>
      <c r="D373" s="2" t="s">
        <v>254</v>
      </c>
      <c r="E373" s="2">
        <v>81</v>
      </c>
      <c r="F373" s="5">
        <v>9800</v>
      </c>
      <c r="G373" s="5">
        <v>793800</v>
      </c>
      <c r="H373" s="1">
        <f t="shared" ca="1" si="11"/>
        <v>46194</v>
      </c>
      <c r="I373" s="5">
        <f>IFERROR(VLOOKUP(A373,'[3]Consumo SEMANAL PV '!$B:$DI,112,0),0)</f>
        <v>2.6041666666666665</v>
      </c>
      <c r="J373" s="2" t="str">
        <f>IFERROR(VLOOKUP(A373,Hoja4!A:C,3,0),"")</f>
        <v>Gelatina</v>
      </c>
      <c r="K373" s="9">
        <f t="shared" si="12"/>
        <v>31.104000000000003</v>
      </c>
      <c r="L373" s="6">
        <f>IFERROR(VLOOKUP(A373,'[4]Consumo SEMANAL PV '!$B:$DN,117,0),0)</f>
        <v>12.156862745098039</v>
      </c>
    </row>
    <row r="374" spans="1:12" x14ac:dyDescent="0.3">
      <c r="A374" s="2">
        <v>107311</v>
      </c>
      <c r="B374" s="2" t="s">
        <v>322</v>
      </c>
      <c r="C374" s="2" t="s">
        <v>253</v>
      </c>
      <c r="D374" s="2" t="s">
        <v>254</v>
      </c>
      <c r="E374" s="5">
        <v>250</v>
      </c>
      <c r="F374" s="2">
        <v>540</v>
      </c>
      <c r="G374" s="5">
        <v>135000</v>
      </c>
      <c r="H374" s="1">
        <f t="shared" ca="1" si="11"/>
        <v>46194</v>
      </c>
      <c r="I374" s="5">
        <f>IFERROR(VLOOKUP(A374,'[3]Consumo SEMANAL PV '!$B:$DI,112,0),0)</f>
        <v>268.13333333333333</v>
      </c>
      <c r="J374" s="2" t="str">
        <f>IFERROR(VLOOKUP(A374,Hoja4!A:C,3,0),"")</f>
        <v>Mix</v>
      </c>
      <c r="K374" s="9">
        <f t="shared" si="12"/>
        <v>0.93237195425161612</v>
      </c>
      <c r="L374" s="6">
        <f>IFERROR(VLOOKUP(A374,'[4]Consumo SEMANAL PV '!$B:$DN,117,0),0)</f>
        <v>1270.8333333333333</v>
      </c>
    </row>
    <row r="375" spans="1:12" x14ac:dyDescent="0.3">
      <c r="A375" s="2">
        <v>393322</v>
      </c>
      <c r="B375" s="2" t="s">
        <v>168</v>
      </c>
      <c r="C375" s="2" t="s">
        <v>253</v>
      </c>
      <c r="D375" s="2" t="s">
        <v>254</v>
      </c>
      <c r="E375" s="5">
        <v>3600</v>
      </c>
      <c r="F375" s="2">
        <v>150.5</v>
      </c>
      <c r="G375" s="5">
        <v>541800</v>
      </c>
      <c r="H375" s="1">
        <f t="shared" ca="1" si="11"/>
        <v>46194</v>
      </c>
      <c r="I375" s="5">
        <f>IFERROR(VLOOKUP(A375,'[3]Consumo SEMANAL PV '!$B:$DI,112,0),0)</f>
        <v>368.0555555555556</v>
      </c>
      <c r="J375" s="2" t="str">
        <f>IFERROR(VLOOKUP(A375,Hoja4!A:C,3,0),"")</f>
        <v>Carton</v>
      </c>
      <c r="K375" s="9">
        <f t="shared" si="12"/>
        <v>9.7811320754716977</v>
      </c>
      <c r="L375" s="6">
        <f>IFERROR(VLOOKUP(A375,'[4]Consumo SEMANAL PV '!$B:$DN,117,0),0)</f>
        <v>6390.7407407407409</v>
      </c>
    </row>
    <row r="376" spans="1:12" x14ac:dyDescent="0.3">
      <c r="A376" s="2">
        <v>402257</v>
      </c>
      <c r="B376" s="2" t="s">
        <v>324</v>
      </c>
      <c r="C376" s="2" t="s">
        <v>253</v>
      </c>
      <c r="D376" s="2" t="s">
        <v>254</v>
      </c>
      <c r="E376" s="5">
        <v>1200</v>
      </c>
      <c r="F376" s="2">
        <v>145</v>
      </c>
      <c r="G376" s="5">
        <v>174000</v>
      </c>
      <c r="H376" s="1">
        <f t="shared" ca="1" si="11"/>
        <v>46194</v>
      </c>
      <c r="I376" s="5">
        <f>IFERROR(VLOOKUP(A376,'[3]Consumo SEMANAL PV '!$B:$DI,112,0),0)</f>
        <v>924.44444444444446</v>
      </c>
      <c r="J376" s="2" t="str">
        <f>IFERROR(VLOOKUP(A376,Hoja4!A:C,3,0),"")</f>
        <v>Carton</v>
      </c>
      <c r="K376" s="9">
        <f t="shared" si="12"/>
        <v>1.2980769230769231</v>
      </c>
      <c r="L376" s="6">
        <f>IFERROR(VLOOKUP(A376,'[4]Consumo SEMANAL PV '!$B:$DN,117,0),0)</f>
        <v>17340</v>
      </c>
    </row>
    <row r="377" spans="1:12" x14ac:dyDescent="0.3">
      <c r="A377" s="2">
        <v>405789</v>
      </c>
      <c r="B377" s="2" t="s">
        <v>817</v>
      </c>
      <c r="C377" s="2" t="s">
        <v>253</v>
      </c>
      <c r="D377" s="2" t="s">
        <v>254</v>
      </c>
      <c r="E377" s="5">
        <v>10500</v>
      </c>
      <c r="F377" s="2">
        <v>145</v>
      </c>
      <c r="G377" s="5">
        <v>1522500</v>
      </c>
      <c r="H377" s="1">
        <f t="shared" ca="1" si="11"/>
        <v>46194</v>
      </c>
      <c r="I377" s="5">
        <f>IFERROR(VLOOKUP(A377,'[3]Consumo SEMANAL PV '!$B:$DI,112,0),0)</f>
        <v>400</v>
      </c>
      <c r="J377" s="2" t="str">
        <f>IFERROR(VLOOKUP(A377,Hoja4!A:C,3,0),"")</f>
        <v>Carton</v>
      </c>
      <c r="K377" s="9">
        <f t="shared" si="12"/>
        <v>26.25</v>
      </c>
      <c r="L377" s="6">
        <f>IFERROR(VLOOKUP(A377,'[4]Consumo SEMANAL PV '!$B:$DN,117,0),0)</f>
        <v>0</v>
      </c>
    </row>
    <row r="378" spans="1:12" x14ac:dyDescent="0.3">
      <c r="A378" s="2">
        <v>393320</v>
      </c>
      <c r="B378" s="2" t="s">
        <v>169</v>
      </c>
      <c r="C378" s="2" t="s">
        <v>253</v>
      </c>
      <c r="D378" s="2" t="s">
        <v>254</v>
      </c>
      <c r="E378" s="5">
        <v>200</v>
      </c>
      <c r="F378" s="2">
        <v>151</v>
      </c>
      <c r="G378" s="5">
        <v>30200</v>
      </c>
      <c r="H378" s="1">
        <f t="shared" ca="1" si="11"/>
        <v>46194</v>
      </c>
      <c r="I378" s="5">
        <f>IFERROR(VLOOKUP(A378,'[3]Consumo SEMANAL PV '!$B:$DI,112,0),0)</f>
        <v>1050</v>
      </c>
      <c r="J378" s="2" t="str">
        <f>IFERROR(VLOOKUP(A378,Hoja4!A:C,3,0),"")</f>
        <v>Carton</v>
      </c>
      <c r="K378" s="9">
        <f t="shared" si="12"/>
        <v>0.19047619047619047</v>
      </c>
      <c r="L378" s="6">
        <f>IFERROR(VLOOKUP(A378,'[4]Consumo SEMANAL PV '!$B:$DN,117,0),0)</f>
        <v>19975</v>
      </c>
    </row>
    <row r="379" spans="1:12" x14ac:dyDescent="0.3">
      <c r="A379" s="2">
        <v>393321</v>
      </c>
      <c r="B379" s="2" t="s">
        <v>170</v>
      </c>
      <c r="C379" s="2" t="s">
        <v>253</v>
      </c>
      <c r="D379" s="2" t="s">
        <v>254</v>
      </c>
      <c r="E379" s="5">
        <v>2300</v>
      </c>
      <c r="F379" s="2">
        <v>151</v>
      </c>
      <c r="G379" s="5">
        <v>347300</v>
      </c>
      <c r="H379" s="1">
        <f t="shared" ca="1" si="11"/>
        <v>46194</v>
      </c>
      <c r="I379" s="5">
        <f>IFERROR(VLOOKUP(A379,'[3]Consumo SEMANAL PV '!$B:$DI,112,0),0)</f>
        <v>681.74603174603169</v>
      </c>
      <c r="J379" s="2" t="str">
        <f>IFERROR(VLOOKUP(A379,Hoja4!A:C,3,0),"")</f>
        <v>Carton</v>
      </c>
      <c r="K379" s="9">
        <f t="shared" si="12"/>
        <v>3.3736903376018628</v>
      </c>
      <c r="L379" s="6">
        <f>IFERROR(VLOOKUP(A379,'[4]Consumo SEMANAL PV '!$B:$DN,117,0),0)</f>
        <v>12580</v>
      </c>
    </row>
    <row r="380" spans="1:12" x14ac:dyDescent="0.3">
      <c r="A380" s="2">
        <v>362105</v>
      </c>
      <c r="B380" s="2" t="s">
        <v>171</v>
      </c>
      <c r="C380" s="2" t="s">
        <v>253</v>
      </c>
      <c r="D380" s="2" t="s">
        <v>254</v>
      </c>
      <c r="E380" s="5">
        <v>8964</v>
      </c>
      <c r="F380" s="2">
        <v>178.44</v>
      </c>
      <c r="G380" s="5">
        <v>1599536.16</v>
      </c>
      <c r="H380" s="1">
        <f t="shared" ca="1" si="11"/>
        <v>46194</v>
      </c>
      <c r="I380" s="5">
        <f>IFERROR(VLOOKUP(A380,'[3]Consumo SEMANAL PV '!$B:$DI,112,0),0)</f>
        <v>8984.7803030303021</v>
      </c>
      <c r="J380" s="2" t="str">
        <f>IFERROR(VLOOKUP(A380,Hoja4!A:C,3,0),"")</f>
        <v>Insumo</v>
      </c>
      <c r="K380" s="9">
        <f t="shared" si="12"/>
        <v>0.99768716626011511</v>
      </c>
      <c r="L380" s="6">
        <f>IFERROR(VLOOKUP(A380,'[4]Consumo SEMANAL PV '!$B:$DN,117,0),0)</f>
        <v>42527.559523809527</v>
      </c>
    </row>
    <row r="381" spans="1:12" x14ac:dyDescent="0.3">
      <c r="A381" s="2">
        <v>107226</v>
      </c>
      <c r="B381" s="2" t="s">
        <v>815</v>
      </c>
      <c r="C381" s="2" t="s">
        <v>253</v>
      </c>
      <c r="D381" s="2" t="s">
        <v>254</v>
      </c>
      <c r="E381" s="2">
        <v>840</v>
      </c>
      <c r="F381" s="5">
        <v>2300</v>
      </c>
      <c r="G381" s="5">
        <v>1932000</v>
      </c>
      <c r="H381" s="1">
        <f t="shared" ca="1" si="11"/>
        <v>46194</v>
      </c>
      <c r="I381" s="5">
        <f>IFERROR(VLOOKUP(A381,'[3]Consumo SEMANAL PV '!$B:$DI,112,0),0)</f>
        <v>342.59259259259261</v>
      </c>
      <c r="J381" s="2" t="str">
        <f>IFERROR(VLOOKUP(A381,Hoja4!A:C,3,0),"")</f>
        <v>Huevo</v>
      </c>
      <c r="K381" s="9">
        <f t="shared" si="12"/>
        <v>2.4518918918918917</v>
      </c>
      <c r="L381" s="6">
        <f>IFERROR(VLOOKUP(A381,'[4]Consumo SEMANAL PV '!$B:$DN,117,0),0)</f>
        <v>413.33333333333331</v>
      </c>
    </row>
    <row r="382" spans="1:12" x14ac:dyDescent="0.3">
      <c r="A382" s="2">
        <v>107259</v>
      </c>
      <c r="B382" s="2" t="s">
        <v>180</v>
      </c>
      <c r="C382" s="2" t="s">
        <v>253</v>
      </c>
      <c r="D382" s="2" t="s">
        <v>254</v>
      </c>
      <c r="E382" s="2">
        <v>390</v>
      </c>
      <c r="F382" s="5">
        <v>2189.87</v>
      </c>
      <c r="G382" s="5">
        <v>854049.3</v>
      </c>
      <c r="H382" s="1">
        <f t="shared" ca="1" si="11"/>
        <v>46194</v>
      </c>
      <c r="I382" s="5">
        <f>IFERROR(VLOOKUP(A382,'[3]Consumo SEMANAL PV '!$B:$DI,112,0),0)</f>
        <v>29.333333333333332</v>
      </c>
      <c r="J382" s="2" t="str">
        <f>IFERROR(VLOOKUP(A382,Hoja4!A:C,3,0),"")</f>
        <v>Remojo</v>
      </c>
      <c r="K382" s="9">
        <f t="shared" si="12"/>
        <v>13.295454545454547</v>
      </c>
      <c r="L382" s="6">
        <f>IFERROR(VLOOKUP(A382,'[4]Consumo SEMANAL PV '!$B:$DN,117,0),0)</f>
        <v>112.94117647058823</v>
      </c>
    </row>
    <row r="383" spans="1:12" x14ac:dyDescent="0.3">
      <c r="A383" s="2">
        <v>501147</v>
      </c>
      <c r="B383" s="2" t="s">
        <v>325</v>
      </c>
      <c r="C383" s="2" t="s">
        <v>253</v>
      </c>
      <c r="D383" s="2" t="s">
        <v>254</v>
      </c>
      <c r="E383" s="5">
        <v>5046</v>
      </c>
      <c r="F383" s="2">
        <v>689</v>
      </c>
      <c r="G383" s="5">
        <v>3476694</v>
      </c>
      <c r="H383" s="1">
        <f t="shared" ca="1" si="11"/>
        <v>46194</v>
      </c>
      <c r="I383" s="5">
        <f>IFERROR(VLOOKUP(A383,'[3]Consumo SEMANAL PV '!$B:$DI,112,0),0)</f>
        <v>313.54166666666669</v>
      </c>
      <c r="J383" s="2" t="str">
        <f>IFERROR(VLOOKUP(A383,Hoja4!A:C,3,0),"")</f>
        <v>Remojo</v>
      </c>
      <c r="K383" s="9">
        <f t="shared" si="12"/>
        <v>16.093554817275745</v>
      </c>
      <c r="L383" s="6">
        <f>IFERROR(VLOOKUP(A383,'[4]Consumo SEMANAL PV '!$B:$DN,117,0),0)</f>
        <v>0</v>
      </c>
    </row>
    <row r="384" spans="1:12" x14ac:dyDescent="0.3">
      <c r="A384" s="2">
        <v>100303</v>
      </c>
      <c r="B384" s="2" t="s">
        <v>326</v>
      </c>
      <c r="C384" s="2" t="s">
        <v>253</v>
      </c>
      <c r="D384" s="2" t="s">
        <v>254</v>
      </c>
      <c r="E384" s="5">
        <v>1000</v>
      </c>
      <c r="F384" s="2">
        <v>689</v>
      </c>
      <c r="G384" s="5">
        <v>689000</v>
      </c>
      <c r="H384" s="1">
        <f t="shared" ca="1" si="11"/>
        <v>46194</v>
      </c>
      <c r="I384" s="5">
        <f>IFERROR(VLOOKUP(A384,'[3]Consumo SEMANAL PV '!$B:$DI,112,0),0)</f>
        <v>606.76666666666665</v>
      </c>
      <c r="J384" s="2" t="str">
        <f>IFERROR(VLOOKUP(A384,Hoja4!A:C,3,0),"")</f>
        <v>Remojo</v>
      </c>
      <c r="K384" s="9">
        <f t="shared" si="12"/>
        <v>1.6480799868153602</v>
      </c>
      <c r="L384" s="6">
        <f>IFERROR(VLOOKUP(A384,'[4]Consumo SEMANAL PV '!$B:$DN,117,0),0)</f>
        <v>2706.4705882352941</v>
      </c>
    </row>
    <row r="385" spans="1:12" x14ac:dyDescent="0.3">
      <c r="A385" s="2">
        <v>107278</v>
      </c>
      <c r="B385" s="2" t="s">
        <v>182</v>
      </c>
      <c r="C385" s="2" t="s">
        <v>253</v>
      </c>
      <c r="D385" s="2" t="s">
        <v>254</v>
      </c>
      <c r="E385" s="5">
        <v>2045</v>
      </c>
      <c r="F385" s="2">
        <v>720.8</v>
      </c>
      <c r="G385" s="5">
        <v>1474036</v>
      </c>
      <c r="H385" s="1">
        <f t="shared" ca="1" si="11"/>
        <v>46194</v>
      </c>
      <c r="I385" s="5">
        <f>IFERROR(VLOOKUP(A385,'[3]Consumo SEMANAL PV '!$B:$DI,112,0),0)</f>
        <v>217.46666666666667</v>
      </c>
      <c r="J385" s="2" t="str">
        <f>IFERROR(VLOOKUP(A385,Hoja4!A:C,3,0),"")</f>
        <v>Remojo</v>
      </c>
      <c r="K385" s="9">
        <f t="shared" si="12"/>
        <v>9.4037400367872461</v>
      </c>
      <c r="L385" s="6">
        <f>IFERROR(VLOOKUP(A385,'[4]Consumo SEMANAL PV '!$B:$DN,117,0),0)</f>
        <v>800</v>
      </c>
    </row>
    <row r="386" spans="1:12" x14ac:dyDescent="0.3">
      <c r="A386" s="2">
        <v>405593</v>
      </c>
      <c r="B386" s="2" t="s">
        <v>327</v>
      </c>
      <c r="C386" s="2" t="s">
        <v>253</v>
      </c>
      <c r="D386" s="2" t="s">
        <v>254</v>
      </c>
      <c r="E386" s="2">
        <v>19.170000000000002</v>
      </c>
      <c r="F386" s="5">
        <v>7398.85</v>
      </c>
      <c r="G386" s="5">
        <v>141835.95449999999</v>
      </c>
      <c r="H386" s="1">
        <f t="shared" ca="1" si="11"/>
        <v>46194</v>
      </c>
      <c r="I386" s="5">
        <f>IFERROR(VLOOKUP(A386,'[3]Consumo SEMANAL PV '!$B:$DI,112,0),0)</f>
        <v>0.37369999999999992</v>
      </c>
      <c r="J386" s="2" t="str">
        <f>IFERROR(VLOOKUP(A386,Hoja4!A:C,3,0),"")</f>
        <v>Jugo</v>
      </c>
      <c r="K386" s="9">
        <f t="shared" si="12"/>
        <v>51.297832485951311</v>
      </c>
      <c r="L386" s="6">
        <f>IFERROR(VLOOKUP(A386,'[4]Consumo SEMANAL PV '!$B:$DN,117,0),0)</f>
        <v>1.9296568627450981</v>
      </c>
    </row>
    <row r="387" spans="1:12" x14ac:dyDescent="0.3">
      <c r="A387" s="2">
        <v>107109</v>
      </c>
      <c r="B387" s="2" t="s">
        <v>188</v>
      </c>
      <c r="C387" s="2" t="s">
        <v>253</v>
      </c>
      <c r="D387" s="2" t="s">
        <v>254</v>
      </c>
      <c r="E387" s="2">
        <v>490</v>
      </c>
      <c r="F387" s="5">
        <v>2323</v>
      </c>
      <c r="G387" s="5">
        <v>1138270</v>
      </c>
      <c r="H387" s="1">
        <f t="shared" ref="H387:H450" ca="1" si="13">TODAY()</f>
        <v>46194</v>
      </c>
      <c r="I387" s="5">
        <f>IFERROR(VLOOKUP(A387,'[3]Consumo SEMANAL PV '!$B:$DI,112,0),0)</f>
        <v>245.96666666666667</v>
      </c>
      <c r="J387" s="2" t="str">
        <f>IFERROR(VLOOKUP(A387,Hoja4!A:C,3,0),"")</f>
        <v>Manjar</v>
      </c>
      <c r="K387" s="9">
        <f t="shared" ref="K387:K450" si="14">IFERROR(+E387/I387,0)</f>
        <v>1.9921398563490988</v>
      </c>
      <c r="L387" s="6">
        <f>IFERROR(VLOOKUP(A387,'[4]Consumo SEMANAL PV '!$B:$DN,117,0),0)</f>
        <v>671.96078431372553</v>
      </c>
    </row>
    <row r="388" spans="1:12" x14ac:dyDescent="0.3">
      <c r="A388" s="2">
        <v>107147</v>
      </c>
      <c r="B388" s="2" t="s">
        <v>328</v>
      </c>
      <c r="C388" s="2" t="s">
        <v>253</v>
      </c>
      <c r="D388" s="2" t="s">
        <v>254</v>
      </c>
      <c r="E388" s="2">
        <v>1704</v>
      </c>
      <c r="F388" s="5">
        <v>1530</v>
      </c>
      <c r="G388" s="5">
        <v>2607120</v>
      </c>
      <c r="H388" s="1">
        <f t="shared" ca="1" si="13"/>
        <v>46194</v>
      </c>
      <c r="I388" s="5">
        <f>IFERROR(VLOOKUP(A388,'[3]Consumo SEMANAL PV '!$B:$DI,112,0),0)</f>
        <v>435.35999999999996</v>
      </c>
      <c r="J388" s="2" t="str">
        <f>IFERROR(VLOOKUP(A388,Hoja4!A:C,3,0),"")</f>
        <v>Manjar</v>
      </c>
      <c r="K388" s="9">
        <f t="shared" si="14"/>
        <v>3.9140022050716654</v>
      </c>
      <c r="L388" s="6">
        <f>IFERROR(VLOOKUP(A388,'[4]Consumo SEMANAL PV '!$B:$DN,117,0),0)</f>
        <v>2419.4117647058824</v>
      </c>
    </row>
    <row r="389" spans="1:12" x14ac:dyDescent="0.3">
      <c r="A389" s="2">
        <v>405745</v>
      </c>
      <c r="B389" s="2" t="s">
        <v>329</v>
      </c>
      <c r="C389" s="2" t="s">
        <v>253</v>
      </c>
      <c r="D389" s="2" t="s">
        <v>254</v>
      </c>
      <c r="E389" s="2">
        <v>105</v>
      </c>
      <c r="F389" s="5">
        <v>6200</v>
      </c>
      <c r="G389" s="5">
        <v>651000</v>
      </c>
      <c r="H389" s="1">
        <f t="shared" ca="1" si="13"/>
        <v>46194</v>
      </c>
      <c r="I389" s="5">
        <f>IFERROR(VLOOKUP(A389,'[3]Consumo SEMANAL PV '!$B:$DI,112,0),0)</f>
        <v>22.1875</v>
      </c>
      <c r="J389" s="2" t="str">
        <f>IFERROR(VLOOKUP(A389,Hoja4!A:C,3,0),"")</f>
        <v>Margarina</v>
      </c>
      <c r="K389" s="9">
        <f t="shared" si="14"/>
        <v>4.732394366197183</v>
      </c>
      <c r="L389" s="6">
        <f>IFERROR(VLOOKUP(A389,'[4]Consumo SEMANAL PV '!$B:$DN,117,0),0)</f>
        <v>0</v>
      </c>
    </row>
    <row r="390" spans="1:12" x14ac:dyDescent="0.3">
      <c r="A390" s="2">
        <v>107331</v>
      </c>
      <c r="B390" s="2" t="s">
        <v>189</v>
      </c>
      <c r="C390" s="2" t="s">
        <v>253</v>
      </c>
      <c r="D390" s="2" t="s">
        <v>254</v>
      </c>
      <c r="E390" s="2">
        <v>380</v>
      </c>
      <c r="F390" s="5">
        <v>5799.71</v>
      </c>
      <c r="G390" s="5">
        <v>2203889.7999999998</v>
      </c>
      <c r="H390" s="1">
        <f t="shared" ca="1" si="13"/>
        <v>46194</v>
      </c>
      <c r="I390" s="5">
        <f>IFERROR(VLOOKUP(A390,'[3]Consumo SEMANAL PV '!$B:$DI,112,0),0)</f>
        <v>14.824074074074074</v>
      </c>
      <c r="J390" s="2" t="str">
        <f>IFERROR(VLOOKUP(A390,Hoja4!A:C,3,0),"")</f>
        <v>Margarina</v>
      </c>
      <c r="K390" s="9">
        <f t="shared" si="14"/>
        <v>25.633978763272953</v>
      </c>
      <c r="L390" s="6">
        <f>IFERROR(VLOOKUP(A390,'[4]Consumo SEMANAL PV '!$B:$DN,117,0),0)</f>
        <v>65.041666666666671</v>
      </c>
    </row>
    <row r="391" spans="1:12" x14ac:dyDescent="0.3">
      <c r="A391" s="2">
        <v>107144</v>
      </c>
      <c r="B391" s="2" t="s">
        <v>190</v>
      </c>
      <c r="C391" s="2" t="s">
        <v>253</v>
      </c>
      <c r="D391" s="2" t="s">
        <v>254</v>
      </c>
      <c r="E391" s="2">
        <v>433.2</v>
      </c>
      <c r="F391" s="5">
        <v>3149.9</v>
      </c>
      <c r="G391" s="5">
        <v>1364536.68</v>
      </c>
      <c r="H391" s="1">
        <f t="shared" ca="1" si="13"/>
        <v>46194</v>
      </c>
      <c r="I391" s="5">
        <f>IFERROR(VLOOKUP(A391,'[3]Consumo SEMANAL PV '!$B:$DI,112,0),0)</f>
        <v>55.997333333333351</v>
      </c>
      <c r="J391" s="2" t="str">
        <f>IFERROR(VLOOKUP(A391,Hoja4!A:C,3,0),"")</f>
        <v>fruta Conserva</v>
      </c>
      <c r="K391" s="9">
        <f t="shared" si="14"/>
        <v>7.7360826706033592</v>
      </c>
      <c r="L391" s="6">
        <f>IFERROR(VLOOKUP(A391,'[4]Consumo SEMANAL PV '!$B:$DN,117,0),0)</f>
        <v>198.49411764705883</v>
      </c>
    </row>
    <row r="392" spans="1:12" x14ac:dyDescent="0.3">
      <c r="A392" s="2">
        <v>103007</v>
      </c>
      <c r="B392" s="2" t="s">
        <v>330</v>
      </c>
      <c r="C392" s="2" t="s">
        <v>253</v>
      </c>
      <c r="D392" s="2" t="s">
        <v>254</v>
      </c>
      <c r="E392" s="2">
        <v>850</v>
      </c>
      <c r="F392" s="5">
        <v>1750</v>
      </c>
      <c r="G392" s="5">
        <v>1487500</v>
      </c>
      <c r="H392" s="1">
        <f t="shared" ca="1" si="13"/>
        <v>46194</v>
      </c>
      <c r="I392" s="5">
        <f>IFERROR(VLOOKUP(A392,'[3]Consumo SEMANAL PV '!$B:$DI,112,0),0)</f>
        <v>203.41333333333333</v>
      </c>
      <c r="J392" s="2" t="str">
        <f>IFERROR(VLOOKUP(A392,Hoja4!A:C,3,0),"")</f>
        <v>Margarina</v>
      </c>
      <c r="K392" s="9">
        <f t="shared" si="14"/>
        <v>4.1786837965390671</v>
      </c>
      <c r="L392" s="6">
        <f>IFERROR(VLOOKUP(A392,'[4]Consumo SEMANAL PV '!$B:$DN,117,0),0)</f>
        <v>814.39215686274508</v>
      </c>
    </row>
    <row r="393" spans="1:12" x14ac:dyDescent="0.3">
      <c r="A393" s="2">
        <v>405700</v>
      </c>
      <c r="B393" s="2" t="s">
        <v>822</v>
      </c>
      <c r="C393" s="2" t="s">
        <v>253</v>
      </c>
      <c r="D393" s="2" t="s">
        <v>254</v>
      </c>
      <c r="E393" s="2">
        <v>185</v>
      </c>
      <c r="F393" s="5">
        <v>1472.97</v>
      </c>
      <c r="G393" s="5">
        <v>272499.45</v>
      </c>
      <c r="H393" s="1">
        <f t="shared" ca="1" si="13"/>
        <v>46194</v>
      </c>
      <c r="I393" s="5">
        <f>IFERROR(VLOOKUP(A393,'[3]Consumo SEMANAL PV '!$B:$DI,112,0),0)</f>
        <v>148.33333333333334</v>
      </c>
      <c r="J393" s="2" t="str">
        <f>IFERROR(VLOOKUP(A393,Hoja4!A:C,3,0),"")</f>
        <v>Margarina</v>
      </c>
      <c r="K393" s="9">
        <f t="shared" si="14"/>
        <v>1.247191011235955</v>
      </c>
      <c r="L393" s="6">
        <f>IFERROR(VLOOKUP(A393,'[4]Consumo SEMANAL PV '!$B:$DN,117,0),0)</f>
        <v>0</v>
      </c>
    </row>
    <row r="394" spans="1:12" x14ac:dyDescent="0.3">
      <c r="A394" s="2">
        <v>107001</v>
      </c>
      <c r="B394" s="2" t="s">
        <v>191</v>
      </c>
      <c r="C394" s="2" t="s">
        <v>253</v>
      </c>
      <c r="D394" s="2" t="s">
        <v>254</v>
      </c>
      <c r="E394" s="2">
        <v>220.6</v>
      </c>
      <c r="F394" s="5">
        <v>5888.37</v>
      </c>
      <c r="G394" s="5">
        <v>1298974.422</v>
      </c>
      <c r="H394" s="1">
        <f t="shared" ca="1" si="13"/>
        <v>46194</v>
      </c>
      <c r="I394" s="5">
        <f>IFERROR(VLOOKUP(A394,'[3]Consumo SEMANAL PV '!$B:$DI,112,0),0)</f>
        <v>21.672222222222221</v>
      </c>
      <c r="J394" s="2" t="str">
        <f>IFERROR(VLOOKUP(A394,Hoja4!A:C,3,0),"")</f>
        <v>Fruta conserva</v>
      </c>
      <c r="K394" s="9">
        <f t="shared" si="14"/>
        <v>10.178928479876955</v>
      </c>
      <c r="L394" s="6">
        <f>IFERROR(VLOOKUP(A394,'[4]Consumo SEMANAL PV '!$B:$DN,117,0),0)</f>
        <v>30</v>
      </c>
    </row>
    <row r="395" spans="1:12" x14ac:dyDescent="0.3">
      <c r="A395" s="2">
        <v>107155</v>
      </c>
      <c r="B395" s="2" t="s">
        <v>332</v>
      </c>
      <c r="C395" s="2" t="s">
        <v>253</v>
      </c>
      <c r="D395" s="2" t="s">
        <v>254</v>
      </c>
      <c r="E395" s="2">
        <v>290</v>
      </c>
      <c r="F395" s="5">
        <v>2989.17</v>
      </c>
      <c r="G395" s="5">
        <v>866859.3</v>
      </c>
      <c r="H395" s="1">
        <f t="shared" ca="1" si="13"/>
        <v>46194</v>
      </c>
      <c r="I395" s="5">
        <f>IFERROR(VLOOKUP(A395,'[3]Consumo SEMANAL PV '!$B:$DI,112,0),0)</f>
        <v>19.649122807017545</v>
      </c>
      <c r="J395" s="2" t="str">
        <f>IFERROR(VLOOKUP(A395,Hoja4!A:C,3,0),"")</f>
        <v>Mermelada</v>
      </c>
      <c r="K395" s="9">
        <f t="shared" si="14"/>
        <v>14.758928571428571</v>
      </c>
      <c r="L395" s="6">
        <f>IFERROR(VLOOKUP(A395,'[4]Consumo SEMANAL PV '!$B:$DN,117,0),0)</f>
        <v>76.888888888888886</v>
      </c>
    </row>
    <row r="396" spans="1:12" x14ac:dyDescent="0.3">
      <c r="A396" s="2">
        <v>107158</v>
      </c>
      <c r="B396" s="2" t="s">
        <v>194</v>
      </c>
      <c r="C396" s="2" t="s">
        <v>253</v>
      </c>
      <c r="D396" s="2" t="s">
        <v>254</v>
      </c>
      <c r="E396" s="2">
        <v>290</v>
      </c>
      <c r="F396" s="5">
        <v>3390.92</v>
      </c>
      <c r="G396" s="5">
        <v>983366.8</v>
      </c>
      <c r="H396" s="1">
        <f t="shared" ca="1" si="13"/>
        <v>46194</v>
      </c>
      <c r="I396" s="5">
        <f>IFERROR(VLOOKUP(A396,'[3]Consumo SEMANAL PV '!$B:$DI,112,0),0)</f>
        <v>31.790000000000003</v>
      </c>
      <c r="J396" s="2" t="str">
        <f>IFERROR(VLOOKUP(A396,Hoja4!A:C,3,0),"")</f>
        <v>Mermelada</v>
      </c>
      <c r="K396" s="9">
        <f t="shared" si="14"/>
        <v>9.1223655237496057</v>
      </c>
      <c r="L396" s="6">
        <f>IFERROR(VLOOKUP(A396,'[4]Consumo SEMANAL PV '!$B:$DN,117,0),0)</f>
        <v>118.76470588235294</v>
      </c>
    </row>
    <row r="397" spans="1:12" x14ac:dyDescent="0.3">
      <c r="A397" s="2">
        <v>107321</v>
      </c>
      <c r="B397" s="2" t="s">
        <v>333</v>
      </c>
      <c r="C397" s="2" t="s">
        <v>253</v>
      </c>
      <c r="D397" s="2" t="s">
        <v>254</v>
      </c>
      <c r="E397" s="2">
        <v>980</v>
      </c>
      <c r="F397" s="5">
        <v>2629.99</v>
      </c>
      <c r="G397" s="5">
        <v>2577390.2000000002</v>
      </c>
      <c r="H397" s="1">
        <f t="shared" ca="1" si="13"/>
        <v>46194</v>
      </c>
      <c r="I397" s="5">
        <f>IFERROR(VLOOKUP(A397,'[3]Consumo SEMANAL PV '!$B:$DI,112,0),0)</f>
        <v>107.26666666666667</v>
      </c>
      <c r="J397" s="2" t="str">
        <f>IFERROR(VLOOKUP(A397,Hoja4!A:C,3,0),"")</f>
        <v>Insumo</v>
      </c>
      <c r="K397" s="9">
        <f t="shared" si="14"/>
        <v>9.1361093847110002</v>
      </c>
      <c r="L397" s="6">
        <f>IFERROR(VLOOKUP(A397,'[4]Consumo SEMANAL PV '!$B:$DN,117,0),0)</f>
        <v>690.29411764705878</v>
      </c>
    </row>
    <row r="398" spans="1:12" x14ac:dyDescent="0.3">
      <c r="A398" s="2">
        <v>107112</v>
      </c>
      <c r="B398" s="2" t="s">
        <v>195</v>
      </c>
      <c r="C398" s="2" t="s">
        <v>253</v>
      </c>
      <c r="D398" s="2" t="s">
        <v>254</v>
      </c>
      <c r="E398" s="2">
        <v>155</v>
      </c>
      <c r="F398" s="5">
        <v>2713</v>
      </c>
      <c r="G398" s="5">
        <v>420515</v>
      </c>
      <c r="H398" s="1">
        <f t="shared" ca="1" si="13"/>
        <v>46194</v>
      </c>
      <c r="I398" s="5">
        <f>IFERROR(VLOOKUP(A398,'[3]Consumo SEMANAL PV '!$B:$DI,112,0),0)</f>
        <v>17.2</v>
      </c>
      <c r="J398" s="2" t="str">
        <f>IFERROR(VLOOKUP(A398,Hoja4!A:C,3,0),"")</f>
        <v>Insumo</v>
      </c>
      <c r="K398" s="9">
        <f t="shared" si="14"/>
        <v>9.0116279069767451</v>
      </c>
      <c r="L398" s="6">
        <f>IFERROR(VLOOKUP(A398,'[4]Consumo SEMANAL PV '!$B:$DN,117,0),0)</f>
        <v>62.058823529411768</v>
      </c>
    </row>
    <row r="399" spans="1:12" x14ac:dyDescent="0.3">
      <c r="A399" s="2">
        <v>405318</v>
      </c>
      <c r="B399" s="2" t="s">
        <v>334</v>
      </c>
      <c r="C399" s="2" t="s">
        <v>253</v>
      </c>
      <c r="D399" s="2" t="s">
        <v>254</v>
      </c>
      <c r="E399" s="2">
        <v>620</v>
      </c>
      <c r="F399" s="5">
        <v>2862</v>
      </c>
      <c r="G399" s="5">
        <v>1774440</v>
      </c>
      <c r="H399" s="1">
        <f t="shared" ca="1" si="13"/>
        <v>46194</v>
      </c>
      <c r="I399" s="5">
        <f>IFERROR(VLOOKUP(A399,'[3]Consumo SEMANAL PV '!$B:$DI,112,0),0)</f>
        <v>38.796296296296298</v>
      </c>
      <c r="J399" s="2" t="str">
        <f>IFERROR(VLOOKUP(A399,Hoja4!A:C,3,0),"")</f>
        <v>Mermelada</v>
      </c>
      <c r="K399" s="9">
        <f t="shared" si="14"/>
        <v>15.980906921241049</v>
      </c>
      <c r="L399" s="6">
        <f>IFERROR(VLOOKUP(A399,'[4]Consumo SEMANAL PV '!$B:$DN,117,0),0)</f>
        <v>162</v>
      </c>
    </row>
    <row r="400" spans="1:12" x14ac:dyDescent="0.3">
      <c r="A400" s="2">
        <v>170173</v>
      </c>
      <c r="B400" s="2" t="s">
        <v>197</v>
      </c>
      <c r="C400" s="2" t="s">
        <v>253</v>
      </c>
      <c r="D400" s="2" t="s">
        <v>254</v>
      </c>
      <c r="E400" s="2">
        <v>365</v>
      </c>
      <c r="F400" s="5">
        <v>2035.47</v>
      </c>
      <c r="G400" s="5">
        <v>742946.55</v>
      </c>
      <c r="H400" s="1">
        <f t="shared" ca="1" si="13"/>
        <v>46194</v>
      </c>
      <c r="I400" s="5">
        <f>IFERROR(VLOOKUP(A400,'[3]Consumo SEMANAL PV '!$B:$DI,112,0),0)</f>
        <v>12.465277777777779</v>
      </c>
      <c r="J400" s="2" t="str">
        <f>IFERROR(VLOOKUP(A400,Hoja4!A:C,3,0),"")</f>
        <v>Mermelada</v>
      </c>
      <c r="K400" s="9">
        <f t="shared" si="14"/>
        <v>29.281337047353759</v>
      </c>
      <c r="L400" s="6">
        <f>IFERROR(VLOOKUP(A400,'[4]Consumo SEMANAL PV '!$B:$DN,117,0),0)</f>
        <v>46.078431372549026</v>
      </c>
    </row>
    <row r="401" spans="1:12" x14ac:dyDescent="0.3">
      <c r="A401" s="2">
        <v>107157</v>
      </c>
      <c r="B401" s="2" t="s">
        <v>198</v>
      </c>
      <c r="C401" s="2" t="s">
        <v>253</v>
      </c>
      <c r="D401" s="2" t="s">
        <v>254</v>
      </c>
      <c r="E401" s="5">
        <v>1120</v>
      </c>
      <c r="F401" s="5">
        <v>2098.7600000000002</v>
      </c>
      <c r="G401" s="5">
        <v>2350611.2000000002</v>
      </c>
      <c r="H401" s="1">
        <f t="shared" ca="1" si="13"/>
        <v>46194</v>
      </c>
      <c r="I401" s="5">
        <f>IFERROR(VLOOKUP(A401,'[3]Consumo SEMANAL PV '!$B:$DI,112,0),0)</f>
        <v>138.76666666666668</v>
      </c>
      <c r="J401" s="2" t="str">
        <f>IFERROR(VLOOKUP(A401,Hoja4!A:C,3,0),"")</f>
        <v>Mermelada</v>
      </c>
      <c r="K401" s="9">
        <f t="shared" si="14"/>
        <v>8.0711025702618304</v>
      </c>
      <c r="L401" s="6">
        <f>IFERROR(VLOOKUP(A401,'[4]Consumo SEMANAL PV '!$B:$DN,117,0),0)</f>
        <v>594.9019607843137</v>
      </c>
    </row>
    <row r="402" spans="1:12" x14ac:dyDescent="0.3">
      <c r="A402" s="2">
        <v>403391</v>
      </c>
      <c r="B402" s="2" t="s">
        <v>335</v>
      </c>
      <c r="C402" s="2" t="s">
        <v>253</v>
      </c>
      <c r="D402" s="2" t="s">
        <v>254</v>
      </c>
      <c r="E402" s="2">
        <v>115</v>
      </c>
      <c r="F402" s="5">
        <v>1611.62</v>
      </c>
      <c r="G402" s="5">
        <v>185336.3</v>
      </c>
      <c r="H402" s="1">
        <f t="shared" ca="1" si="13"/>
        <v>46194</v>
      </c>
      <c r="I402" s="5">
        <f>IFERROR(VLOOKUP(A402,'[3]Consumo SEMANAL PV '!$B:$DI,112,0),0)</f>
        <v>133.81944444444443</v>
      </c>
      <c r="J402" s="2" t="str">
        <f>IFERROR(VLOOKUP(A402,Hoja4!A:C,3,0),"")</f>
        <v>Mermelada</v>
      </c>
      <c r="K402" s="9">
        <f t="shared" si="14"/>
        <v>0.8593668915412559</v>
      </c>
      <c r="L402" s="6">
        <f>IFERROR(VLOOKUP(A402,'[4]Consumo SEMANAL PV '!$B:$DN,117,0),0)</f>
        <v>495</v>
      </c>
    </row>
    <row r="403" spans="1:12" x14ac:dyDescent="0.3">
      <c r="A403" s="2">
        <v>403408</v>
      </c>
      <c r="B403" s="2" t="s">
        <v>336</v>
      </c>
      <c r="C403" s="2" t="s">
        <v>253</v>
      </c>
      <c r="D403" s="2" t="s">
        <v>254</v>
      </c>
      <c r="E403" s="2">
        <v>345</v>
      </c>
      <c r="F403" s="5">
        <v>1705.48</v>
      </c>
      <c r="G403" s="5">
        <v>588390.6</v>
      </c>
      <c r="H403" s="1">
        <f t="shared" ca="1" si="13"/>
        <v>46194</v>
      </c>
      <c r="I403" s="5">
        <f>IFERROR(VLOOKUP(A403,'[3]Consumo SEMANAL PV '!$B:$DI,112,0),0)</f>
        <v>22.833333333333332</v>
      </c>
      <c r="J403" s="2" t="str">
        <f>IFERROR(VLOOKUP(A403,Hoja4!A:C,3,0),"")</f>
        <v>Mermelada</v>
      </c>
      <c r="K403" s="9">
        <f t="shared" si="14"/>
        <v>15.109489051094892</v>
      </c>
      <c r="L403" s="6">
        <f>IFERROR(VLOOKUP(A403,'[4]Consumo SEMANAL PV '!$B:$DN,117,0),0)</f>
        <v>91.333333333333329</v>
      </c>
    </row>
    <row r="404" spans="1:12" x14ac:dyDescent="0.3">
      <c r="A404" s="2">
        <v>403407</v>
      </c>
      <c r="B404" s="2" t="s">
        <v>337</v>
      </c>
      <c r="C404" s="2" t="s">
        <v>253</v>
      </c>
      <c r="D404" s="2" t="s">
        <v>254</v>
      </c>
      <c r="E404" s="2">
        <v>875</v>
      </c>
      <c r="F404" s="5">
        <v>2346.84</v>
      </c>
      <c r="G404" s="5">
        <v>2053485</v>
      </c>
      <c r="H404" s="1">
        <f t="shared" ca="1" si="13"/>
        <v>46194</v>
      </c>
      <c r="I404" s="5">
        <f>IFERROR(VLOOKUP(A404,'[3]Consumo SEMANAL PV '!$B:$DI,112,0),0)</f>
        <v>205.96666666666667</v>
      </c>
      <c r="J404" s="2" t="str">
        <f>IFERROR(VLOOKUP(A404,Hoja4!A:C,3,0),"")</f>
        <v>Mermelada</v>
      </c>
      <c r="K404" s="9">
        <f t="shared" si="14"/>
        <v>4.2482602362841879</v>
      </c>
      <c r="L404" s="6">
        <f>IFERROR(VLOOKUP(A404,'[4]Consumo SEMANAL PV '!$B:$DN,117,0),0)</f>
        <v>933.13725490196077</v>
      </c>
    </row>
    <row r="405" spans="1:12" x14ac:dyDescent="0.3">
      <c r="A405" s="2">
        <v>107131</v>
      </c>
      <c r="B405" s="2" t="s">
        <v>338</v>
      </c>
      <c r="C405" s="2" t="s">
        <v>253</v>
      </c>
      <c r="D405" s="2" t="s">
        <v>254</v>
      </c>
      <c r="E405" s="2">
        <v>405</v>
      </c>
      <c r="F405" s="5">
        <v>2473.38</v>
      </c>
      <c r="G405" s="5">
        <v>1001718.9</v>
      </c>
      <c r="H405" s="1">
        <f t="shared" ca="1" si="13"/>
        <v>46194</v>
      </c>
      <c r="I405" s="5">
        <f>IFERROR(VLOOKUP(A405,'[3]Consumo SEMANAL PV '!$B:$DI,112,0),0)</f>
        <v>28.8</v>
      </c>
      <c r="J405" s="2" t="str">
        <f>IFERROR(VLOOKUP(A405,Hoja4!A:C,3,0),"")</f>
        <v>Mermelada</v>
      </c>
      <c r="K405" s="9">
        <f t="shared" si="14"/>
        <v>14.0625</v>
      </c>
      <c r="L405" s="6">
        <f>IFERROR(VLOOKUP(A405,'[4]Consumo SEMANAL PV '!$B:$DN,117,0),0)</f>
        <v>111.56862745098039</v>
      </c>
    </row>
    <row r="406" spans="1:12" x14ac:dyDescent="0.3">
      <c r="A406" s="2">
        <v>107172</v>
      </c>
      <c r="B406" s="2" t="s">
        <v>200</v>
      </c>
      <c r="C406" s="2" t="s">
        <v>253</v>
      </c>
      <c r="D406" s="2" t="s">
        <v>254</v>
      </c>
      <c r="E406" s="2">
        <v>105</v>
      </c>
      <c r="F406" s="5">
        <v>2017.35</v>
      </c>
      <c r="G406" s="5">
        <v>211821.75</v>
      </c>
      <c r="H406" s="1">
        <f t="shared" ca="1" si="13"/>
        <v>46194</v>
      </c>
      <c r="I406" s="5">
        <f>IFERROR(VLOOKUP(A406,'[3]Consumo SEMANAL PV '!$B:$DI,112,0),0)</f>
        <v>16.633333333333333</v>
      </c>
      <c r="J406" s="2" t="str">
        <f>IFERROR(VLOOKUP(A406,Hoja4!A:C,3,0),"")</f>
        <v>Mermelada</v>
      </c>
      <c r="K406" s="9">
        <f t="shared" si="14"/>
        <v>6.3126252505010019</v>
      </c>
      <c r="L406" s="6">
        <f>IFERROR(VLOOKUP(A406,'[4]Consumo SEMANAL PV '!$B:$DN,117,0),0)</f>
        <v>63.725490196078432</v>
      </c>
    </row>
    <row r="407" spans="1:12" x14ac:dyDescent="0.3">
      <c r="A407" s="2">
        <v>107129</v>
      </c>
      <c r="B407" s="2" t="s">
        <v>201</v>
      </c>
      <c r="C407" s="2" t="s">
        <v>253</v>
      </c>
      <c r="D407" s="2" t="s">
        <v>254</v>
      </c>
      <c r="E407" s="2">
        <v>1215</v>
      </c>
      <c r="F407" s="5">
        <v>4316.3100000000004</v>
      </c>
      <c r="G407" s="5">
        <v>5244316.6500000004</v>
      </c>
      <c r="H407" s="1">
        <f t="shared" ca="1" si="13"/>
        <v>46194</v>
      </c>
      <c r="I407" s="5">
        <f>IFERROR(VLOOKUP(A407,'[3]Consumo SEMANAL PV '!$B:$DI,112,0),0)</f>
        <v>62.300000000000004</v>
      </c>
      <c r="J407" s="2" t="str">
        <f>IFERROR(VLOOKUP(A407,Hoja4!A:C,3,0),"")</f>
        <v>Mermelada</v>
      </c>
      <c r="K407" s="9">
        <f t="shared" si="14"/>
        <v>19.502407704654896</v>
      </c>
      <c r="L407" s="6">
        <f>IFERROR(VLOOKUP(A407,'[4]Consumo SEMANAL PV '!$B:$DN,117,0),0)</f>
        <v>202.35294117647058</v>
      </c>
    </row>
    <row r="408" spans="1:12" x14ac:dyDescent="0.3">
      <c r="A408" s="2">
        <v>107113</v>
      </c>
      <c r="B408" s="2" t="s">
        <v>202</v>
      </c>
      <c r="C408" s="2" t="s">
        <v>253</v>
      </c>
      <c r="D408" s="2" t="s">
        <v>254</v>
      </c>
      <c r="E408" s="2">
        <v>115</v>
      </c>
      <c r="F408" s="5">
        <v>3294.48</v>
      </c>
      <c r="G408" s="5">
        <v>378865.2</v>
      </c>
      <c r="H408" s="1">
        <f t="shared" ca="1" si="13"/>
        <v>46194</v>
      </c>
      <c r="I408" s="5">
        <f>IFERROR(VLOOKUP(A408,'[3]Consumo SEMANAL PV '!$B:$DI,112,0),0)</f>
        <v>184.4</v>
      </c>
      <c r="J408" s="2" t="str">
        <f>IFERROR(VLOOKUP(A408,Hoja4!A:C,3,0),"")</f>
        <v>Mermelada</v>
      </c>
      <c r="K408" s="9">
        <f t="shared" si="14"/>
        <v>0.62364425162689807</v>
      </c>
      <c r="L408" s="6">
        <f>IFERROR(VLOOKUP(A408,'[4]Consumo SEMANAL PV '!$B:$DN,117,0),0)</f>
        <v>593.52941176470586</v>
      </c>
    </row>
    <row r="409" spans="1:12" x14ac:dyDescent="0.3">
      <c r="A409" s="2">
        <v>107359</v>
      </c>
      <c r="B409" s="2" t="s">
        <v>339</v>
      </c>
      <c r="C409" s="2" t="s">
        <v>253</v>
      </c>
      <c r="D409" s="2" t="s">
        <v>254</v>
      </c>
      <c r="E409" s="2">
        <v>200</v>
      </c>
      <c r="F409" s="5">
        <v>2114.0500000000002</v>
      </c>
      <c r="G409" s="5">
        <v>422810</v>
      </c>
      <c r="H409" s="1">
        <f t="shared" ca="1" si="13"/>
        <v>46194</v>
      </c>
      <c r="I409" s="5">
        <f>IFERROR(VLOOKUP(A409,'[3]Consumo SEMANAL PV '!$B:$DI,112,0),0)</f>
        <v>15.933333333333332</v>
      </c>
      <c r="J409" s="2" t="str">
        <f>IFERROR(VLOOKUP(A409,Hoja4!A:C,3,0),"")</f>
        <v>Mermelada</v>
      </c>
      <c r="K409" s="9">
        <f t="shared" si="14"/>
        <v>12.552301255230127</v>
      </c>
      <c r="L409" s="6">
        <f>IFERROR(VLOOKUP(A409,'[4]Consumo SEMANAL PV '!$B:$DN,117,0),0)</f>
        <v>59.803921568627452</v>
      </c>
    </row>
    <row r="410" spans="1:12" x14ac:dyDescent="0.3">
      <c r="A410" s="2">
        <v>107193</v>
      </c>
      <c r="B410" s="2" t="s">
        <v>203</v>
      </c>
      <c r="C410" s="2" t="s">
        <v>253</v>
      </c>
      <c r="D410" s="2" t="s">
        <v>254</v>
      </c>
      <c r="E410" s="2">
        <v>505</v>
      </c>
      <c r="F410" s="5">
        <v>3837.2</v>
      </c>
      <c r="G410" s="5">
        <v>1937786</v>
      </c>
      <c r="H410" s="1">
        <f t="shared" ca="1" si="13"/>
        <v>46194</v>
      </c>
      <c r="I410" s="5">
        <f>IFERROR(VLOOKUP(A410,'[3]Consumo SEMANAL PV '!$B:$DI,112,0),0)</f>
        <v>32.1</v>
      </c>
      <c r="J410" s="2" t="str">
        <f>IFERROR(VLOOKUP(A410,Hoja4!A:C,3,0),"")</f>
        <v>Mermelada</v>
      </c>
      <c r="K410" s="9">
        <f t="shared" si="14"/>
        <v>15.732087227414329</v>
      </c>
      <c r="L410" s="6">
        <f>IFERROR(VLOOKUP(A410,'[4]Consumo SEMANAL PV '!$B:$DN,117,0),0)</f>
        <v>117.64705882352941</v>
      </c>
    </row>
    <row r="411" spans="1:12" x14ac:dyDescent="0.3">
      <c r="A411" s="2">
        <v>100105</v>
      </c>
      <c r="B411" s="2" t="s">
        <v>340</v>
      </c>
      <c r="C411" s="2" t="s">
        <v>253</v>
      </c>
      <c r="D411" s="2" t="s">
        <v>254</v>
      </c>
      <c r="E411" s="5">
        <v>1500</v>
      </c>
      <c r="F411" s="5">
        <v>2223</v>
      </c>
      <c r="G411" s="5">
        <v>3334500</v>
      </c>
      <c r="H411" s="1">
        <f t="shared" ca="1" si="13"/>
        <v>46194</v>
      </c>
      <c r="I411" s="5">
        <f>IFERROR(VLOOKUP(A411,'[3]Consumo SEMANAL PV '!$B:$DI,112,0),0)</f>
        <v>48.266666666666673</v>
      </c>
      <c r="J411" s="2" t="str">
        <f>IFERROR(VLOOKUP(A411,Hoja4!A:C,3,0),"")</f>
        <v>Mix</v>
      </c>
      <c r="K411" s="9">
        <f t="shared" si="14"/>
        <v>31.077348066298338</v>
      </c>
      <c r="L411" s="6">
        <f>IFERROR(VLOOKUP(A411,'[4]Consumo SEMANAL PV '!$B:$DN,117,0),0)</f>
        <v>274.11764705882354</v>
      </c>
    </row>
    <row r="412" spans="1:12" x14ac:dyDescent="0.3">
      <c r="A412" s="2">
        <v>100207</v>
      </c>
      <c r="B412" s="2" t="s">
        <v>341</v>
      </c>
      <c r="C412" s="2" t="s">
        <v>253</v>
      </c>
      <c r="D412" s="2" t="s">
        <v>254</v>
      </c>
      <c r="E412" s="5">
        <v>6516</v>
      </c>
      <c r="F412" s="5">
        <v>1426</v>
      </c>
      <c r="G412" s="5">
        <v>9291816</v>
      </c>
      <c r="H412" s="1">
        <f t="shared" ca="1" si="13"/>
        <v>46194</v>
      </c>
      <c r="I412" s="5">
        <f>IFERROR(VLOOKUP(A412,'[3]Consumo SEMANAL PV '!$B:$DI,112,0),0)</f>
        <v>1682.36</v>
      </c>
      <c r="J412" s="2" t="str">
        <f>IFERROR(VLOOKUP(A412,Hoja4!A:C,3,0),"")</f>
        <v>Mix</v>
      </c>
      <c r="K412" s="9">
        <f t="shared" si="14"/>
        <v>3.8731306022492213</v>
      </c>
      <c r="L412" s="6">
        <f>IFERROR(VLOOKUP(A412,'[4]Consumo SEMANAL PV '!$B:$DN,117,0),0)</f>
        <v>8322.9411764705892</v>
      </c>
    </row>
    <row r="413" spans="1:12" x14ac:dyDescent="0.3">
      <c r="A413" s="2">
        <v>403331</v>
      </c>
      <c r="B413" s="2" t="s">
        <v>342</v>
      </c>
      <c r="C413" s="2" t="s">
        <v>253</v>
      </c>
      <c r="D413" s="2" t="s">
        <v>254</v>
      </c>
      <c r="E413" s="5">
        <v>3510</v>
      </c>
      <c r="F413" s="5">
        <v>1600</v>
      </c>
      <c r="G413" s="5">
        <v>5616000</v>
      </c>
      <c r="H413" s="1">
        <f t="shared" ca="1" si="13"/>
        <v>46194</v>
      </c>
      <c r="I413" s="5">
        <f>IFERROR(VLOOKUP(A413,'[3]Consumo SEMANAL PV '!$B:$DI,112,0),0)</f>
        <v>1136.3611111111111</v>
      </c>
      <c r="J413" s="2" t="str">
        <f>IFERROR(VLOOKUP(A413,Hoja4!A:C,3,0),"")</f>
        <v>Mix</v>
      </c>
      <c r="K413" s="9">
        <f t="shared" si="14"/>
        <v>3.0888068640152535</v>
      </c>
      <c r="L413" s="6">
        <f>IFERROR(VLOOKUP(A413,'[4]Consumo SEMANAL PV '!$B:$DN,117,0),0)</f>
        <v>5405</v>
      </c>
    </row>
    <row r="414" spans="1:12" x14ac:dyDescent="0.3">
      <c r="A414" s="2">
        <v>100221</v>
      </c>
      <c r="B414" s="2" t="s">
        <v>343</v>
      </c>
      <c r="C414" s="2" t="s">
        <v>253</v>
      </c>
      <c r="D414" s="2" t="s">
        <v>254</v>
      </c>
      <c r="E414" s="5">
        <v>1998</v>
      </c>
      <c r="F414" s="5">
        <v>1624</v>
      </c>
      <c r="G414" s="5">
        <v>3244752</v>
      </c>
      <c r="H414" s="1">
        <f t="shared" ca="1" si="13"/>
        <v>46194</v>
      </c>
      <c r="I414" s="5">
        <f>IFERROR(VLOOKUP(A414,'[3]Consumo SEMANAL PV '!$B:$DI,112,0),0)</f>
        <v>939</v>
      </c>
      <c r="J414" s="2" t="str">
        <f>IFERROR(VLOOKUP(A414,Hoja4!A:C,3,0),"")</f>
        <v>Mix</v>
      </c>
      <c r="K414" s="9">
        <f t="shared" si="14"/>
        <v>2.1277955271565494</v>
      </c>
      <c r="L414" s="6">
        <f>IFERROR(VLOOKUP(A414,'[4]Consumo SEMANAL PV '!$B:$DN,117,0),0)</f>
        <v>6498.5294117647063</v>
      </c>
    </row>
    <row r="415" spans="1:12" x14ac:dyDescent="0.3">
      <c r="A415" s="2">
        <v>402128</v>
      </c>
      <c r="B415" s="2" t="s">
        <v>344</v>
      </c>
      <c r="C415" s="2" t="s">
        <v>253</v>
      </c>
      <c r="D415" s="2" t="s">
        <v>254</v>
      </c>
      <c r="E415" s="2">
        <v>200</v>
      </c>
      <c r="F415" s="5">
        <v>2800.03</v>
      </c>
      <c r="G415" s="5">
        <v>560006</v>
      </c>
      <c r="H415" s="1">
        <f t="shared" ca="1" si="13"/>
        <v>46194</v>
      </c>
      <c r="I415" s="5">
        <f>IFERROR(VLOOKUP(A415,'[3]Consumo SEMANAL PV '!$B:$DI,112,0),0)</f>
        <v>12.206666666666665</v>
      </c>
      <c r="J415" s="2" t="str">
        <f>IFERROR(VLOOKUP(A415,Hoja4!A:C,3,0),"")</f>
        <v>Mix</v>
      </c>
      <c r="K415" s="9">
        <f t="shared" si="14"/>
        <v>16.384489350081925</v>
      </c>
      <c r="L415" s="6">
        <f>IFERROR(VLOOKUP(A415,'[4]Consumo SEMANAL PV '!$B:$DN,117,0),0)</f>
        <v>75.941176470588232</v>
      </c>
    </row>
    <row r="416" spans="1:12" x14ac:dyDescent="0.3">
      <c r="A416" s="2">
        <v>100200</v>
      </c>
      <c r="B416" s="2" t="s">
        <v>345</v>
      </c>
      <c r="C416" s="2" t="s">
        <v>253</v>
      </c>
      <c r="D416" s="2" t="s">
        <v>254</v>
      </c>
      <c r="E416" s="5">
        <v>910</v>
      </c>
      <c r="F416" s="5">
        <v>1180</v>
      </c>
      <c r="G416" s="5">
        <v>1073800</v>
      </c>
      <c r="H416" s="1">
        <f t="shared" ca="1" si="13"/>
        <v>46194</v>
      </c>
      <c r="I416" s="5">
        <f>IFERROR(VLOOKUP(A416,'[3]Consumo SEMANAL PV '!$B:$DI,112,0),0)</f>
        <v>418.90666666666669</v>
      </c>
      <c r="J416" s="2" t="str">
        <f>IFERROR(VLOOKUP(A416,Hoja4!A:C,3,0),"")</f>
        <v>Mix</v>
      </c>
      <c r="K416" s="9">
        <f t="shared" si="14"/>
        <v>2.172321599083328</v>
      </c>
      <c r="L416" s="6">
        <f>IFERROR(VLOOKUP(A416,'[4]Consumo SEMANAL PV '!$B:$DN,117,0),0)</f>
        <v>2380.1960784313724</v>
      </c>
    </row>
    <row r="417" spans="1:12" x14ac:dyDescent="0.3">
      <c r="A417" s="2">
        <v>405422</v>
      </c>
      <c r="B417" s="2" t="s">
        <v>346</v>
      </c>
      <c r="C417" s="2" t="s">
        <v>253</v>
      </c>
      <c r="D417" s="2" t="s">
        <v>254</v>
      </c>
      <c r="E417" s="5">
        <v>25480</v>
      </c>
      <c r="F417" s="2">
        <v>166</v>
      </c>
      <c r="G417" s="5">
        <v>4229680</v>
      </c>
      <c r="H417" s="1">
        <f t="shared" ca="1" si="13"/>
        <v>46194</v>
      </c>
      <c r="I417" s="5">
        <f>IFERROR(VLOOKUP(A417,'[3]Consumo SEMANAL PV '!$B:$DI,112,0),0)</f>
        <v>2065.3333333333335</v>
      </c>
      <c r="J417" s="2" t="str">
        <f>IFERROR(VLOOKUP(A417,Hoja4!A:C,3,0),"")</f>
        <v>Carton</v>
      </c>
      <c r="K417" s="9">
        <f t="shared" si="14"/>
        <v>12.336991607488702</v>
      </c>
      <c r="L417" s="6">
        <f>IFERROR(VLOOKUP(A417,'[4]Consumo SEMANAL PV '!$B:$DN,117,0),0)</f>
        <v>8152.1568627450979</v>
      </c>
    </row>
    <row r="418" spans="1:12" x14ac:dyDescent="0.3">
      <c r="A418" s="2">
        <v>405732</v>
      </c>
      <c r="B418" s="2" t="s">
        <v>347</v>
      </c>
      <c r="C418" s="2" t="s">
        <v>253</v>
      </c>
      <c r="D418" s="2" t="s">
        <v>254</v>
      </c>
      <c r="E418" s="2">
        <v>55</v>
      </c>
      <c r="F418" s="5">
        <v>17000</v>
      </c>
      <c r="G418" s="5">
        <v>935000</v>
      </c>
      <c r="H418" s="1">
        <f t="shared" ca="1" si="13"/>
        <v>46194</v>
      </c>
      <c r="I418" s="5">
        <f>IFERROR(VLOOKUP(A418,'[3]Consumo SEMANAL PV '!$B:$DI,112,0),0)</f>
        <v>9.5833333333333339</v>
      </c>
      <c r="J418" s="2" t="str">
        <f>IFERROR(VLOOKUP(A418,Hoja4!A:C,3,0),"")</f>
        <v>Chocolate</v>
      </c>
      <c r="K418" s="9">
        <f t="shared" si="14"/>
        <v>5.7391304347826084</v>
      </c>
      <c r="L418" s="6">
        <f>IFERROR(VLOOKUP(A418,'[4]Consumo SEMANAL PV '!$B:$DN,117,0),0)</f>
        <v>55.55555555555555</v>
      </c>
    </row>
    <row r="419" spans="1:12" x14ac:dyDescent="0.3">
      <c r="A419" s="2">
        <v>107280</v>
      </c>
      <c r="B419" s="2" t="s">
        <v>205</v>
      </c>
      <c r="C419" s="2" t="s">
        <v>253</v>
      </c>
      <c r="D419" s="2" t="s">
        <v>254</v>
      </c>
      <c r="E419" s="2">
        <v>710.5</v>
      </c>
      <c r="F419" s="5">
        <v>2750</v>
      </c>
      <c r="G419" s="5">
        <v>1953875</v>
      </c>
      <c r="H419" s="1">
        <f t="shared" ca="1" si="13"/>
        <v>46194</v>
      </c>
      <c r="I419" s="5">
        <f>IFERROR(VLOOKUP(A419,'[3]Consumo SEMANAL PV '!$B:$DI,112,0),0)</f>
        <v>71.17</v>
      </c>
      <c r="J419" s="2" t="str">
        <f>IFERROR(VLOOKUP(A419,Hoja4!A:C,3,0),"")</f>
        <v>Mermelada</v>
      </c>
      <c r="K419" s="9">
        <f t="shared" si="14"/>
        <v>9.9831389630462279</v>
      </c>
      <c r="L419" s="6">
        <f>IFERROR(VLOOKUP(A419,'[4]Consumo SEMANAL PV '!$B:$DN,117,0),0)</f>
        <v>418.82352941176464</v>
      </c>
    </row>
    <row r="420" spans="1:12" x14ac:dyDescent="0.3">
      <c r="A420" s="2">
        <v>402130</v>
      </c>
      <c r="B420" s="2" t="s">
        <v>208</v>
      </c>
      <c r="C420" s="2" t="s">
        <v>253</v>
      </c>
      <c r="D420" s="2" t="s">
        <v>254</v>
      </c>
      <c r="E420" s="2">
        <v>45</v>
      </c>
      <c r="F420" s="5">
        <v>5000</v>
      </c>
      <c r="G420" s="5">
        <v>225000</v>
      </c>
      <c r="H420" s="1">
        <f t="shared" ca="1" si="13"/>
        <v>46194</v>
      </c>
      <c r="I420" s="5">
        <f>IFERROR(VLOOKUP(A420,'[3]Consumo SEMANAL PV '!$B:$DI,112,0),0)</f>
        <v>8.2222222222222232</v>
      </c>
      <c r="J420" s="2" t="str">
        <f>IFERROR(VLOOKUP(A420,Hoja4!A:C,3,0),"")</f>
        <v>Esencia</v>
      </c>
      <c r="K420" s="9">
        <f t="shared" si="14"/>
        <v>5.4729729729729719</v>
      </c>
      <c r="L420" s="6">
        <f>IFERROR(VLOOKUP(A420,'[4]Consumo SEMANAL PV '!$B:$DN,117,0),0)</f>
        <v>34.523809523809526</v>
      </c>
    </row>
    <row r="421" spans="1:12" x14ac:dyDescent="0.3">
      <c r="A421" s="2">
        <v>405507</v>
      </c>
      <c r="B421" s="2" t="s">
        <v>209</v>
      </c>
      <c r="C421" s="2" t="s">
        <v>253</v>
      </c>
      <c r="D421" s="2" t="s">
        <v>254</v>
      </c>
      <c r="E421" s="2">
        <v>24</v>
      </c>
      <c r="F421" s="5">
        <v>5312.5</v>
      </c>
      <c r="G421" s="5">
        <v>127500</v>
      </c>
      <c r="H421" s="1">
        <f t="shared" ca="1" si="13"/>
        <v>46194</v>
      </c>
      <c r="I421" s="5">
        <f>IFERROR(VLOOKUP(A421,'[3]Consumo SEMANAL PV '!$B:$DI,112,0),0)</f>
        <v>11.62388888888889</v>
      </c>
      <c r="J421" s="2" t="str">
        <f>IFERROR(VLOOKUP(A421,Hoja4!A:C,3,0),"")</f>
        <v>Galleta</v>
      </c>
      <c r="K421" s="9">
        <f t="shared" si="14"/>
        <v>2.0647134732112984</v>
      </c>
      <c r="L421" s="6">
        <f>IFERROR(VLOOKUP(A421,'[4]Consumo SEMANAL PV '!$B:$DN,117,0),0)</f>
        <v>56.743333333333339</v>
      </c>
    </row>
    <row r="422" spans="1:12" x14ac:dyDescent="0.3">
      <c r="A422" s="2">
        <v>403015</v>
      </c>
      <c r="B422" s="2" t="s">
        <v>348</v>
      </c>
      <c r="C422" s="2" t="s">
        <v>253</v>
      </c>
      <c r="D422" s="2" t="s">
        <v>254</v>
      </c>
      <c r="E422" s="5">
        <v>17000</v>
      </c>
      <c r="F422" s="2">
        <v>14.9</v>
      </c>
      <c r="G422" s="5">
        <v>253300</v>
      </c>
      <c r="H422" s="1">
        <f t="shared" ca="1" si="13"/>
        <v>46194</v>
      </c>
      <c r="I422" s="5">
        <f>IFERROR(VLOOKUP(A422,'[3]Consumo SEMANAL PV '!$B:$DI,112,0),0)</f>
        <v>361.11111111111109</v>
      </c>
      <c r="J422" s="2" t="str">
        <f>IFERROR(VLOOKUP(A422,Hoja4!A:C,3,0),"")</f>
        <v>Carton</v>
      </c>
      <c r="K422" s="9">
        <f t="shared" si="14"/>
        <v>47.07692307692308</v>
      </c>
      <c r="L422" s="6">
        <f>IFERROR(VLOOKUP(A422,'[4]Consumo SEMANAL PV '!$B:$DN,117,0),0)</f>
        <v>2125</v>
      </c>
    </row>
    <row r="423" spans="1:12" x14ac:dyDescent="0.3">
      <c r="A423" s="2">
        <v>107351</v>
      </c>
      <c r="B423" s="2" t="s">
        <v>349</v>
      </c>
      <c r="C423" s="2" t="s">
        <v>253</v>
      </c>
      <c r="D423" s="2" t="s">
        <v>254</v>
      </c>
      <c r="E423" s="2">
        <v>54</v>
      </c>
      <c r="F423" s="5">
        <v>3199.98</v>
      </c>
      <c r="G423" s="5">
        <v>172798.92</v>
      </c>
      <c r="H423" s="1">
        <f t="shared" ca="1" si="13"/>
        <v>46194</v>
      </c>
      <c r="I423" s="5">
        <f>IFERROR(VLOOKUP(A423,'[3]Consumo SEMANAL PV '!$B:$DI,112,0),0)</f>
        <v>9.2733333333333334</v>
      </c>
      <c r="J423" s="2" t="str">
        <f>IFERROR(VLOOKUP(A423,Hoja4!A:C,3,0),"")</f>
        <v>Esencia</v>
      </c>
      <c r="K423" s="9">
        <f t="shared" si="14"/>
        <v>5.8231488138030194</v>
      </c>
      <c r="L423" s="6">
        <f>IFERROR(VLOOKUP(A423,'[4]Consumo SEMANAL PV '!$B:$DN,117,0),0)</f>
        <v>43.627450980392155</v>
      </c>
    </row>
    <row r="424" spans="1:12" x14ac:dyDescent="0.3">
      <c r="A424" s="2">
        <v>107346</v>
      </c>
      <c r="B424" s="2" t="s">
        <v>211</v>
      </c>
      <c r="C424" s="2" t="s">
        <v>253</v>
      </c>
      <c r="D424" s="2" t="s">
        <v>254</v>
      </c>
      <c r="E424" s="5">
        <v>871.22</v>
      </c>
      <c r="F424" s="5">
        <v>3045.24</v>
      </c>
      <c r="G424" s="5">
        <v>2653073.9928000001</v>
      </c>
      <c r="H424" s="1">
        <f t="shared" ca="1" si="13"/>
        <v>46194</v>
      </c>
      <c r="I424" s="5">
        <f>IFERROR(VLOOKUP(A424,'[3]Consumo SEMANAL PV '!$B:$DI,112,0),0)</f>
        <v>102.46454545454547</v>
      </c>
      <c r="J424" s="2" t="str">
        <f>IFERROR(VLOOKUP(A424,Hoja4!A:C,3,0),"")</f>
        <v>Fruta conserva</v>
      </c>
      <c r="K424" s="9">
        <f t="shared" si="14"/>
        <v>8.5026483661754391</v>
      </c>
      <c r="L424" s="6">
        <f>IFERROR(VLOOKUP(A424,'[4]Consumo SEMANAL PV '!$B:$DN,117,0),0)</f>
        <v>412.32380952380953</v>
      </c>
    </row>
    <row r="425" spans="1:12" x14ac:dyDescent="0.3">
      <c r="A425" s="2">
        <v>107117</v>
      </c>
      <c r="B425" s="2" t="s">
        <v>446</v>
      </c>
      <c r="C425" s="2" t="s">
        <v>253</v>
      </c>
      <c r="D425" s="2" t="s">
        <v>254</v>
      </c>
      <c r="E425" s="5">
        <v>1377.67</v>
      </c>
      <c r="F425" s="5">
        <v>2570.2800000000002</v>
      </c>
      <c r="G425" s="5">
        <v>3540997.6475999998</v>
      </c>
      <c r="H425" s="1">
        <f t="shared" ca="1" si="13"/>
        <v>46194</v>
      </c>
      <c r="I425" s="5">
        <f>IFERROR(VLOOKUP(A425,'[3]Consumo SEMANAL PV '!$B:$DI,112,0),0)</f>
        <v>23.338749999999994</v>
      </c>
      <c r="J425" s="2" t="str">
        <f>IFERROR(VLOOKUP(A425,Hoja4!A:C,3,0),"")</f>
        <v>Fruta Conserva</v>
      </c>
      <c r="K425" s="9">
        <f t="shared" si="14"/>
        <v>59.029296770392605</v>
      </c>
      <c r="L425" s="6">
        <f>IFERROR(VLOOKUP(A425,'[4]Consumo SEMANAL PV '!$B:$DN,117,0),0)</f>
        <v>124.48611111111111</v>
      </c>
    </row>
    <row r="426" spans="1:12" x14ac:dyDescent="0.3">
      <c r="A426" s="2">
        <v>405730</v>
      </c>
      <c r="B426" s="2" t="s">
        <v>350</v>
      </c>
      <c r="C426" s="2" t="s">
        <v>253</v>
      </c>
      <c r="D426" s="2" t="s">
        <v>254</v>
      </c>
      <c r="E426" s="5">
        <v>7410</v>
      </c>
      <c r="F426" s="2">
        <v>155</v>
      </c>
      <c r="G426" s="5">
        <v>1148550</v>
      </c>
      <c r="H426" s="1">
        <f t="shared" ca="1" si="13"/>
        <v>46194</v>
      </c>
      <c r="I426" s="5">
        <f>IFERROR(VLOOKUP(A426,'[3]Consumo SEMANAL PV '!$B:$DI,112,0),0)</f>
        <v>478.5</v>
      </c>
      <c r="J426" s="2" t="str">
        <f>IFERROR(VLOOKUP(A426,Hoja4!A:C,3,0),"")</f>
        <v>Chocolate</v>
      </c>
      <c r="K426" s="9">
        <f t="shared" si="14"/>
        <v>15.485893416927899</v>
      </c>
      <c r="L426" s="6">
        <f>IFERROR(VLOOKUP(A426,'[4]Consumo SEMANAL PV '!$B:$DN,117,0),0)</f>
        <v>4357.333333333333</v>
      </c>
    </row>
    <row r="427" spans="1:12" x14ac:dyDescent="0.3">
      <c r="A427" s="2">
        <v>405793</v>
      </c>
      <c r="B427" s="2" t="s">
        <v>818</v>
      </c>
      <c r="C427" s="2" t="s">
        <v>253</v>
      </c>
      <c r="D427" s="2" t="s">
        <v>254</v>
      </c>
      <c r="E427" s="2">
        <v>400</v>
      </c>
      <c r="F427" s="2">
        <v>617.33000000000004</v>
      </c>
      <c r="G427" s="5">
        <v>246932</v>
      </c>
      <c r="H427" s="1">
        <f t="shared" ca="1" si="13"/>
        <v>46194</v>
      </c>
      <c r="I427" s="5">
        <f>IFERROR(VLOOKUP(A427,'[3]Consumo SEMANAL PV '!$B:$DI,112,0),0)</f>
        <v>83.333333333333329</v>
      </c>
      <c r="J427" s="2" t="str">
        <f>IFERROR(VLOOKUP(A427,Hoja4!A:C,3,0),"")</f>
        <v>Carton</v>
      </c>
      <c r="K427" s="9">
        <f t="shared" si="14"/>
        <v>4.8000000000000007</v>
      </c>
      <c r="L427" s="6">
        <f>IFERROR(VLOOKUP(A427,'[4]Consumo SEMANAL PV '!$B:$DN,117,0),0)</f>
        <v>0</v>
      </c>
    </row>
    <row r="428" spans="1:12" x14ac:dyDescent="0.3">
      <c r="A428" s="2">
        <v>362029</v>
      </c>
      <c r="B428" s="2" t="s">
        <v>351</v>
      </c>
      <c r="C428" s="2" t="s">
        <v>253</v>
      </c>
      <c r="D428" s="2" t="s">
        <v>254</v>
      </c>
      <c r="E428" s="2">
        <v>604</v>
      </c>
      <c r="F428" s="5">
        <v>1068.0999999999999</v>
      </c>
      <c r="G428" s="5">
        <v>645132.4</v>
      </c>
      <c r="H428" s="1">
        <f t="shared" ca="1" si="13"/>
        <v>46194</v>
      </c>
      <c r="I428" s="5">
        <f>IFERROR(VLOOKUP(A428,'[3]Consumo SEMANAL PV '!$B:$DI,112,0),0)</f>
        <v>155.36111111111111</v>
      </c>
      <c r="J428" s="2" t="str">
        <f>IFERROR(VLOOKUP(A428,Hoja4!A:C,3,0),"")</f>
        <v>Insumo</v>
      </c>
      <c r="K428" s="9">
        <f t="shared" si="14"/>
        <v>3.8877167888431967</v>
      </c>
      <c r="L428" s="6">
        <f>IFERROR(VLOOKUP(A428,'[4]Consumo SEMANAL PV '!$B:$DN,117,0),0)</f>
        <v>577.33333333333337</v>
      </c>
    </row>
    <row r="429" spans="1:12" x14ac:dyDescent="0.3">
      <c r="A429" s="2">
        <v>393222</v>
      </c>
      <c r="B429" s="2" t="s">
        <v>352</v>
      </c>
      <c r="C429" s="2" t="s">
        <v>253</v>
      </c>
      <c r="D429" s="2" t="s">
        <v>254</v>
      </c>
      <c r="E429" s="2">
        <v>640</v>
      </c>
      <c r="F429" s="5">
        <v>2444.4</v>
      </c>
      <c r="G429" s="5">
        <v>1564416</v>
      </c>
      <c r="H429" s="1">
        <f t="shared" ca="1" si="13"/>
        <v>46194</v>
      </c>
      <c r="I429" s="5">
        <f>IFERROR(VLOOKUP(A429,'[3]Consumo SEMANAL PV '!$B:$DI,112,0),0)</f>
        <v>128.20000000000002</v>
      </c>
      <c r="J429" s="2" t="str">
        <f>IFERROR(VLOOKUP(A429,Hoja4!A:C,3,0),"")</f>
        <v>Insumo</v>
      </c>
      <c r="K429" s="9">
        <f t="shared" si="14"/>
        <v>4.9921996879875188</v>
      </c>
      <c r="L429" s="6">
        <f>IFERROR(VLOOKUP(A429,'[4]Consumo SEMANAL PV '!$B:$DN,117,0),0)</f>
        <v>579.9019607843137</v>
      </c>
    </row>
    <row r="430" spans="1:12" x14ac:dyDescent="0.3">
      <c r="A430" s="2">
        <v>405570</v>
      </c>
      <c r="B430" s="2" t="s">
        <v>215</v>
      </c>
      <c r="C430" s="2" t="s">
        <v>253</v>
      </c>
      <c r="D430" s="2" t="s">
        <v>254</v>
      </c>
      <c r="E430" s="5">
        <v>170</v>
      </c>
      <c r="F430" s="5">
        <v>1500</v>
      </c>
      <c r="G430" s="5">
        <v>255000</v>
      </c>
      <c r="H430" s="1">
        <f t="shared" ca="1" si="13"/>
        <v>46194</v>
      </c>
      <c r="I430" s="5">
        <f>IFERROR(VLOOKUP(A430,'[3]Consumo SEMANAL PV '!$B:$DI,112,0),0)</f>
        <v>94.20289855072464</v>
      </c>
      <c r="J430" s="2" t="str">
        <f>IFERROR(VLOOKUP(A430,Hoja4!A:C,3,0),"")</f>
        <v>mix</v>
      </c>
      <c r="K430" s="9">
        <f t="shared" si="14"/>
        <v>1.8046153846153845</v>
      </c>
      <c r="L430" s="6">
        <f>IFERROR(VLOOKUP(A430,'[4]Consumo SEMANAL PV '!$B:$DN,117,0),0)</f>
        <v>463.02083333333337</v>
      </c>
    </row>
    <row r="431" spans="1:12" x14ac:dyDescent="0.3">
      <c r="A431" s="2">
        <v>403269</v>
      </c>
      <c r="B431" s="2" t="s">
        <v>353</v>
      </c>
      <c r="C431" s="2" t="s">
        <v>253</v>
      </c>
      <c r="D431" s="2" t="s">
        <v>254</v>
      </c>
      <c r="E431" s="2">
        <v>8.8800000000000008</v>
      </c>
      <c r="F431" s="5">
        <v>3688.96</v>
      </c>
      <c r="G431" s="5">
        <v>32757.964800000002</v>
      </c>
      <c r="H431" s="1">
        <f t="shared" ca="1" si="13"/>
        <v>46194</v>
      </c>
      <c r="I431" s="5">
        <f>IFERROR(VLOOKUP(A431,'[3]Consumo SEMANAL PV '!$B:$DI,112,0),0)</f>
        <v>0.41944444444444434</v>
      </c>
      <c r="J431" s="2" t="str">
        <f>IFERROR(VLOOKUP(A431,Hoja4!A:C,3,0),"")</f>
        <v>Propionato</v>
      </c>
      <c r="K431" s="9">
        <f t="shared" si="14"/>
        <v>21.170860927152326</v>
      </c>
      <c r="L431" s="6">
        <f>IFERROR(VLOOKUP(A431,'[4]Consumo SEMANAL PV '!$B:$DN,117,0),0)</f>
        <v>2.0833333333333335</v>
      </c>
    </row>
    <row r="432" spans="1:12" x14ac:dyDescent="0.3">
      <c r="A432" s="2">
        <v>201103</v>
      </c>
      <c r="B432" s="2" t="s">
        <v>354</v>
      </c>
      <c r="C432" s="2" t="s">
        <v>253</v>
      </c>
      <c r="D432" s="2" t="s">
        <v>254</v>
      </c>
      <c r="E432" s="2">
        <v>70</v>
      </c>
      <c r="F432" s="5">
        <v>5673</v>
      </c>
      <c r="G432" s="5">
        <v>397110</v>
      </c>
      <c r="H432" s="1">
        <f t="shared" ca="1" si="13"/>
        <v>46194</v>
      </c>
      <c r="I432" s="5">
        <f>IFERROR(VLOOKUP(A432,'[3]Consumo SEMANAL PV '!$B:$DI,112,0),0)</f>
        <v>1.1884057971014492</v>
      </c>
      <c r="J432" s="2" t="str">
        <f>IFERROR(VLOOKUP(A432,Hoja4!A:C,3,0),"")</f>
        <v>Remojo</v>
      </c>
      <c r="K432" s="9">
        <f t="shared" si="14"/>
        <v>58.902439024390247</v>
      </c>
      <c r="L432" s="6">
        <f>IFERROR(VLOOKUP(A432,'[4]Consumo SEMANAL PV '!$B:$DN,117,0),0)</f>
        <v>7.4375</v>
      </c>
    </row>
    <row r="433" spans="1:12" x14ac:dyDescent="0.3">
      <c r="A433" s="2">
        <v>107095</v>
      </c>
      <c r="B433" s="2" t="s">
        <v>217</v>
      </c>
      <c r="C433" s="2" t="s">
        <v>253</v>
      </c>
      <c r="D433" s="2" t="s">
        <v>254</v>
      </c>
      <c r="E433" s="2">
        <v>433</v>
      </c>
      <c r="F433" s="5">
        <v>4446.7</v>
      </c>
      <c r="G433" s="5">
        <v>1925421.1</v>
      </c>
      <c r="H433" s="1">
        <f t="shared" ca="1" si="13"/>
        <v>46194</v>
      </c>
      <c r="I433" s="5">
        <f>IFERROR(VLOOKUP(A433,'[3]Consumo SEMANAL PV '!$B:$DI,112,0),0)</f>
        <v>106.37333333333333</v>
      </c>
      <c r="J433" s="2" t="str">
        <f>IFERROR(VLOOKUP(A433,Hoja4!A:C,3,0),"")</f>
        <v>Mermelada</v>
      </c>
      <c r="K433" s="9">
        <f t="shared" si="14"/>
        <v>4.0705690649285531</v>
      </c>
      <c r="L433" s="6">
        <f>IFERROR(VLOOKUP(A433,'[4]Consumo SEMANAL PV '!$B:$DN,117,0),0)</f>
        <v>346.90196078431376</v>
      </c>
    </row>
    <row r="434" spans="1:12" x14ac:dyDescent="0.3">
      <c r="A434" s="2">
        <v>405436</v>
      </c>
      <c r="B434" s="2" t="s">
        <v>218</v>
      </c>
      <c r="C434" s="2" t="s">
        <v>253</v>
      </c>
      <c r="D434" s="2" t="s">
        <v>254</v>
      </c>
      <c r="E434" s="2">
        <v>453.5</v>
      </c>
      <c r="F434" s="5">
        <v>2428.54</v>
      </c>
      <c r="G434" s="5">
        <v>1101342.8899999999</v>
      </c>
      <c r="H434" s="1">
        <f t="shared" ca="1" si="13"/>
        <v>46194</v>
      </c>
      <c r="I434" s="5">
        <f>IFERROR(VLOOKUP(A434,'[3]Consumo SEMANAL PV '!$B:$DI,112,0),0)</f>
        <v>34.385416666666664</v>
      </c>
      <c r="J434" s="2" t="str">
        <f>IFERROR(VLOOKUP(A434,Hoja4!A:C,3,0),"")</f>
        <v>Mermelada</v>
      </c>
      <c r="K434" s="9">
        <f t="shared" si="14"/>
        <v>13.188730687670404</v>
      </c>
      <c r="L434" s="6">
        <f>IFERROR(VLOOKUP(A434,'[4]Consumo SEMANAL PV '!$B:$DN,117,0),0)</f>
        <v>137.54166666666666</v>
      </c>
    </row>
    <row r="435" spans="1:12" x14ac:dyDescent="0.3">
      <c r="A435" s="2">
        <v>405133</v>
      </c>
      <c r="B435" s="2" t="s">
        <v>219</v>
      </c>
      <c r="C435" s="2" t="s">
        <v>253</v>
      </c>
      <c r="D435" s="2" t="s">
        <v>254</v>
      </c>
      <c r="E435" s="2">
        <v>450</v>
      </c>
      <c r="F435" s="5">
        <v>5887</v>
      </c>
      <c r="G435" s="5">
        <v>2649150</v>
      </c>
      <c r="H435" s="1">
        <f t="shared" ca="1" si="13"/>
        <v>46194</v>
      </c>
      <c r="I435" s="5">
        <f>IFERROR(VLOOKUP(A435,'[3]Consumo SEMANAL PV '!$B:$DI,112,0),0)</f>
        <v>34.106666666666662</v>
      </c>
      <c r="J435" s="2" t="str">
        <f>IFERROR(VLOOKUP(A435,Hoja4!A:C,3,0),"")</f>
        <v>Chocolate</v>
      </c>
      <c r="K435" s="9">
        <f t="shared" si="14"/>
        <v>13.193901485535577</v>
      </c>
      <c r="L435" s="6">
        <f>IFERROR(VLOOKUP(A435,'[4]Consumo SEMANAL PV '!$B:$DN,117,0),0)</f>
        <v>274.19607843137254</v>
      </c>
    </row>
    <row r="436" spans="1:12" x14ac:dyDescent="0.3">
      <c r="A436" s="2">
        <v>405558</v>
      </c>
      <c r="B436" s="2" t="s">
        <v>355</v>
      </c>
      <c r="C436" s="2" t="s">
        <v>253</v>
      </c>
      <c r="D436" s="2" t="s">
        <v>254</v>
      </c>
      <c r="E436" s="2">
        <v>346</v>
      </c>
      <c r="F436" s="5">
        <v>2750</v>
      </c>
      <c r="G436" s="5">
        <v>951500</v>
      </c>
      <c r="H436" s="1">
        <f t="shared" ca="1" si="13"/>
        <v>46194</v>
      </c>
      <c r="I436" s="5">
        <f>IFERROR(VLOOKUP(A436,'[3]Consumo SEMANAL PV '!$B:$DI,112,0),0)</f>
        <v>51.696969696969695</v>
      </c>
      <c r="J436" s="2" t="str">
        <f>IFERROR(VLOOKUP(A436,Hoja4!A:C,3,0),"")</f>
        <v>Mermelada</v>
      </c>
      <c r="K436" s="9">
        <f t="shared" si="14"/>
        <v>6.6928487690504106</v>
      </c>
      <c r="L436" s="6">
        <f>IFERROR(VLOOKUP(A436,'[4]Consumo SEMANAL PV '!$B:$DN,117,0),0)</f>
        <v>189.04761904761904</v>
      </c>
    </row>
    <row r="437" spans="1:12" x14ac:dyDescent="0.3">
      <c r="A437" s="2">
        <v>107263</v>
      </c>
      <c r="B437" s="2" t="s">
        <v>356</v>
      </c>
      <c r="C437" s="2" t="s">
        <v>253</v>
      </c>
      <c r="D437" s="2" t="s">
        <v>254</v>
      </c>
      <c r="E437" s="5">
        <v>1620</v>
      </c>
      <c r="F437" s="5">
        <v>1391</v>
      </c>
      <c r="G437" s="5">
        <v>2253420</v>
      </c>
      <c r="H437" s="1">
        <f t="shared" ca="1" si="13"/>
        <v>46194</v>
      </c>
      <c r="I437" s="5">
        <f>IFERROR(VLOOKUP(A437,'[3]Consumo SEMANAL PV '!$B:$DI,112,0),0)</f>
        <v>225.02333333333334</v>
      </c>
      <c r="J437" s="2" t="str">
        <f>IFERROR(VLOOKUP(A437,Hoja4!A:C,3,0),"")</f>
        <v>Mermelada</v>
      </c>
      <c r="K437" s="9">
        <f t="shared" si="14"/>
        <v>7.1992534107574029</v>
      </c>
      <c r="L437" s="6">
        <f>IFERROR(VLOOKUP(A437,'[4]Consumo SEMANAL PV '!$B:$DN,117,0),0)</f>
        <v>1496.8529411764705</v>
      </c>
    </row>
    <row r="438" spans="1:12" x14ac:dyDescent="0.3">
      <c r="A438" s="2">
        <v>107262</v>
      </c>
      <c r="B438" s="2" t="s">
        <v>223</v>
      </c>
      <c r="C438" s="2" t="s">
        <v>253</v>
      </c>
      <c r="D438" s="2" t="s">
        <v>254</v>
      </c>
      <c r="E438" s="5">
        <v>2535</v>
      </c>
      <c r="F438" s="5">
        <v>1987.89</v>
      </c>
      <c r="G438" s="5">
        <v>5039301.1500000004</v>
      </c>
      <c r="H438" s="1">
        <f t="shared" ca="1" si="13"/>
        <v>46194</v>
      </c>
      <c r="I438" s="5">
        <f>IFERROR(VLOOKUP(A438,'[3]Consumo SEMANAL PV '!$B:$DI,112,0),0)</f>
        <v>265.80666666666667</v>
      </c>
      <c r="J438" s="2" t="str">
        <f>IFERROR(VLOOKUP(A438,Hoja4!A:C,3,0),"")</f>
        <v>Remojo</v>
      </c>
      <c r="K438" s="9">
        <f t="shared" si="14"/>
        <v>9.5370068470818392</v>
      </c>
      <c r="L438" s="6">
        <f>IFERROR(VLOOKUP(A438,'[4]Consumo SEMANAL PV '!$B:$DN,117,0),0)</f>
        <v>1394.705882352941</v>
      </c>
    </row>
    <row r="439" spans="1:12" x14ac:dyDescent="0.3">
      <c r="A439" s="2">
        <v>107148</v>
      </c>
      <c r="B439" s="2" t="s">
        <v>225</v>
      </c>
      <c r="C439" s="2" t="s">
        <v>253</v>
      </c>
      <c r="D439" s="2" t="s">
        <v>254</v>
      </c>
      <c r="E439" s="2">
        <v>40</v>
      </c>
      <c r="F439" s="5">
        <v>20900</v>
      </c>
      <c r="G439" s="5">
        <v>836000</v>
      </c>
      <c r="H439" s="1">
        <f t="shared" ca="1" si="13"/>
        <v>46194</v>
      </c>
      <c r="I439" s="5">
        <f>IFERROR(VLOOKUP(A439,'[3]Consumo SEMANAL PV '!$B:$DI,112,0),0)</f>
        <v>3.3333333333333335</v>
      </c>
      <c r="J439" s="2" t="str">
        <f>IFERROR(VLOOKUP(A439,Hoja4!A:C,3,0),"")</f>
        <v>Esencia</v>
      </c>
      <c r="K439" s="9">
        <f t="shared" si="14"/>
        <v>12</v>
      </c>
      <c r="L439" s="6">
        <f>IFERROR(VLOOKUP(A439,'[4]Consumo SEMANAL PV '!$B:$DN,117,0),0)</f>
        <v>26.666666666666668</v>
      </c>
    </row>
    <row r="440" spans="1:12" x14ac:dyDescent="0.3">
      <c r="A440" s="2">
        <v>405612</v>
      </c>
      <c r="B440" s="2" t="s">
        <v>357</v>
      </c>
      <c r="C440" s="2" t="s">
        <v>253</v>
      </c>
      <c r="D440" s="2" t="s">
        <v>254</v>
      </c>
      <c r="E440" s="2">
        <v>260</v>
      </c>
      <c r="F440" s="5">
        <v>1645</v>
      </c>
      <c r="G440" s="5">
        <v>427700</v>
      </c>
      <c r="H440" s="1">
        <f t="shared" ca="1" si="13"/>
        <v>46194</v>
      </c>
      <c r="I440" s="5">
        <f>IFERROR(VLOOKUP(A440,'[3]Consumo SEMANAL PV '!$B:$DI,112,0),0)</f>
        <v>35.199999999999996</v>
      </c>
      <c r="J440" s="2" t="str">
        <f>IFERROR(VLOOKUP(A440,Hoja4!A:C,3,0),"")</f>
        <v>Mermelada</v>
      </c>
      <c r="K440" s="9">
        <f t="shared" si="14"/>
        <v>7.3863636363636376</v>
      </c>
      <c r="L440" s="6">
        <f>IFERROR(VLOOKUP(A440,'[4]Consumo SEMANAL PV '!$B:$DN,117,0),0)</f>
        <v>205.88235294117646</v>
      </c>
    </row>
    <row r="441" spans="1:12" x14ac:dyDescent="0.3">
      <c r="A441" s="2">
        <v>405651</v>
      </c>
      <c r="B441" s="2" t="s">
        <v>228</v>
      </c>
      <c r="C441" s="2" t="s">
        <v>253</v>
      </c>
      <c r="D441" s="2" t="s">
        <v>254</v>
      </c>
      <c r="E441" s="2">
        <v>10</v>
      </c>
      <c r="F441" s="5">
        <v>6990</v>
      </c>
      <c r="G441" s="5">
        <v>69900</v>
      </c>
      <c r="H441" s="1">
        <f t="shared" ca="1" si="13"/>
        <v>46194</v>
      </c>
      <c r="I441" s="5">
        <f>IFERROR(VLOOKUP(A441,'[3]Consumo SEMANAL PV '!$B:$DI,112,0),0)</f>
        <v>0</v>
      </c>
      <c r="J441" s="2" t="str">
        <f>IFERROR(VLOOKUP(A441,Hoja4!A:C,3,0),"")</f>
        <v>Esencia</v>
      </c>
      <c r="K441" s="9">
        <f t="shared" si="14"/>
        <v>0</v>
      </c>
      <c r="L441" s="6">
        <f>IFERROR(VLOOKUP(A441,'[4]Consumo SEMANAL PV '!$B:$DN,117,0),0)</f>
        <v>0</v>
      </c>
    </row>
    <row r="442" spans="1:12" x14ac:dyDescent="0.3">
      <c r="A442" s="2">
        <v>401015</v>
      </c>
      <c r="B442" s="2" t="s">
        <v>229</v>
      </c>
      <c r="C442" s="2" t="s">
        <v>253</v>
      </c>
      <c r="D442" s="2" t="s">
        <v>254</v>
      </c>
      <c r="E442" s="2">
        <v>86</v>
      </c>
      <c r="F442" s="5">
        <v>3931.24</v>
      </c>
      <c r="G442" s="5">
        <v>338086.64</v>
      </c>
      <c r="H442" s="1">
        <f t="shared" ca="1" si="13"/>
        <v>46194</v>
      </c>
      <c r="I442" s="5">
        <f>IFERROR(VLOOKUP(A442,'[3]Consumo SEMANAL PV '!$B:$DI,112,0),0)</f>
        <v>1.0972222222222221</v>
      </c>
      <c r="J442" s="2" t="str">
        <f>IFERROR(VLOOKUP(A442,Hoja4!A:C,3,0),"")</f>
        <v>Film</v>
      </c>
      <c r="K442" s="9">
        <f t="shared" si="14"/>
        <v>78.379746835443044</v>
      </c>
      <c r="L442" s="6">
        <f>IFERROR(VLOOKUP(A442,'[4]Consumo SEMANAL PV '!$B:$DN,117,0),0)</f>
        <v>1.5476190476190477</v>
      </c>
    </row>
    <row r="443" spans="1:12" x14ac:dyDescent="0.3">
      <c r="A443" s="2">
        <v>401014</v>
      </c>
      <c r="B443" s="2" t="s">
        <v>230</v>
      </c>
      <c r="C443" s="2" t="s">
        <v>253</v>
      </c>
      <c r="D443" s="2" t="s">
        <v>254</v>
      </c>
      <c r="E443" s="2">
        <v>133</v>
      </c>
      <c r="F443" s="5">
        <v>3788.32</v>
      </c>
      <c r="G443" s="5">
        <v>503846.56</v>
      </c>
      <c r="H443" s="1">
        <f t="shared" ca="1" si="13"/>
        <v>46194</v>
      </c>
      <c r="I443" s="5">
        <f>IFERROR(VLOOKUP(A443,'[3]Consumo SEMANAL PV '!$B:$DI,112,0),0)</f>
        <v>1.3518518518518519</v>
      </c>
      <c r="J443" s="2" t="str">
        <f>IFERROR(VLOOKUP(A443,Hoja4!A:C,3,0),"")</f>
        <v>Film</v>
      </c>
      <c r="K443" s="9">
        <f t="shared" si="14"/>
        <v>98.38356164383562</v>
      </c>
      <c r="L443" s="6">
        <f>IFERROR(VLOOKUP(A443,'[4]Consumo SEMANAL PV '!$B:$DN,117,0),0)</f>
        <v>1.25</v>
      </c>
    </row>
    <row r="444" spans="1:12" x14ac:dyDescent="0.3">
      <c r="A444" s="2">
        <v>401013</v>
      </c>
      <c r="B444" s="2" t="s">
        <v>231</v>
      </c>
      <c r="C444" s="2" t="s">
        <v>253</v>
      </c>
      <c r="D444" s="2" t="s">
        <v>254</v>
      </c>
      <c r="E444" s="2">
        <v>225</v>
      </c>
      <c r="F444" s="5">
        <v>3959.51</v>
      </c>
      <c r="G444" s="5">
        <v>890889.75</v>
      </c>
      <c r="H444" s="1">
        <f t="shared" ca="1" si="13"/>
        <v>46194</v>
      </c>
      <c r="I444" s="5">
        <f>IFERROR(VLOOKUP(A444,'[3]Consumo SEMANAL PV '!$B:$DI,112,0),0)</f>
        <v>2.5942028985507246</v>
      </c>
      <c r="J444" s="2" t="str">
        <f>IFERROR(VLOOKUP(A444,Hoja4!A:C,3,0),"")</f>
        <v>Film</v>
      </c>
      <c r="K444" s="9">
        <f t="shared" si="14"/>
        <v>86.731843575418992</v>
      </c>
      <c r="L444" s="6">
        <f>IFERROR(VLOOKUP(A444,'[4]Consumo SEMANAL PV '!$B:$DN,117,0),0)</f>
        <v>10.833333333333332</v>
      </c>
    </row>
    <row r="445" spans="1:12" x14ac:dyDescent="0.3">
      <c r="A445" s="2">
        <v>401010</v>
      </c>
      <c r="B445" s="2" t="s">
        <v>232</v>
      </c>
      <c r="C445" s="2" t="s">
        <v>253</v>
      </c>
      <c r="D445" s="2" t="s">
        <v>254</v>
      </c>
      <c r="E445" s="2">
        <v>182</v>
      </c>
      <c r="F445" s="5">
        <v>3955.2</v>
      </c>
      <c r="G445" s="5">
        <v>719846.40000000002</v>
      </c>
      <c r="H445" s="1">
        <f t="shared" ca="1" si="13"/>
        <v>46194</v>
      </c>
      <c r="I445" s="5">
        <f>IFERROR(VLOOKUP(A445,'[3]Consumo SEMANAL PV '!$B:$DI,112,0),0)</f>
        <v>2.2142857142857144</v>
      </c>
      <c r="J445" s="2" t="str">
        <f>IFERROR(VLOOKUP(A445,Hoja4!A:C,3,0),"")</f>
        <v>Film</v>
      </c>
      <c r="K445" s="9">
        <f t="shared" si="14"/>
        <v>82.193548387096769</v>
      </c>
      <c r="L445" s="6">
        <f>IFERROR(VLOOKUP(A445,'[4]Consumo SEMANAL PV '!$B:$DN,117,0),0)</f>
        <v>4.166666666666667</v>
      </c>
    </row>
    <row r="446" spans="1:12" x14ac:dyDescent="0.3">
      <c r="A446" s="2">
        <v>405335</v>
      </c>
      <c r="B446" s="2" t="s">
        <v>358</v>
      </c>
      <c r="C446" s="2" t="s">
        <v>253</v>
      </c>
      <c r="D446" s="2" t="s">
        <v>254</v>
      </c>
      <c r="E446" s="2">
        <v>720</v>
      </c>
      <c r="F446" s="5">
        <v>2320</v>
      </c>
      <c r="G446" s="5">
        <v>1670400</v>
      </c>
      <c r="H446" s="1">
        <f t="shared" ca="1" si="13"/>
        <v>46194</v>
      </c>
      <c r="I446" s="5">
        <f>IFERROR(VLOOKUP(A446,'[3]Consumo SEMANAL PV '!$B:$DI,112,0),0)</f>
        <v>0</v>
      </c>
      <c r="J446" s="2" t="str">
        <f>IFERROR(VLOOKUP(A446,Hoja4!A:C,3,0),"")</f>
        <v>Film</v>
      </c>
      <c r="K446" s="9">
        <f t="shared" si="14"/>
        <v>0</v>
      </c>
      <c r="L446" s="6">
        <f>IFERROR(VLOOKUP(A446,'[4]Consumo SEMANAL PV '!$B:$DN,117,0),0)</f>
        <v>0</v>
      </c>
    </row>
    <row r="447" spans="1:12" x14ac:dyDescent="0.3">
      <c r="A447" s="2">
        <v>401019</v>
      </c>
      <c r="B447" s="2" t="s">
        <v>234</v>
      </c>
      <c r="C447" s="2" t="s">
        <v>253</v>
      </c>
      <c r="D447" s="2" t="s">
        <v>254</v>
      </c>
      <c r="E447" s="2">
        <v>116</v>
      </c>
      <c r="F447" s="5">
        <v>3840</v>
      </c>
      <c r="G447" s="5">
        <v>445440</v>
      </c>
      <c r="H447" s="1">
        <f t="shared" ca="1" si="13"/>
        <v>46194</v>
      </c>
      <c r="I447" s="5">
        <f>IFERROR(VLOOKUP(A447,'[3]Consumo SEMANAL PV '!$B:$DI,112,0),0)</f>
        <v>1.9047619047619049</v>
      </c>
      <c r="J447" s="2" t="str">
        <f>IFERROR(VLOOKUP(A447,Hoja4!A:C,3,0),"")</f>
        <v>Film</v>
      </c>
      <c r="K447" s="9">
        <f t="shared" si="14"/>
        <v>60.9</v>
      </c>
      <c r="L447" s="6">
        <f>IFERROR(VLOOKUP(A447,'[4]Consumo SEMANAL PV '!$B:$DN,117,0),0)</f>
        <v>2.7777777777777777</v>
      </c>
    </row>
    <row r="448" spans="1:12" x14ac:dyDescent="0.3">
      <c r="A448" s="2">
        <v>401012</v>
      </c>
      <c r="B448" s="2" t="s">
        <v>235</v>
      </c>
      <c r="C448" s="2" t="s">
        <v>253</v>
      </c>
      <c r="D448" s="2" t="s">
        <v>254</v>
      </c>
      <c r="E448" s="2">
        <v>76</v>
      </c>
      <c r="F448" s="5">
        <v>3934.13</v>
      </c>
      <c r="G448" s="5">
        <v>298993.88</v>
      </c>
      <c r="H448" s="1">
        <f t="shared" ca="1" si="13"/>
        <v>46194</v>
      </c>
      <c r="I448" s="5">
        <f>IFERROR(VLOOKUP(A448,'[3]Consumo SEMANAL PV '!$B:$DI,112,0),0)</f>
        <v>0.95833333333333337</v>
      </c>
      <c r="J448" s="2" t="str">
        <f>IFERROR(VLOOKUP(A448,Hoja4!A:C,3,0),"")</f>
        <v>Film</v>
      </c>
      <c r="K448" s="9">
        <f t="shared" si="14"/>
        <v>79.304347826086953</v>
      </c>
      <c r="L448" s="6">
        <f>IFERROR(VLOOKUP(A448,'[4]Consumo SEMANAL PV '!$B:$DN,117,0),0)</f>
        <v>2.96875</v>
      </c>
    </row>
    <row r="449" spans="1:12" x14ac:dyDescent="0.3">
      <c r="A449" s="2">
        <v>393253</v>
      </c>
      <c r="B449" s="2" t="s">
        <v>359</v>
      </c>
      <c r="C449" s="2" t="s">
        <v>253</v>
      </c>
      <c r="D449" s="2" t="s">
        <v>254</v>
      </c>
      <c r="E449" s="2">
        <v>5166</v>
      </c>
      <c r="F449" s="2">
        <v>141.84</v>
      </c>
      <c r="G449" s="5">
        <v>732745.44</v>
      </c>
      <c r="H449" s="1">
        <f t="shared" ca="1" si="13"/>
        <v>46194</v>
      </c>
      <c r="I449" s="5">
        <f>IFERROR(VLOOKUP(A449,'[3]Consumo SEMANAL PV '!$B:$DI,112,0),0)</f>
        <v>923.1111111111112</v>
      </c>
      <c r="J449" s="2" t="str">
        <f>IFERROR(VLOOKUP(A449,Hoja4!A:C,3,0),"")</f>
        <v>Insumo</v>
      </c>
      <c r="K449" s="9">
        <f t="shared" si="14"/>
        <v>5.5962927298988925</v>
      </c>
      <c r="L449" s="6">
        <f>IFERROR(VLOOKUP(A449,'[4]Consumo SEMANAL PV '!$B:$DN,117,0),0)</f>
        <v>3204.7619047619046</v>
      </c>
    </row>
    <row r="450" spans="1:12" x14ac:dyDescent="0.3">
      <c r="A450" s="2">
        <v>405658</v>
      </c>
      <c r="B450" s="2" t="s">
        <v>360</v>
      </c>
      <c r="C450" s="2" t="s">
        <v>253</v>
      </c>
      <c r="D450" s="2" t="s">
        <v>254</v>
      </c>
      <c r="E450" s="2">
        <v>830</v>
      </c>
      <c r="F450" s="2">
        <v>148.43</v>
      </c>
      <c r="G450" s="5">
        <v>123196.9</v>
      </c>
      <c r="H450" s="1">
        <f t="shared" ca="1" si="13"/>
        <v>46194</v>
      </c>
      <c r="I450" s="5">
        <f>IFERROR(VLOOKUP(A450,'[3]Consumo SEMANAL PV '!$B:$DI,112,0),0)</f>
        <v>1354.7380952380952</v>
      </c>
      <c r="J450" s="2" t="str">
        <f>IFERROR(VLOOKUP(A450,Hoja4!A:C,3,0),"")</f>
        <v>Insumo</v>
      </c>
      <c r="K450" s="9">
        <f t="shared" si="14"/>
        <v>0.61266454594984099</v>
      </c>
      <c r="L450" s="6">
        <f>IFERROR(VLOOKUP(A450,'[4]Consumo SEMANAL PV '!$B:$DN,117,0),0)</f>
        <v>5235.666666666667</v>
      </c>
    </row>
    <row r="451" spans="1:12" x14ac:dyDescent="0.3">
      <c r="A451" s="2">
        <v>107301</v>
      </c>
      <c r="B451" s="2" t="s">
        <v>551</v>
      </c>
      <c r="C451" s="2" t="s">
        <v>253</v>
      </c>
      <c r="D451" s="2" t="s">
        <v>254</v>
      </c>
      <c r="E451" s="2">
        <v>1350</v>
      </c>
      <c r="F451" s="5">
        <v>3312</v>
      </c>
      <c r="G451" s="5">
        <v>4471200</v>
      </c>
      <c r="H451" s="1">
        <f t="shared" ref="H451:H514" ca="1" si="15">TODAY()</f>
        <v>46194</v>
      </c>
      <c r="I451" s="5">
        <f>IFERROR(VLOOKUP(A451,'[3]Consumo SEMANAL PV '!$B:$DI,112,0),0)</f>
        <v>67.936507936507937</v>
      </c>
      <c r="J451" s="2" t="str">
        <f>IFERROR(VLOOKUP(A451,Hoja4!A:C,3,0),"")</f>
        <v>Mix</v>
      </c>
      <c r="K451" s="9">
        <f t="shared" ref="K451:K456" si="16">IFERROR(+E451/I451,0)</f>
        <v>19.871495327102803</v>
      </c>
      <c r="L451" s="6">
        <f>IFERROR(VLOOKUP(A451,'[4]Consumo SEMANAL PV '!$B:$DN,117,0),0)</f>
        <v>412.33333333333326</v>
      </c>
    </row>
    <row r="452" spans="1:12" x14ac:dyDescent="0.3">
      <c r="A452" s="2">
        <v>405311</v>
      </c>
      <c r="B452" s="2" t="s">
        <v>361</v>
      </c>
      <c r="C452" s="2" t="s">
        <v>253</v>
      </c>
      <c r="D452" s="2" t="s">
        <v>254</v>
      </c>
      <c r="E452" s="5">
        <v>5759</v>
      </c>
      <c r="F452" s="2">
        <v>104</v>
      </c>
      <c r="G452" s="5">
        <v>598936</v>
      </c>
      <c r="H452" s="1">
        <f t="shared" ca="1" si="15"/>
        <v>46194</v>
      </c>
      <c r="I452" s="5">
        <f>IFERROR(VLOOKUP(A452,'[3]Consumo SEMANAL PV '!$B:$DI,112,0),0)</f>
        <v>419.29166666666669</v>
      </c>
      <c r="J452" s="2" t="str">
        <f>IFERROR(VLOOKUP(A452,Hoja4!A:C,3,0),"")</f>
        <v>Chocolate</v>
      </c>
      <c r="K452" s="9">
        <f t="shared" si="16"/>
        <v>13.735069064891185</v>
      </c>
      <c r="L452" s="6">
        <f>IFERROR(VLOOKUP(A452,'[4]Consumo SEMANAL PV '!$B:$DN,117,0),0)</f>
        <v>3744.8888888888887</v>
      </c>
    </row>
    <row r="453" spans="1:12" x14ac:dyDescent="0.3">
      <c r="A453" s="2">
        <v>405134</v>
      </c>
      <c r="B453" s="2" t="s">
        <v>239</v>
      </c>
      <c r="C453" s="2" t="s">
        <v>253</v>
      </c>
      <c r="D453" s="2" t="s">
        <v>254</v>
      </c>
      <c r="E453" s="5">
        <v>35600</v>
      </c>
      <c r="F453" s="2">
        <v>36</v>
      </c>
      <c r="G453" s="5">
        <v>1281600</v>
      </c>
      <c r="H453" s="1">
        <f t="shared" ca="1" si="15"/>
        <v>46194</v>
      </c>
      <c r="I453" s="5">
        <f>IFERROR(VLOOKUP(A453,'[3]Consumo SEMANAL PV '!$B:$DI,112,0),0)</f>
        <v>1937.3333333333333</v>
      </c>
      <c r="J453" s="2" t="str">
        <f>IFERROR(VLOOKUP(A453,Hoja4!A:C,3,0),"")</f>
        <v>Chocolate</v>
      </c>
      <c r="K453" s="9">
        <f t="shared" si="16"/>
        <v>18.375774260151413</v>
      </c>
      <c r="L453" s="6">
        <f>IFERROR(VLOOKUP(A453,'[4]Consumo SEMANAL PV '!$B:$DN,117,0),0)</f>
        <v>16235.294117647058</v>
      </c>
    </row>
    <row r="454" spans="1:12" x14ac:dyDescent="0.3">
      <c r="A454" s="2">
        <v>107102</v>
      </c>
      <c r="B454" s="2" t="s">
        <v>241</v>
      </c>
      <c r="C454" s="2" t="s">
        <v>253</v>
      </c>
      <c r="D454" s="2" t="s">
        <v>254</v>
      </c>
      <c r="E454" s="2">
        <v>854</v>
      </c>
      <c r="F454" s="5">
        <v>3122.84</v>
      </c>
      <c r="G454" s="5">
        <v>2666905.36</v>
      </c>
      <c r="H454" s="1">
        <f t="shared" ca="1" si="15"/>
        <v>46194</v>
      </c>
      <c r="I454" s="5">
        <f>IFERROR(VLOOKUP(A454,'[3]Consumo SEMANAL PV '!$B:$DI,112,0),0)</f>
        <v>25.566666666666666</v>
      </c>
      <c r="J454" s="2" t="str">
        <f>IFERROR(VLOOKUP(A454,Hoja4!A:C,3,0),"")</f>
        <v>Fruta Conserva</v>
      </c>
      <c r="K454" s="9">
        <f t="shared" si="16"/>
        <v>33.402868318122557</v>
      </c>
      <c r="L454" s="6">
        <f>IFERROR(VLOOKUP(A454,'[4]Consumo SEMANAL PV '!$B:$DN,117,0),0)</f>
        <v>140.58823529411765</v>
      </c>
    </row>
    <row r="455" spans="1:12" x14ac:dyDescent="0.3">
      <c r="A455" s="2">
        <v>405533</v>
      </c>
      <c r="B455" s="2" t="s">
        <v>242</v>
      </c>
      <c r="C455" s="2" t="s">
        <v>253</v>
      </c>
      <c r="D455" s="2" t="s">
        <v>254</v>
      </c>
      <c r="E455" s="2">
        <v>87</v>
      </c>
      <c r="F455" s="5">
        <v>2265.9899999999998</v>
      </c>
      <c r="G455" s="5">
        <v>197141.13</v>
      </c>
      <c r="H455" s="1">
        <f t="shared" ca="1" si="15"/>
        <v>46194</v>
      </c>
      <c r="I455" s="5">
        <f>IFERROR(VLOOKUP(A455,'[3]Consumo SEMANAL PV '!$B:$DI,112,0),0)</f>
        <v>51.729166666666664</v>
      </c>
      <c r="J455" s="2" t="str">
        <f>IFERROR(VLOOKUP(A455,Hoja4!A:C,3,0),"")</f>
        <v>cremas</v>
      </c>
      <c r="K455" s="9">
        <f t="shared" si="16"/>
        <v>1.6818364881192107</v>
      </c>
      <c r="L455" s="6">
        <f>IFERROR(VLOOKUP(A455,'[4]Consumo SEMANAL PV '!$B:$DN,117,0),0)</f>
        <v>240.49019607843135</v>
      </c>
    </row>
    <row r="456" spans="1:12" x14ac:dyDescent="0.3">
      <c r="A456" s="2">
        <v>107164</v>
      </c>
      <c r="B456" s="2" t="s">
        <v>243</v>
      </c>
      <c r="C456" s="2" t="s">
        <v>253</v>
      </c>
      <c r="D456" s="2" t="s">
        <v>254</v>
      </c>
      <c r="E456" s="2">
        <v>305</v>
      </c>
      <c r="F456" s="5">
        <v>1129</v>
      </c>
      <c r="G456" s="5">
        <v>344345</v>
      </c>
      <c r="H456" s="1">
        <f t="shared" ca="1" si="15"/>
        <v>46194</v>
      </c>
      <c r="I456" s="5">
        <f>IFERROR(VLOOKUP(A456,'[3]Consumo SEMANAL PV '!$B:$DI,112,0),0)</f>
        <v>52.326388888888886</v>
      </c>
      <c r="J456" s="2" t="str">
        <f>IFERROR(VLOOKUP(A456,Hoja4!A:C,3,0),"")</f>
        <v>Yogurt</v>
      </c>
      <c r="K456" s="9">
        <f t="shared" si="16"/>
        <v>5.8287989382879895</v>
      </c>
      <c r="L456" s="6">
        <f>IFERROR(VLOOKUP(A456,'[4]Consumo SEMANAL PV '!$B:$DN,117,0),0)</f>
        <v>196.31372549019611</v>
      </c>
    </row>
    <row r="457" spans="1:12" x14ac:dyDescent="0.3">
      <c r="A457" s="2">
        <v>405445</v>
      </c>
      <c r="B457" s="2" t="s">
        <v>6</v>
      </c>
      <c r="C457" s="2" t="s">
        <v>399</v>
      </c>
      <c r="D457" s="2" t="s">
        <v>400</v>
      </c>
      <c r="E457" s="5">
        <v>6294</v>
      </c>
      <c r="F457" s="2">
        <v>93.57</v>
      </c>
      <c r="G457" s="5">
        <v>588929.57999999996</v>
      </c>
      <c r="H457" s="1">
        <f t="shared" ca="1" si="15"/>
        <v>46194</v>
      </c>
      <c r="J457" s="2" t="str">
        <f>IFERROR(VLOOKUP(A457,Hoja4!A:C,3,0),"")</f>
        <v>Cupula</v>
      </c>
      <c r="K457" s="9">
        <v>7</v>
      </c>
      <c r="L457" s="2"/>
    </row>
    <row r="458" spans="1:12" x14ac:dyDescent="0.3">
      <c r="A458" s="2">
        <v>400104</v>
      </c>
      <c r="B458" s="2" t="s">
        <v>401</v>
      </c>
      <c r="C458" s="2" t="s">
        <v>399</v>
      </c>
      <c r="D458" s="2" t="s">
        <v>400</v>
      </c>
      <c r="E458" s="5">
        <v>103682.87</v>
      </c>
      <c r="F458" s="2">
        <v>26.75</v>
      </c>
      <c r="G458" s="5">
        <v>2773516.7725</v>
      </c>
      <c r="H458" s="1">
        <f t="shared" ca="1" si="15"/>
        <v>46194</v>
      </c>
      <c r="J458" s="2" t="str">
        <f>IFERROR(VLOOKUP(A458,Hoja4!A:C,3,0),"")</f>
        <v>Bolsas</v>
      </c>
      <c r="K458" s="9">
        <v>7</v>
      </c>
      <c r="L458" s="2"/>
    </row>
    <row r="459" spans="1:12" x14ac:dyDescent="0.3">
      <c r="A459" s="2">
        <v>400202</v>
      </c>
      <c r="B459" s="2" t="s">
        <v>258</v>
      </c>
      <c r="C459" s="2" t="s">
        <v>399</v>
      </c>
      <c r="D459" s="2" t="s">
        <v>400</v>
      </c>
      <c r="E459" s="2">
        <v>153.97</v>
      </c>
      <c r="F459" s="5">
        <v>2741.44</v>
      </c>
      <c r="G459" s="5">
        <v>422099.51679999998</v>
      </c>
      <c r="H459" s="1">
        <f t="shared" ca="1" si="15"/>
        <v>46194</v>
      </c>
      <c r="J459" s="2" t="str">
        <f>IFERROR(VLOOKUP(A459,Hoja4!A:C,3,0),"")</f>
        <v>Bolsas</v>
      </c>
      <c r="K459" s="9">
        <v>7</v>
      </c>
      <c r="L459" s="2"/>
    </row>
    <row r="460" spans="1:12" x14ac:dyDescent="0.3">
      <c r="A460" s="2">
        <v>400203</v>
      </c>
      <c r="B460" s="2" t="s">
        <v>11</v>
      </c>
      <c r="C460" s="2" t="s">
        <v>399</v>
      </c>
      <c r="D460" s="2" t="s">
        <v>400</v>
      </c>
      <c r="E460" s="2">
        <v>570.47114399999998</v>
      </c>
      <c r="F460" s="5">
        <v>2749.22</v>
      </c>
      <c r="G460" s="5">
        <v>1568350.6784999999</v>
      </c>
      <c r="H460" s="1">
        <f t="shared" ca="1" si="15"/>
        <v>46194</v>
      </c>
      <c r="J460" s="2" t="str">
        <f>IFERROR(VLOOKUP(A460,Hoja4!A:C,3,0),"")</f>
        <v>Bolsas</v>
      </c>
      <c r="K460" s="9">
        <v>7</v>
      </c>
      <c r="L460" s="2"/>
    </row>
    <row r="461" spans="1:12" x14ac:dyDescent="0.3">
      <c r="A461" s="2">
        <v>107366</v>
      </c>
      <c r="B461" s="2" t="s">
        <v>17</v>
      </c>
      <c r="C461" s="2" t="s">
        <v>399</v>
      </c>
      <c r="D461" s="2" t="s">
        <v>400</v>
      </c>
      <c r="E461" s="2">
        <v>292</v>
      </c>
      <c r="F461" s="2">
        <v>721.97</v>
      </c>
      <c r="G461" s="5">
        <v>210815.24</v>
      </c>
      <c r="H461" s="1">
        <f t="shared" ca="1" si="15"/>
        <v>46194</v>
      </c>
      <c r="J461" s="2" t="str">
        <f>IFERROR(VLOOKUP(A461,Hoja4!A:C,3,0),"")</f>
        <v>Caja</v>
      </c>
      <c r="K461" s="9">
        <v>7</v>
      </c>
      <c r="L461" s="2"/>
    </row>
    <row r="462" spans="1:12" x14ac:dyDescent="0.3">
      <c r="A462" s="2">
        <v>107365</v>
      </c>
      <c r="B462" s="2" t="s">
        <v>260</v>
      </c>
      <c r="C462" s="2" t="s">
        <v>399</v>
      </c>
      <c r="D462" s="2" t="s">
        <v>400</v>
      </c>
      <c r="E462" s="2">
        <v>710</v>
      </c>
      <c r="F462" s="2">
        <v>493</v>
      </c>
      <c r="G462" s="5">
        <v>350030</v>
      </c>
      <c r="H462" s="1">
        <f t="shared" ca="1" si="15"/>
        <v>46194</v>
      </c>
      <c r="J462" s="2" t="str">
        <f>IFERROR(VLOOKUP(A462,Hoja4!A:C,3,0),"")</f>
        <v>Caja</v>
      </c>
      <c r="K462" s="9">
        <v>7</v>
      </c>
      <c r="L462" s="2"/>
    </row>
    <row r="463" spans="1:12" x14ac:dyDescent="0.3">
      <c r="A463" s="2">
        <v>405790</v>
      </c>
      <c r="B463" s="2" t="s">
        <v>824</v>
      </c>
      <c r="C463" s="2" t="s">
        <v>399</v>
      </c>
      <c r="D463" s="2" t="s">
        <v>400</v>
      </c>
      <c r="E463" s="2">
        <v>334</v>
      </c>
      <c r="F463" s="2">
        <v>562.6</v>
      </c>
      <c r="G463" s="5">
        <v>187908.4</v>
      </c>
      <c r="H463" s="1">
        <f t="shared" ca="1" si="15"/>
        <v>46194</v>
      </c>
      <c r="J463" s="2" t="str">
        <f>IFERROR(VLOOKUP(A463,Hoja4!A:C,3,0),"")</f>
        <v>Carton</v>
      </c>
      <c r="K463" s="9">
        <v>7</v>
      </c>
      <c r="L463" s="2"/>
    </row>
    <row r="464" spans="1:12" x14ac:dyDescent="0.3">
      <c r="A464" s="2">
        <v>405791</v>
      </c>
      <c r="B464" s="2" t="s">
        <v>828</v>
      </c>
      <c r="C464" s="2" t="s">
        <v>399</v>
      </c>
      <c r="D464" s="2" t="s">
        <v>400</v>
      </c>
      <c r="E464" s="2">
        <v>565</v>
      </c>
      <c r="F464" s="2">
        <v>562.6</v>
      </c>
      <c r="G464" s="5">
        <v>317869</v>
      </c>
      <c r="H464" s="1">
        <f t="shared" ca="1" si="15"/>
        <v>46194</v>
      </c>
      <c r="J464" s="2" t="str">
        <f>IFERROR(VLOOKUP(A464,Hoja4!A:C,3,0),"")</f>
        <v>Carton</v>
      </c>
      <c r="K464" s="9">
        <v>7</v>
      </c>
      <c r="L464" s="2"/>
    </row>
    <row r="465" spans="1:12" x14ac:dyDescent="0.3">
      <c r="A465" s="2">
        <v>402252</v>
      </c>
      <c r="B465" s="2" t="s">
        <v>498</v>
      </c>
      <c r="C465" s="2" t="s">
        <v>399</v>
      </c>
      <c r="D465" s="2" t="s">
        <v>400</v>
      </c>
      <c r="E465" s="2">
        <v>2</v>
      </c>
      <c r="F465" s="2">
        <v>562.5</v>
      </c>
      <c r="G465" s="5">
        <v>1125</v>
      </c>
      <c r="H465" s="1">
        <f t="shared" ca="1" si="15"/>
        <v>46194</v>
      </c>
      <c r="J465" s="2" t="str">
        <f>IFERROR(VLOOKUP(A465,Hoja4!A:C,3,0),"")</f>
        <v>Caja</v>
      </c>
      <c r="K465" s="9">
        <v>7</v>
      </c>
      <c r="L465" s="2"/>
    </row>
    <row r="466" spans="1:12" x14ac:dyDescent="0.3">
      <c r="A466" s="2">
        <v>402255</v>
      </c>
      <c r="B466" s="2" t="s">
        <v>26</v>
      </c>
      <c r="C466" s="2" t="s">
        <v>399</v>
      </c>
      <c r="D466" s="2" t="s">
        <v>400</v>
      </c>
      <c r="E466" s="2">
        <v>69.02</v>
      </c>
      <c r="F466" s="5">
        <v>1289.97</v>
      </c>
      <c r="G466" s="5">
        <v>89033.729399999997</v>
      </c>
      <c r="H466" s="1">
        <f t="shared" ca="1" si="15"/>
        <v>46194</v>
      </c>
      <c r="J466" s="2" t="str">
        <f>IFERROR(VLOOKUP(A466,Hoja4!A:C,3,0),"")</f>
        <v>Empaque</v>
      </c>
      <c r="K466" s="9">
        <v>7</v>
      </c>
      <c r="L466" s="2"/>
    </row>
    <row r="467" spans="1:12" x14ac:dyDescent="0.3">
      <c r="A467" s="2">
        <v>404309</v>
      </c>
      <c r="B467" s="2" t="s">
        <v>27</v>
      </c>
      <c r="C467" s="2" t="s">
        <v>399</v>
      </c>
      <c r="D467" s="2" t="s">
        <v>400</v>
      </c>
      <c r="E467" s="2">
        <v>8.2100000000000009</v>
      </c>
      <c r="F467" s="5">
        <v>8881.9699999999993</v>
      </c>
      <c r="G467" s="5">
        <v>72920.973700000002</v>
      </c>
      <c r="H467" s="1">
        <f t="shared" ca="1" si="15"/>
        <v>46194</v>
      </c>
      <c r="J467" s="2" t="str">
        <f>IFERROR(VLOOKUP(A467,Hoja4!A:C,3,0),"")</f>
        <v>Chocolate</v>
      </c>
      <c r="K467" s="9">
        <v>7</v>
      </c>
      <c r="L467" s="2"/>
    </row>
    <row r="468" spans="1:12" x14ac:dyDescent="0.3">
      <c r="A468" s="2">
        <v>107300</v>
      </c>
      <c r="B468" s="2" t="s">
        <v>36</v>
      </c>
      <c r="C468" s="2" t="s">
        <v>399</v>
      </c>
      <c r="D468" s="2" t="s">
        <v>400</v>
      </c>
      <c r="E468" s="2">
        <v>53</v>
      </c>
      <c r="F468" s="2">
        <v>206.68</v>
      </c>
      <c r="G468" s="5">
        <v>10954.04</v>
      </c>
      <c r="H468" s="1">
        <f t="shared" ca="1" si="15"/>
        <v>46194</v>
      </c>
      <c r="J468" s="2" t="str">
        <f>IFERROR(VLOOKUP(A468,Hoja4!A:C,3,0),"")</f>
        <v>Cupula</v>
      </c>
      <c r="K468" s="9">
        <v>7</v>
      </c>
      <c r="L468" s="2"/>
    </row>
    <row r="469" spans="1:12" x14ac:dyDescent="0.3">
      <c r="A469" s="2">
        <v>107098</v>
      </c>
      <c r="B469" s="2" t="s">
        <v>45</v>
      </c>
      <c r="C469" s="2" t="s">
        <v>399</v>
      </c>
      <c r="D469" s="2" t="s">
        <v>400</v>
      </c>
      <c r="E469" s="2">
        <v>160.91999999999999</v>
      </c>
      <c r="F469" s="5">
        <v>3198.48</v>
      </c>
      <c r="G469" s="5">
        <v>514699.40159999998</v>
      </c>
      <c r="H469" s="1">
        <f t="shared" ca="1" si="15"/>
        <v>46194</v>
      </c>
      <c r="J469" s="2" t="str">
        <f>IFERROR(VLOOKUP(A469,Hoja4!A:C,3,0),"")</f>
        <v>Cremas</v>
      </c>
      <c r="K469" s="9">
        <v>7</v>
      </c>
      <c r="L469" s="2"/>
    </row>
    <row r="470" spans="1:12" x14ac:dyDescent="0.3">
      <c r="A470" s="2">
        <v>405444</v>
      </c>
      <c r="B470" s="2" t="s">
        <v>55</v>
      </c>
      <c r="C470" s="2" t="s">
        <v>399</v>
      </c>
      <c r="D470" s="2" t="s">
        <v>400</v>
      </c>
      <c r="E470" s="5">
        <v>6388</v>
      </c>
      <c r="F470" s="2">
        <v>251.98</v>
      </c>
      <c r="G470" s="5">
        <v>1609648.24</v>
      </c>
      <c r="H470" s="1">
        <f t="shared" ca="1" si="15"/>
        <v>46194</v>
      </c>
      <c r="J470" s="2" t="str">
        <f>IFERROR(VLOOKUP(A470,Hoja4!A:C,3,0),"")</f>
        <v>Cupula</v>
      </c>
      <c r="K470" s="9">
        <v>7</v>
      </c>
      <c r="L470" s="2"/>
    </row>
    <row r="471" spans="1:12" x14ac:dyDescent="0.3">
      <c r="A471" s="2">
        <v>405278</v>
      </c>
      <c r="B471" s="2" t="s">
        <v>56</v>
      </c>
      <c r="C471" s="2" t="s">
        <v>399</v>
      </c>
      <c r="D471" s="2" t="s">
        <v>400</v>
      </c>
      <c r="E471" s="5">
        <v>4317</v>
      </c>
      <c r="F471" s="2">
        <v>244.66</v>
      </c>
      <c r="G471" s="5">
        <v>1056197.22</v>
      </c>
      <c r="H471" s="1">
        <f t="shared" ca="1" si="15"/>
        <v>46194</v>
      </c>
      <c r="J471" s="2" t="str">
        <f>IFERROR(VLOOKUP(A471,Hoja4!A:C,3,0),"")</f>
        <v>Cupula</v>
      </c>
      <c r="K471" s="9">
        <v>7</v>
      </c>
      <c r="L471" s="2"/>
    </row>
    <row r="472" spans="1:12" x14ac:dyDescent="0.3">
      <c r="A472" s="2">
        <v>405375</v>
      </c>
      <c r="B472" s="2" t="s">
        <v>611</v>
      </c>
      <c r="C472" s="2" t="s">
        <v>399</v>
      </c>
      <c r="D472" s="2" t="s">
        <v>400</v>
      </c>
      <c r="E472" s="5">
        <v>3212</v>
      </c>
      <c r="F472" s="2">
        <v>240</v>
      </c>
      <c r="G472" s="5">
        <v>770880</v>
      </c>
      <c r="H472" s="1">
        <f t="shared" ca="1" si="15"/>
        <v>46194</v>
      </c>
      <c r="J472" s="2" t="str">
        <f>IFERROR(VLOOKUP(A472,Hoja4!A:C,3,0),"")</f>
        <v>Cupula</v>
      </c>
      <c r="K472" s="9">
        <v>7</v>
      </c>
      <c r="L472" s="2"/>
    </row>
    <row r="473" spans="1:12" x14ac:dyDescent="0.3">
      <c r="A473" s="2">
        <v>107344</v>
      </c>
      <c r="B473" s="2" t="s">
        <v>57</v>
      </c>
      <c r="C473" s="2" t="s">
        <v>399</v>
      </c>
      <c r="D473" s="2" t="s">
        <v>400</v>
      </c>
      <c r="E473" s="2">
        <v>800</v>
      </c>
      <c r="F473" s="2">
        <v>239.81</v>
      </c>
      <c r="G473" s="5">
        <v>191848</v>
      </c>
      <c r="H473" s="1">
        <f t="shared" ca="1" si="15"/>
        <v>46194</v>
      </c>
      <c r="J473" s="2" t="str">
        <f>IFERROR(VLOOKUP(A473,Hoja4!A:C,3,0),"")</f>
        <v>Cupula</v>
      </c>
      <c r="K473" s="9">
        <v>7</v>
      </c>
      <c r="L473" s="2"/>
    </row>
    <row r="474" spans="1:12" x14ac:dyDescent="0.3">
      <c r="A474" s="2">
        <v>107127</v>
      </c>
      <c r="B474" s="2" t="s">
        <v>59</v>
      </c>
      <c r="C474" s="2" t="s">
        <v>399</v>
      </c>
      <c r="D474" s="2" t="s">
        <v>400</v>
      </c>
      <c r="E474" s="2">
        <v>75.680000000000007</v>
      </c>
      <c r="F474" s="5">
        <v>6258.99</v>
      </c>
      <c r="G474" s="5">
        <v>473680.36320000002</v>
      </c>
      <c r="H474" s="1">
        <f t="shared" ca="1" si="15"/>
        <v>46194</v>
      </c>
      <c r="J474" s="2" t="str">
        <f>IFERROR(VLOOKUP(A474,Hoja4!A:C,3,0),"")</f>
        <v>Chocolate</v>
      </c>
      <c r="K474" s="9">
        <v>7</v>
      </c>
      <c r="L474" s="2"/>
    </row>
    <row r="475" spans="1:12" x14ac:dyDescent="0.3">
      <c r="A475" s="2">
        <v>107108</v>
      </c>
      <c r="B475" s="2" t="s">
        <v>60</v>
      </c>
      <c r="C475" s="2" t="s">
        <v>399</v>
      </c>
      <c r="D475" s="2" t="s">
        <v>400</v>
      </c>
      <c r="E475" s="2">
        <v>34.088000000000001</v>
      </c>
      <c r="F475" s="5">
        <v>4200.01</v>
      </c>
      <c r="G475" s="5">
        <v>143169.94089999999</v>
      </c>
      <c r="H475" s="1">
        <f t="shared" ca="1" si="15"/>
        <v>46194</v>
      </c>
      <c r="J475" s="2" t="str">
        <f>IFERROR(VLOOKUP(A475,Hoja4!A:C,3,0),"")</f>
        <v>Chocolate</v>
      </c>
      <c r="K475" s="9">
        <v>7</v>
      </c>
      <c r="L475" s="2"/>
    </row>
    <row r="476" spans="1:12" x14ac:dyDescent="0.3">
      <c r="A476" s="2">
        <v>405740</v>
      </c>
      <c r="B476" s="2" t="s">
        <v>61</v>
      </c>
      <c r="C476" s="2" t="s">
        <v>399</v>
      </c>
      <c r="D476" s="2" t="s">
        <v>400</v>
      </c>
      <c r="E476" s="5">
        <v>18970</v>
      </c>
      <c r="F476" s="2">
        <v>24.9</v>
      </c>
      <c r="G476" s="5">
        <v>472353</v>
      </c>
      <c r="H476" s="1">
        <f t="shared" ca="1" si="15"/>
        <v>46194</v>
      </c>
      <c r="J476" s="2" t="str">
        <f>IFERROR(VLOOKUP(A476,Hoja4!A:C,3,0),"")</f>
        <v>Carton</v>
      </c>
      <c r="K476" s="9">
        <v>7</v>
      </c>
      <c r="L476" s="2"/>
    </row>
    <row r="477" spans="1:12" x14ac:dyDescent="0.3">
      <c r="A477" s="2">
        <v>403103</v>
      </c>
      <c r="B477" s="2" t="s">
        <v>402</v>
      </c>
      <c r="C477" s="2" t="s">
        <v>399</v>
      </c>
      <c r="D477" s="2" t="s">
        <v>400</v>
      </c>
      <c r="E477" s="5">
        <v>15240</v>
      </c>
      <c r="F477" s="2">
        <v>26.9</v>
      </c>
      <c r="G477" s="5">
        <v>409956</v>
      </c>
      <c r="H477" s="1">
        <f t="shared" ca="1" si="15"/>
        <v>46194</v>
      </c>
      <c r="J477" s="2" t="str">
        <f>IFERROR(VLOOKUP(A477,Hoja4!A:C,3,0),"")</f>
        <v>Carton</v>
      </c>
      <c r="K477" s="9">
        <v>7</v>
      </c>
      <c r="L477" s="2"/>
    </row>
    <row r="478" spans="1:12" x14ac:dyDescent="0.3">
      <c r="A478" s="2">
        <v>107187</v>
      </c>
      <c r="B478" s="2" t="s">
        <v>403</v>
      </c>
      <c r="C478" s="2" t="s">
        <v>399</v>
      </c>
      <c r="D478" s="2" t="s">
        <v>400</v>
      </c>
      <c r="E478" s="5">
        <v>21400</v>
      </c>
      <c r="F478" s="2">
        <v>14.6</v>
      </c>
      <c r="G478" s="5">
        <v>312440</v>
      </c>
      <c r="H478" s="1">
        <f t="shared" ca="1" si="15"/>
        <v>46194</v>
      </c>
      <c r="J478" s="2" t="str">
        <f>IFERROR(VLOOKUP(A478,Hoja4!A:C,3,0),"")</f>
        <v>Carton</v>
      </c>
      <c r="K478" s="9">
        <v>7</v>
      </c>
      <c r="L478" s="2"/>
    </row>
    <row r="479" spans="1:12" x14ac:dyDescent="0.3">
      <c r="A479" s="2">
        <v>405587</v>
      </c>
      <c r="B479" s="2" t="s">
        <v>66</v>
      </c>
      <c r="C479" s="2" t="s">
        <v>399</v>
      </c>
      <c r="D479" s="2" t="s">
        <v>400</v>
      </c>
      <c r="E479" s="5">
        <v>274375</v>
      </c>
      <c r="F479" s="2">
        <v>10.24</v>
      </c>
      <c r="G479" s="5">
        <v>2809600</v>
      </c>
      <c r="H479" s="1">
        <f t="shared" ca="1" si="15"/>
        <v>46194</v>
      </c>
      <c r="J479" s="2" t="str">
        <f>IFERROR(VLOOKUP(A479,Hoja4!A:C,3,0),"")</f>
        <v>Carton</v>
      </c>
      <c r="K479" s="9">
        <v>7</v>
      </c>
      <c r="L479" s="2"/>
    </row>
    <row r="480" spans="1:12" x14ac:dyDescent="0.3">
      <c r="A480" s="2">
        <v>107420</v>
      </c>
      <c r="B480" s="2" t="s">
        <v>404</v>
      </c>
      <c r="C480" s="2" t="s">
        <v>399</v>
      </c>
      <c r="D480" s="2" t="s">
        <v>400</v>
      </c>
      <c r="E480" s="5">
        <v>39500</v>
      </c>
      <c r="F480" s="2">
        <v>19.2</v>
      </c>
      <c r="G480" s="5">
        <v>758400</v>
      </c>
      <c r="H480" s="1">
        <f t="shared" ca="1" si="15"/>
        <v>46194</v>
      </c>
      <c r="J480" s="2" t="str">
        <f>IFERROR(VLOOKUP(A480,Hoja4!A:C,3,0),"")</f>
        <v>Carton</v>
      </c>
      <c r="K480" s="9">
        <v>7</v>
      </c>
      <c r="L480" s="2"/>
    </row>
    <row r="481" spans="1:12" x14ac:dyDescent="0.3">
      <c r="A481" s="2">
        <v>107294</v>
      </c>
      <c r="B481" s="2" t="s">
        <v>72</v>
      </c>
      <c r="C481" s="2" t="s">
        <v>399</v>
      </c>
      <c r="D481" s="2" t="s">
        <v>400</v>
      </c>
      <c r="E481" s="5">
        <v>10634.37</v>
      </c>
      <c r="F481" s="5">
        <v>1660</v>
      </c>
      <c r="G481" s="5">
        <v>17653054.199999999</v>
      </c>
      <c r="H481" s="1">
        <f t="shared" ca="1" si="15"/>
        <v>46194</v>
      </c>
      <c r="J481" s="2" t="str">
        <f>IFERROR(VLOOKUP(A481,Hoja4!A:C,3,0),"")</f>
        <v>Mermelada</v>
      </c>
      <c r="K481" s="9">
        <v>7</v>
      </c>
      <c r="L481" s="2"/>
    </row>
    <row r="482" spans="1:12" x14ac:dyDescent="0.3">
      <c r="A482" s="2">
        <v>405712</v>
      </c>
      <c r="B482" s="2" t="s">
        <v>77</v>
      </c>
      <c r="C482" s="2" t="s">
        <v>399</v>
      </c>
      <c r="D482" s="2" t="s">
        <v>400</v>
      </c>
      <c r="E482" s="5">
        <v>13869</v>
      </c>
      <c r="F482" s="2">
        <v>22.7</v>
      </c>
      <c r="G482" s="5">
        <v>314826.3</v>
      </c>
      <c r="H482" s="1">
        <f t="shared" ca="1" si="15"/>
        <v>46194</v>
      </c>
      <c r="J482" s="2" t="s">
        <v>382</v>
      </c>
      <c r="K482" s="9">
        <v>7</v>
      </c>
      <c r="L482" s="2"/>
    </row>
    <row r="483" spans="1:12" x14ac:dyDescent="0.3">
      <c r="A483" s="2">
        <v>405129</v>
      </c>
      <c r="B483" s="2" t="s">
        <v>94</v>
      </c>
      <c r="C483" s="2" t="s">
        <v>399</v>
      </c>
      <c r="D483" s="2" t="s">
        <v>400</v>
      </c>
      <c r="E483" s="5">
        <v>3591</v>
      </c>
      <c r="F483" s="2">
        <v>20.7</v>
      </c>
      <c r="G483" s="5">
        <v>74333.7</v>
      </c>
      <c r="H483" s="1">
        <f t="shared" ca="1" si="15"/>
        <v>46194</v>
      </c>
      <c r="J483" s="2" t="str">
        <f>IFERROR(VLOOKUP(A483,Hoja4!A:C,3,0),"")</f>
        <v>Etiquetas</v>
      </c>
      <c r="K483" s="9">
        <v>7</v>
      </c>
      <c r="L483" s="2"/>
    </row>
    <row r="484" spans="1:12" x14ac:dyDescent="0.3">
      <c r="A484" s="2">
        <v>405160</v>
      </c>
      <c r="B484" s="2" t="s">
        <v>100</v>
      </c>
      <c r="C484" s="2" t="s">
        <v>399</v>
      </c>
      <c r="D484" s="2" t="s">
        <v>400</v>
      </c>
      <c r="E484" s="5">
        <v>5772</v>
      </c>
      <c r="F484" s="2">
        <v>16.16</v>
      </c>
      <c r="G484" s="5">
        <v>93275.520000000004</v>
      </c>
      <c r="H484" s="1">
        <f t="shared" ca="1" si="15"/>
        <v>46194</v>
      </c>
      <c r="J484" s="2" t="str">
        <f>IFERROR(VLOOKUP(A484,Hoja4!A:C,3,0),"")</f>
        <v>Etiquetas</v>
      </c>
      <c r="K484" s="9">
        <v>7</v>
      </c>
      <c r="L484" s="2"/>
    </row>
    <row r="485" spans="1:12" x14ac:dyDescent="0.3">
      <c r="A485" s="2">
        <v>405049</v>
      </c>
      <c r="B485" s="2" t="s">
        <v>101</v>
      </c>
      <c r="C485" s="2" t="s">
        <v>399</v>
      </c>
      <c r="D485" s="2" t="s">
        <v>400</v>
      </c>
      <c r="E485" s="5">
        <v>17880</v>
      </c>
      <c r="F485" s="2">
        <v>1.55</v>
      </c>
      <c r="G485" s="5">
        <v>27714</v>
      </c>
      <c r="H485" s="1">
        <f t="shared" ca="1" si="15"/>
        <v>46194</v>
      </c>
      <c r="J485" s="2" t="str">
        <f>IFERROR(VLOOKUP(A485,Hoja4!A:C,3,0),"")</f>
        <v>Etiquetas</v>
      </c>
      <c r="K485" s="9">
        <v>7</v>
      </c>
      <c r="L485" s="2"/>
    </row>
    <row r="486" spans="1:12" x14ac:dyDescent="0.3">
      <c r="A486" s="2">
        <v>404719</v>
      </c>
      <c r="B486" s="2" t="s">
        <v>102</v>
      </c>
      <c r="C486" s="2" t="s">
        <v>399</v>
      </c>
      <c r="D486" s="2" t="s">
        <v>400</v>
      </c>
      <c r="E486" s="5">
        <v>42870</v>
      </c>
      <c r="F486" s="2">
        <v>15.86</v>
      </c>
      <c r="G486" s="5">
        <v>679918.2</v>
      </c>
      <c r="H486" s="1">
        <f t="shared" ca="1" si="15"/>
        <v>46194</v>
      </c>
      <c r="J486" s="2" t="str">
        <f>IFERROR(VLOOKUP(A486,Hoja4!A:C,3,0),"")</f>
        <v>Etiquetas</v>
      </c>
      <c r="K486" s="9">
        <v>7</v>
      </c>
      <c r="L486" s="2"/>
    </row>
    <row r="487" spans="1:12" x14ac:dyDescent="0.3">
      <c r="A487" s="2">
        <v>404720</v>
      </c>
      <c r="B487" s="2" t="s">
        <v>307</v>
      </c>
      <c r="C487" s="2" t="s">
        <v>399</v>
      </c>
      <c r="D487" s="2" t="s">
        <v>400</v>
      </c>
      <c r="E487" s="5">
        <v>69146</v>
      </c>
      <c r="F487" s="2">
        <v>6.84</v>
      </c>
      <c r="G487" s="5">
        <v>472958.64</v>
      </c>
      <c r="H487" s="1">
        <f t="shared" ca="1" si="15"/>
        <v>46194</v>
      </c>
      <c r="J487" s="2" t="str">
        <f>IFERROR(VLOOKUP(A487,Hoja4!A:C,3,0),"")</f>
        <v>Etiquetas</v>
      </c>
      <c r="K487" s="9">
        <v>7</v>
      </c>
      <c r="L487" s="2"/>
    </row>
    <row r="488" spans="1:12" x14ac:dyDescent="0.3">
      <c r="A488" s="2">
        <v>405103</v>
      </c>
      <c r="B488" s="2" t="s">
        <v>105</v>
      </c>
      <c r="C488" s="2" t="s">
        <v>399</v>
      </c>
      <c r="D488" s="2" t="s">
        <v>400</v>
      </c>
      <c r="E488" s="5">
        <v>11554</v>
      </c>
      <c r="F488" s="2">
        <v>15.61</v>
      </c>
      <c r="G488" s="5">
        <v>180357.94</v>
      </c>
      <c r="H488" s="1">
        <f t="shared" ca="1" si="15"/>
        <v>46194</v>
      </c>
      <c r="J488" s="2" t="str">
        <f>IFERROR(VLOOKUP(A488,Hoja4!A:C,3,0),"")</f>
        <v>Etiquetas</v>
      </c>
      <c r="K488" s="9">
        <v>7</v>
      </c>
      <c r="L488" s="2"/>
    </row>
    <row r="489" spans="1:12" x14ac:dyDescent="0.3">
      <c r="A489" s="2">
        <v>404722</v>
      </c>
      <c r="B489" s="2" t="s">
        <v>106</v>
      </c>
      <c r="C489" s="2" t="s">
        <v>399</v>
      </c>
      <c r="D489" s="2" t="s">
        <v>400</v>
      </c>
      <c r="E489" s="5">
        <v>201337</v>
      </c>
      <c r="F489" s="2">
        <v>2.81</v>
      </c>
      <c r="G489" s="5">
        <v>565756.97</v>
      </c>
      <c r="H489" s="1">
        <f t="shared" ca="1" si="15"/>
        <v>46194</v>
      </c>
      <c r="J489" s="2" t="str">
        <f>IFERROR(VLOOKUP(A489,Hoja4!A:C,3,0),"")</f>
        <v>Etiquetas</v>
      </c>
      <c r="K489" s="9">
        <v>7</v>
      </c>
      <c r="L489" s="2"/>
    </row>
    <row r="490" spans="1:12" x14ac:dyDescent="0.3">
      <c r="A490" s="2">
        <v>405128</v>
      </c>
      <c r="B490" s="2" t="s">
        <v>125</v>
      </c>
      <c r="C490" s="2" t="s">
        <v>399</v>
      </c>
      <c r="D490" s="2" t="s">
        <v>400</v>
      </c>
      <c r="E490" s="5">
        <v>19890</v>
      </c>
      <c r="F490" s="2">
        <v>20.23</v>
      </c>
      <c r="G490" s="5">
        <v>402374.7</v>
      </c>
      <c r="H490" s="1">
        <f t="shared" ca="1" si="15"/>
        <v>46194</v>
      </c>
      <c r="J490" s="2" t="str">
        <f>IFERROR(VLOOKUP(A490,Hoja4!A:C,3,0),"")</f>
        <v>Etiquetas</v>
      </c>
      <c r="K490" s="9">
        <v>7</v>
      </c>
      <c r="L490" s="2"/>
    </row>
    <row r="491" spans="1:12" x14ac:dyDescent="0.3">
      <c r="A491" s="2">
        <v>405721</v>
      </c>
      <c r="B491" s="2" t="s">
        <v>309</v>
      </c>
      <c r="C491" s="2" t="s">
        <v>399</v>
      </c>
      <c r="D491" s="2" t="s">
        <v>400</v>
      </c>
      <c r="E491" s="5">
        <v>13180</v>
      </c>
      <c r="F491" s="2">
        <v>20.7</v>
      </c>
      <c r="G491" s="5">
        <v>272826</v>
      </c>
      <c r="H491" s="1">
        <f t="shared" ca="1" si="15"/>
        <v>46194</v>
      </c>
      <c r="J491" s="2" t="str">
        <f>IFERROR(VLOOKUP(A491,Hoja4!A:C,3,0),"")</f>
        <v>Etiquetas</v>
      </c>
      <c r="K491" s="9">
        <v>7</v>
      </c>
      <c r="L491" s="2"/>
    </row>
    <row r="492" spans="1:12" x14ac:dyDescent="0.3">
      <c r="A492" s="2">
        <v>405492</v>
      </c>
      <c r="B492" s="2" t="s">
        <v>405</v>
      </c>
      <c r="C492" s="2" t="s">
        <v>399</v>
      </c>
      <c r="D492" s="2" t="s">
        <v>400</v>
      </c>
      <c r="E492" s="5">
        <v>42500</v>
      </c>
      <c r="F492" s="2">
        <v>27.3</v>
      </c>
      <c r="G492" s="5">
        <v>1160250</v>
      </c>
      <c r="H492" s="1">
        <f t="shared" ca="1" si="15"/>
        <v>46194</v>
      </c>
      <c r="J492" s="2" t="str">
        <f>IFERROR(VLOOKUP(A492,Hoja4!A:C,3,0),"")</f>
        <v>Etiquetas</v>
      </c>
      <c r="K492" s="9">
        <v>7</v>
      </c>
      <c r="L492" s="2"/>
    </row>
    <row r="493" spans="1:12" x14ac:dyDescent="0.3">
      <c r="A493" s="2">
        <v>405034</v>
      </c>
      <c r="B493" s="2" t="s">
        <v>144</v>
      </c>
      <c r="C493" s="2" t="s">
        <v>399</v>
      </c>
      <c r="D493" s="2" t="s">
        <v>400</v>
      </c>
      <c r="E493" s="5">
        <v>5313</v>
      </c>
      <c r="F493" s="2">
        <v>17.170000000000002</v>
      </c>
      <c r="G493" s="5">
        <v>91224.21</v>
      </c>
      <c r="H493" s="1">
        <f t="shared" ca="1" si="15"/>
        <v>46194</v>
      </c>
      <c r="J493" s="2" t="str">
        <f>IFERROR(VLOOKUP(A493,Hoja4!A:C,3,0),"")</f>
        <v>Etiquetas</v>
      </c>
      <c r="K493" s="9">
        <v>7</v>
      </c>
      <c r="L493" s="2"/>
    </row>
    <row r="494" spans="1:12" x14ac:dyDescent="0.3">
      <c r="A494" s="2">
        <v>362099</v>
      </c>
      <c r="B494" s="2" t="s">
        <v>406</v>
      </c>
      <c r="C494" s="2" t="s">
        <v>399</v>
      </c>
      <c r="D494" s="2" t="s">
        <v>400</v>
      </c>
      <c r="E494" s="2">
        <v>0.04</v>
      </c>
      <c r="F494" s="5">
        <v>1300</v>
      </c>
      <c r="G494" s="2">
        <v>52</v>
      </c>
      <c r="H494" s="1">
        <f t="shared" ca="1" si="15"/>
        <v>46194</v>
      </c>
      <c r="J494" s="2" t="str">
        <f>IFERROR(VLOOKUP(A494,Hoja4!A:C,3,0),"")</f>
        <v>Insumo</v>
      </c>
      <c r="K494" s="9">
        <v>7</v>
      </c>
      <c r="L494" s="2"/>
    </row>
    <row r="495" spans="1:12" x14ac:dyDescent="0.3">
      <c r="A495" s="2">
        <v>100206</v>
      </c>
      <c r="B495" s="2" t="s">
        <v>407</v>
      </c>
      <c r="C495" s="2" t="s">
        <v>399</v>
      </c>
      <c r="D495" s="2" t="s">
        <v>400</v>
      </c>
      <c r="E495" s="5">
        <v>8482.43</v>
      </c>
      <c r="F495" s="2">
        <v>676</v>
      </c>
      <c r="G495" s="5">
        <v>5734122.6799999997</v>
      </c>
      <c r="H495" s="1">
        <f t="shared" ca="1" si="15"/>
        <v>46194</v>
      </c>
      <c r="J495" s="2" t="str">
        <f>IFERROR(VLOOKUP(A495,Hoja4!A:C,3,0),"")</f>
        <v>Mix</v>
      </c>
      <c r="K495" s="9">
        <v>7</v>
      </c>
      <c r="L495" s="2"/>
    </row>
    <row r="496" spans="1:12" x14ac:dyDescent="0.3">
      <c r="A496" s="2">
        <v>405705</v>
      </c>
      <c r="B496" s="2" t="s">
        <v>408</v>
      </c>
      <c r="C496" s="2" t="s">
        <v>399</v>
      </c>
      <c r="D496" s="2" t="s">
        <v>400</v>
      </c>
      <c r="E496" s="2">
        <v>75</v>
      </c>
      <c r="F496" s="2">
        <v>606</v>
      </c>
      <c r="G496" s="5">
        <v>45450</v>
      </c>
      <c r="H496" s="1">
        <f t="shared" ca="1" si="15"/>
        <v>46194</v>
      </c>
      <c r="J496" s="2" t="str">
        <f>IFERROR(VLOOKUP(A496,Hoja4!A:C,3,0),"")</f>
        <v>Harina</v>
      </c>
      <c r="K496" s="9">
        <v>7</v>
      </c>
    </row>
    <row r="497" spans="1:11" x14ac:dyDescent="0.3">
      <c r="A497" s="2">
        <v>100104</v>
      </c>
      <c r="B497" s="2" t="s">
        <v>409</v>
      </c>
      <c r="C497" s="2" t="s">
        <v>399</v>
      </c>
      <c r="D497" s="2" t="s">
        <v>400</v>
      </c>
      <c r="E497" s="2">
        <v>300</v>
      </c>
      <c r="F497" s="2">
        <v>665.5</v>
      </c>
      <c r="G497" s="5">
        <v>199650</v>
      </c>
      <c r="H497" s="1">
        <f t="shared" ca="1" si="15"/>
        <v>46194</v>
      </c>
      <c r="J497" s="2" t="str">
        <f>IFERROR(VLOOKUP(A497,Hoja4!A:C,3,0),"")</f>
        <v>Mix</v>
      </c>
      <c r="K497" s="9">
        <v>7</v>
      </c>
    </row>
    <row r="498" spans="1:11" x14ac:dyDescent="0.3">
      <c r="A498" s="2">
        <v>403373</v>
      </c>
      <c r="B498" s="2" t="s">
        <v>167</v>
      </c>
      <c r="C498" s="2" t="s">
        <v>399</v>
      </c>
      <c r="D498" s="2" t="s">
        <v>400</v>
      </c>
      <c r="E498" s="2">
        <v>832</v>
      </c>
      <c r="F498" s="2">
        <v>205</v>
      </c>
      <c r="G498" s="5">
        <v>170560</v>
      </c>
      <c r="H498" s="1">
        <f t="shared" ca="1" si="15"/>
        <v>46194</v>
      </c>
      <c r="J498" s="2" t="str">
        <f>IFERROR(VLOOKUP(A498,Hoja4!A:C,3,0),"")</f>
        <v>Carton</v>
      </c>
      <c r="K498" s="9">
        <v>7</v>
      </c>
    </row>
    <row r="499" spans="1:11" x14ac:dyDescent="0.3">
      <c r="A499" s="2">
        <v>402257</v>
      </c>
      <c r="B499" s="2" t="s">
        <v>324</v>
      </c>
      <c r="C499" s="2" t="s">
        <v>399</v>
      </c>
      <c r="D499" s="2" t="s">
        <v>400</v>
      </c>
      <c r="E499" s="2">
        <v>590</v>
      </c>
      <c r="F499" s="2">
        <v>145</v>
      </c>
      <c r="G499" s="5">
        <v>85550</v>
      </c>
      <c r="H499" s="1">
        <f t="shared" ca="1" si="15"/>
        <v>46194</v>
      </c>
      <c r="J499" s="2" t="str">
        <f>IFERROR(VLOOKUP(A499,Hoja4!A:C,3,0),"")</f>
        <v>Carton</v>
      </c>
      <c r="K499" s="9">
        <v>7</v>
      </c>
    </row>
    <row r="500" spans="1:11" x14ac:dyDescent="0.3">
      <c r="A500" s="2">
        <v>393320</v>
      </c>
      <c r="B500" s="2" t="s">
        <v>169</v>
      </c>
      <c r="C500" s="2" t="s">
        <v>399</v>
      </c>
      <c r="D500" s="2" t="s">
        <v>400</v>
      </c>
      <c r="E500" s="5">
        <v>2792</v>
      </c>
      <c r="F500" s="2">
        <v>151</v>
      </c>
      <c r="G500" s="5">
        <v>421592</v>
      </c>
      <c r="H500" s="1">
        <f t="shared" ca="1" si="15"/>
        <v>46194</v>
      </c>
      <c r="J500" s="2" t="str">
        <f>IFERROR(VLOOKUP(A500,Hoja4!A:C,3,0),"")</f>
        <v>Carton</v>
      </c>
      <c r="K500" s="9">
        <v>7</v>
      </c>
    </row>
    <row r="501" spans="1:11" x14ac:dyDescent="0.3">
      <c r="A501" s="2">
        <v>405246</v>
      </c>
      <c r="B501" s="2" t="s">
        <v>410</v>
      </c>
      <c r="C501" s="2" t="s">
        <v>399</v>
      </c>
      <c r="D501" s="2" t="s">
        <v>400</v>
      </c>
      <c r="E501" s="5">
        <v>1007.39139</v>
      </c>
      <c r="F501" s="5">
        <v>7800</v>
      </c>
      <c r="G501" s="5">
        <v>7857652.8420000002</v>
      </c>
      <c r="H501" s="1">
        <f t="shared" ca="1" si="15"/>
        <v>46194</v>
      </c>
      <c r="J501" s="2" t="str">
        <f>IFERROR(VLOOKUP(A501,Hoja4!A:C,3,0),"")</f>
        <v>Huevo</v>
      </c>
      <c r="K501" s="9">
        <v>7</v>
      </c>
    </row>
    <row r="502" spans="1:11" x14ac:dyDescent="0.3">
      <c r="A502" s="2">
        <v>403104</v>
      </c>
      <c r="B502" s="2" t="s">
        <v>411</v>
      </c>
      <c r="C502" s="2" t="s">
        <v>399</v>
      </c>
      <c r="D502" s="2" t="s">
        <v>400</v>
      </c>
      <c r="E502" s="2">
        <v>53</v>
      </c>
      <c r="F502" s="2">
        <v>990</v>
      </c>
      <c r="G502" s="5">
        <v>52470</v>
      </c>
      <c r="H502" s="1">
        <f t="shared" ca="1" si="15"/>
        <v>46194</v>
      </c>
      <c r="J502" s="2" t="str">
        <f>IFERROR(VLOOKUP(A502,Hoja4!A:C,3,0),"")</f>
        <v>Carton</v>
      </c>
      <c r="K502" s="9">
        <v>7</v>
      </c>
    </row>
    <row r="503" spans="1:11" x14ac:dyDescent="0.3">
      <c r="A503" s="2">
        <v>107109</v>
      </c>
      <c r="B503" s="2" t="s">
        <v>188</v>
      </c>
      <c r="C503" s="2" t="s">
        <v>399</v>
      </c>
      <c r="D503" s="2" t="s">
        <v>400</v>
      </c>
      <c r="E503" s="5">
        <v>4537.7</v>
      </c>
      <c r="F503" s="5">
        <v>2323</v>
      </c>
      <c r="G503" s="5">
        <v>10541077.1</v>
      </c>
      <c r="H503" s="1">
        <f t="shared" ca="1" si="15"/>
        <v>46194</v>
      </c>
      <c r="J503" s="2" t="str">
        <f>IFERROR(VLOOKUP(A503,Hoja4!A:C,3,0),"")</f>
        <v>Manjar</v>
      </c>
      <c r="K503" s="9">
        <v>7</v>
      </c>
    </row>
    <row r="504" spans="1:11" x14ac:dyDescent="0.3">
      <c r="A504" s="2">
        <v>201006</v>
      </c>
      <c r="B504" s="2" t="s">
        <v>412</v>
      </c>
      <c r="C504" s="2" t="s">
        <v>399</v>
      </c>
      <c r="D504" s="2" t="s">
        <v>400</v>
      </c>
      <c r="E504" s="5">
        <v>4904</v>
      </c>
      <c r="F504" s="5">
        <v>2339.6999999999998</v>
      </c>
      <c r="G504" s="5">
        <v>11473888.800000001</v>
      </c>
      <c r="H504" s="1">
        <f t="shared" ca="1" si="15"/>
        <v>46194</v>
      </c>
      <c r="J504" s="2" t="str">
        <f>IFERROR(VLOOKUP(A504,Hoja4!A:C,3,0),"")</f>
        <v>Margarina</v>
      </c>
      <c r="K504" s="9">
        <v>7</v>
      </c>
    </row>
    <row r="505" spans="1:11" x14ac:dyDescent="0.3">
      <c r="A505" s="2">
        <v>103006</v>
      </c>
      <c r="B505" s="2" t="s">
        <v>413</v>
      </c>
      <c r="C505" s="2" t="s">
        <v>399</v>
      </c>
      <c r="D505" s="2" t="s">
        <v>400</v>
      </c>
      <c r="E505" s="2">
        <v>316.5</v>
      </c>
      <c r="F505" s="5">
        <v>1797</v>
      </c>
      <c r="G505" s="5">
        <v>568750.5</v>
      </c>
      <c r="H505" s="1">
        <f t="shared" ca="1" si="15"/>
        <v>46194</v>
      </c>
      <c r="J505" s="2" t="str">
        <f>IFERROR(VLOOKUP(A505,Hoja4!A:C,3,0),"")</f>
        <v>Margarina</v>
      </c>
      <c r="K505" s="9">
        <v>7</v>
      </c>
    </row>
    <row r="506" spans="1:11" x14ac:dyDescent="0.3">
      <c r="A506" s="2">
        <v>405700</v>
      </c>
      <c r="B506" s="2" t="s">
        <v>822</v>
      </c>
      <c r="C506" s="2" t="s">
        <v>399</v>
      </c>
      <c r="D506" s="2" t="s">
        <v>400</v>
      </c>
      <c r="E506" s="2">
        <v>700.65664000000004</v>
      </c>
      <c r="F506" s="5">
        <v>1472.97</v>
      </c>
      <c r="G506" s="5">
        <v>1032046.211</v>
      </c>
      <c r="H506" s="1">
        <f t="shared" ca="1" si="15"/>
        <v>46194</v>
      </c>
      <c r="J506" s="2" t="str">
        <f>IFERROR(VLOOKUP(A506,Hoja4!A:C,3,0),"")</f>
        <v>Margarina</v>
      </c>
      <c r="K506" s="9">
        <v>7</v>
      </c>
    </row>
    <row r="507" spans="1:11" x14ac:dyDescent="0.3">
      <c r="A507" s="2">
        <v>107001</v>
      </c>
      <c r="B507" s="2" t="s">
        <v>191</v>
      </c>
      <c r="C507" s="2" t="s">
        <v>399</v>
      </c>
      <c r="D507" s="2" t="s">
        <v>400</v>
      </c>
      <c r="E507" s="2">
        <v>2.65</v>
      </c>
      <c r="F507" s="5">
        <v>5603.4</v>
      </c>
      <c r="G507" s="5">
        <v>14849.01</v>
      </c>
      <c r="H507" s="1">
        <f t="shared" ca="1" si="15"/>
        <v>46194</v>
      </c>
      <c r="J507" s="2" t="str">
        <f>IFERROR(VLOOKUP(A507,Hoja4!A:C,3,0),"")</f>
        <v>Fruta conserva</v>
      </c>
      <c r="K507" s="9">
        <v>7</v>
      </c>
    </row>
    <row r="508" spans="1:11" x14ac:dyDescent="0.3">
      <c r="A508" s="2">
        <v>107324</v>
      </c>
      <c r="B508" s="2" t="s">
        <v>331</v>
      </c>
      <c r="C508" s="2" t="s">
        <v>399</v>
      </c>
      <c r="D508" s="2" t="s">
        <v>400</v>
      </c>
      <c r="E508" s="2">
        <v>22.02</v>
      </c>
      <c r="F508" s="5">
        <v>5177.66</v>
      </c>
      <c r="G508" s="5">
        <v>114012.0732</v>
      </c>
      <c r="H508" s="1">
        <f t="shared" ca="1" si="15"/>
        <v>46194</v>
      </c>
      <c r="J508" s="2" t="str">
        <f>IFERROR(VLOOKUP(A508,Hoja4!A:C,3,0),"")</f>
        <v>Fruta Conserva</v>
      </c>
      <c r="K508" s="9">
        <v>7</v>
      </c>
    </row>
    <row r="509" spans="1:11" x14ac:dyDescent="0.3">
      <c r="A509" s="2">
        <v>107285</v>
      </c>
      <c r="B509" s="2" t="s">
        <v>414</v>
      </c>
      <c r="C509" s="2" t="s">
        <v>399</v>
      </c>
      <c r="D509" s="2" t="s">
        <v>400</v>
      </c>
      <c r="E509" s="5">
        <v>1416.56</v>
      </c>
      <c r="F509" s="5">
        <v>2760</v>
      </c>
      <c r="G509" s="5">
        <v>3909705.6</v>
      </c>
      <c r="H509" s="1">
        <f t="shared" ca="1" si="15"/>
        <v>46194</v>
      </c>
      <c r="J509" s="2" t="str">
        <f>IFERROR(VLOOKUP(A509,Hoja4!A:C,3,0),"")</f>
        <v>Mix</v>
      </c>
      <c r="K509" s="9">
        <v>7</v>
      </c>
    </row>
    <row r="510" spans="1:11" x14ac:dyDescent="0.3">
      <c r="A510" s="2">
        <v>405248</v>
      </c>
      <c r="B510" s="2" t="s">
        <v>415</v>
      </c>
      <c r="C510" s="2" t="s">
        <v>399</v>
      </c>
      <c r="D510" s="2" t="s">
        <v>400</v>
      </c>
      <c r="E510" s="5">
        <v>3926.5479399999999</v>
      </c>
      <c r="F510" s="5">
        <v>1280</v>
      </c>
      <c r="G510" s="5">
        <v>5025981.3631999996</v>
      </c>
      <c r="H510" s="1">
        <f t="shared" ca="1" si="15"/>
        <v>46194</v>
      </c>
      <c r="J510" s="2" t="str">
        <f>IFERROR(VLOOKUP(A510,Hoja4!A:C,3,0),"")</f>
        <v>Mix</v>
      </c>
      <c r="K510" s="9">
        <v>7</v>
      </c>
    </row>
    <row r="511" spans="1:11" x14ac:dyDescent="0.3">
      <c r="A511" s="2">
        <v>403014</v>
      </c>
      <c r="B511" s="2" t="s">
        <v>416</v>
      </c>
      <c r="C511" s="2" t="s">
        <v>399</v>
      </c>
      <c r="D511" s="2" t="s">
        <v>400</v>
      </c>
      <c r="E511" s="2">
        <v>500</v>
      </c>
      <c r="F511" s="2">
        <v>56</v>
      </c>
      <c r="G511" s="5">
        <v>28000</v>
      </c>
      <c r="H511" s="1">
        <f t="shared" ca="1" si="15"/>
        <v>46194</v>
      </c>
      <c r="J511" s="2" t="str">
        <f>IFERROR(VLOOKUP(A511,Hoja4!A:C,3,0),"")</f>
        <v>Carton</v>
      </c>
      <c r="K511" s="9">
        <v>7</v>
      </c>
    </row>
    <row r="512" spans="1:11" x14ac:dyDescent="0.3">
      <c r="A512" s="2">
        <v>107316</v>
      </c>
      <c r="B512" s="2" t="s">
        <v>214</v>
      </c>
      <c r="C512" s="2" t="s">
        <v>399</v>
      </c>
      <c r="D512" s="2" t="s">
        <v>400</v>
      </c>
      <c r="E512" s="2">
        <v>5</v>
      </c>
      <c r="F512" s="2">
        <v>611.79999999999995</v>
      </c>
      <c r="G512" s="5">
        <v>3059</v>
      </c>
      <c r="H512" s="1">
        <f t="shared" ca="1" si="15"/>
        <v>46194</v>
      </c>
      <c r="J512" s="2" t="str">
        <f>IFERROR(VLOOKUP(A512,Hoja4!A:C,3,0),"")</f>
        <v>Carton</v>
      </c>
      <c r="K512" s="9">
        <v>7</v>
      </c>
    </row>
    <row r="513" spans="1:11" x14ac:dyDescent="0.3">
      <c r="A513" s="2">
        <v>405793</v>
      </c>
      <c r="B513" s="2" t="s">
        <v>818</v>
      </c>
      <c r="C513" s="2" t="s">
        <v>399</v>
      </c>
      <c r="D513" s="2" t="s">
        <v>400</v>
      </c>
      <c r="E513" s="2">
        <v>339</v>
      </c>
      <c r="F513" s="2">
        <v>617.33000000000004</v>
      </c>
      <c r="G513" s="5">
        <v>209274.87</v>
      </c>
      <c r="H513" s="1">
        <f t="shared" ca="1" si="15"/>
        <v>46194</v>
      </c>
      <c r="J513" s="2" t="str">
        <f>IFERROR(VLOOKUP(A513,Hoja4!A:C,3,0),"")</f>
        <v>Carton</v>
      </c>
      <c r="K513" s="9">
        <v>7</v>
      </c>
    </row>
    <row r="514" spans="1:11" x14ac:dyDescent="0.3">
      <c r="A514" s="2">
        <v>403269</v>
      </c>
      <c r="B514" s="2" t="s">
        <v>353</v>
      </c>
      <c r="C514" s="2" t="s">
        <v>399</v>
      </c>
      <c r="D514" s="2" t="s">
        <v>400</v>
      </c>
      <c r="E514" s="2">
        <v>32.96</v>
      </c>
      <c r="F514" s="5">
        <v>3689.99</v>
      </c>
      <c r="G514" s="5">
        <v>121622.0704</v>
      </c>
      <c r="H514" s="1">
        <f t="shared" ca="1" si="15"/>
        <v>46194</v>
      </c>
      <c r="J514" s="2" t="str">
        <f>IFERROR(VLOOKUP(A514,Hoja4!A:C,3,0),"")</f>
        <v>Propionato</v>
      </c>
      <c r="K514" s="9">
        <v>7</v>
      </c>
    </row>
    <row r="515" spans="1:11" x14ac:dyDescent="0.3">
      <c r="A515" s="2">
        <v>104010</v>
      </c>
      <c r="B515" s="2" t="s">
        <v>417</v>
      </c>
      <c r="C515" s="2" t="s">
        <v>399</v>
      </c>
      <c r="D515" s="2" t="s">
        <v>400</v>
      </c>
      <c r="E515" s="2">
        <v>368.5</v>
      </c>
      <c r="F515" s="2">
        <v>465</v>
      </c>
      <c r="G515" s="5">
        <v>171352.5</v>
      </c>
      <c r="H515" s="1">
        <f t="shared" ref="H515:H525" ca="1" si="17">TODAY()</f>
        <v>46194</v>
      </c>
      <c r="J515" s="2" t="str">
        <f>IFERROR(VLOOKUP(A515,Hoja4!A:C,3,0),"")</f>
        <v>insumo</v>
      </c>
      <c r="K515" s="9">
        <v>7</v>
      </c>
    </row>
    <row r="516" spans="1:11" x14ac:dyDescent="0.3">
      <c r="A516" s="2">
        <v>401015</v>
      </c>
      <c r="B516" s="2" t="s">
        <v>229</v>
      </c>
      <c r="C516" s="2" t="s">
        <v>399</v>
      </c>
      <c r="D516" s="2" t="s">
        <v>400</v>
      </c>
      <c r="E516" s="2">
        <v>18</v>
      </c>
      <c r="F516" s="5">
        <v>3904.22</v>
      </c>
      <c r="G516" s="5">
        <v>70275.960000000006</v>
      </c>
      <c r="H516" s="1">
        <f t="shared" ca="1" si="17"/>
        <v>46194</v>
      </c>
      <c r="J516" s="2" t="str">
        <f>IFERROR(VLOOKUP(A516,Hoja4!A:C,3,0),"")</f>
        <v>Film</v>
      </c>
      <c r="K516" s="9">
        <v>7</v>
      </c>
    </row>
    <row r="517" spans="1:11" x14ac:dyDescent="0.3">
      <c r="A517" s="2">
        <v>401014</v>
      </c>
      <c r="B517" s="2" t="s">
        <v>230</v>
      </c>
      <c r="C517" s="2" t="s">
        <v>399</v>
      </c>
      <c r="D517" s="2" t="s">
        <v>400</v>
      </c>
      <c r="E517" s="2">
        <v>17</v>
      </c>
      <c r="F517" s="5">
        <v>3926.88</v>
      </c>
      <c r="G517" s="5">
        <v>66756.960000000006</v>
      </c>
      <c r="H517" s="1">
        <f t="shared" ca="1" si="17"/>
        <v>46194</v>
      </c>
      <c r="J517" s="2" t="str">
        <f>IFERROR(VLOOKUP(A517,Hoja4!A:C,3,0),"")</f>
        <v>Film</v>
      </c>
      <c r="K517" s="9">
        <v>7</v>
      </c>
    </row>
    <row r="518" spans="1:11" x14ac:dyDescent="0.3">
      <c r="A518" s="2">
        <v>401013</v>
      </c>
      <c r="B518" s="2" t="s">
        <v>231</v>
      </c>
      <c r="C518" s="2" t="s">
        <v>399</v>
      </c>
      <c r="D518" s="2" t="s">
        <v>400</v>
      </c>
      <c r="E518" s="2">
        <v>19</v>
      </c>
      <c r="F518" s="5">
        <v>3935.84</v>
      </c>
      <c r="G518" s="5">
        <v>74780.960000000006</v>
      </c>
      <c r="H518" s="1">
        <f t="shared" ca="1" si="17"/>
        <v>46194</v>
      </c>
      <c r="J518" s="2" t="str">
        <f>IFERROR(VLOOKUP(A518,Hoja4!A:C,3,0),"")</f>
        <v>Film</v>
      </c>
      <c r="K518" s="9">
        <v>7</v>
      </c>
    </row>
    <row r="519" spans="1:11" x14ac:dyDescent="0.3">
      <c r="A519" s="2">
        <v>401010</v>
      </c>
      <c r="B519" s="2" t="s">
        <v>232</v>
      </c>
      <c r="C519" s="2" t="s">
        <v>399</v>
      </c>
      <c r="D519" s="2" t="s">
        <v>400</v>
      </c>
      <c r="E519" s="2">
        <v>17</v>
      </c>
      <c r="F519" s="5">
        <v>3904.12</v>
      </c>
      <c r="G519" s="5">
        <v>66370.039999999994</v>
      </c>
      <c r="H519" s="1">
        <f t="shared" ca="1" si="17"/>
        <v>46194</v>
      </c>
      <c r="J519" s="2" t="str">
        <f>IFERROR(VLOOKUP(A519,Hoja4!A:C,3,0),"")</f>
        <v>Film</v>
      </c>
      <c r="K519" s="9">
        <v>7</v>
      </c>
    </row>
    <row r="520" spans="1:11" x14ac:dyDescent="0.3">
      <c r="A520" s="2">
        <v>401011</v>
      </c>
      <c r="B520" s="2" t="s">
        <v>233</v>
      </c>
      <c r="C520" s="2" t="s">
        <v>399</v>
      </c>
      <c r="D520" s="2" t="s">
        <v>400</v>
      </c>
      <c r="E520" s="2">
        <v>18</v>
      </c>
      <c r="F520" s="5">
        <v>3865.44</v>
      </c>
      <c r="G520" s="5">
        <v>69577.919999999998</v>
      </c>
      <c r="H520" s="1">
        <f t="shared" ca="1" si="17"/>
        <v>46194</v>
      </c>
      <c r="J520" s="2" t="str">
        <f>IFERROR(VLOOKUP(A520,Hoja4!A:C,3,0),"")</f>
        <v>Film</v>
      </c>
      <c r="K520" s="9">
        <v>7</v>
      </c>
    </row>
    <row r="521" spans="1:11" x14ac:dyDescent="0.3">
      <c r="A521" s="2">
        <v>401012</v>
      </c>
      <c r="B521" s="2" t="s">
        <v>235</v>
      </c>
      <c r="C521" s="2" t="s">
        <v>399</v>
      </c>
      <c r="D521" s="2" t="s">
        <v>400</v>
      </c>
      <c r="E521" s="2">
        <v>18</v>
      </c>
      <c r="F521" s="5">
        <v>3894.94</v>
      </c>
      <c r="G521" s="5">
        <v>70108.92</v>
      </c>
      <c r="H521" s="1">
        <f t="shared" ca="1" si="17"/>
        <v>46194</v>
      </c>
      <c r="J521" s="2" t="str">
        <f>IFERROR(VLOOKUP(A521,Hoja4!A:C,3,0),"")</f>
        <v>Film</v>
      </c>
      <c r="K521" s="9">
        <v>7</v>
      </c>
    </row>
    <row r="522" spans="1:11" x14ac:dyDescent="0.3">
      <c r="A522" s="2">
        <v>106101</v>
      </c>
      <c r="B522" s="2" t="s">
        <v>418</v>
      </c>
      <c r="C522" s="2" t="s">
        <v>399</v>
      </c>
      <c r="D522" s="2" t="s">
        <v>400</v>
      </c>
      <c r="E522" s="2">
        <v>45</v>
      </c>
      <c r="F522" s="2">
        <v>620</v>
      </c>
      <c r="G522" s="5">
        <v>27900</v>
      </c>
      <c r="H522" s="1">
        <f t="shared" ca="1" si="17"/>
        <v>46194</v>
      </c>
      <c r="J522" s="2" t="str">
        <f>IFERROR(VLOOKUP(A522,Hoja4!A:C,3,0),"")</f>
        <v>insumo</v>
      </c>
      <c r="K522" s="9">
        <v>7</v>
      </c>
    </row>
    <row r="523" spans="1:11" x14ac:dyDescent="0.3">
      <c r="A523" s="2">
        <v>107401</v>
      </c>
      <c r="B523" s="2" t="s">
        <v>73</v>
      </c>
      <c r="C523" s="2" t="s">
        <v>820</v>
      </c>
      <c r="D523" s="2" t="s">
        <v>821</v>
      </c>
      <c r="E523" s="5">
        <v>7774.02</v>
      </c>
      <c r="F523" s="5">
        <v>2426.1</v>
      </c>
      <c r="G523" s="5">
        <v>18860549.921999998</v>
      </c>
      <c r="H523" s="1">
        <f t="shared" ca="1" si="17"/>
        <v>46194</v>
      </c>
      <c r="J523" s="2" t="str">
        <f>IFERROR(VLOOKUP(A523,Hoja4!A:C,3,0),"")</f>
        <v>Fruta conserva</v>
      </c>
      <c r="K523" s="9">
        <v>7</v>
      </c>
    </row>
    <row r="524" spans="1:11" x14ac:dyDescent="0.3">
      <c r="A524" s="2">
        <v>405700</v>
      </c>
      <c r="B524" s="2" t="s">
        <v>822</v>
      </c>
      <c r="C524" s="2" t="s">
        <v>820</v>
      </c>
      <c r="D524" s="2" t="s">
        <v>821</v>
      </c>
      <c r="E524" s="5">
        <v>16500</v>
      </c>
      <c r="F524" s="5">
        <v>1472.97</v>
      </c>
      <c r="G524" s="5">
        <v>24304005</v>
      </c>
      <c r="H524" s="1">
        <f t="shared" ca="1" si="17"/>
        <v>46194</v>
      </c>
      <c r="J524" s="2" t="str">
        <f>IFERROR(VLOOKUP(A524,Hoja4!A:C,3,0),"")</f>
        <v>Margarina</v>
      </c>
      <c r="K524" s="9">
        <v>7</v>
      </c>
    </row>
    <row r="525" spans="1:11" x14ac:dyDescent="0.3">
      <c r="A525" s="2">
        <v>107346</v>
      </c>
      <c r="B525" s="2" t="s">
        <v>211</v>
      </c>
      <c r="C525" s="2" t="s">
        <v>820</v>
      </c>
      <c r="D525" s="2" t="s">
        <v>821</v>
      </c>
      <c r="E525" s="5">
        <v>24508.16</v>
      </c>
      <c r="F525" s="5">
        <v>3045.24</v>
      </c>
      <c r="G525" s="5">
        <v>74633229.158399999</v>
      </c>
      <c r="H525" s="1">
        <f t="shared" ca="1" si="17"/>
        <v>46194</v>
      </c>
      <c r="J525" s="2" t="str">
        <f>IFERROR(VLOOKUP(A525,Hoja4!A:C,3,0),"")</f>
        <v>Fruta conserva</v>
      </c>
      <c r="K525" s="9">
        <v>7</v>
      </c>
    </row>
  </sheetData>
  <autoFilter ref="A1:L525" xr:uid="{78AC62D2-3890-4F4D-AEB7-57882B4F2A8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38708-ED25-4E54-9CC2-F7D48E201114}">
  <dimension ref="A1:F370"/>
  <sheetViews>
    <sheetView workbookViewId="0">
      <selection activeCell="B1" sqref="B1"/>
    </sheetView>
  </sheetViews>
  <sheetFormatPr baseColWidth="10" defaultRowHeight="14.4" x14ac:dyDescent="0.3"/>
  <cols>
    <col min="1" max="1" width="11.5546875" style="2"/>
    <col min="2" max="2" width="72.33203125" style="2" customWidth="1"/>
    <col min="3" max="5" width="11.5546875" style="15"/>
    <col min="6" max="16384" width="11.5546875" style="2"/>
  </cols>
  <sheetData>
    <row r="1" spans="1:6" x14ac:dyDescent="0.3">
      <c r="A1" s="3" t="s">
        <v>244</v>
      </c>
      <c r="B1" s="3" t="s">
        <v>245</v>
      </c>
      <c r="C1" s="14" t="s">
        <v>427</v>
      </c>
      <c r="D1" s="14" t="s">
        <v>428</v>
      </c>
      <c r="E1" s="14" t="s">
        <v>429</v>
      </c>
      <c r="F1" s="14" t="s">
        <v>430</v>
      </c>
    </row>
    <row r="2" spans="1:6" x14ac:dyDescent="0.3">
      <c r="A2" s="4">
        <v>405482</v>
      </c>
      <c r="B2" s="2" t="s">
        <v>0</v>
      </c>
      <c r="C2" s="15">
        <v>1</v>
      </c>
      <c r="D2" s="15">
        <f>IFERROR(VLOOKUP(A2,'[4]Consumo SEMANAL PV '!$B:$B,1,0),0)</f>
        <v>0</v>
      </c>
      <c r="E2" s="15">
        <v>0</v>
      </c>
      <c r="F2" s="15">
        <f>COUNTIF(C2:E2,1)</f>
        <v>1</v>
      </c>
    </row>
    <row r="3" spans="1:6" x14ac:dyDescent="0.3">
      <c r="A3" s="4">
        <v>405682</v>
      </c>
      <c r="B3" s="2" t="s">
        <v>3</v>
      </c>
      <c r="C3" s="15">
        <v>1</v>
      </c>
      <c r="D3" s="15">
        <f>IFERROR(VLOOKUP(A3,'[4]Consumo SEMANAL PV '!$B:$B,1,0),0)</f>
        <v>0</v>
      </c>
      <c r="E3" s="15">
        <v>0</v>
      </c>
      <c r="F3" s="15">
        <f t="shared" ref="F3:F66" si="0">COUNTIF(C3:E3,1)</f>
        <v>1</v>
      </c>
    </row>
    <row r="4" spans="1:6" x14ac:dyDescent="0.3">
      <c r="A4" s="4">
        <v>405418</v>
      </c>
      <c r="B4" s="2" t="s">
        <v>4</v>
      </c>
      <c r="C4" s="15">
        <v>1</v>
      </c>
      <c r="D4" s="15">
        <v>1</v>
      </c>
      <c r="E4" s="15">
        <v>0</v>
      </c>
      <c r="F4" s="15">
        <f t="shared" si="0"/>
        <v>2</v>
      </c>
    </row>
    <row r="5" spans="1:6" x14ac:dyDescent="0.3">
      <c r="A5" s="4">
        <v>104006</v>
      </c>
      <c r="B5" s="2" t="s">
        <v>5</v>
      </c>
      <c r="C5" s="15">
        <v>1</v>
      </c>
      <c r="D5" s="15">
        <v>1</v>
      </c>
      <c r="E5" s="15">
        <v>0</v>
      </c>
      <c r="F5" s="15">
        <f t="shared" si="0"/>
        <v>2</v>
      </c>
    </row>
    <row r="6" spans="1:6" x14ac:dyDescent="0.3">
      <c r="A6" s="4">
        <v>405445</v>
      </c>
      <c r="B6" s="2" t="s">
        <v>6</v>
      </c>
      <c r="C6" s="15">
        <v>1</v>
      </c>
      <c r="D6" s="15">
        <v>1</v>
      </c>
      <c r="E6" s="15">
        <v>1</v>
      </c>
      <c r="F6" s="15">
        <f t="shared" si="0"/>
        <v>3</v>
      </c>
    </row>
    <row r="7" spans="1:6" x14ac:dyDescent="0.3">
      <c r="A7" s="4">
        <v>107302</v>
      </c>
      <c r="B7" s="2" t="s">
        <v>7</v>
      </c>
      <c r="C7" s="15">
        <v>1</v>
      </c>
      <c r="D7" s="15">
        <f>IFERROR(VLOOKUP(A7,'[4]Consumo SEMANAL PV '!$B:$B,1,0),0)</f>
        <v>0</v>
      </c>
      <c r="E7" s="15">
        <v>0</v>
      </c>
      <c r="F7" s="15">
        <f t="shared" si="0"/>
        <v>1</v>
      </c>
    </row>
    <row r="8" spans="1:6" x14ac:dyDescent="0.3">
      <c r="A8" s="4">
        <v>400216</v>
      </c>
      <c r="B8" s="2" t="s">
        <v>8</v>
      </c>
      <c r="C8" s="15">
        <v>1</v>
      </c>
      <c r="D8" s="15">
        <f>IFERROR(VLOOKUP(A8,'[4]Consumo SEMANAL PV '!$B:$B,1,0),0)</f>
        <v>0</v>
      </c>
      <c r="E8" s="15">
        <v>0</v>
      </c>
      <c r="F8" s="15">
        <f t="shared" si="0"/>
        <v>1</v>
      </c>
    </row>
    <row r="9" spans="1:6" x14ac:dyDescent="0.3">
      <c r="A9" s="4">
        <v>403338</v>
      </c>
      <c r="B9" s="2" t="s">
        <v>9</v>
      </c>
      <c r="C9" s="15">
        <v>1</v>
      </c>
      <c r="D9" s="15">
        <v>1</v>
      </c>
      <c r="E9" s="15">
        <v>0</v>
      </c>
      <c r="F9" s="15">
        <f t="shared" si="0"/>
        <v>2</v>
      </c>
    </row>
    <row r="10" spans="1:6" x14ac:dyDescent="0.3">
      <c r="A10" s="4">
        <v>402263</v>
      </c>
      <c r="B10" s="2" t="s">
        <v>10</v>
      </c>
      <c r="C10" s="15">
        <v>1</v>
      </c>
      <c r="D10" s="15">
        <v>1</v>
      </c>
      <c r="E10" s="15">
        <v>0</v>
      </c>
      <c r="F10" s="15">
        <f t="shared" si="0"/>
        <v>2</v>
      </c>
    </row>
    <row r="11" spans="1:6" x14ac:dyDescent="0.3">
      <c r="A11" s="4">
        <v>400203</v>
      </c>
      <c r="B11" s="2" t="s">
        <v>11</v>
      </c>
      <c r="C11" s="15">
        <v>1</v>
      </c>
      <c r="D11" s="15">
        <v>1</v>
      </c>
      <c r="E11" s="15">
        <v>1</v>
      </c>
      <c r="F11" s="15">
        <f t="shared" si="0"/>
        <v>3</v>
      </c>
    </row>
    <row r="12" spans="1:6" x14ac:dyDescent="0.3">
      <c r="A12" s="4">
        <v>107120</v>
      </c>
      <c r="B12" s="2" t="s">
        <v>12</v>
      </c>
      <c r="C12" s="15">
        <v>1</v>
      </c>
      <c r="D12" s="15">
        <v>1</v>
      </c>
      <c r="E12" s="15">
        <v>0</v>
      </c>
      <c r="F12" s="15">
        <f t="shared" si="0"/>
        <v>2</v>
      </c>
    </row>
    <row r="13" spans="1:6" x14ac:dyDescent="0.3">
      <c r="A13" s="4">
        <v>101002</v>
      </c>
      <c r="B13" s="2" t="s">
        <v>13</v>
      </c>
      <c r="C13" s="15">
        <v>1</v>
      </c>
      <c r="D13" s="15">
        <v>1</v>
      </c>
      <c r="E13" s="15">
        <v>0</v>
      </c>
      <c r="F13" s="15">
        <f t="shared" si="0"/>
        <v>2</v>
      </c>
    </row>
    <row r="14" spans="1:6" x14ac:dyDescent="0.3">
      <c r="A14" s="4">
        <v>106401</v>
      </c>
      <c r="B14" s="2" t="s">
        <v>14</v>
      </c>
      <c r="C14" s="15">
        <v>1</v>
      </c>
      <c r="D14" s="15">
        <v>1</v>
      </c>
      <c r="E14" s="15">
        <v>0</v>
      </c>
      <c r="F14" s="15">
        <f t="shared" si="0"/>
        <v>2</v>
      </c>
    </row>
    <row r="15" spans="1:6" x14ac:dyDescent="0.3">
      <c r="A15" s="4">
        <v>107361</v>
      </c>
      <c r="B15" s="2" t="s">
        <v>15</v>
      </c>
      <c r="C15" s="15">
        <v>1</v>
      </c>
      <c r="D15" s="15">
        <v>1</v>
      </c>
      <c r="E15" s="15">
        <v>0</v>
      </c>
      <c r="F15" s="15">
        <f t="shared" si="0"/>
        <v>2</v>
      </c>
    </row>
    <row r="16" spans="1:6" x14ac:dyDescent="0.3">
      <c r="A16" s="4">
        <v>107367</v>
      </c>
      <c r="B16" s="2" t="s">
        <v>16</v>
      </c>
      <c r="C16" s="15">
        <v>1</v>
      </c>
      <c r="D16" s="15">
        <v>1</v>
      </c>
      <c r="E16" s="15">
        <v>0</v>
      </c>
      <c r="F16" s="15">
        <f t="shared" si="0"/>
        <v>2</v>
      </c>
    </row>
    <row r="17" spans="1:6" x14ac:dyDescent="0.3">
      <c r="A17" s="4">
        <v>107366</v>
      </c>
      <c r="B17" s="2" t="s">
        <v>17</v>
      </c>
      <c r="C17" s="15">
        <v>1</v>
      </c>
      <c r="D17" s="15">
        <v>1</v>
      </c>
      <c r="E17" s="15">
        <v>1</v>
      </c>
      <c r="F17" s="15">
        <f t="shared" si="0"/>
        <v>3</v>
      </c>
    </row>
    <row r="18" spans="1:6" x14ac:dyDescent="0.3">
      <c r="A18" s="4">
        <v>405696</v>
      </c>
      <c r="B18" s="2" t="s">
        <v>18</v>
      </c>
      <c r="C18" s="15">
        <v>1</v>
      </c>
      <c r="D18" s="15">
        <v>1</v>
      </c>
      <c r="E18" s="15">
        <v>0</v>
      </c>
      <c r="F18" s="15">
        <f t="shared" si="0"/>
        <v>2</v>
      </c>
    </row>
    <row r="19" spans="1:6" x14ac:dyDescent="0.3">
      <c r="A19" s="4">
        <v>405503</v>
      </c>
      <c r="B19" s="2" t="s">
        <v>19</v>
      </c>
      <c r="C19" s="15">
        <v>1</v>
      </c>
      <c r="D19" s="15">
        <v>1</v>
      </c>
      <c r="E19" s="15">
        <v>0</v>
      </c>
      <c r="F19" s="15">
        <f t="shared" si="0"/>
        <v>2</v>
      </c>
    </row>
    <row r="20" spans="1:6" x14ac:dyDescent="0.3">
      <c r="A20" s="4">
        <v>403219</v>
      </c>
      <c r="B20" s="2" t="s">
        <v>20</v>
      </c>
      <c r="C20" s="15">
        <v>1</v>
      </c>
      <c r="D20" s="15">
        <v>1</v>
      </c>
      <c r="E20" s="15">
        <v>0</v>
      </c>
      <c r="F20" s="15">
        <f t="shared" si="0"/>
        <v>2</v>
      </c>
    </row>
    <row r="21" spans="1:6" x14ac:dyDescent="0.3">
      <c r="A21" s="4">
        <v>405749</v>
      </c>
      <c r="B21" s="2" t="s">
        <v>21</v>
      </c>
      <c r="C21" s="15">
        <v>1</v>
      </c>
      <c r="D21" s="15">
        <f>IFERROR(VLOOKUP(A21,'[4]Consumo SEMANAL PV '!$B:$B,1,0),0)</f>
        <v>0</v>
      </c>
      <c r="E21" s="15">
        <v>0</v>
      </c>
      <c r="F21" s="15">
        <f t="shared" si="0"/>
        <v>1</v>
      </c>
    </row>
    <row r="22" spans="1:6" x14ac:dyDescent="0.3">
      <c r="A22" s="4">
        <v>107312</v>
      </c>
      <c r="B22" s="2" t="s">
        <v>22</v>
      </c>
      <c r="C22" s="15">
        <v>1</v>
      </c>
      <c r="D22" s="15">
        <f>IFERROR(VLOOKUP(A22,'[4]Consumo SEMANAL PV '!$B:$B,1,0),0)</f>
        <v>0</v>
      </c>
      <c r="E22" s="15">
        <v>0</v>
      </c>
      <c r="F22" s="15">
        <f t="shared" si="0"/>
        <v>1</v>
      </c>
    </row>
    <row r="23" spans="1:6" x14ac:dyDescent="0.3">
      <c r="A23" s="4">
        <v>403336</v>
      </c>
      <c r="B23" s="2" t="s">
        <v>23</v>
      </c>
      <c r="C23" s="15">
        <v>1</v>
      </c>
      <c r="D23" s="15">
        <f>IFERROR(VLOOKUP(A23,'[4]Consumo SEMANAL PV '!$B:$B,1,0),0)</f>
        <v>0</v>
      </c>
      <c r="E23" s="15">
        <v>0</v>
      </c>
      <c r="F23" s="15">
        <f t="shared" si="0"/>
        <v>1</v>
      </c>
    </row>
    <row r="24" spans="1:6" x14ac:dyDescent="0.3">
      <c r="A24" s="4">
        <v>107356</v>
      </c>
      <c r="B24" s="2" t="s">
        <v>24</v>
      </c>
      <c r="C24" s="15">
        <v>1</v>
      </c>
      <c r="D24" s="15">
        <v>1</v>
      </c>
      <c r="E24" s="15">
        <v>0</v>
      </c>
      <c r="F24" s="15">
        <f t="shared" si="0"/>
        <v>2</v>
      </c>
    </row>
    <row r="25" spans="1:6" x14ac:dyDescent="0.3">
      <c r="A25" s="4">
        <v>405373</v>
      </c>
      <c r="B25" s="2" t="s">
        <v>25</v>
      </c>
      <c r="C25" s="15">
        <v>1</v>
      </c>
      <c r="D25" s="15">
        <f>IFERROR(VLOOKUP(A25,'[4]Consumo SEMANAL PV '!$B:$B,1,0),0)</f>
        <v>0</v>
      </c>
      <c r="E25" s="15">
        <v>0</v>
      </c>
      <c r="F25" s="15">
        <f t="shared" si="0"/>
        <v>1</v>
      </c>
    </row>
    <row r="26" spans="1:6" x14ac:dyDescent="0.3">
      <c r="A26" s="4">
        <v>402255</v>
      </c>
      <c r="B26" s="2" t="s">
        <v>26</v>
      </c>
      <c r="C26" s="15">
        <v>1</v>
      </c>
      <c r="D26" s="15">
        <v>1</v>
      </c>
      <c r="E26" s="15">
        <v>1</v>
      </c>
      <c r="F26" s="15">
        <f t="shared" si="0"/>
        <v>3</v>
      </c>
    </row>
    <row r="27" spans="1:6" x14ac:dyDescent="0.3">
      <c r="A27" s="4">
        <v>404309</v>
      </c>
      <c r="B27" s="2" t="s">
        <v>27</v>
      </c>
      <c r="C27" s="15">
        <v>1</v>
      </c>
      <c r="D27" s="15">
        <v>1</v>
      </c>
      <c r="E27" s="15">
        <v>1</v>
      </c>
      <c r="F27" s="15">
        <f t="shared" si="0"/>
        <v>3</v>
      </c>
    </row>
    <row r="28" spans="1:6" x14ac:dyDescent="0.3">
      <c r="A28" s="4">
        <v>107197</v>
      </c>
      <c r="B28" s="2" t="s">
        <v>28</v>
      </c>
      <c r="C28" s="15">
        <v>1</v>
      </c>
      <c r="D28" s="15">
        <v>1</v>
      </c>
      <c r="E28" s="15">
        <v>0</v>
      </c>
      <c r="F28" s="15">
        <f t="shared" si="0"/>
        <v>2</v>
      </c>
    </row>
    <row r="29" spans="1:6" x14ac:dyDescent="0.3">
      <c r="A29" s="4">
        <v>107249</v>
      </c>
      <c r="B29" s="2" t="s">
        <v>29</v>
      </c>
      <c r="C29" s="15">
        <v>1</v>
      </c>
      <c r="D29" s="15">
        <v>1</v>
      </c>
      <c r="E29" s="15">
        <v>0</v>
      </c>
      <c r="F29" s="15">
        <f t="shared" si="0"/>
        <v>2</v>
      </c>
    </row>
    <row r="30" spans="1:6" x14ac:dyDescent="0.3">
      <c r="A30" s="4">
        <v>107134</v>
      </c>
      <c r="B30" s="2" t="s">
        <v>30</v>
      </c>
      <c r="C30" s="15">
        <v>1</v>
      </c>
      <c r="D30" s="15">
        <v>1</v>
      </c>
      <c r="E30" s="15">
        <v>0</v>
      </c>
      <c r="F30" s="15">
        <f t="shared" si="0"/>
        <v>2</v>
      </c>
    </row>
    <row r="31" spans="1:6" x14ac:dyDescent="0.3">
      <c r="A31" s="4">
        <v>405747</v>
      </c>
      <c r="B31" s="2" t="s">
        <v>31</v>
      </c>
      <c r="C31" s="15">
        <v>1</v>
      </c>
      <c r="D31" s="15">
        <f>IFERROR(VLOOKUP(A31,'[4]Consumo SEMANAL PV '!$B:$B,1,0),0)</f>
        <v>0</v>
      </c>
      <c r="E31" s="15">
        <v>0</v>
      </c>
      <c r="F31" s="15">
        <f t="shared" si="0"/>
        <v>1</v>
      </c>
    </row>
    <row r="32" spans="1:6" x14ac:dyDescent="0.3">
      <c r="A32" s="4">
        <v>403355</v>
      </c>
      <c r="B32" s="2" t="s">
        <v>32</v>
      </c>
      <c r="C32" s="15">
        <v>1</v>
      </c>
      <c r="D32" s="15">
        <f>IFERROR(VLOOKUP(A32,'[4]Consumo SEMANAL PV '!$B:$B,1,0),0)</f>
        <v>0</v>
      </c>
      <c r="E32" s="15">
        <v>0</v>
      </c>
      <c r="F32" s="15">
        <f t="shared" si="0"/>
        <v>1</v>
      </c>
    </row>
    <row r="33" spans="1:6" x14ac:dyDescent="0.3">
      <c r="A33" s="4">
        <v>107320</v>
      </c>
      <c r="B33" s="2" t="s">
        <v>33</v>
      </c>
      <c r="C33" s="15">
        <v>1</v>
      </c>
      <c r="D33" s="15">
        <v>1</v>
      </c>
      <c r="E33" s="15">
        <v>0</v>
      </c>
      <c r="F33" s="15">
        <f t="shared" si="0"/>
        <v>2</v>
      </c>
    </row>
    <row r="34" spans="1:6" x14ac:dyDescent="0.3">
      <c r="A34" s="4">
        <v>405427</v>
      </c>
      <c r="B34" s="2" t="s">
        <v>34</v>
      </c>
      <c r="C34" s="15">
        <v>1</v>
      </c>
      <c r="D34" s="15">
        <f>IFERROR(VLOOKUP(A34,'[4]Consumo SEMANAL PV '!$B:$B,1,0),0)</f>
        <v>0</v>
      </c>
      <c r="E34" s="15">
        <v>0</v>
      </c>
      <c r="F34" s="15">
        <f t="shared" si="0"/>
        <v>1</v>
      </c>
    </row>
    <row r="35" spans="1:6" x14ac:dyDescent="0.3">
      <c r="A35" s="4">
        <v>107323</v>
      </c>
      <c r="B35" s="2" t="s">
        <v>35</v>
      </c>
      <c r="C35" s="15">
        <v>1</v>
      </c>
      <c r="D35" s="15">
        <f>IFERROR(VLOOKUP(A35,'[4]Consumo SEMANAL PV '!$B:$B,1,0),0)</f>
        <v>0</v>
      </c>
      <c r="E35" s="15">
        <v>0</v>
      </c>
      <c r="F35" s="15">
        <f t="shared" si="0"/>
        <v>1</v>
      </c>
    </row>
    <row r="36" spans="1:6" x14ac:dyDescent="0.3">
      <c r="A36" s="4">
        <v>107300</v>
      </c>
      <c r="B36" s="2" t="s">
        <v>36</v>
      </c>
      <c r="C36" s="15">
        <v>1</v>
      </c>
      <c r="D36" s="15">
        <v>1</v>
      </c>
      <c r="E36" s="15">
        <v>1</v>
      </c>
      <c r="F36" s="15">
        <f t="shared" si="0"/>
        <v>3</v>
      </c>
    </row>
    <row r="37" spans="1:6" x14ac:dyDescent="0.3">
      <c r="A37" s="4">
        <v>405560</v>
      </c>
      <c r="B37" s="2" t="s">
        <v>37</v>
      </c>
      <c r="C37" s="15">
        <v>1</v>
      </c>
      <c r="D37" s="15">
        <f>IFERROR(VLOOKUP(A37,'[4]Consumo SEMANAL PV '!$B:$B,1,0),0)</f>
        <v>0</v>
      </c>
      <c r="E37" s="15">
        <v>0</v>
      </c>
      <c r="F37" s="15">
        <f t="shared" si="0"/>
        <v>1</v>
      </c>
    </row>
    <row r="38" spans="1:6" x14ac:dyDescent="0.3">
      <c r="A38" s="4">
        <v>393400</v>
      </c>
      <c r="B38" s="2" t="s">
        <v>38</v>
      </c>
      <c r="C38" s="15">
        <v>1</v>
      </c>
      <c r="D38" s="15">
        <f>IFERROR(VLOOKUP(A38,'[4]Consumo SEMANAL PV '!$B:$B,1,0),0)</f>
        <v>0</v>
      </c>
      <c r="E38" s="15">
        <v>0</v>
      </c>
      <c r="F38" s="15">
        <f t="shared" si="0"/>
        <v>1</v>
      </c>
    </row>
    <row r="39" spans="1:6" x14ac:dyDescent="0.3">
      <c r="A39" s="4">
        <v>405559</v>
      </c>
      <c r="B39" s="2" t="s">
        <v>39</v>
      </c>
      <c r="C39" s="15">
        <v>1</v>
      </c>
      <c r="D39" s="15">
        <f>IFERROR(VLOOKUP(A39,'[4]Consumo SEMANAL PV '!$B:$B,1,0),0)</f>
        <v>0</v>
      </c>
      <c r="E39" s="15">
        <v>0</v>
      </c>
      <c r="F39" s="15">
        <f t="shared" si="0"/>
        <v>1</v>
      </c>
    </row>
    <row r="40" spans="1:6" x14ac:dyDescent="0.3">
      <c r="A40" s="4">
        <v>170183</v>
      </c>
      <c r="B40" s="2" t="s">
        <v>40</v>
      </c>
      <c r="C40" s="15">
        <v>1</v>
      </c>
      <c r="D40" s="15">
        <f>IFERROR(VLOOKUP(A40,'[4]Consumo SEMANAL PV '!$B:$B,1,0),0)</f>
        <v>0</v>
      </c>
      <c r="E40" s="15">
        <v>0</v>
      </c>
      <c r="F40" s="15">
        <f t="shared" si="0"/>
        <v>1</v>
      </c>
    </row>
    <row r="41" spans="1:6" x14ac:dyDescent="0.3">
      <c r="A41" s="4">
        <v>107342</v>
      </c>
      <c r="B41" s="2" t="s">
        <v>41</v>
      </c>
      <c r="C41" s="15">
        <v>1</v>
      </c>
      <c r="D41" s="15">
        <v>0</v>
      </c>
      <c r="E41" s="15">
        <v>0</v>
      </c>
      <c r="F41" s="15">
        <f t="shared" si="0"/>
        <v>1</v>
      </c>
    </row>
    <row r="42" spans="1:6" x14ac:dyDescent="0.3">
      <c r="A42" s="4">
        <v>107237</v>
      </c>
      <c r="B42" s="2" t="s">
        <v>42</v>
      </c>
      <c r="C42" s="15">
        <v>1</v>
      </c>
      <c r="D42" s="15">
        <v>1</v>
      </c>
      <c r="E42" s="15">
        <v>0</v>
      </c>
      <c r="F42" s="15">
        <f t="shared" si="0"/>
        <v>2</v>
      </c>
    </row>
    <row r="43" spans="1:6" x14ac:dyDescent="0.3">
      <c r="A43" s="4">
        <v>107104</v>
      </c>
      <c r="B43" s="2" t="s">
        <v>43</v>
      </c>
      <c r="C43" s="15">
        <v>1</v>
      </c>
      <c r="D43" s="15">
        <v>1</v>
      </c>
      <c r="E43" s="15">
        <v>0</v>
      </c>
      <c r="F43" s="15">
        <f t="shared" si="0"/>
        <v>2</v>
      </c>
    </row>
    <row r="44" spans="1:6" x14ac:dyDescent="0.3">
      <c r="A44" s="4">
        <v>107142</v>
      </c>
      <c r="B44" s="2" t="s">
        <v>44</v>
      </c>
      <c r="C44" s="15">
        <v>1</v>
      </c>
      <c r="D44" s="15">
        <v>1</v>
      </c>
      <c r="E44" s="15">
        <v>0</v>
      </c>
      <c r="F44" s="15">
        <f t="shared" si="0"/>
        <v>2</v>
      </c>
    </row>
    <row r="45" spans="1:6" x14ac:dyDescent="0.3">
      <c r="A45" s="4">
        <v>107098</v>
      </c>
      <c r="B45" s="2" t="s">
        <v>45</v>
      </c>
      <c r="C45" s="15">
        <v>1</v>
      </c>
      <c r="D45" s="15">
        <v>1</v>
      </c>
      <c r="E45" s="15">
        <v>1</v>
      </c>
      <c r="F45" s="15">
        <f t="shared" si="0"/>
        <v>3</v>
      </c>
    </row>
    <row r="46" spans="1:6" x14ac:dyDescent="0.3">
      <c r="A46" s="4">
        <v>107242</v>
      </c>
      <c r="B46" s="2" t="s">
        <v>46</v>
      </c>
      <c r="C46" s="15">
        <v>1</v>
      </c>
      <c r="D46" s="15">
        <v>1</v>
      </c>
      <c r="E46" s="15">
        <v>0</v>
      </c>
      <c r="F46" s="15">
        <f t="shared" si="0"/>
        <v>2</v>
      </c>
    </row>
    <row r="47" spans="1:6" x14ac:dyDescent="0.3">
      <c r="A47" s="4">
        <v>405673</v>
      </c>
      <c r="B47" s="2" t="s">
        <v>47</v>
      </c>
      <c r="C47" s="15">
        <v>1</v>
      </c>
      <c r="D47" s="15">
        <f>IFERROR(VLOOKUP(A47,'[4]Consumo SEMANAL PV '!$B:$B,1,0),0)</f>
        <v>0</v>
      </c>
      <c r="E47" s="15">
        <v>0</v>
      </c>
      <c r="F47" s="15">
        <f t="shared" si="0"/>
        <v>1</v>
      </c>
    </row>
    <row r="48" spans="1:6" x14ac:dyDescent="0.3">
      <c r="A48" s="4">
        <v>103612</v>
      </c>
      <c r="B48" s="2" t="s">
        <v>48</v>
      </c>
      <c r="C48" s="15">
        <v>1</v>
      </c>
      <c r="D48" s="15">
        <v>1</v>
      </c>
      <c r="E48" s="15">
        <v>0</v>
      </c>
      <c r="F48" s="15">
        <f t="shared" si="0"/>
        <v>2</v>
      </c>
    </row>
    <row r="49" spans="1:6" x14ac:dyDescent="0.3">
      <c r="A49" s="4">
        <v>107209</v>
      </c>
      <c r="B49" s="2" t="s">
        <v>49</v>
      </c>
      <c r="C49" s="15">
        <v>1</v>
      </c>
      <c r="D49" s="15">
        <v>1</v>
      </c>
      <c r="E49" s="15">
        <v>0</v>
      </c>
      <c r="F49" s="15">
        <f t="shared" si="0"/>
        <v>2</v>
      </c>
    </row>
    <row r="50" spans="1:6" x14ac:dyDescent="0.3">
      <c r="A50" s="4">
        <v>107105</v>
      </c>
      <c r="B50" s="2" t="s">
        <v>50</v>
      </c>
      <c r="C50" s="15">
        <v>1</v>
      </c>
      <c r="D50" s="15">
        <f>IFERROR(VLOOKUP(A50,'[4]Consumo SEMANAL PV '!$B:$B,1,0),0)</f>
        <v>0</v>
      </c>
      <c r="E50" s="15">
        <v>0</v>
      </c>
      <c r="F50" s="15">
        <f t="shared" si="0"/>
        <v>1</v>
      </c>
    </row>
    <row r="51" spans="1:6" x14ac:dyDescent="0.3">
      <c r="A51" s="4">
        <v>107345</v>
      </c>
      <c r="B51" s="2" t="s">
        <v>51</v>
      </c>
      <c r="C51" s="15">
        <v>1</v>
      </c>
      <c r="D51" s="15">
        <v>1</v>
      </c>
      <c r="E51" s="15">
        <v>0</v>
      </c>
      <c r="F51" s="15">
        <f t="shared" si="0"/>
        <v>2</v>
      </c>
    </row>
    <row r="52" spans="1:6" x14ac:dyDescent="0.3">
      <c r="A52" s="4">
        <v>403212</v>
      </c>
      <c r="B52" s="2" t="s">
        <v>52</v>
      </c>
      <c r="C52" s="15">
        <v>1</v>
      </c>
      <c r="D52" s="15">
        <f>IFERROR(VLOOKUP(A52,'[4]Consumo SEMANAL PV '!$B:$B,1,0),0)</f>
        <v>0</v>
      </c>
      <c r="E52" s="15">
        <v>0</v>
      </c>
      <c r="F52" s="15">
        <f t="shared" si="0"/>
        <v>1</v>
      </c>
    </row>
    <row r="53" spans="1:6" x14ac:dyDescent="0.3">
      <c r="A53" s="4">
        <v>404314</v>
      </c>
      <c r="B53" s="2" t="s">
        <v>53</v>
      </c>
      <c r="C53" s="15">
        <v>1</v>
      </c>
      <c r="D53" s="15">
        <f>IFERROR(VLOOKUP(A53,'[4]Consumo SEMANAL PV '!$B:$B,1,0),0)</f>
        <v>0</v>
      </c>
      <c r="E53" s="15">
        <v>0</v>
      </c>
      <c r="F53" s="15">
        <f t="shared" si="0"/>
        <v>1</v>
      </c>
    </row>
    <row r="54" spans="1:6" x14ac:dyDescent="0.3">
      <c r="A54" s="4">
        <v>107339</v>
      </c>
      <c r="B54" s="2" t="s">
        <v>54</v>
      </c>
      <c r="C54" s="15">
        <v>1</v>
      </c>
      <c r="D54" s="15">
        <v>1</v>
      </c>
      <c r="E54" s="15">
        <v>0</v>
      </c>
      <c r="F54" s="15">
        <f t="shared" si="0"/>
        <v>2</v>
      </c>
    </row>
    <row r="55" spans="1:6" x14ac:dyDescent="0.3">
      <c r="A55" s="4">
        <v>405444</v>
      </c>
      <c r="B55" s="2" t="s">
        <v>55</v>
      </c>
      <c r="C55" s="15">
        <v>1</v>
      </c>
      <c r="D55" s="15">
        <v>1</v>
      </c>
      <c r="E55" s="15">
        <v>1</v>
      </c>
      <c r="F55" s="15">
        <f t="shared" si="0"/>
        <v>3</v>
      </c>
    </row>
    <row r="56" spans="1:6" x14ac:dyDescent="0.3">
      <c r="A56" s="4">
        <v>405278</v>
      </c>
      <c r="B56" s="2" t="s">
        <v>56</v>
      </c>
      <c r="C56" s="15">
        <v>1</v>
      </c>
      <c r="D56" s="15">
        <v>1</v>
      </c>
      <c r="E56" s="15">
        <v>0</v>
      </c>
      <c r="F56" s="15">
        <f t="shared" si="0"/>
        <v>2</v>
      </c>
    </row>
    <row r="57" spans="1:6" x14ac:dyDescent="0.3">
      <c r="A57" s="4">
        <v>107344</v>
      </c>
      <c r="B57" s="2" t="s">
        <v>57</v>
      </c>
      <c r="C57" s="15">
        <v>1</v>
      </c>
      <c r="D57" s="15">
        <v>1</v>
      </c>
      <c r="E57" s="15">
        <v>1</v>
      </c>
      <c r="F57" s="15">
        <f t="shared" si="0"/>
        <v>3</v>
      </c>
    </row>
    <row r="58" spans="1:6" x14ac:dyDescent="0.3">
      <c r="A58" s="4">
        <v>107303</v>
      </c>
      <c r="B58" s="2" t="s">
        <v>58</v>
      </c>
      <c r="C58" s="15">
        <v>1</v>
      </c>
      <c r="D58" s="15">
        <f>IFERROR(VLOOKUP(A58,'[4]Consumo SEMANAL PV '!$B:$B,1,0),0)</f>
        <v>0</v>
      </c>
      <c r="E58" s="15">
        <v>0</v>
      </c>
      <c r="F58" s="15">
        <f t="shared" si="0"/>
        <v>1</v>
      </c>
    </row>
    <row r="59" spans="1:6" x14ac:dyDescent="0.3">
      <c r="A59" s="4">
        <v>107127</v>
      </c>
      <c r="B59" s="2" t="s">
        <v>59</v>
      </c>
      <c r="C59" s="15">
        <v>1</v>
      </c>
      <c r="D59" s="15">
        <v>1</v>
      </c>
      <c r="E59" s="15">
        <v>1</v>
      </c>
      <c r="F59" s="15">
        <f t="shared" si="0"/>
        <v>3</v>
      </c>
    </row>
    <row r="60" spans="1:6" x14ac:dyDescent="0.3">
      <c r="A60" s="4">
        <v>107108</v>
      </c>
      <c r="B60" s="2" t="s">
        <v>60</v>
      </c>
      <c r="C60" s="15">
        <v>1</v>
      </c>
      <c r="D60" s="15">
        <v>1</v>
      </c>
      <c r="E60" s="15">
        <v>1</v>
      </c>
      <c r="F60" s="15">
        <f t="shared" si="0"/>
        <v>3</v>
      </c>
    </row>
    <row r="61" spans="1:6" x14ac:dyDescent="0.3">
      <c r="A61" s="4">
        <v>405740</v>
      </c>
      <c r="B61" s="2" t="s">
        <v>61</v>
      </c>
      <c r="C61" s="15">
        <v>1</v>
      </c>
      <c r="D61" s="15">
        <v>1</v>
      </c>
      <c r="E61" s="15">
        <v>1</v>
      </c>
      <c r="F61" s="15">
        <f t="shared" si="0"/>
        <v>3</v>
      </c>
    </row>
    <row r="62" spans="1:6" x14ac:dyDescent="0.3">
      <c r="A62" s="4">
        <v>403101</v>
      </c>
      <c r="B62" s="2" t="s">
        <v>62</v>
      </c>
      <c r="C62" s="15">
        <v>1</v>
      </c>
      <c r="D62" s="15">
        <v>1</v>
      </c>
      <c r="E62" s="15">
        <v>0</v>
      </c>
      <c r="F62" s="15">
        <f t="shared" si="0"/>
        <v>2</v>
      </c>
    </row>
    <row r="63" spans="1:6" x14ac:dyDescent="0.3">
      <c r="A63" s="4">
        <v>403278</v>
      </c>
      <c r="B63" s="2" t="s">
        <v>63</v>
      </c>
      <c r="C63" s="15">
        <v>1</v>
      </c>
      <c r="D63" s="15">
        <v>1</v>
      </c>
      <c r="E63" s="15">
        <v>0</v>
      </c>
      <c r="F63" s="15">
        <f t="shared" si="0"/>
        <v>2</v>
      </c>
    </row>
    <row r="64" spans="1:6" x14ac:dyDescent="0.3">
      <c r="A64" s="4">
        <v>403271</v>
      </c>
      <c r="B64" s="2" t="s">
        <v>64</v>
      </c>
      <c r="C64" s="15">
        <v>1</v>
      </c>
      <c r="D64" s="15">
        <v>1</v>
      </c>
      <c r="E64" s="15">
        <v>0</v>
      </c>
      <c r="F64" s="15">
        <f t="shared" si="0"/>
        <v>2</v>
      </c>
    </row>
    <row r="65" spans="1:6" x14ac:dyDescent="0.3">
      <c r="A65" s="4">
        <v>107292</v>
      </c>
      <c r="B65" s="2" t="s">
        <v>65</v>
      </c>
      <c r="C65" s="15">
        <v>1</v>
      </c>
      <c r="D65" s="15">
        <v>1</v>
      </c>
      <c r="E65" s="15">
        <v>0</v>
      </c>
      <c r="F65" s="15">
        <f t="shared" si="0"/>
        <v>2</v>
      </c>
    </row>
    <row r="66" spans="1:6" x14ac:dyDescent="0.3">
      <c r="A66" s="4">
        <v>405587</v>
      </c>
      <c r="B66" s="2" t="s">
        <v>66</v>
      </c>
      <c r="C66" s="15">
        <v>0</v>
      </c>
      <c r="D66" s="15">
        <f>IFERROR(VLOOKUP(A66,'[4]Consumo SEMANAL PV '!$B:$B,1,0),0)</f>
        <v>0</v>
      </c>
      <c r="E66" s="15">
        <v>1</v>
      </c>
      <c r="F66" s="15">
        <f t="shared" si="0"/>
        <v>1</v>
      </c>
    </row>
    <row r="67" spans="1:6" x14ac:dyDescent="0.3">
      <c r="A67" s="4">
        <v>107210</v>
      </c>
      <c r="B67" s="2" t="s">
        <v>67</v>
      </c>
      <c r="C67" s="15">
        <v>1</v>
      </c>
      <c r="D67" s="15">
        <v>1</v>
      </c>
      <c r="E67" s="15">
        <v>0</v>
      </c>
      <c r="F67" s="15">
        <f t="shared" ref="F67:F130" si="1">COUNTIF(C67:E67,1)</f>
        <v>2</v>
      </c>
    </row>
    <row r="68" spans="1:6" x14ac:dyDescent="0.3">
      <c r="A68" s="4">
        <v>405582</v>
      </c>
      <c r="B68" s="2" t="s">
        <v>68</v>
      </c>
      <c r="C68" s="15">
        <v>1</v>
      </c>
      <c r="D68" s="15">
        <v>1</v>
      </c>
      <c r="E68" s="15">
        <v>0</v>
      </c>
      <c r="F68" s="15">
        <f t="shared" si="1"/>
        <v>2</v>
      </c>
    </row>
    <row r="69" spans="1:6" x14ac:dyDescent="0.3">
      <c r="A69" s="4">
        <v>405583</v>
      </c>
      <c r="B69" s="2" t="s">
        <v>69</v>
      </c>
      <c r="C69" s="15">
        <v>1</v>
      </c>
      <c r="D69" s="15">
        <v>1</v>
      </c>
      <c r="E69" s="15">
        <v>0</v>
      </c>
      <c r="F69" s="15">
        <f t="shared" si="1"/>
        <v>2</v>
      </c>
    </row>
    <row r="70" spans="1:6" x14ac:dyDescent="0.3">
      <c r="A70" s="4">
        <v>353009</v>
      </c>
      <c r="B70" s="2" t="s">
        <v>70</v>
      </c>
      <c r="C70" s="15">
        <v>1</v>
      </c>
      <c r="D70" s="15">
        <v>1</v>
      </c>
      <c r="E70" s="15">
        <v>0</v>
      </c>
      <c r="F70" s="15">
        <f t="shared" si="1"/>
        <v>2</v>
      </c>
    </row>
    <row r="71" spans="1:6" x14ac:dyDescent="0.3">
      <c r="A71" s="4">
        <v>107247</v>
      </c>
      <c r="B71" s="2" t="s">
        <v>71</v>
      </c>
      <c r="C71" s="15">
        <v>1</v>
      </c>
      <c r="D71" s="15">
        <f>IFERROR(VLOOKUP(A71,'[4]Consumo SEMANAL PV '!$B:$B,1,0),0)</f>
        <v>0</v>
      </c>
      <c r="E71" s="15">
        <v>0</v>
      </c>
      <c r="F71" s="15">
        <f t="shared" si="1"/>
        <v>1</v>
      </c>
    </row>
    <row r="72" spans="1:6" x14ac:dyDescent="0.3">
      <c r="A72" s="4">
        <v>107294</v>
      </c>
      <c r="B72" s="2" t="s">
        <v>72</v>
      </c>
      <c r="C72" s="15">
        <v>1</v>
      </c>
      <c r="D72" s="15">
        <v>1</v>
      </c>
      <c r="E72" s="15">
        <v>1</v>
      </c>
      <c r="F72" s="15">
        <f t="shared" si="1"/>
        <v>3</v>
      </c>
    </row>
    <row r="73" spans="1:6" x14ac:dyDescent="0.3">
      <c r="A73" s="4">
        <v>107401</v>
      </c>
      <c r="B73" s="2" t="s">
        <v>73</v>
      </c>
      <c r="C73" s="15">
        <v>1</v>
      </c>
      <c r="D73" s="15">
        <v>1</v>
      </c>
      <c r="E73" s="15">
        <v>0</v>
      </c>
      <c r="F73" s="15">
        <f t="shared" si="1"/>
        <v>2</v>
      </c>
    </row>
    <row r="74" spans="1:6" x14ac:dyDescent="0.3">
      <c r="A74" s="4">
        <v>405305</v>
      </c>
      <c r="B74" s="2" t="s">
        <v>74</v>
      </c>
      <c r="C74" s="15">
        <v>1</v>
      </c>
      <c r="D74" s="15">
        <f>IFERROR(VLOOKUP(A74,'[4]Consumo SEMANAL PV '!$B:$B,1,0),0)</f>
        <v>0</v>
      </c>
      <c r="E74" s="15">
        <v>0</v>
      </c>
      <c r="F74" s="15">
        <f t="shared" si="1"/>
        <v>1</v>
      </c>
    </row>
    <row r="75" spans="1:6" x14ac:dyDescent="0.3">
      <c r="A75" s="4">
        <v>405652</v>
      </c>
      <c r="B75" s="2" t="s">
        <v>75</v>
      </c>
      <c r="C75" s="15">
        <v>1</v>
      </c>
      <c r="D75" s="15">
        <f>IFERROR(VLOOKUP(A75,'[4]Consumo SEMANAL PV '!$B:$B,1,0),0)</f>
        <v>0</v>
      </c>
      <c r="E75" s="15">
        <v>0</v>
      </c>
      <c r="F75" s="15">
        <f t="shared" si="1"/>
        <v>1</v>
      </c>
    </row>
    <row r="76" spans="1:6" x14ac:dyDescent="0.3">
      <c r="A76" s="4">
        <v>405358</v>
      </c>
      <c r="B76" s="2" t="s">
        <v>76</v>
      </c>
      <c r="C76" s="15">
        <v>1</v>
      </c>
      <c r="D76" s="15">
        <f>IFERROR(VLOOKUP(A76,'[4]Consumo SEMANAL PV '!$B:$B,1,0),0)</f>
        <v>0</v>
      </c>
      <c r="E76" s="15">
        <v>0</v>
      </c>
      <c r="F76" s="15">
        <f t="shared" si="1"/>
        <v>1</v>
      </c>
    </row>
    <row r="77" spans="1:6" x14ac:dyDescent="0.3">
      <c r="A77" s="4">
        <v>405712</v>
      </c>
      <c r="B77" s="2" t="s">
        <v>77</v>
      </c>
      <c r="C77" s="15">
        <v>0</v>
      </c>
      <c r="D77" s="15">
        <v>0</v>
      </c>
      <c r="E77" s="15">
        <v>1</v>
      </c>
      <c r="F77" s="15">
        <f t="shared" si="1"/>
        <v>1</v>
      </c>
    </row>
    <row r="78" spans="1:6" x14ac:dyDescent="0.3">
      <c r="A78" s="4">
        <v>405453</v>
      </c>
      <c r="B78" s="2" t="s">
        <v>78</v>
      </c>
      <c r="C78" s="15">
        <v>1</v>
      </c>
      <c r="D78" s="15">
        <f>IFERROR(VLOOKUP(A78,'[4]Consumo SEMANAL PV '!$B:$B,1,0),0)</f>
        <v>0</v>
      </c>
      <c r="E78" s="15">
        <v>0</v>
      </c>
      <c r="F78" s="15">
        <f t="shared" si="1"/>
        <v>1</v>
      </c>
    </row>
    <row r="79" spans="1:6" x14ac:dyDescent="0.3">
      <c r="A79" s="4">
        <v>405785</v>
      </c>
      <c r="B79" s="2" t="s">
        <v>79</v>
      </c>
      <c r="C79" s="15">
        <v>1</v>
      </c>
      <c r="D79" s="15">
        <f>IFERROR(VLOOKUP(A79,'[4]Consumo SEMANAL PV '!$B:$B,1,0),0)</f>
        <v>0</v>
      </c>
      <c r="E79" s="15">
        <v>0</v>
      </c>
      <c r="F79" s="15">
        <f t="shared" si="1"/>
        <v>1</v>
      </c>
    </row>
    <row r="80" spans="1:6" x14ac:dyDescent="0.3">
      <c r="A80" s="4">
        <v>405752</v>
      </c>
      <c r="B80" s="2" t="s">
        <v>80</v>
      </c>
      <c r="C80" s="15">
        <v>1</v>
      </c>
      <c r="D80" s="15">
        <f>IFERROR(VLOOKUP(A80,'[4]Consumo SEMANAL PV '!$B:$B,1,0),0)</f>
        <v>0</v>
      </c>
      <c r="E80" s="15">
        <v>0</v>
      </c>
      <c r="F80" s="15">
        <f t="shared" si="1"/>
        <v>1</v>
      </c>
    </row>
    <row r="81" spans="1:6" x14ac:dyDescent="0.3">
      <c r="A81" s="4">
        <v>405687</v>
      </c>
      <c r="B81" s="2" t="s">
        <v>81</v>
      </c>
      <c r="C81" s="15">
        <v>1</v>
      </c>
      <c r="D81" s="15">
        <f>IFERROR(VLOOKUP(A81,'[4]Consumo SEMANAL PV '!$B:$B,1,0),0)</f>
        <v>0</v>
      </c>
      <c r="E81" s="15">
        <v>0</v>
      </c>
      <c r="F81" s="15">
        <f t="shared" si="1"/>
        <v>1</v>
      </c>
    </row>
    <row r="82" spans="1:6" x14ac:dyDescent="0.3">
      <c r="A82" s="4">
        <v>405353</v>
      </c>
      <c r="B82" s="2" t="s">
        <v>82</v>
      </c>
      <c r="C82" s="15">
        <v>1</v>
      </c>
      <c r="D82" s="15">
        <v>0</v>
      </c>
      <c r="E82" s="15">
        <v>0</v>
      </c>
      <c r="F82" s="15">
        <f t="shared" si="1"/>
        <v>1</v>
      </c>
    </row>
    <row r="83" spans="1:6" x14ac:dyDescent="0.3">
      <c r="A83" s="4">
        <v>405787</v>
      </c>
      <c r="B83" s="2" t="s">
        <v>83</v>
      </c>
      <c r="C83" s="15">
        <v>1</v>
      </c>
      <c r="D83" s="15">
        <f>IFERROR(VLOOKUP(A83,'[4]Consumo SEMANAL PV '!$B:$B,1,0),0)</f>
        <v>0</v>
      </c>
      <c r="E83" s="15">
        <v>0</v>
      </c>
      <c r="F83" s="15">
        <f t="shared" si="1"/>
        <v>1</v>
      </c>
    </row>
    <row r="84" spans="1:6" x14ac:dyDescent="0.3">
      <c r="A84" s="4">
        <v>405688</v>
      </c>
      <c r="B84" s="2" t="s">
        <v>84</v>
      </c>
      <c r="C84" s="15">
        <v>1</v>
      </c>
      <c r="D84" s="15">
        <f>IFERROR(VLOOKUP(A84,'[4]Consumo SEMANAL PV '!$B:$B,1,0),0)</f>
        <v>0</v>
      </c>
      <c r="E84" s="15">
        <v>0</v>
      </c>
      <c r="F84" s="15">
        <f t="shared" si="1"/>
        <v>1</v>
      </c>
    </row>
    <row r="85" spans="1:6" x14ac:dyDescent="0.3">
      <c r="A85" s="4">
        <v>405698</v>
      </c>
      <c r="B85" s="2" t="s">
        <v>85</v>
      </c>
      <c r="C85" s="15">
        <v>1</v>
      </c>
      <c r="D85" s="15">
        <f>IFERROR(VLOOKUP(A85,'[4]Consumo SEMANAL PV '!$B:$B,1,0),0)</f>
        <v>0</v>
      </c>
      <c r="E85" s="15">
        <v>0</v>
      </c>
      <c r="F85" s="15">
        <f t="shared" si="1"/>
        <v>1</v>
      </c>
    </row>
    <row r="86" spans="1:6" x14ac:dyDescent="0.3">
      <c r="A86" s="4">
        <v>405449</v>
      </c>
      <c r="B86" s="2" t="s">
        <v>86</v>
      </c>
      <c r="C86" s="15">
        <v>1</v>
      </c>
      <c r="D86" s="15">
        <f>IFERROR(VLOOKUP(A86,'[4]Consumo SEMANAL PV '!$B:$B,1,0),0)</f>
        <v>0</v>
      </c>
      <c r="E86" s="15">
        <v>0</v>
      </c>
      <c r="F86" s="15">
        <f t="shared" si="1"/>
        <v>1</v>
      </c>
    </row>
    <row r="87" spans="1:6" x14ac:dyDescent="0.3">
      <c r="A87" s="4">
        <v>405448</v>
      </c>
      <c r="B87" s="2" t="s">
        <v>87</v>
      </c>
      <c r="C87" s="15">
        <v>1</v>
      </c>
      <c r="D87" s="15">
        <f>IFERROR(VLOOKUP(A87,'[4]Consumo SEMANAL PV '!$B:$B,1,0),0)</f>
        <v>0</v>
      </c>
      <c r="E87" s="15">
        <v>0</v>
      </c>
      <c r="F87" s="15">
        <f t="shared" si="1"/>
        <v>1</v>
      </c>
    </row>
    <row r="88" spans="1:6" x14ac:dyDescent="0.3">
      <c r="A88" s="4">
        <v>405753</v>
      </c>
      <c r="B88" s="2" t="s">
        <v>88</v>
      </c>
      <c r="C88" s="15">
        <v>1</v>
      </c>
      <c r="D88" s="15">
        <f>IFERROR(VLOOKUP(A88,'[4]Consumo SEMANAL PV '!$B:$B,1,0),0)</f>
        <v>0</v>
      </c>
      <c r="E88" s="15">
        <v>0</v>
      </c>
      <c r="F88" s="15">
        <f t="shared" si="1"/>
        <v>1</v>
      </c>
    </row>
    <row r="89" spans="1:6" x14ac:dyDescent="0.3">
      <c r="A89" s="4">
        <v>405686</v>
      </c>
      <c r="B89" s="2" t="s">
        <v>89</v>
      </c>
      <c r="C89" s="15">
        <v>1</v>
      </c>
      <c r="D89" s="15">
        <f>IFERROR(VLOOKUP(A89,'[4]Consumo SEMANAL PV '!$B:$B,1,0),0)</f>
        <v>0</v>
      </c>
      <c r="E89" s="15">
        <v>0</v>
      </c>
      <c r="F89" s="15">
        <f t="shared" si="1"/>
        <v>1</v>
      </c>
    </row>
    <row r="90" spans="1:6" x14ac:dyDescent="0.3">
      <c r="A90" s="4">
        <v>405301</v>
      </c>
      <c r="B90" s="2" t="s">
        <v>90</v>
      </c>
      <c r="C90" s="15">
        <v>1</v>
      </c>
      <c r="D90" s="15">
        <f>IFERROR(VLOOKUP(A90,'[4]Consumo SEMANAL PV '!$B:$B,1,0),0)</f>
        <v>0</v>
      </c>
      <c r="E90" s="15">
        <v>0</v>
      </c>
      <c r="F90" s="15">
        <f t="shared" si="1"/>
        <v>1</v>
      </c>
    </row>
    <row r="91" spans="1:6" x14ac:dyDescent="0.3">
      <c r="A91" s="4">
        <v>405300</v>
      </c>
      <c r="B91" s="2" t="s">
        <v>91</v>
      </c>
      <c r="C91" s="15">
        <v>1</v>
      </c>
      <c r="D91" s="15">
        <f>IFERROR(VLOOKUP(A91,'[4]Consumo SEMANAL PV '!$B:$B,1,0),0)</f>
        <v>0</v>
      </c>
      <c r="E91" s="15">
        <v>0</v>
      </c>
      <c r="F91" s="15">
        <f t="shared" si="1"/>
        <v>1</v>
      </c>
    </row>
    <row r="92" spans="1:6" x14ac:dyDescent="0.3">
      <c r="A92" s="4">
        <v>405302</v>
      </c>
      <c r="B92" s="2" t="s">
        <v>92</v>
      </c>
      <c r="C92" s="15">
        <v>1</v>
      </c>
      <c r="D92" s="15">
        <f>IFERROR(VLOOKUP(A92,'[4]Consumo SEMANAL PV '!$B:$B,1,0),0)</f>
        <v>0</v>
      </c>
      <c r="E92" s="15">
        <v>0</v>
      </c>
      <c r="F92" s="15">
        <f t="shared" si="1"/>
        <v>1</v>
      </c>
    </row>
    <row r="93" spans="1:6" x14ac:dyDescent="0.3">
      <c r="A93" s="4">
        <v>405535</v>
      </c>
      <c r="B93" s="2" t="s">
        <v>93</v>
      </c>
      <c r="C93" s="15">
        <v>1</v>
      </c>
      <c r="D93" s="15">
        <f>IFERROR(VLOOKUP(A93,'[4]Consumo SEMANAL PV '!$B:$B,1,0),0)</f>
        <v>0</v>
      </c>
      <c r="E93" s="15">
        <v>0</v>
      </c>
      <c r="F93" s="15">
        <f t="shared" si="1"/>
        <v>1</v>
      </c>
    </row>
    <row r="94" spans="1:6" x14ac:dyDescent="0.3">
      <c r="A94" s="4">
        <v>405129</v>
      </c>
      <c r="B94" s="2" t="s">
        <v>94</v>
      </c>
      <c r="C94" s="15">
        <v>0</v>
      </c>
      <c r="D94" s="15">
        <f>IFERROR(VLOOKUP(A94,'[4]Consumo SEMANAL PV '!$B:$B,1,0),0)</f>
        <v>0</v>
      </c>
      <c r="E94" s="15">
        <v>1</v>
      </c>
      <c r="F94" s="15">
        <f t="shared" si="1"/>
        <v>1</v>
      </c>
    </row>
    <row r="95" spans="1:6" x14ac:dyDescent="0.3">
      <c r="A95" s="4">
        <v>405754</v>
      </c>
      <c r="B95" s="2" t="s">
        <v>95</v>
      </c>
      <c r="C95" s="15">
        <v>1</v>
      </c>
      <c r="D95" s="15">
        <f>IFERROR(VLOOKUP(A95,'[4]Consumo SEMANAL PV '!$B:$B,1,0),0)</f>
        <v>0</v>
      </c>
      <c r="E95" s="15">
        <v>0</v>
      </c>
      <c r="F95" s="15">
        <f t="shared" si="1"/>
        <v>1</v>
      </c>
    </row>
    <row r="96" spans="1:6" x14ac:dyDescent="0.3">
      <c r="A96" s="4">
        <v>405207</v>
      </c>
      <c r="B96" s="2" t="s">
        <v>96</v>
      </c>
      <c r="C96" s="15">
        <v>1</v>
      </c>
      <c r="D96" s="15">
        <f>IFERROR(VLOOKUP(A96,'[4]Consumo SEMANAL PV '!$B:$B,1,0),0)</f>
        <v>0</v>
      </c>
      <c r="E96" s="15">
        <v>0</v>
      </c>
      <c r="F96" s="15">
        <f t="shared" si="1"/>
        <v>1</v>
      </c>
    </row>
    <row r="97" spans="1:6" x14ac:dyDescent="0.3">
      <c r="A97" s="4">
        <v>405206</v>
      </c>
      <c r="B97" s="2" t="s">
        <v>97</v>
      </c>
      <c r="C97" s="15">
        <v>1</v>
      </c>
      <c r="D97" s="15">
        <f>IFERROR(VLOOKUP(A97,'[4]Consumo SEMANAL PV '!$B:$B,1,0),0)</f>
        <v>0</v>
      </c>
      <c r="E97" s="15">
        <v>0</v>
      </c>
      <c r="F97" s="15">
        <f t="shared" si="1"/>
        <v>1</v>
      </c>
    </row>
    <row r="98" spans="1:6" x14ac:dyDescent="0.3">
      <c r="A98" s="4">
        <v>405205</v>
      </c>
      <c r="B98" s="2" t="s">
        <v>98</v>
      </c>
      <c r="C98" s="15">
        <v>1</v>
      </c>
      <c r="D98" s="15">
        <f>IFERROR(VLOOKUP(A98,'[4]Consumo SEMANAL PV '!$B:$B,1,0),0)</f>
        <v>0</v>
      </c>
      <c r="E98" s="15">
        <v>0</v>
      </c>
      <c r="F98" s="15">
        <f t="shared" si="1"/>
        <v>1</v>
      </c>
    </row>
    <row r="99" spans="1:6" x14ac:dyDescent="0.3">
      <c r="A99" s="4">
        <v>405127</v>
      </c>
      <c r="B99" s="2" t="s">
        <v>99</v>
      </c>
      <c r="C99" s="15">
        <v>1</v>
      </c>
      <c r="D99" s="15">
        <f>IFERROR(VLOOKUP(A99,'[4]Consumo SEMANAL PV '!$B:$B,1,0),0)</f>
        <v>0</v>
      </c>
      <c r="E99" s="15">
        <v>0</v>
      </c>
      <c r="F99" s="15">
        <f t="shared" si="1"/>
        <v>1</v>
      </c>
    </row>
    <row r="100" spans="1:6" x14ac:dyDescent="0.3">
      <c r="A100" s="4">
        <v>405160</v>
      </c>
      <c r="B100" s="2" t="s">
        <v>100</v>
      </c>
      <c r="C100" s="15">
        <v>1</v>
      </c>
      <c r="D100" s="15">
        <v>1</v>
      </c>
      <c r="E100" s="15">
        <v>1</v>
      </c>
      <c r="F100" s="15">
        <f t="shared" si="1"/>
        <v>3</v>
      </c>
    </row>
    <row r="101" spans="1:6" x14ac:dyDescent="0.3">
      <c r="A101" s="4">
        <v>405049</v>
      </c>
      <c r="B101" s="2" t="s">
        <v>101</v>
      </c>
      <c r="C101" s="15">
        <v>1</v>
      </c>
      <c r="D101" s="15">
        <v>1</v>
      </c>
      <c r="E101" s="15">
        <v>1</v>
      </c>
      <c r="F101" s="15">
        <f t="shared" si="1"/>
        <v>3</v>
      </c>
    </row>
    <row r="102" spans="1:6" x14ac:dyDescent="0.3">
      <c r="A102" s="4">
        <v>404719</v>
      </c>
      <c r="B102" s="2" t="s">
        <v>102</v>
      </c>
      <c r="C102" s="15">
        <v>1</v>
      </c>
      <c r="D102" s="15">
        <v>1</v>
      </c>
      <c r="E102" s="15">
        <v>1</v>
      </c>
      <c r="F102" s="15">
        <f t="shared" si="1"/>
        <v>3</v>
      </c>
    </row>
    <row r="103" spans="1:6" x14ac:dyDescent="0.3">
      <c r="A103" s="4">
        <v>404718</v>
      </c>
      <c r="B103" s="2" t="s">
        <v>103</v>
      </c>
      <c r="C103" s="15">
        <v>1</v>
      </c>
      <c r="D103" s="15">
        <v>1</v>
      </c>
      <c r="E103" s="15">
        <v>0</v>
      </c>
      <c r="F103" s="15">
        <f t="shared" si="1"/>
        <v>2</v>
      </c>
    </row>
    <row r="104" spans="1:6" x14ac:dyDescent="0.3">
      <c r="A104" s="4">
        <v>405159</v>
      </c>
      <c r="B104" s="2" t="s">
        <v>104</v>
      </c>
      <c r="C104" s="15">
        <v>1</v>
      </c>
      <c r="D104" s="15">
        <v>1</v>
      </c>
      <c r="E104" s="15">
        <v>0</v>
      </c>
      <c r="F104" s="15">
        <f t="shared" si="1"/>
        <v>2</v>
      </c>
    </row>
    <row r="105" spans="1:6" x14ac:dyDescent="0.3">
      <c r="A105" s="4">
        <v>405103</v>
      </c>
      <c r="B105" s="2" t="s">
        <v>105</v>
      </c>
      <c r="C105" s="15">
        <v>1</v>
      </c>
      <c r="D105" s="15">
        <v>0</v>
      </c>
      <c r="E105" s="15">
        <v>1</v>
      </c>
      <c r="F105" s="15">
        <f t="shared" si="1"/>
        <v>2</v>
      </c>
    </row>
    <row r="106" spans="1:6" x14ac:dyDescent="0.3">
      <c r="A106" s="4">
        <v>404722</v>
      </c>
      <c r="B106" s="2" t="s">
        <v>106</v>
      </c>
      <c r="C106" s="15">
        <v>0</v>
      </c>
      <c r="D106" s="15">
        <v>0</v>
      </c>
      <c r="E106" s="15">
        <v>1</v>
      </c>
      <c r="F106" s="15">
        <f t="shared" si="1"/>
        <v>1</v>
      </c>
    </row>
    <row r="107" spans="1:6" x14ac:dyDescent="0.3">
      <c r="A107" s="4">
        <v>404748</v>
      </c>
      <c r="B107" s="2" t="s">
        <v>107</v>
      </c>
      <c r="C107" s="15">
        <v>1</v>
      </c>
      <c r="D107" s="15">
        <v>1</v>
      </c>
      <c r="E107" s="15">
        <v>0</v>
      </c>
      <c r="F107" s="15">
        <f t="shared" si="1"/>
        <v>2</v>
      </c>
    </row>
    <row r="108" spans="1:6" x14ac:dyDescent="0.3">
      <c r="A108" s="4">
        <v>405461</v>
      </c>
      <c r="B108" s="2" t="s">
        <v>108</v>
      </c>
      <c r="C108" s="15">
        <v>1</v>
      </c>
      <c r="D108" s="15">
        <v>1</v>
      </c>
      <c r="E108" s="15">
        <v>0</v>
      </c>
      <c r="F108" s="15">
        <f t="shared" si="1"/>
        <v>2</v>
      </c>
    </row>
    <row r="109" spans="1:6" x14ac:dyDescent="0.3">
      <c r="A109" s="4">
        <v>404736</v>
      </c>
      <c r="B109" s="2" t="s">
        <v>109</v>
      </c>
      <c r="C109" s="15">
        <v>1</v>
      </c>
      <c r="D109" s="15">
        <f>IFERROR(VLOOKUP(A109,'[4]Consumo SEMANAL PV '!$B:$B,1,0),0)</f>
        <v>0</v>
      </c>
      <c r="E109" s="15">
        <v>0</v>
      </c>
      <c r="F109" s="15">
        <f t="shared" si="1"/>
        <v>1</v>
      </c>
    </row>
    <row r="110" spans="1:6" x14ac:dyDescent="0.3">
      <c r="A110" s="4">
        <v>404735</v>
      </c>
      <c r="B110" s="2" t="s">
        <v>110</v>
      </c>
      <c r="C110" s="15">
        <v>1</v>
      </c>
      <c r="D110" s="15">
        <v>1</v>
      </c>
      <c r="E110" s="15">
        <v>0</v>
      </c>
      <c r="F110" s="15">
        <f t="shared" si="1"/>
        <v>2</v>
      </c>
    </row>
    <row r="111" spans="1:6" x14ac:dyDescent="0.3">
      <c r="A111" s="4">
        <v>107227</v>
      </c>
      <c r="B111" s="2" t="s">
        <v>111</v>
      </c>
      <c r="C111" s="15">
        <v>1</v>
      </c>
      <c r="D111" s="15">
        <f>IFERROR(VLOOKUP(A111,'[4]Consumo SEMANAL PV '!$B:$B,1,0),0)</f>
        <v>0</v>
      </c>
      <c r="E111" s="15">
        <v>0</v>
      </c>
      <c r="F111" s="15">
        <f t="shared" si="1"/>
        <v>1</v>
      </c>
    </row>
    <row r="112" spans="1:6" x14ac:dyDescent="0.3">
      <c r="A112" s="4">
        <v>107228</v>
      </c>
      <c r="B112" s="2" t="s">
        <v>112</v>
      </c>
      <c r="C112" s="15">
        <v>1</v>
      </c>
      <c r="D112" s="15">
        <f>IFERROR(VLOOKUP(A112,'[4]Consumo SEMANAL PV '!$B:$B,1,0),0)</f>
        <v>0</v>
      </c>
      <c r="E112" s="15">
        <v>0</v>
      </c>
      <c r="F112" s="15">
        <f t="shared" si="1"/>
        <v>1</v>
      </c>
    </row>
    <row r="113" spans="1:6" x14ac:dyDescent="0.3">
      <c r="A113" s="4">
        <v>404737</v>
      </c>
      <c r="B113" s="2" t="s">
        <v>113</v>
      </c>
      <c r="C113" s="15">
        <v>1</v>
      </c>
      <c r="D113" s="15">
        <f>IFERROR(VLOOKUP(A113,'[4]Consumo SEMANAL PV '!$B:$B,1,0),0)</f>
        <v>0</v>
      </c>
      <c r="E113" s="15">
        <v>0</v>
      </c>
      <c r="F113" s="15">
        <f t="shared" si="1"/>
        <v>1</v>
      </c>
    </row>
    <row r="114" spans="1:6" x14ac:dyDescent="0.3">
      <c r="A114" s="4">
        <v>404739</v>
      </c>
      <c r="B114" s="2" t="s">
        <v>114</v>
      </c>
      <c r="C114" s="15">
        <v>1</v>
      </c>
      <c r="D114" s="15">
        <f>IFERROR(VLOOKUP(A114,'[4]Consumo SEMANAL PV '!$B:$B,1,0),0)</f>
        <v>0</v>
      </c>
      <c r="E114" s="15">
        <v>0</v>
      </c>
      <c r="F114" s="15">
        <f t="shared" si="1"/>
        <v>1</v>
      </c>
    </row>
    <row r="115" spans="1:6" x14ac:dyDescent="0.3">
      <c r="A115" s="4">
        <v>404738</v>
      </c>
      <c r="B115" s="2" t="s">
        <v>115</v>
      </c>
      <c r="C115" s="15">
        <v>1</v>
      </c>
      <c r="D115" s="15">
        <f>IFERROR(VLOOKUP(A115,'[4]Consumo SEMANAL PV '!$B:$B,1,0),0)</f>
        <v>0</v>
      </c>
      <c r="E115" s="15">
        <v>0</v>
      </c>
      <c r="F115" s="15">
        <f t="shared" si="1"/>
        <v>1</v>
      </c>
    </row>
    <row r="116" spans="1:6" x14ac:dyDescent="0.3">
      <c r="A116" s="4">
        <v>404744</v>
      </c>
      <c r="B116" s="2" t="s">
        <v>116</v>
      </c>
      <c r="C116" s="15">
        <v>1</v>
      </c>
      <c r="D116" s="15">
        <v>1</v>
      </c>
      <c r="E116" s="15">
        <v>0</v>
      </c>
      <c r="F116" s="15">
        <f t="shared" si="1"/>
        <v>2</v>
      </c>
    </row>
    <row r="117" spans="1:6" x14ac:dyDescent="0.3">
      <c r="A117" s="4">
        <v>404745</v>
      </c>
      <c r="B117" s="2" t="s">
        <v>117</v>
      </c>
      <c r="C117" s="15">
        <v>1</v>
      </c>
      <c r="D117" s="15">
        <f>IFERROR(VLOOKUP(A117,'[4]Consumo SEMANAL PV '!$B:$B,1,0),0)</f>
        <v>0</v>
      </c>
      <c r="E117" s="15">
        <v>0</v>
      </c>
      <c r="F117" s="15">
        <f t="shared" si="1"/>
        <v>1</v>
      </c>
    </row>
    <row r="118" spans="1:6" x14ac:dyDescent="0.3">
      <c r="A118" s="4">
        <v>393422</v>
      </c>
      <c r="B118" s="2" t="s">
        <v>118</v>
      </c>
      <c r="C118" s="15">
        <v>1</v>
      </c>
      <c r="D118" s="15">
        <f>IFERROR(VLOOKUP(A118,'[4]Consumo SEMANAL PV '!$B:$B,1,0),0)</f>
        <v>0</v>
      </c>
      <c r="E118" s="15">
        <v>0</v>
      </c>
      <c r="F118" s="15">
        <f t="shared" si="1"/>
        <v>1</v>
      </c>
    </row>
    <row r="119" spans="1:6" x14ac:dyDescent="0.3">
      <c r="A119" s="4">
        <v>393421</v>
      </c>
      <c r="B119" s="2" t="s">
        <v>119</v>
      </c>
      <c r="C119" s="15">
        <v>1</v>
      </c>
      <c r="D119" s="15">
        <f>IFERROR(VLOOKUP(A119,'[4]Consumo SEMANAL PV '!$B:$B,1,0),0)</f>
        <v>0</v>
      </c>
      <c r="E119" s="15">
        <v>0</v>
      </c>
      <c r="F119" s="15">
        <f t="shared" si="1"/>
        <v>1</v>
      </c>
    </row>
    <row r="120" spans="1:6" x14ac:dyDescent="0.3">
      <c r="A120" s="4">
        <v>405615</v>
      </c>
      <c r="B120" s="2" t="s">
        <v>120</v>
      </c>
      <c r="C120" s="15">
        <v>1</v>
      </c>
      <c r="D120" s="15">
        <f>IFERROR(VLOOKUP(A120,'[4]Consumo SEMANAL PV '!$B:$B,1,0),0)</f>
        <v>0</v>
      </c>
      <c r="E120" s="15">
        <v>0</v>
      </c>
      <c r="F120" s="15">
        <f t="shared" si="1"/>
        <v>1</v>
      </c>
    </row>
    <row r="121" spans="1:6" x14ac:dyDescent="0.3">
      <c r="A121" s="4">
        <v>405553</v>
      </c>
      <c r="B121" s="2" t="s">
        <v>121</v>
      </c>
      <c r="C121" s="15">
        <v>1</v>
      </c>
      <c r="D121" s="15">
        <f>IFERROR(VLOOKUP(A121,'[4]Consumo SEMANAL PV '!$B:$B,1,0),0)</f>
        <v>0</v>
      </c>
      <c r="E121" s="15">
        <v>0</v>
      </c>
      <c r="F121" s="15">
        <f t="shared" si="1"/>
        <v>1</v>
      </c>
    </row>
    <row r="122" spans="1:6" x14ac:dyDescent="0.3">
      <c r="A122" s="4">
        <v>393426</v>
      </c>
      <c r="B122" s="2" t="s">
        <v>122</v>
      </c>
      <c r="C122" s="15">
        <v>1</v>
      </c>
      <c r="D122" s="15">
        <f>IFERROR(VLOOKUP(A122,'[4]Consumo SEMANAL PV '!$B:$B,1,0),0)</f>
        <v>0</v>
      </c>
      <c r="E122" s="15">
        <v>0</v>
      </c>
      <c r="F122" s="15">
        <f t="shared" si="1"/>
        <v>1</v>
      </c>
    </row>
    <row r="123" spans="1:6" x14ac:dyDescent="0.3">
      <c r="A123" s="4">
        <v>405552</v>
      </c>
      <c r="B123" s="2" t="s">
        <v>123</v>
      </c>
      <c r="C123" s="15">
        <v>1</v>
      </c>
      <c r="D123" s="15">
        <f>IFERROR(VLOOKUP(A123,'[4]Consumo SEMANAL PV '!$B:$B,1,0),0)</f>
        <v>0</v>
      </c>
      <c r="E123" s="15">
        <v>0</v>
      </c>
      <c r="F123" s="15">
        <f t="shared" si="1"/>
        <v>1</v>
      </c>
    </row>
    <row r="124" spans="1:6" x14ac:dyDescent="0.3">
      <c r="A124" s="4">
        <v>405378</v>
      </c>
      <c r="B124" s="2" t="s">
        <v>124</v>
      </c>
      <c r="C124" s="15">
        <v>1</v>
      </c>
      <c r="D124" s="15">
        <v>1</v>
      </c>
      <c r="E124" s="15">
        <v>0</v>
      </c>
      <c r="F124" s="15">
        <f t="shared" si="1"/>
        <v>2</v>
      </c>
    </row>
    <row r="125" spans="1:6" x14ac:dyDescent="0.3">
      <c r="A125" s="4">
        <v>405128</v>
      </c>
      <c r="B125" s="2" t="s">
        <v>125</v>
      </c>
      <c r="C125" s="15">
        <v>1</v>
      </c>
      <c r="D125" s="15">
        <f>IFERROR(VLOOKUP(A125,'[4]Consumo SEMANAL PV '!$B:$B,1,0),0)</f>
        <v>0</v>
      </c>
      <c r="E125" s="15">
        <v>1</v>
      </c>
      <c r="F125" s="15">
        <f t="shared" si="1"/>
        <v>2</v>
      </c>
    </row>
    <row r="126" spans="1:6" x14ac:dyDescent="0.3">
      <c r="A126" s="4">
        <v>405377</v>
      </c>
      <c r="B126" s="2" t="s">
        <v>126</v>
      </c>
      <c r="C126" s="15">
        <v>1</v>
      </c>
      <c r="D126" s="15">
        <v>1</v>
      </c>
      <c r="E126" s="15">
        <v>0</v>
      </c>
      <c r="F126" s="15">
        <f t="shared" si="1"/>
        <v>2</v>
      </c>
    </row>
    <row r="127" spans="1:6" x14ac:dyDescent="0.3">
      <c r="A127" s="4">
        <v>393423</v>
      </c>
      <c r="B127" s="2" t="s">
        <v>127</v>
      </c>
      <c r="C127" s="15">
        <v>1</v>
      </c>
      <c r="D127" s="15">
        <f>IFERROR(VLOOKUP(A127,'[4]Consumo SEMANAL PV '!$B:$B,1,0),0)</f>
        <v>0</v>
      </c>
      <c r="E127" s="15">
        <v>0</v>
      </c>
      <c r="F127" s="15">
        <f t="shared" si="1"/>
        <v>1</v>
      </c>
    </row>
    <row r="128" spans="1:6" x14ac:dyDescent="0.3">
      <c r="A128" s="4">
        <v>405554</v>
      </c>
      <c r="B128" s="2" t="s">
        <v>128</v>
      </c>
      <c r="C128" s="15">
        <v>1</v>
      </c>
      <c r="D128" s="15">
        <f>IFERROR(VLOOKUP(A128,'[4]Consumo SEMANAL PV '!$B:$B,1,0),0)</f>
        <v>0</v>
      </c>
      <c r="E128" s="15">
        <v>0</v>
      </c>
      <c r="F128" s="15">
        <f t="shared" si="1"/>
        <v>1</v>
      </c>
    </row>
    <row r="129" spans="1:6" x14ac:dyDescent="0.3">
      <c r="A129" s="4">
        <v>405376</v>
      </c>
      <c r="B129" s="2" t="s">
        <v>129</v>
      </c>
      <c r="C129" s="15">
        <v>1</v>
      </c>
      <c r="D129" s="15">
        <v>1</v>
      </c>
      <c r="E129" s="15">
        <v>0</v>
      </c>
      <c r="F129" s="15">
        <f t="shared" si="1"/>
        <v>2</v>
      </c>
    </row>
    <row r="130" spans="1:6" x14ac:dyDescent="0.3">
      <c r="A130" s="4">
        <v>393425</v>
      </c>
      <c r="B130" s="2" t="s">
        <v>130</v>
      </c>
      <c r="C130" s="15">
        <v>1</v>
      </c>
      <c r="D130" s="15">
        <f>IFERROR(VLOOKUP(A130,'[4]Consumo SEMANAL PV '!$B:$B,1,0),0)</f>
        <v>0</v>
      </c>
      <c r="E130" s="15">
        <v>0</v>
      </c>
      <c r="F130" s="15">
        <f t="shared" si="1"/>
        <v>1</v>
      </c>
    </row>
    <row r="131" spans="1:6" x14ac:dyDescent="0.3">
      <c r="A131" s="4">
        <v>107266</v>
      </c>
      <c r="B131" s="2" t="s">
        <v>131</v>
      </c>
      <c r="C131" s="15">
        <v>1</v>
      </c>
      <c r="D131" s="15">
        <f>IFERROR(VLOOKUP(A131,'[4]Consumo SEMANAL PV '!$B:$B,1,0),0)</f>
        <v>0</v>
      </c>
      <c r="E131" s="15">
        <v>0</v>
      </c>
      <c r="F131" s="15">
        <f t="shared" ref="F131:F194" si="2">COUNTIF(C131:E131,1)</f>
        <v>1</v>
      </c>
    </row>
    <row r="132" spans="1:6" x14ac:dyDescent="0.3">
      <c r="A132" s="4">
        <v>405310</v>
      </c>
      <c r="B132" s="2" t="s">
        <v>132</v>
      </c>
      <c r="C132" s="15">
        <v>1</v>
      </c>
      <c r="D132" s="15">
        <v>1</v>
      </c>
      <c r="E132" s="15">
        <v>0</v>
      </c>
      <c r="F132" s="15">
        <f t="shared" si="2"/>
        <v>2</v>
      </c>
    </row>
    <row r="133" spans="1:6" x14ac:dyDescent="0.3">
      <c r="A133" s="4">
        <v>405108</v>
      </c>
      <c r="B133" s="2" t="s">
        <v>133</v>
      </c>
      <c r="C133" s="15">
        <v>1</v>
      </c>
      <c r="D133" s="15">
        <f>IFERROR(VLOOKUP(A133,'[4]Consumo SEMANAL PV '!$B:$B,1,0),0)</f>
        <v>0</v>
      </c>
      <c r="E133" s="15">
        <v>0</v>
      </c>
      <c r="F133" s="15">
        <f t="shared" si="2"/>
        <v>1</v>
      </c>
    </row>
    <row r="134" spans="1:6" x14ac:dyDescent="0.3">
      <c r="A134" s="4">
        <v>405644</v>
      </c>
      <c r="B134" s="2" t="s">
        <v>134</v>
      </c>
      <c r="C134" s="15">
        <v>1</v>
      </c>
      <c r="D134" s="15">
        <f>IFERROR(VLOOKUP(A134,'[4]Consumo SEMANAL PV '!$B:$B,1,0),0)</f>
        <v>0</v>
      </c>
      <c r="E134" s="15">
        <v>0</v>
      </c>
      <c r="F134" s="15">
        <f t="shared" si="2"/>
        <v>1</v>
      </c>
    </row>
    <row r="135" spans="1:6" x14ac:dyDescent="0.3">
      <c r="A135" s="4">
        <v>405089</v>
      </c>
      <c r="B135" s="2" t="s">
        <v>135</v>
      </c>
      <c r="C135" s="15">
        <v>1</v>
      </c>
      <c r="D135" s="15">
        <f>IFERROR(VLOOKUP(A135,'[4]Consumo SEMANAL PV '!$B:$B,1,0),0)</f>
        <v>0</v>
      </c>
      <c r="E135" s="15">
        <v>0</v>
      </c>
      <c r="F135" s="15">
        <f t="shared" si="2"/>
        <v>1</v>
      </c>
    </row>
    <row r="136" spans="1:6" x14ac:dyDescent="0.3">
      <c r="A136" s="4">
        <v>405643</v>
      </c>
      <c r="B136" s="2" t="s">
        <v>136</v>
      </c>
      <c r="C136" s="15">
        <v>1</v>
      </c>
      <c r="D136" s="15">
        <f>IFERROR(VLOOKUP(A136,'[4]Consumo SEMANAL PV '!$B:$B,1,0),0)</f>
        <v>0</v>
      </c>
      <c r="E136" s="15">
        <v>0</v>
      </c>
      <c r="F136" s="15">
        <f t="shared" si="2"/>
        <v>1</v>
      </c>
    </row>
    <row r="137" spans="1:6" x14ac:dyDescent="0.3">
      <c r="A137" s="4">
        <v>405090</v>
      </c>
      <c r="B137" s="2" t="s">
        <v>137</v>
      </c>
      <c r="C137" s="15">
        <v>1</v>
      </c>
      <c r="D137" s="15">
        <f>IFERROR(VLOOKUP(A137,'[4]Consumo SEMANAL PV '!$B:$B,1,0),0)</f>
        <v>0</v>
      </c>
      <c r="E137" s="15">
        <v>0</v>
      </c>
      <c r="F137" s="15">
        <f t="shared" si="2"/>
        <v>1</v>
      </c>
    </row>
    <row r="138" spans="1:6" x14ac:dyDescent="0.3">
      <c r="A138" s="4">
        <v>405120</v>
      </c>
      <c r="B138" s="2" t="s">
        <v>138</v>
      </c>
      <c r="C138" s="15">
        <v>1</v>
      </c>
      <c r="D138" s="15">
        <f>IFERROR(VLOOKUP(A138,'[4]Consumo SEMANAL PV '!$B:$B,1,0),0)</f>
        <v>0</v>
      </c>
      <c r="E138" s="15">
        <v>0</v>
      </c>
      <c r="F138" s="15">
        <f t="shared" si="2"/>
        <v>1</v>
      </c>
    </row>
    <row r="139" spans="1:6" x14ac:dyDescent="0.3">
      <c r="A139" s="4">
        <v>405036</v>
      </c>
      <c r="B139" s="2" t="s">
        <v>139</v>
      </c>
      <c r="C139" s="15">
        <v>1</v>
      </c>
      <c r="D139" s="15">
        <f>IFERROR(VLOOKUP(A139,'[4]Consumo SEMANAL PV '!$B:$B,1,0),0)</f>
        <v>0</v>
      </c>
      <c r="E139" s="15">
        <v>0</v>
      </c>
      <c r="F139" s="15">
        <f t="shared" si="2"/>
        <v>1</v>
      </c>
    </row>
    <row r="140" spans="1:6" x14ac:dyDescent="0.3">
      <c r="A140" s="4">
        <v>405131</v>
      </c>
      <c r="B140" s="2" t="s">
        <v>140</v>
      </c>
      <c r="C140" s="15">
        <v>1</v>
      </c>
      <c r="D140" s="15">
        <f>IFERROR(VLOOKUP(A140,'[4]Consumo SEMANAL PV '!$B:$B,1,0),0)</f>
        <v>0</v>
      </c>
      <c r="E140" s="15">
        <v>0</v>
      </c>
      <c r="F140" s="15">
        <f t="shared" si="2"/>
        <v>1</v>
      </c>
    </row>
    <row r="141" spans="1:6" x14ac:dyDescent="0.3">
      <c r="A141" s="4">
        <v>405124</v>
      </c>
      <c r="B141" s="2" t="s">
        <v>141</v>
      </c>
      <c r="C141" s="15">
        <v>1</v>
      </c>
      <c r="D141" s="15">
        <f>IFERROR(VLOOKUP(A141,'[4]Consumo SEMANAL PV '!$B:$B,1,0),0)</f>
        <v>0</v>
      </c>
      <c r="E141" s="15">
        <v>0</v>
      </c>
      <c r="F141" s="15">
        <f t="shared" si="2"/>
        <v>1</v>
      </c>
    </row>
    <row r="142" spans="1:6" x14ac:dyDescent="0.3">
      <c r="A142" s="4">
        <v>405126</v>
      </c>
      <c r="B142" s="2" t="s">
        <v>142</v>
      </c>
      <c r="C142" s="15">
        <v>1</v>
      </c>
      <c r="D142" s="15">
        <f>IFERROR(VLOOKUP(A142,'[4]Consumo SEMANAL PV '!$B:$B,1,0),0)</f>
        <v>0</v>
      </c>
      <c r="E142" s="15">
        <v>0</v>
      </c>
      <c r="F142" s="15">
        <f t="shared" si="2"/>
        <v>1</v>
      </c>
    </row>
    <row r="143" spans="1:6" x14ac:dyDescent="0.3">
      <c r="A143" s="4">
        <v>405784</v>
      </c>
      <c r="B143" s="2" t="s">
        <v>143</v>
      </c>
      <c r="C143" s="15">
        <v>1</v>
      </c>
      <c r="D143" s="15">
        <f>IFERROR(VLOOKUP(A143,'[4]Consumo SEMANAL PV '!$B:$B,1,0),0)</f>
        <v>0</v>
      </c>
      <c r="E143" s="15">
        <v>0</v>
      </c>
      <c r="F143" s="15">
        <f t="shared" si="2"/>
        <v>1</v>
      </c>
    </row>
    <row r="144" spans="1:6" x14ac:dyDescent="0.3">
      <c r="A144" s="4">
        <v>405034</v>
      </c>
      <c r="B144" s="2" t="s">
        <v>144</v>
      </c>
      <c r="C144" s="15">
        <v>0</v>
      </c>
      <c r="D144" s="15">
        <f>IFERROR(VLOOKUP(A144,'[4]Consumo SEMANAL PV '!$B:$B,1,0),0)</f>
        <v>0</v>
      </c>
      <c r="E144" s="15">
        <v>1</v>
      </c>
      <c r="F144" s="15">
        <f t="shared" si="2"/>
        <v>1</v>
      </c>
    </row>
    <row r="145" spans="1:6" x14ac:dyDescent="0.3">
      <c r="A145" s="4">
        <v>405783</v>
      </c>
      <c r="B145" s="2" t="s">
        <v>145</v>
      </c>
      <c r="C145" s="15">
        <v>1</v>
      </c>
      <c r="D145" s="15">
        <f>IFERROR(VLOOKUP(A145,'[4]Consumo SEMANAL PV '!$B:$B,1,0),0)</f>
        <v>0</v>
      </c>
      <c r="E145" s="15">
        <v>0</v>
      </c>
      <c r="F145" s="15">
        <f t="shared" si="2"/>
        <v>1</v>
      </c>
    </row>
    <row r="146" spans="1:6" x14ac:dyDescent="0.3">
      <c r="A146" s="4">
        <v>405119</v>
      </c>
      <c r="B146" s="2" t="s">
        <v>146</v>
      </c>
      <c r="C146" s="15">
        <v>1</v>
      </c>
      <c r="D146" s="15">
        <f>IFERROR(VLOOKUP(A146,'[4]Consumo SEMANAL PV '!$B:$B,1,0),0)</f>
        <v>0</v>
      </c>
      <c r="E146" s="15">
        <v>0</v>
      </c>
      <c r="F146" s="15">
        <f t="shared" si="2"/>
        <v>1</v>
      </c>
    </row>
    <row r="147" spans="1:6" x14ac:dyDescent="0.3">
      <c r="A147" s="4">
        <v>405463</v>
      </c>
      <c r="B147" s="2" t="s">
        <v>147</v>
      </c>
      <c r="C147" s="15">
        <v>1</v>
      </c>
      <c r="D147" s="15">
        <f>IFERROR(VLOOKUP(A147,'[4]Consumo SEMANAL PV '!$B:$B,1,0),0)</f>
        <v>0</v>
      </c>
      <c r="E147" s="15">
        <v>0</v>
      </c>
      <c r="F147" s="15">
        <f t="shared" si="2"/>
        <v>1</v>
      </c>
    </row>
    <row r="148" spans="1:6" x14ac:dyDescent="0.3">
      <c r="A148" s="4">
        <v>405130</v>
      </c>
      <c r="B148" s="2" t="s">
        <v>148</v>
      </c>
      <c r="C148" s="15">
        <v>1</v>
      </c>
      <c r="D148" s="15">
        <f>IFERROR(VLOOKUP(A148,'[4]Consumo SEMANAL PV '!$B:$B,1,0),0)</f>
        <v>0</v>
      </c>
      <c r="E148" s="15">
        <v>0</v>
      </c>
      <c r="F148" s="15">
        <f t="shared" si="2"/>
        <v>1</v>
      </c>
    </row>
    <row r="149" spans="1:6" x14ac:dyDescent="0.3">
      <c r="A149" s="4">
        <v>405123</v>
      </c>
      <c r="B149" s="2" t="s">
        <v>149</v>
      </c>
      <c r="C149" s="15">
        <v>1</v>
      </c>
      <c r="D149" s="15">
        <f>IFERROR(VLOOKUP(A149,'[4]Consumo SEMANAL PV '!$B:$B,1,0),0)</f>
        <v>0</v>
      </c>
      <c r="E149" s="15">
        <v>0</v>
      </c>
      <c r="F149" s="15">
        <f t="shared" si="2"/>
        <v>1</v>
      </c>
    </row>
    <row r="150" spans="1:6" x14ac:dyDescent="0.3">
      <c r="A150" s="4">
        <v>405031</v>
      </c>
      <c r="B150" s="2" t="s">
        <v>150</v>
      </c>
      <c r="C150" s="15">
        <v>1</v>
      </c>
      <c r="D150" s="15">
        <f>IFERROR(VLOOKUP(A150,'[4]Consumo SEMANAL PV '!$B:$B,1,0),0)</f>
        <v>0</v>
      </c>
      <c r="E150" s="15">
        <v>0</v>
      </c>
      <c r="F150" s="15">
        <f t="shared" si="2"/>
        <v>1</v>
      </c>
    </row>
    <row r="151" spans="1:6" x14ac:dyDescent="0.3">
      <c r="A151" s="4">
        <v>405121</v>
      </c>
      <c r="B151" s="2" t="s">
        <v>151</v>
      </c>
      <c r="C151" s="15">
        <v>1</v>
      </c>
      <c r="D151" s="15">
        <f>IFERROR(VLOOKUP(A151,'[4]Consumo SEMANAL PV '!$B:$B,1,0),0)</f>
        <v>0</v>
      </c>
      <c r="E151" s="15">
        <v>0</v>
      </c>
      <c r="F151" s="15">
        <f t="shared" si="2"/>
        <v>1</v>
      </c>
    </row>
    <row r="152" spans="1:6" x14ac:dyDescent="0.3">
      <c r="A152" s="4">
        <v>101108</v>
      </c>
      <c r="B152" s="2" t="s">
        <v>152</v>
      </c>
      <c r="C152" s="15">
        <v>1</v>
      </c>
      <c r="D152" s="15">
        <f>IFERROR(VLOOKUP(A152,'[4]Consumo SEMANAL PV '!$B:$B,1,0),0)</f>
        <v>0</v>
      </c>
      <c r="E152" s="15">
        <v>0</v>
      </c>
      <c r="F152" s="15">
        <f t="shared" si="2"/>
        <v>1</v>
      </c>
    </row>
    <row r="153" spans="1:6" x14ac:dyDescent="0.3">
      <c r="A153" s="4">
        <v>107415</v>
      </c>
      <c r="B153" s="2" t="s">
        <v>153</v>
      </c>
      <c r="C153" s="15">
        <v>1</v>
      </c>
      <c r="D153" s="15">
        <f>IFERROR(VLOOKUP(A153,'[4]Consumo SEMANAL PV '!$B:$B,1,0),0)</f>
        <v>0</v>
      </c>
      <c r="E153" s="15">
        <v>0</v>
      </c>
      <c r="F153" s="15">
        <f t="shared" si="2"/>
        <v>1</v>
      </c>
    </row>
    <row r="154" spans="1:6" x14ac:dyDescent="0.3">
      <c r="A154" s="4">
        <v>107319</v>
      </c>
      <c r="B154" s="2" t="s">
        <v>154</v>
      </c>
      <c r="C154" s="15">
        <v>1</v>
      </c>
      <c r="D154" s="15">
        <f>IFERROR(VLOOKUP(A154,'[4]Consumo SEMANAL PV '!$B:$B,1,0),0)</f>
        <v>0</v>
      </c>
      <c r="E154" s="15">
        <v>0</v>
      </c>
      <c r="F154" s="15">
        <f t="shared" si="2"/>
        <v>1</v>
      </c>
    </row>
    <row r="155" spans="1:6" x14ac:dyDescent="0.3">
      <c r="A155" s="4">
        <v>402111</v>
      </c>
      <c r="B155" s="2" t="s">
        <v>155</v>
      </c>
      <c r="C155" s="15">
        <v>1</v>
      </c>
      <c r="D155" s="15">
        <v>1</v>
      </c>
      <c r="E155" s="15">
        <v>0</v>
      </c>
      <c r="F155" s="15">
        <f t="shared" si="2"/>
        <v>2</v>
      </c>
    </row>
    <row r="156" spans="1:6" x14ac:dyDescent="0.3">
      <c r="A156" s="4">
        <v>402132</v>
      </c>
      <c r="B156" s="2" t="s">
        <v>156</v>
      </c>
      <c r="C156" s="15">
        <v>1</v>
      </c>
      <c r="D156" s="15">
        <v>1</v>
      </c>
      <c r="E156" s="15">
        <v>0</v>
      </c>
      <c r="F156" s="15">
        <f t="shared" si="2"/>
        <v>2</v>
      </c>
    </row>
    <row r="157" spans="1:6" x14ac:dyDescent="0.3">
      <c r="A157" s="4">
        <v>405506</v>
      </c>
      <c r="B157" s="2" t="s">
        <v>157</v>
      </c>
      <c r="C157" s="15">
        <v>1</v>
      </c>
      <c r="D157" s="15">
        <v>1</v>
      </c>
      <c r="E157" s="15">
        <v>0</v>
      </c>
      <c r="F157" s="15">
        <f t="shared" si="2"/>
        <v>2</v>
      </c>
    </row>
    <row r="158" spans="1:6" x14ac:dyDescent="0.3">
      <c r="A158" s="4">
        <v>107133</v>
      </c>
      <c r="B158" s="2" t="s">
        <v>158</v>
      </c>
      <c r="C158" s="15">
        <v>1</v>
      </c>
      <c r="D158" s="15">
        <f>IFERROR(VLOOKUP(A158,'[4]Consumo SEMANAL PV '!$B:$B,1,0),0)</f>
        <v>0</v>
      </c>
      <c r="E158" s="15">
        <v>0</v>
      </c>
      <c r="F158" s="15">
        <f t="shared" si="2"/>
        <v>1</v>
      </c>
    </row>
    <row r="159" spans="1:6" x14ac:dyDescent="0.3">
      <c r="A159" s="4">
        <v>107160</v>
      </c>
      <c r="B159" s="2" t="s">
        <v>159</v>
      </c>
      <c r="C159" s="15">
        <v>1</v>
      </c>
      <c r="D159" s="15">
        <v>1</v>
      </c>
      <c r="E159" s="15">
        <v>0</v>
      </c>
      <c r="F159" s="15">
        <f t="shared" si="2"/>
        <v>2</v>
      </c>
    </row>
    <row r="160" spans="1:6" x14ac:dyDescent="0.3">
      <c r="A160" s="4">
        <v>104013</v>
      </c>
      <c r="B160" s="2" t="s">
        <v>160</v>
      </c>
      <c r="C160" s="15">
        <v>1</v>
      </c>
      <c r="D160" s="15">
        <f>IFERROR(VLOOKUP(A160,'[4]Consumo SEMANAL PV '!$B:$B,1,0),0)</f>
        <v>0</v>
      </c>
      <c r="E160" s="15">
        <v>0</v>
      </c>
      <c r="F160" s="15">
        <f t="shared" si="2"/>
        <v>1</v>
      </c>
    </row>
    <row r="161" spans="1:6" x14ac:dyDescent="0.3">
      <c r="A161" s="4">
        <v>107159</v>
      </c>
      <c r="B161" s="2" t="s">
        <v>161</v>
      </c>
      <c r="C161" s="15">
        <v>1</v>
      </c>
      <c r="D161" s="15">
        <v>1</v>
      </c>
      <c r="E161" s="15">
        <v>0</v>
      </c>
      <c r="F161" s="15">
        <f t="shared" si="2"/>
        <v>2</v>
      </c>
    </row>
    <row r="162" spans="1:6" x14ac:dyDescent="0.3">
      <c r="A162" s="4">
        <v>300004</v>
      </c>
      <c r="B162" s="2" t="s">
        <v>162</v>
      </c>
      <c r="C162" s="15">
        <v>1</v>
      </c>
      <c r="D162" s="15">
        <v>0</v>
      </c>
      <c r="E162" s="15">
        <v>0</v>
      </c>
      <c r="F162" s="15">
        <f t="shared" si="2"/>
        <v>1</v>
      </c>
    </row>
    <row r="163" spans="1:6" x14ac:dyDescent="0.3">
      <c r="A163" s="4">
        <v>300003</v>
      </c>
      <c r="B163" s="2" t="s">
        <v>163</v>
      </c>
      <c r="C163" s="15">
        <v>1</v>
      </c>
      <c r="D163" s="15">
        <f>IFERROR(VLOOKUP(A163,'[4]Consumo SEMANAL PV '!$B:$B,1,0),0)</f>
        <v>0</v>
      </c>
      <c r="E163" s="15">
        <v>0</v>
      </c>
      <c r="F163" s="15">
        <f t="shared" si="2"/>
        <v>1</v>
      </c>
    </row>
    <row r="164" spans="1:6" x14ac:dyDescent="0.3">
      <c r="A164" s="4">
        <v>405701</v>
      </c>
      <c r="B164" s="2" t="s">
        <v>164</v>
      </c>
      <c r="C164" s="15">
        <v>1</v>
      </c>
      <c r="D164" s="15">
        <f>IFERROR(VLOOKUP(A164,'[4]Consumo SEMANAL PV '!$B:$B,1,0),0)</f>
        <v>0</v>
      </c>
      <c r="E164" s="15">
        <v>0</v>
      </c>
      <c r="F164" s="15">
        <f t="shared" si="2"/>
        <v>1</v>
      </c>
    </row>
    <row r="165" spans="1:6" x14ac:dyDescent="0.3">
      <c r="A165" s="4">
        <v>107170</v>
      </c>
      <c r="B165" s="2" t="s">
        <v>165</v>
      </c>
      <c r="C165" s="15">
        <v>1</v>
      </c>
      <c r="D165" s="15">
        <f>IFERROR(VLOOKUP(A165,'[4]Consumo SEMANAL PV '!$B:$B,1,0),0)</f>
        <v>0</v>
      </c>
      <c r="E165" s="15">
        <v>0</v>
      </c>
      <c r="F165" s="15">
        <f t="shared" si="2"/>
        <v>1</v>
      </c>
    </row>
    <row r="166" spans="1:6" x14ac:dyDescent="0.3">
      <c r="A166" s="4">
        <v>107330</v>
      </c>
      <c r="B166" s="2" t="s">
        <v>166</v>
      </c>
      <c r="C166" s="15">
        <v>1</v>
      </c>
      <c r="D166" s="15">
        <f>IFERROR(VLOOKUP(A166,'[4]Consumo SEMANAL PV '!$B:$B,1,0),0)</f>
        <v>0</v>
      </c>
      <c r="E166" s="15">
        <v>0</v>
      </c>
      <c r="F166" s="15">
        <f t="shared" si="2"/>
        <v>1</v>
      </c>
    </row>
    <row r="167" spans="1:6" x14ac:dyDescent="0.3">
      <c r="A167" s="4">
        <v>403373</v>
      </c>
      <c r="B167" s="2" t="s">
        <v>167</v>
      </c>
      <c r="C167" s="15">
        <v>1</v>
      </c>
      <c r="D167" s="15">
        <v>1</v>
      </c>
      <c r="E167" s="15">
        <v>1</v>
      </c>
      <c r="F167" s="15">
        <f t="shared" si="2"/>
        <v>3</v>
      </c>
    </row>
    <row r="168" spans="1:6" x14ac:dyDescent="0.3">
      <c r="A168" s="4">
        <v>393322</v>
      </c>
      <c r="B168" s="2" t="s">
        <v>168</v>
      </c>
      <c r="C168" s="15">
        <v>1</v>
      </c>
      <c r="D168" s="15">
        <v>1</v>
      </c>
      <c r="E168" s="15">
        <v>0</v>
      </c>
      <c r="F168" s="15">
        <f t="shared" si="2"/>
        <v>2</v>
      </c>
    </row>
    <row r="169" spans="1:6" x14ac:dyDescent="0.3">
      <c r="A169" s="4">
        <v>393320</v>
      </c>
      <c r="B169" s="2" t="s">
        <v>169</v>
      </c>
      <c r="C169" s="15">
        <v>1</v>
      </c>
      <c r="D169" s="15">
        <v>1</v>
      </c>
      <c r="E169" s="15">
        <v>0</v>
      </c>
      <c r="F169" s="15">
        <f t="shared" si="2"/>
        <v>2</v>
      </c>
    </row>
    <row r="170" spans="1:6" x14ac:dyDescent="0.3">
      <c r="A170" s="4">
        <v>393321</v>
      </c>
      <c r="B170" s="2" t="s">
        <v>170</v>
      </c>
      <c r="C170" s="15">
        <v>1</v>
      </c>
      <c r="D170" s="15">
        <v>1</v>
      </c>
      <c r="E170" s="15">
        <v>0</v>
      </c>
      <c r="F170" s="15">
        <f t="shared" si="2"/>
        <v>2</v>
      </c>
    </row>
    <row r="171" spans="1:6" x14ac:dyDescent="0.3">
      <c r="A171" s="4">
        <v>362105</v>
      </c>
      <c r="B171" s="2" t="s">
        <v>171</v>
      </c>
      <c r="C171" s="15">
        <v>1</v>
      </c>
      <c r="D171" s="15">
        <v>1</v>
      </c>
      <c r="E171" s="15">
        <v>0</v>
      </c>
      <c r="F171" s="15">
        <f t="shared" si="2"/>
        <v>2</v>
      </c>
    </row>
    <row r="172" spans="1:6" x14ac:dyDescent="0.3">
      <c r="A172" s="4">
        <v>403268</v>
      </c>
      <c r="B172" s="2" t="s">
        <v>172</v>
      </c>
      <c r="C172" s="15">
        <v>1</v>
      </c>
      <c r="D172" s="15">
        <f>IFERROR(VLOOKUP(A172,'[4]Consumo SEMANAL PV '!$B:$B,1,0),0)</f>
        <v>0</v>
      </c>
      <c r="E172" s="15">
        <v>0</v>
      </c>
      <c r="F172" s="15">
        <f t="shared" si="2"/>
        <v>1</v>
      </c>
    </row>
    <row r="173" spans="1:6" x14ac:dyDescent="0.3">
      <c r="A173" s="4">
        <v>393216</v>
      </c>
      <c r="B173" s="2" t="s">
        <v>173</v>
      </c>
      <c r="C173" s="15">
        <v>1</v>
      </c>
      <c r="D173" s="15">
        <f>IFERROR(VLOOKUP(A173,'[4]Consumo SEMANAL PV '!$B:$B,1,0),0)</f>
        <v>0</v>
      </c>
      <c r="E173" s="15">
        <v>0</v>
      </c>
      <c r="F173" s="15">
        <f t="shared" si="2"/>
        <v>1</v>
      </c>
    </row>
    <row r="174" spans="1:6" x14ac:dyDescent="0.3">
      <c r="A174" s="4">
        <v>405702</v>
      </c>
      <c r="B174" s="2" t="s">
        <v>174</v>
      </c>
      <c r="C174" s="15">
        <v>1</v>
      </c>
      <c r="D174" s="15">
        <f>IFERROR(VLOOKUP(A174,'[4]Consumo SEMANAL PV '!$B:$B,1,0),0)</f>
        <v>0</v>
      </c>
      <c r="E174" s="15">
        <v>0</v>
      </c>
      <c r="F174" s="15">
        <f t="shared" si="2"/>
        <v>1</v>
      </c>
    </row>
    <row r="175" spans="1:6" x14ac:dyDescent="0.3">
      <c r="A175" s="4">
        <v>405577</v>
      </c>
      <c r="B175" s="2" t="s">
        <v>175</v>
      </c>
      <c r="C175" s="15">
        <v>1</v>
      </c>
      <c r="D175" s="15">
        <f>IFERROR(VLOOKUP(A175,'[4]Consumo SEMANAL PV '!$B:$B,1,0),0)</f>
        <v>0</v>
      </c>
      <c r="E175" s="15">
        <v>0</v>
      </c>
      <c r="F175" s="15">
        <f t="shared" si="2"/>
        <v>1</v>
      </c>
    </row>
    <row r="176" spans="1:6" x14ac:dyDescent="0.3">
      <c r="A176" s="4">
        <v>393419</v>
      </c>
      <c r="B176" s="2" t="s">
        <v>176</v>
      </c>
      <c r="C176" s="15">
        <v>1</v>
      </c>
      <c r="D176" s="15">
        <f>IFERROR(VLOOKUP(A176,'[4]Consumo SEMANAL PV '!$B:$B,1,0),0)</f>
        <v>0</v>
      </c>
      <c r="E176" s="15">
        <v>0</v>
      </c>
      <c r="F176" s="15">
        <f t="shared" si="2"/>
        <v>1</v>
      </c>
    </row>
    <row r="177" spans="1:6" x14ac:dyDescent="0.3">
      <c r="A177" s="4">
        <v>405340</v>
      </c>
      <c r="B177" s="2" t="s">
        <v>177</v>
      </c>
      <c r="C177" s="15">
        <v>1</v>
      </c>
      <c r="D177" s="15">
        <f>IFERROR(VLOOKUP(A177,'[4]Consumo SEMANAL PV '!$B:$B,1,0),0)</f>
        <v>0</v>
      </c>
      <c r="E177" s="15">
        <v>0</v>
      </c>
      <c r="F177" s="15">
        <f t="shared" si="2"/>
        <v>1</v>
      </c>
    </row>
    <row r="178" spans="1:6" x14ac:dyDescent="0.3">
      <c r="A178" s="4">
        <v>353002</v>
      </c>
      <c r="B178" s="2" t="s">
        <v>178</v>
      </c>
      <c r="C178" s="15">
        <v>1</v>
      </c>
      <c r="D178" s="15">
        <f>IFERROR(VLOOKUP(A178,'[4]Consumo SEMANAL PV '!$B:$B,1,0),0)</f>
        <v>0</v>
      </c>
      <c r="E178" s="15">
        <v>0</v>
      </c>
      <c r="F178" s="15">
        <f t="shared" si="2"/>
        <v>1</v>
      </c>
    </row>
    <row r="179" spans="1:6" x14ac:dyDescent="0.3">
      <c r="A179" s="4">
        <v>353001</v>
      </c>
      <c r="B179" s="2" t="s">
        <v>179</v>
      </c>
      <c r="C179" s="15">
        <v>1</v>
      </c>
      <c r="D179" s="15">
        <f>IFERROR(VLOOKUP(A179,'[4]Consumo SEMANAL PV '!$B:$B,1,0),0)</f>
        <v>0</v>
      </c>
      <c r="E179" s="15">
        <v>0</v>
      </c>
      <c r="F179" s="15">
        <f t="shared" si="2"/>
        <v>1</v>
      </c>
    </row>
    <row r="180" spans="1:6" x14ac:dyDescent="0.3">
      <c r="A180" s="4">
        <v>107259</v>
      </c>
      <c r="B180" s="2" t="s">
        <v>180</v>
      </c>
      <c r="C180" s="15">
        <v>1</v>
      </c>
      <c r="D180" s="15">
        <v>1</v>
      </c>
      <c r="E180" s="15">
        <v>0</v>
      </c>
      <c r="F180" s="15">
        <f t="shared" si="2"/>
        <v>2</v>
      </c>
    </row>
    <row r="181" spans="1:6" x14ac:dyDescent="0.3">
      <c r="A181" s="4">
        <v>107260</v>
      </c>
      <c r="B181" s="2" t="s">
        <v>181</v>
      </c>
      <c r="C181" s="15">
        <v>1</v>
      </c>
      <c r="D181" s="15">
        <v>0</v>
      </c>
      <c r="E181" s="15">
        <v>0</v>
      </c>
      <c r="F181" s="15">
        <f t="shared" si="2"/>
        <v>1</v>
      </c>
    </row>
    <row r="182" spans="1:6" x14ac:dyDescent="0.3">
      <c r="A182" s="4">
        <v>107278</v>
      </c>
      <c r="B182" s="2" t="s">
        <v>182</v>
      </c>
      <c r="C182" s="15">
        <v>1</v>
      </c>
      <c r="D182" s="15">
        <v>1</v>
      </c>
      <c r="E182" s="15">
        <v>0</v>
      </c>
      <c r="F182" s="15">
        <f t="shared" si="2"/>
        <v>2</v>
      </c>
    </row>
    <row r="183" spans="1:6" x14ac:dyDescent="0.3">
      <c r="A183" s="4">
        <v>107355</v>
      </c>
      <c r="B183" s="2" t="s">
        <v>183</v>
      </c>
      <c r="C183" s="15">
        <v>1</v>
      </c>
      <c r="D183" s="15">
        <f>IFERROR(VLOOKUP(A183,'[4]Consumo SEMANAL PV '!$B:$B,1,0),0)</f>
        <v>0</v>
      </c>
      <c r="E183" s="15">
        <v>0</v>
      </c>
      <c r="F183" s="15">
        <f t="shared" si="2"/>
        <v>1</v>
      </c>
    </row>
    <row r="184" spans="1:6" x14ac:dyDescent="0.3">
      <c r="A184" s="4">
        <v>405319</v>
      </c>
      <c r="B184" s="2" t="s">
        <v>184</v>
      </c>
      <c r="C184" s="15">
        <v>1</v>
      </c>
      <c r="D184" s="15">
        <f>IFERROR(VLOOKUP(A184,'[4]Consumo SEMANAL PV '!$B:$B,1,0),0)</f>
        <v>0</v>
      </c>
      <c r="E184" s="15">
        <v>0</v>
      </c>
      <c r="F184" s="15">
        <f t="shared" si="2"/>
        <v>1</v>
      </c>
    </row>
    <row r="185" spans="1:6" x14ac:dyDescent="0.3">
      <c r="A185" s="4">
        <v>107215</v>
      </c>
      <c r="B185" s="2" t="s">
        <v>185</v>
      </c>
      <c r="C185" s="15">
        <v>1</v>
      </c>
      <c r="D185" s="15">
        <f>IFERROR(VLOOKUP(A185,'[4]Consumo SEMANAL PV '!$B:$B,1,0),0)</f>
        <v>0</v>
      </c>
      <c r="E185" s="15">
        <v>0</v>
      </c>
      <c r="F185" s="15">
        <f t="shared" si="2"/>
        <v>1</v>
      </c>
    </row>
    <row r="186" spans="1:6" x14ac:dyDescent="0.3">
      <c r="A186" s="4">
        <v>107333</v>
      </c>
      <c r="B186" s="2" t="s">
        <v>186</v>
      </c>
      <c r="C186" s="15">
        <v>1</v>
      </c>
      <c r="D186" s="15">
        <f>IFERROR(VLOOKUP(A186,'[4]Consumo SEMANAL PV '!$B:$B,1,0),0)</f>
        <v>0</v>
      </c>
      <c r="E186" s="15">
        <v>0</v>
      </c>
      <c r="F186" s="15">
        <f t="shared" si="2"/>
        <v>1</v>
      </c>
    </row>
    <row r="187" spans="1:6" x14ac:dyDescent="0.3">
      <c r="A187" s="4">
        <v>405539</v>
      </c>
      <c r="B187" s="2" t="s">
        <v>187</v>
      </c>
      <c r="C187" s="15">
        <v>1</v>
      </c>
      <c r="D187" s="15">
        <v>0</v>
      </c>
      <c r="E187" s="15">
        <v>0</v>
      </c>
      <c r="F187" s="15">
        <f t="shared" si="2"/>
        <v>1</v>
      </c>
    </row>
    <row r="188" spans="1:6" x14ac:dyDescent="0.3">
      <c r="A188" s="4">
        <v>107109</v>
      </c>
      <c r="B188" s="2" t="s">
        <v>188</v>
      </c>
      <c r="C188" s="15">
        <v>1</v>
      </c>
      <c r="D188" s="15">
        <v>1</v>
      </c>
      <c r="E188" s="15">
        <v>1</v>
      </c>
      <c r="F188" s="15">
        <f t="shared" si="2"/>
        <v>3</v>
      </c>
    </row>
    <row r="189" spans="1:6" x14ac:dyDescent="0.3">
      <c r="A189" s="4">
        <v>107331</v>
      </c>
      <c r="B189" s="2" t="s">
        <v>189</v>
      </c>
      <c r="C189" s="15">
        <v>1</v>
      </c>
      <c r="D189" s="15">
        <v>1</v>
      </c>
      <c r="E189" s="15">
        <v>0</v>
      </c>
      <c r="F189" s="15">
        <f t="shared" si="2"/>
        <v>2</v>
      </c>
    </row>
    <row r="190" spans="1:6" x14ac:dyDescent="0.3">
      <c r="A190" s="4">
        <v>107144</v>
      </c>
      <c r="B190" s="2" t="s">
        <v>190</v>
      </c>
      <c r="C190" s="15">
        <v>1</v>
      </c>
      <c r="D190" s="15">
        <v>1</v>
      </c>
      <c r="E190" s="15">
        <v>0</v>
      </c>
      <c r="F190" s="15">
        <f t="shared" si="2"/>
        <v>2</v>
      </c>
    </row>
    <row r="191" spans="1:6" x14ac:dyDescent="0.3">
      <c r="A191" s="4">
        <v>107001</v>
      </c>
      <c r="B191" s="2" t="s">
        <v>191</v>
      </c>
      <c r="C191" s="15">
        <v>1</v>
      </c>
      <c r="D191" s="15">
        <v>1</v>
      </c>
      <c r="E191" s="15">
        <v>0</v>
      </c>
      <c r="F191" s="15">
        <f t="shared" si="2"/>
        <v>2</v>
      </c>
    </row>
    <row r="192" spans="1:6" x14ac:dyDescent="0.3">
      <c r="A192" s="4">
        <v>405408</v>
      </c>
      <c r="B192" s="2" t="s">
        <v>192</v>
      </c>
      <c r="C192" s="15">
        <v>1</v>
      </c>
      <c r="D192" s="15">
        <f>IFERROR(VLOOKUP(A192,'[4]Consumo SEMANAL PV '!$B:$B,1,0),0)</f>
        <v>0</v>
      </c>
      <c r="E192" s="15">
        <v>0</v>
      </c>
      <c r="F192" s="15">
        <f t="shared" si="2"/>
        <v>1</v>
      </c>
    </row>
    <row r="193" spans="1:6" x14ac:dyDescent="0.3">
      <c r="A193" s="4">
        <v>405420</v>
      </c>
      <c r="B193" s="2" t="s">
        <v>193</v>
      </c>
      <c r="C193" s="15">
        <v>1</v>
      </c>
      <c r="D193" s="15">
        <f>IFERROR(VLOOKUP(A193,'[4]Consumo SEMANAL PV '!$B:$B,1,0),0)</f>
        <v>0</v>
      </c>
      <c r="E193" s="15">
        <v>0</v>
      </c>
      <c r="F193" s="15">
        <f t="shared" si="2"/>
        <v>1</v>
      </c>
    </row>
    <row r="194" spans="1:6" x14ac:dyDescent="0.3">
      <c r="A194" s="4">
        <v>107158</v>
      </c>
      <c r="B194" s="2" t="s">
        <v>194</v>
      </c>
      <c r="C194" s="15">
        <v>1</v>
      </c>
      <c r="D194" s="15">
        <v>1</v>
      </c>
      <c r="E194" s="15">
        <v>0</v>
      </c>
      <c r="F194" s="15">
        <f t="shared" si="2"/>
        <v>2</v>
      </c>
    </row>
    <row r="195" spans="1:6" x14ac:dyDescent="0.3">
      <c r="A195" s="4">
        <v>107112</v>
      </c>
      <c r="B195" s="2" t="s">
        <v>195</v>
      </c>
      <c r="C195" s="15">
        <v>1</v>
      </c>
      <c r="D195" s="15">
        <v>1</v>
      </c>
      <c r="E195" s="15">
        <v>0</v>
      </c>
      <c r="F195" s="15">
        <f t="shared" ref="F195:F258" si="3">COUNTIF(C195:E195,1)</f>
        <v>2</v>
      </c>
    </row>
    <row r="196" spans="1:6" x14ac:dyDescent="0.3">
      <c r="A196" s="4">
        <v>107211</v>
      </c>
      <c r="B196" s="2" t="s">
        <v>196</v>
      </c>
      <c r="C196" s="15">
        <v>1</v>
      </c>
      <c r="D196" s="15">
        <f>IFERROR(VLOOKUP(A196,'[4]Consumo SEMANAL PV '!$B:$B,1,0),0)</f>
        <v>0</v>
      </c>
      <c r="E196" s="15">
        <v>0</v>
      </c>
      <c r="F196" s="15">
        <f t="shared" si="3"/>
        <v>1</v>
      </c>
    </row>
    <row r="197" spans="1:6" x14ac:dyDescent="0.3">
      <c r="A197" s="4">
        <v>170173</v>
      </c>
      <c r="B197" s="2" t="s">
        <v>197</v>
      </c>
      <c r="C197" s="15">
        <v>1</v>
      </c>
      <c r="D197" s="15">
        <v>1</v>
      </c>
      <c r="E197" s="15">
        <v>0</v>
      </c>
      <c r="F197" s="15">
        <f t="shared" si="3"/>
        <v>2</v>
      </c>
    </row>
    <row r="198" spans="1:6" x14ac:dyDescent="0.3">
      <c r="A198" s="4">
        <v>107157</v>
      </c>
      <c r="B198" s="2" t="s">
        <v>198</v>
      </c>
      <c r="C198" s="15">
        <v>1</v>
      </c>
      <c r="D198" s="15">
        <v>1</v>
      </c>
      <c r="E198" s="15">
        <v>0</v>
      </c>
      <c r="F198" s="15">
        <f t="shared" si="3"/>
        <v>2</v>
      </c>
    </row>
    <row r="199" spans="1:6" x14ac:dyDescent="0.3">
      <c r="A199" s="4">
        <v>405447</v>
      </c>
      <c r="B199" s="2" t="s">
        <v>199</v>
      </c>
      <c r="C199" s="15">
        <v>1</v>
      </c>
      <c r="D199" s="15">
        <f>IFERROR(VLOOKUP(A199,'[4]Consumo SEMANAL PV '!$B:$B,1,0),0)</f>
        <v>0</v>
      </c>
      <c r="E199" s="15">
        <v>0</v>
      </c>
      <c r="F199" s="15">
        <f t="shared" si="3"/>
        <v>1</v>
      </c>
    </row>
    <row r="200" spans="1:6" x14ac:dyDescent="0.3">
      <c r="A200" s="4">
        <v>107172</v>
      </c>
      <c r="B200" s="2" t="s">
        <v>200</v>
      </c>
      <c r="C200" s="15">
        <v>1</v>
      </c>
      <c r="D200" s="15">
        <v>1</v>
      </c>
      <c r="E200" s="15">
        <v>0</v>
      </c>
      <c r="F200" s="15">
        <f t="shared" si="3"/>
        <v>2</v>
      </c>
    </row>
    <row r="201" spans="1:6" x14ac:dyDescent="0.3">
      <c r="A201" s="4">
        <v>107129</v>
      </c>
      <c r="B201" s="2" t="s">
        <v>201</v>
      </c>
      <c r="C201" s="15">
        <v>1</v>
      </c>
      <c r="D201" s="15">
        <v>1</v>
      </c>
      <c r="E201" s="15">
        <v>0</v>
      </c>
      <c r="F201" s="15">
        <f t="shared" si="3"/>
        <v>2</v>
      </c>
    </row>
    <row r="202" spans="1:6" x14ac:dyDescent="0.3">
      <c r="A202" s="4">
        <v>107113</v>
      </c>
      <c r="B202" s="2" t="s">
        <v>202</v>
      </c>
      <c r="C202" s="15">
        <v>1</v>
      </c>
      <c r="D202" s="15">
        <v>1</v>
      </c>
      <c r="E202" s="15">
        <v>0</v>
      </c>
      <c r="F202" s="15">
        <f t="shared" si="3"/>
        <v>2</v>
      </c>
    </row>
    <row r="203" spans="1:6" x14ac:dyDescent="0.3">
      <c r="A203" s="4">
        <v>107193</v>
      </c>
      <c r="B203" s="2" t="s">
        <v>203</v>
      </c>
      <c r="C203" s="15">
        <v>1</v>
      </c>
      <c r="D203" s="15">
        <v>1</v>
      </c>
      <c r="E203" s="15">
        <v>0</v>
      </c>
      <c r="F203" s="15">
        <f t="shared" si="3"/>
        <v>2</v>
      </c>
    </row>
    <row r="204" spans="1:6" x14ac:dyDescent="0.3">
      <c r="A204" s="4">
        <v>405723</v>
      </c>
      <c r="B204" s="2" t="s">
        <v>204</v>
      </c>
      <c r="C204" s="15">
        <v>1</v>
      </c>
      <c r="D204" s="15">
        <f>IFERROR(VLOOKUP(A204,'[4]Consumo SEMANAL PV '!$B:$B,1,0),0)</f>
        <v>0</v>
      </c>
      <c r="E204" s="15">
        <v>0</v>
      </c>
      <c r="F204" s="15">
        <f t="shared" si="3"/>
        <v>1</v>
      </c>
    </row>
    <row r="205" spans="1:6" x14ac:dyDescent="0.3">
      <c r="A205" s="4">
        <v>107280</v>
      </c>
      <c r="B205" s="2" t="s">
        <v>205</v>
      </c>
      <c r="C205" s="15">
        <v>1</v>
      </c>
      <c r="D205" s="15">
        <v>1</v>
      </c>
      <c r="E205" s="15">
        <v>0</v>
      </c>
      <c r="F205" s="15">
        <f t="shared" si="3"/>
        <v>2</v>
      </c>
    </row>
    <row r="206" spans="1:6" x14ac:dyDescent="0.3">
      <c r="A206" s="4">
        <v>405650</v>
      </c>
      <c r="B206" s="2" t="s">
        <v>206</v>
      </c>
      <c r="C206" s="15">
        <v>1</v>
      </c>
      <c r="D206" s="15">
        <f>IFERROR(VLOOKUP(A206,'[4]Consumo SEMANAL PV '!$B:$B,1,0),0)</f>
        <v>0</v>
      </c>
      <c r="E206" s="15">
        <v>0</v>
      </c>
      <c r="F206" s="15">
        <f t="shared" si="3"/>
        <v>1</v>
      </c>
    </row>
    <row r="207" spans="1:6" x14ac:dyDescent="0.3">
      <c r="A207" s="4">
        <v>405543</v>
      </c>
      <c r="B207" s="2" t="s">
        <v>207</v>
      </c>
      <c r="C207" s="15">
        <v>1</v>
      </c>
      <c r="D207" s="15">
        <v>1</v>
      </c>
      <c r="E207" s="15">
        <v>0</v>
      </c>
      <c r="F207" s="15">
        <f t="shared" si="3"/>
        <v>2</v>
      </c>
    </row>
    <row r="208" spans="1:6" x14ac:dyDescent="0.3">
      <c r="A208" s="4">
        <v>402130</v>
      </c>
      <c r="B208" s="2" t="s">
        <v>208</v>
      </c>
      <c r="C208" s="15">
        <v>1</v>
      </c>
      <c r="D208" s="15">
        <v>1</v>
      </c>
      <c r="E208" s="15">
        <v>0</v>
      </c>
      <c r="F208" s="15">
        <f t="shared" si="3"/>
        <v>2</v>
      </c>
    </row>
    <row r="209" spans="1:6" x14ac:dyDescent="0.3">
      <c r="A209" s="4">
        <v>405507</v>
      </c>
      <c r="B209" s="2" t="s">
        <v>209</v>
      </c>
      <c r="C209" s="15">
        <v>1</v>
      </c>
      <c r="D209" s="15">
        <v>1</v>
      </c>
      <c r="E209" s="15">
        <v>0</v>
      </c>
      <c r="F209" s="15">
        <f t="shared" si="3"/>
        <v>2</v>
      </c>
    </row>
    <row r="210" spans="1:6" x14ac:dyDescent="0.3">
      <c r="A210" s="4">
        <v>393399</v>
      </c>
      <c r="B210" s="2" t="s">
        <v>210</v>
      </c>
      <c r="C210" s="15">
        <v>1</v>
      </c>
      <c r="D210" s="15">
        <f>IFERROR(VLOOKUP(A210,'[4]Consumo SEMANAL PV '!$B:$B,1,0),0)</f>
        <v>0</v>
      </c>
      <c r="E210" s="15">
        <v>0</v>
      </c>
      <c r="F210" s="15">
        <f t="shared" si="3"/>
        <v>1</v>
      </c>
    </row>
    <row r="211" spans="1:6" x14ac:dyDescent="0.3">
      <c r="A211" s="4">
        <v>107346</v>
      </c>
      <c r="B211" s="2" t="s">
        <v>211</v>
      </c>
      <c r="C211" s="15">
        <v>1</v>
      </c>
      <c r="D211" s="15">
        <v>1</v>
      </c>
      <c r="E211" s="15">
        <v>0</v>
      </c>
      <c r="F211" s="15">
        <f t="shared" si="3"/>
        <v>2</v>
      </c>
    </row>
    <row r="212" spans="1:6" x14ac:dyDescent="0.3">
      <c r="A212" s="4">
        <v>107348</v>
      </c>
      <c r="B212" s="2" t="s">
        <v>212</v>
      </c>
      <c r="C212" s="15">
        <v>1</v>
      </c>
      <c r="D212" s="15">
        <v>1</v>
      </c>
      <c r="E212" s="15">
        <v>0</v>
      </c>
      <c r="F212" s="15">
        <f t="shared" si="3"/>
        <v>2</v>
      </c>
    </row>
    <row r="213" spans="1:6" x14ac:dyDescent="0.3">
      <c r="A213" s="4">
        <v>405607</v>
      </c>
      <c r="B213" s="2" t="s">
        <v>213</v>
      </c>
      <c r="C213" s="15">
        <v>1</v>
      </c>
      <c r="D213" s="15">
        <f>IFERROR(VLOOKUP(A213,'[4]Consumo SEMANAL PV '!$B:$B,1,0),0)</f>
        <v>0</v>
      </c>
      <c r="E213" s="15">
        <v>0</v>
      </c>
      <c r="F213" s="15">
        <f t="shared" si="3"/>
        <v>1</v>
      </c>
    </row>
    <row r="214" spans="1:6" x14ac:dyDescent="0.3">
      <c r="A214" s="4">
        <v>107316</v>
      </c>
      <c r="B214" s="2" t="s">
        <v>214</v>
      </c>
      <c r="C214" s="15">
        <v>1</v>
      </c>
      <c r="D214" s="15">
        <v>1</v>
      </c>
      <c r="E214" s="15">
        <v>1</v>
      </c>
      <c r="F214" s="15">
        <f t="shared" si="3"/>
        <v>3</v>
      </c>
    </row>
    <row r="215" spans="1:6" x14ac:dyDescent="0.3">
      <c r="A215" s="4">
        <v>405570</v>
      </c>
      <c r="B215" s="2" t="s">
        <v>215</v>
      </c>
      <c r="C215" s="15">
        <v>0</v>
      </c>
      <c r="D215" s="15">
        <v>1</v>
      </c>
      <c r="E215" s="15">
        <v>0</v>
      </c>
      <c r="F215" s="15">
        <f t="shared" si="3"/>
        <v>1</v>
      </c>
    </row>
    <row r="216" spans="1:6" x14ac:dyDescent="0.3">
      <c r="A216" s="4">
        <v>353003</v>
      </c>
      <c r="B216" s="2" t="s">
        <v>216</v>
      </c>
      <c r="C216" s="15">
        <v>1</v>
      </c>
      <c r="D216" s="15">
        <f>IFERROR(VLOOKUP(A216,'[4]Consumo SEMANAL PV '!$B:$B,1,0),0)</f>
        <v>0</v>
      </c>
      <c r="E216" s="15">
        <v>0</v>
      </c>
      <c r="F216" s="15">
        <f t="shared" si="3"/>
        <v>1</v>
      </c>
    </row>
    <row r="217" spans="1:6" x14ac:dyDescent="0.3">
      <c r="A217" s="4">
        <v>107095</v>
      </c>
      <c r="B217" s="2" t="s">
        <v>217</v>
      </c>
      <c r="C217" s="15">
        <v>1</v>
      </c>
      <c r="D217" s="15">
        <v>1</v>
      </c>
      <c r="E217" s="15">
        <v>0</v>
      </c>
      <c r="F217" s="15">
        <f t="shared" si="3"/>
        <v>2</v>
      </c>
    </row>
    <row r="218" spans="1:6" x14ac:dyDescent="0.3">
      <c r="A218" s="4">
        <v>405436</v>
      </c>
      <c r="B218" s="2" t="s">
        <v>218</v>
      </c>
      <c r="C218" s="15">
        <v>1</v>
      </c>
      <c r="D218" s="15">
        <v>1</v>
      </c>
      <c r="E218" s="15">
        <v>0</v>
      </c>
      <c r="F218" s="15">
        <f t="shared" si="3"/>
        <v>2</v>
      </c>
    </row>
    <row r="219" spans="1:6" x14ac:dyDescent="0.3">
      <c r="A219" s="4">
        <v>405133</v>
      </c>
      <c r="B219" s="2" t="s">
        <v>219</v>
      </c>
      <c r="C219" s="15">
        <v>1</v>
      </c>
      <c r="D219" s="15">
        <v>1</v>
      </c>
      <c r="E219" s="15">
        <v>0</v>
      </c>
      <c r="F219" s="15">
        <f t="shared" si="3"/>
        <v>2</v>
      </c>
    </row>
    <row r="220" spans="1:6" x14ac:dyDescent="0.3">
      <c r="A220" s="4">
        <v>405556</v>
      </c>
      <c r="B220" s="2" t="s">
        <v>220</v>
      </c>
      <c r="C220" s="15">
        <v>1</v>
      </c>
      <c r="D220" s="15">
        <v>1</v>
      </c>
      <c r="E220" s="15">
        <v>0</v>
      </c>
      <c r="F220" s="15">
        <f t="shared" si="3"/>
        <v>2</v>
      </c>
    </row>
    <row r="221" spans="1:6" x14ac:dyDescent="0.3">
      <c r="A221" s="4">
        <v>107360</v>
      </c>
      <c r="B221" s="2" t="s">
        <v>221</v>
      </c>
      <c r="C221" s="15">
        <v>1</v>
      </c>
      <c r="D221" s="15">
        <f>IFERROR(VLOOKUP(A221,'[4]Consumo SEMANAL PV '!$B:$B,1,0),0)</f>
        <v>0</v>
      </c>
      <c r="E221" s="15">
        <v>0</v>
      </c>
      <c r="F221" s="15">
        <f t="shared" si="3"/>
        <v>1</v>
      </c>
    </row>
    <row r="222" spans="1:6" x14ac:dyDescent="0.3">
      <c r="A222" s="4">
        <v>107204</v>
      </c>
      <c r="B222" s="2" t="s">
        <v>222</v>
      </c>
      <c r="C222" s="15">
        <v>1</v>
      </c>
      <c r="D222" s="15">
        <v>1</v>
      </c>
      <c r="E222" s="15">
        <v>0</v>
      </c>
      <c r="F222" s="15">
        <f t="shared" si="3"/>
        <v>2</v>
      </c>
    </row>
    <row r="223" spans="1:6" x14ac:dyDescent="0.3">
      <c r="A223" s="4">
        <v>107262</v>
      </c>
      <c r="B223" s="2" t="s">
        <v>223</v>
      </c>
      <c r="C223" s="15">
        <v>1</v>
      </c>
      <c r="D223" s="15">
        <v>1</v>
      </c>
      <c r="E223" s="15">
        <v>0</v>
      </c>
      <c r="F223" s="15">
        <f t="shared" si="3"/>
        <v>2</v>
      </c>
    </row>
    <row r="224" spans="1:6" x14ac:dyDescent="0.3">
      <c r="A224" s="4">
        <v>170180</v>
      </c>
      <c r="B224" s="2" t="s">
        <v>224</v>
      </c>
      <c r="C224" s="15">
        <v>1</v>
      </c>
      <c r="D224" s="15">
        <f>IFERROR(VLOOKUP(A224,'[4]Consumo SEMANAL PV '!$B:$B,1,0),0)</f>
        <v>0</v>
      </c>
      <c r="E224" s="15">
        <v>0</v>
      </c>
      <c r="F224" s="15">
        <f t="shared" si="3"/>
        <v>1</v>
      </c>
    </row>
    <row r="225" spans="1:6" x14ac:dyDescent="0.3">
      <c r="A225" s="4">
        <v>107148</v>
      </c>
      <c r="B225" s="2" t="s">
        <v>225</v>
      </c>
      <c r="C225" s="15">
        <v>1</v>
      </c>
      <c r="D225" s="15">
        <v>1</v>
      </c>
      <c r="E225" s="15">
        <v>0</v>
      </c>
      <c r="F225" s="15">
        <f t="shared" si="3"/>
        <v>2</v>
      </c>
    </row>
    <row r="226" spans="1:6" x14ac:dyDescent="0.3">
      <c r="A226" s="4">
        <v>107246</v>
      </c>
      <c r="B226" s="2" t="s">
        <v>226</v>
      </c>
      <c r="C226" s="15">
        <v>1</v>
      </c>
      <c r="D226" s="15">
        <f>IFERROR(VLOOKUP(A226,'[4]Consumo SEMANAL PV '!$B:$B,1,0),0)</f>
        <v>0</v>
      </c>
      <c r="E226" s="15">
        <v>0</v>
      </c>
      <c r="F226" s="15">
        <f t="shared" si="3"/>
        <v>1</v>
      </c>
    </row>
    <row r="227" spans="1:6" x14ac:dyDescent="0.3">
      <c r="A227" s="4">
        <v>107275</v>
      </c>
      <c r="B227" s="2" t="s">
        <v>227</v>
      </c>
      <c r="C227" s="15">
        <v>1</v>
      </c>
      <c r="D227" s="15">
        <f>IFERROR(VLOOKUP(A227,'[4]Consumo SEMANAL PV '!$B:$B,1,0),0)</f>
        <v>0</v>
      </c>
      <c r="E227" s="15">
        <v>0</v>
      </c>
      <c r="F227" s="15">
        <f t="shared" si="3"/>
        <v>1</v>
      </c>
    </row>
    <row r="228" spans="1:6" x14ac:dyDescent="0.3">
      <c r="A228" s="4">
        <v>405651</v>
      </c>
      <c r="B228" s="2" t="s">
        <v>228</v>
      </c>
      <c r="C228" s="15">
        <v>1</v>
      </c>
      <c r="D228" s="15">
        <f>IFERROR(VLOOKUP(A228,'[4]Consumo SEMANAL PV '!$B:$B,1,0),0)</f>
        <v>0</v>
      </c>
      <c r="E228" s="15">
        <v>0</v>
      </c>
      <c r="F228" s="15">
        <f t="shared" si="3"/>
        <v>1</v>
      </c>
    </row>
    <row r="229" spans="1:6" x14ac:dyDescent="0.3">
      <c r="A229" s="4">
        <v>401015</v>
      </c>
      <c r="B229" s="2" t="s">
        <v>229</v>
      </c>
      <c r="C229" s="15">
        <v>1</v>
      </c>
      <c r="D229" s="15">
        <v>1</v>
      </c>
      <c r="E229" s="15">
        <v>1</v>
      </c>
      <c r="F229" s="15">
        <f t="shared" si="3"/>
        <v>3</v>
      </c>
    </row>
    <row r="230" spans="1:6" x14ac:dyDescent="0.3">
      <c r="A230" s="4">
        <v>401014</v>
      </c>
      <c r="B230" s="2" t="s">
        <v>230</v>
      </c>
      <c r="C230" s="15">
        <v>1</v>
      </c>
      <c r="D230" s="15">
        <v>1</v>
      </c>
      <c r="E230" s="15">
        <v>1</v>
      </c>
      <c r="F230" s="15">
        <f t="shared" si="3"/>
        <v>3</v>
      </c>
    </row>
    <row r="231" spans="1:6" x14ac:dyDescent="0.3">
      <c r="A231" s="4">
        <v>401013</v>
      </c>
      <c r="B231" s="2" t="s">
        <v>231</v>
      </c>
      <c r="C231" s="15">
        <v>1</v>
      </c>
      <c r="D231" s="15">
        <v>1</v>
      </c>
      <c r="E231" s="15">
        <v>1</v>
      </c>
      <c r="F231" s="15">
        <f t="shared" si="3"/>
        <v>3</v>
      </c>
    </row>
    <row r="232" spans="1:6" x14ac:dyDescent="0.3">
      <c r="A232" s="4">
        <v>401010</v>
      </c>
      <c r="B232" s="2" t="s">
        <v>232</v>
      </c>
      <c r="C232" s="15">
        <v>1</v>
      </c>
      <c r="D232" s="15">
        <v>1</v>
      </c>
      <c r="E232" s="15">
        <v>1</v>
      </c>
      <c r="F232" s="15">
        <f t="shared" si="3"/>
        <v>3</v>
      </c>
    </row>
    <row r="233" spans="1:6" x14ac:dyDescent="0.3">
      <c r="A233" s="4">
        <v>401011</v>
      </c>
      <c r="B233" s="2" t="s">
        <v>233</v>
      </c>
      <c r="C233" s="15">
        <v>1</v>
      </c>
      <c r="D233" s="15">
        <v>1</v>
      </c>
      <c r="E233" s="15">
        <v>1</v>
      </c>
      <c r="F233" s="15">
        <f t="shared" si="3"/>
        <v>3</v>
      </c>
    </row>
    <row r="234" spans="1:6" x14ac:dyDescent="0.3">
      <c r="A234" s="4">
        <v>401019</v>
      </c>
      <c r="B234" s="2" t="s">
        <v>234</v>
      </c>
      <c r="C234" s="15">
        <v>1</v>
      </c>
      <c r="D234" s="15">
        <v>1</v>
      </c>
      <c r="E234" s="15">
        <v>0</v>
      </c>
      <c r="F234" s="15">
        <f t="shared" si="3"/>
        <v>2</v>
      </c>
    </row>
    <row r="235" spans="1:6" x14ac:dyDescent="0.3">
      <c r="A235" s="4">
        <v>401012</v>
      </c>
      <c r="B235" s="2" t="s">
        <v>235</v>
      </c>
      <c r="C235" s="15">
        <v>1</v>
      </c>
      <c r="D235" s="15">
        <v>1</v>
      </c>
      <c r="E235" s="15">
        <v>1</v>
      </c>
      <c r="F235" s="15">
        <f t="shared" si="3"/>
        <v>3</v>
      </c>
    </row>
    <row r="236" spans="1:6" x14ac:dyDescent="0.3">
      <c r="A236" s="4">
        <v>393040</v>
      </c>
      <c r="B236" s="2" t="s">
        <v>236</v>
      </c>
      <c r="C236" s="15">
        <v>1</v>
      </c>
      <c r="D236" s="15">
        <v>1</v>
      </c>
      <c r="E236" s="15">
        <v>0</v>
      </c>
      <c r="F236" s="15">
        <f t="shared" si="3"/>
        <v>2</v>
      </c>
    </row>
    <row r="237" spans="1:6" x14ac:dyDescent="0.3">
      <c r="A237" s="4">
        <v>393349</v>
      </c>
      <c r="B237" s="2" t="s">
        <v>237</v>
      </c>
      <c r="C237" s="15">
        <v>1</v>
      </c>
      <c r="D237" s="15">
        <f>IFERROR(VLOOKUP(A237,'[4]Consumo SEMANAL PV '!$B:$B,1,0),0)</f>
        <v>0</v>
      </c>
      <c r="E237" s="15">
        <v>0</v>
      </c>
      <c r="F237" s="15">
        <f t="shared" si="3"/>
        <v>1</v>
      </c>
    </row>
    <row r="238" spans="1:6" x14ac:dyDescent="0.3">
      <c r="A238" s="4">
        <v>405371</v>
      </c>
      <c r="B238" s="2" t="s">
        <v>238</v>
      </c>
      <c r="C238" s="15">
        <v>1</v>
      </c>
      <c r="D238" s="15">
        <f>IFERROR(VLOOKUP(A238,'[4]Consumo SEMANAL PV '!$B:$B,1,0),0)</f>
        <v>0</v>
      </c>
      <c r="E238" s="15">
        <v>0</v>
      </c>
      <c r="F238" s="15">
        <f t="shared" si="3"/>
        <v>1</v>
      </c>
    </row>
    <row r="239" spans="1:6" x14ac:dyDescent="0.3">
      <c r="A239" s="4">
        <v>405134</v>
      </c>
      <c r="B239" s="2" t="s">
        <v>239</v>
      </c>
      <c r="C239" s="15">
        <v>1</v>
      </c>
      <c r="D239" s="15">
        <v>1</v>
      </c>
      <c r="E239" s="15">
        <v>0</v>
      </c>
      <c r="F239" s="15">
        <f t="shared" si="3"/>
        <v>2</v>
      </c>
    </row>
    <row r="240" spans="1:6" x14ac:dyDescent="0.3">
      <c r="A240" s="4">
        <v>405683</v>
      </c>
      <c r="B240" s="2" t="s">
        <v>240</v>
      </c>
      <c r="C240" s="15">
        <v>1</v>
      </c>
      <c r="D240" s="15">
        <f>IFERROR(VLOOKUP(A240,'[4]Consumo SEMANAL PV '!$B:$B,1,0),0)</f>
        <v>0</v>
      </c>
      <c r="E240" s="15">
        <v>0</v>
      </c>
      <c r="F240" s="15">
        <f t="shared" si="3"/>
        <v>1</v>
      </c>
    </row>
    <row r="241" spans="1:6" x14ac:dyDescent="0.3">
      <c r="A241" s="4">
        <v>107102</v>
      </c>
      <c r="B241" s="2" t="s">
        <v>241</v>
      </c>
      <c r="C241" s="15">
        <v>1</v>
      </c>
      <c r="D241" s="15">
        <v>1</v>
      </c>
      <c r="E241" s="15">
        <v>0</v>
      </c>
      <c r="F241" s="15">
        <f t="shared" si="3"/>
        <v>2</v>
      </c>
    </row>
    <row r="242" spans="1:6" x14ac:dyDescent="0.3">
      <c r="A242" s="4">
        <v>405533</v>
      </c>
      <c r="B242" s="2" t="s">
        <v>242</v>
      </c>
      <c r="C242" s="15">
        <v>1</v>
      </c>
      <c r="D242" s="15">
        <v>1</v>
      </c>
      <c r="E242" s="15">
        <v>0</v>
      </c>
      <c r="F242" s="15">
        <f t="shared" si="3"/>
        <v>2</v>
      </c>
    </row>
    <row r="243" spans="1:6" x14ac:dyDescent="0.3">
      <c r="A243" s="4">
        <v>107164</v>
      </c>
      <c r="B243" s="2" t="s">
        <v>243</v>
      </c>
      <c r="C243" s="15">
        <v>1</v>
      </c>
      <c r="D243" s="15">
        <v>1</v>
      </c>
      <c r="E243" s="15">
        <v>0</v>
      </c>
      <c r="F243" s="15">
        <f t="shared" si="3"/>
        <v>2</v>
      </c>
    </row>
    <row r="244" spans="1:6" x14ac:dyDescent="0.3">
      <c r="A244" s="2">
        <v>103104</v>
      </c>
      <c r="B244" s="2" t="s">
        <v>252</v>
      </c>
      <c r="C244" s="15">
        <v>0</v>
      </c>
      <c r="D244" s="15">
        <v>1</v>
      </c>
      <c r="E244" s="15">
        <v>0</v>
      </c>
      <c r="F244" s="15">
        <f t="shared" si="3"/>
        <v>1</v>
      </c>
    </row>
    <row r="245" spans="1:6" x14ac:dyDescent="0.3">
      <c r="A245" s="2">
        <v>104004</v>
      </c>
      <c r="B245" s="2" t="s">
        <v>255</v>
      </c>
      <c r="C245" s="15">
        <v>0</v>
      </c>
      <c r="D245" s="15">
        <v>1</v>
      </c>
      <c r="E245" s="15">
        <v>0</v>
      </c>
      <c r="F245" s="15">
        <f t="shared" si="3"/>
        <v>1</v>
      </c>
    </row>
    <row r="246" spans="1:6" x14ac:dyDescent="0.3">
      <c r="A246" s="2">
        <v>405501</v>
      </c>
      <c r="B246" s="2" t="s">
        <v>256</v>
      </c>
      <c r="C246" s="15">
        <v>1</v>
      </c>
      <c r="D246" s="15">
        <v>1</v>
      </c>
      <c r="E246" s="15">
        <v>0</v>
      </c>
      <c r="F246" s="15">
        <f t="shared" si="3"/>
        <v>2</v>
      </c>
    </row>
    <row r="247" spans="1:6" x14ac:dyDescent="0.3">
      <c r="A247" s="2">
        <v>400205</v>
      </c>
      <c r="B247" s="2" t="s">
        <v>257</v>
      </c>
      <c r="C247" s="15">
        <v>1</v>
      </c>
      <c r="D247" s="15">
        <v>1</v>
      </c>
      <c r="E247" s="15">
        <v>0</v>
      </c>
      <c r="F247" s="15">
        <f t="shared" si="3"/>
        <v>2</v>
      </c>
    </row>
    <row r="248" spans="1:6" x14ac:dyDescent="0.3">
      <c r="A248" s="2">
        <v>400202</v>
      </c>
      <c r="B248" s="2" t="s">
        <v>258</v>
      </c>
      <c r="C248" s="15">
        <v>1</v>
      </c>
      <c r="D248" s="15">
        <v>1</v>
      </c>
      <c r="E248" s="15">
        <v>1</v>
      </c>
      <c r="F248" s="15">
        <f t="shared" si="3"/>
        <v>3</v>
      </c>
    </row>
    <row r="249" spans="1:6" x14ac:dyDescent="0.3">
      <c r="A249" s="2">
        <v>403245</v>
      </c>
      <c r="B249" s="2" t="s">
        <v>259</v>
      </c>
      <c r="C249" s="15">
        <v>1</v>
      </c>
      <c r="D249" s="15">
        <v>1</v>
      </c>
      <c r="E249" s="15">
        <v>0</v>
      </c>
      <c r="F249" s="15">
        <f t="shared" si="3"/>
        <v>2</v>
      </c>
    </row>
    <row r="250" spans="1:6" x14ac:dyDescent="0.3">
      <c r="A250" s="2">
        <v>107365</v>
      </c>
      <c r="B250" s="2" t="s">
        <v>260</v>
      </c>
      <c r="C250" s="15">
        <v>1</v>
      </c>
      <c r="D250" s="15">
        <v>1</v>
      </c>
      <c r="E250" s="15">
        <v>1</v>
      </c>
      <c r="F250" s="15">
        <f t="shared" si="3"/>
        <v>3</v>
      </c>
    </row>
    <row r="251" spans="1:6" x14ac:dyDescent="0.3">
      <c r="A251" s="2">
        <v>402251</v>
      </c>
      <c r="B251" s="2" t="s">
        <v>261</v>
      </c>
      <c r="C251" s="15">
        <v>1</v>
      </c>
      <c r="D251" s="15">
        <v>1</v>
      </c>
      <c r="E251" s="15">
        <v>1</v>
      </c>
      <c r="F251" s="15">
        <f t="shared" si="3"/>
        <v>3</v>
      </c>
    </row>
    <row r="252" spans="1:6" x14ac:dyDescent="0.3">
      <c r="A252" s="2">
        <v>403393</v>
      </c>
      <c r="B252" s="2" t="s">
        <v>262</v>
      </c>
      <c r="C252" s="15">
        <v>1</v>
      </c>
      <c r="D252" s="15">
        <v>1</v>
      </c>
      <c r="E252" s="15">
        <v>0</v>
      </c>
      <c r="F252" s="15">
        <f t="shared" si="3"/>
        <v>2</v>
      </c>
    </row>
    <row r="253" spans="1:6" x14ac:dyDescent="0.3">
      <c r="A253" s="2">
        <v>402253</v>
      </c>
      <c r="B253" s="2" t="s">
        <v>263</v>
      </c>
      <c r="C253" s="15">
        <v>1</v>
      </c>
      <c r="D253" s="15">
        <v>1</v>
      </c>
      <c r="E253" s="15">
        <v>1</v>
      </c>
      <c r="F253" s="15">
        <f t="shared" si="3"/>
        <v>3</v>
      </c>
    </row>
    <row r="254" spans="1:6" x14ac:dyDescent="0.3">
      <c r="A254" s="2">
        <v>106302</v>
      </c>
      <c r="B254" s="2" t="s">
        <v>264</v>
      </c>
      <c r="C254" s="15">
        <v>1</v>
      </c>
      <c r="D254" s="15">
        <v>1</v>
      </c>
      <c r="E254" s="15">
        <v>0</v>
      </c>
      <c r="F254" s="15">
        <f t="shared" si="3"/>
        <v>2</v>
      </c>
    </row>
    <row r="255" spans="1:6" x14ac:dyDescent="0.3">
      <c r="A255" s="2">
        <v>403258</v>
      </c>
      <c r="B255" s="2" t="s">
        <v>265</v>
      </c>
      <c r="C255" s="15">
        <v>0</v>
      </c>
      <c r="D255" s="15">
        <v>1</v>
      </c>
      <c r="E255" s="15">
        <v>0</v>
      </c>
      <c r="F255" s="15">
        <f t="shared" si="3"/>
        <v>1</v>
      </c>
    </row>
    <row r="256" spans="1:6" x14ac:dyDescent="0.3">
      <c r="A256" s="2">
        <v>405728</v>
      </c>
      <c r="B256" s="2" t="s">
        <v>266</v>
      </c>
      <c r="C256" s="15">
        <v>0</v>
      </c>
      <c r="D256" s="15">
        <v>1</v>
      </c>
      <c r="E256" s="15">
        <v>0</v>
      </c>
      <c r="F256" s="15">
        <f t="shared" si="3"/>
        <v>1</v>
      </c>
    </row>
    <row r="257" spans="1:6" x14ac:dyDescent="0.3">
      <c r="A257" s="2">
        <v>405304</v>
      </c>
      <c r="B257" s="2" t="s">
        <v>267</v>
      </c>
      <c r="C257" s="15">
        <v>0</v>
      </c>
      <c r="D257" s="15">
        <v>1</v>
      </c>
      <c r="E257" s="15">
        <v>0</v>
      </c>
      <c r="F257" s="15">
        <f t="shared" si="3"/>
        <v>1</v>
      </c>
    </row>
    <row r="258" spans="1:6" x14ac:dyDescent="0.3">
      <c r="A258" s="2">
        <v>405161</v>
      </c>
      <c r="B258" s="2" t="s">
        <v>268</v>
      </c>
      <c r="C258" s="15">
        <v>0</v>
      </c>
      <c r="D258" s="15">
        <v>1</v>
      </c>
      <c r="E258" s="15">
        <v>0</v>
      </c>
      <c r="F258" s="15">
        <f t="shared" si="3"/>
        <v>1</v>
      </c>
    </row>
    <row r="259" spans="1:6" x14ac:dyDescent="0.3">
      <c r="A259" s="2">
        <v>107417</v>
      </c>
      <c r="B259" s="2" t="s">
        <v>269</v>
      </c>
      <c r="C259" s="15">
        <v>0</v>
      </c>
      <c r="D259" s="15">
        <v>1</v>
      </c>
      <c r="E259" s="15">
        <v>0</v>
      </c>
      <c r="F259" s="15">
        <f t="shared" ref="F259:F322" si="4">COUNTIF(C259:E259,1)</f>
        <v>1</v>
      </c>
    </row>
    <row r="260" spans="1:6" x14ac:dyDescent="0.3">
      <c r="A260" s="2">
        <v>405524</v>
      </c>
      <c r="B260" s="2" t="s">
        <v>270</v>
      </c>
      <c r="C260" s="15">
        <v>0</v>
      </c>
      <c r="D260" s="15">
        <v>1</v>
      </c>
      <c r="E260" s="15">
        <v>0</v>
      </c>
      <c r="F260" s="15">
        <f t="shared" si="4"/>
        <v>1</v>
      </c>
    </row>
    <row r="261" spans="1:6" x14ac:dyDescent="0.3">
      <c r="A261" s="2">
        <v>405214</v>
      </c>
      <c r="B261" s="2" t="s">
        <v>271</v>
      </c>
      <c r="C261" s="15">
        <v>0</v>
      </c>
      <c r="D261" s="15">
        <v>1</v>
      </c>
      <c r="E261" s="15">
        <v>0</v>
      </c>
      <c r="F261" s="15">
        <f t="shared" si="4"/>
        <v>1</v>
      </c>
    </row>
    <row r="262" spans="1:6" x14ac:dyDescent="0.3">
      <c r="A262" s="2">
        <v>107317</v>
      </c>
      <c r="B262" s="2" t="s">
        <v>272</v>
      </c>
      <c r="C262" s="15">
        <v>0</v>
      </c>
      <c r="D262" s="15">
        <v>1</v>
      </c>
      <c r="E262" s="15">
        <v>0</v>
      </c>
      <c r="F262" s="15">
        <f t="shared" si="4"/>
        <v>1</v>
      </c>
    </row>
    <row r="263" spans="1:6" x14ac:dyDescent="0.3">
      <c r="A263" s="2">
        <v>107240</v>
      </c>
      <c r="B263" s="2" t="s">
        <v>273</v>
      </c>
      <c r="C263" s="15">
        <v>0</v>
      </c>
      <c r="D263" s="15">
        <v>1</v>
      </c>
      <c r="E263" s="15">
        <v>0</v>
      </c>
      <c r="F263" s="15">
        <f t="shared" si="4"/>
        <v>1</v>
      </c>
    </row>
    <row r="264" spans="1:6" x14ac:dyDescent="0.3">
      <c r="A264" s="2">
        <v>403244</v>
      </c>
      <c r="B264" s="2" t="s">
        <v>274</v>
      </c>
      <c r="C264" s="15">
        <v>1</v>
      </c>
      <c r="D264" s="15">
        <v>1</v>
      </c>
      <c r="E264" s="15">
        <v>0</v>
      </c>
      <c r="F264" s="15">
        <f t="shared" si="4"/>
        <v>2</v>
      </c>
    </row>
    <row r="265" spans="1:6" x14ac:dyDescent="0.3">
      <c r="A265" s="2">
        <v>405489</v>
      </c>
      <c r="B265" s="2" t="s">
        <v>275</v>
      </c>
      <c r="C265" s="15">
        <v>1</v>
      </c>
      <c r="D265" s="15">
        <v>1</v>
      </c>
      <c r="E265" s="15">
        <v>0</v>
      </c>
      <c r="F265" s="15">
        <f t="shared" si="4"/>
        <v>2</v>
      </c>
    </row>
    <row r="266" spans="1:6" x14ac:dyDescent="0.3">
      <c r="A266" s="2">
        <v>405770</v>
      </c>
      <c r="B266" s="2" t="s">
        <v>276</v>
      </c>
      <c r="C266" s="15">
        <v>0</v>
      </c>
      <c r="D266" s="15">
        <v>1</v>
      </c>
      <c r="E266" s="15">
        <v>0</v>
      </c>
      <c r="F266" s="15">
        <f t="shared" si="4"/>
        <v>1</v>
      </c>
    </row>
    <row r="267" spans="1:6" x14ac:dyDescent="0.3">
      <c r="A267" s="2">
        <v>405594</v>
      </c>
      <c r="B267" s="2" t="s">
        <v>277</v>
      </c>
      <c r="C267" s="15">
        <v>0</v>
      </c>
      <c r="D267" s="15">
        <v>1</v>
      </c>
      <c r="E267" s="15">
        <v>0</v>
      </c>
      <c r="F267" s="15">
        <f t="shared" si="4"/>
        <v>1</v>
      </c>
    </row>
    <row r="268" spans="1:6" x14ac:dyDescent="0.3">
      <c r="A268" s="2">
        <v>201002</v>
      </c>
      <c r="B268" s="2" t="s">
        <v>278</v>
      </c>
      <c r="C268" s="15">
        <v>0</v>
      </c>
      <c r="D268" s="15">
        <v>1</v>
      </c>
      <c r="E268" s="15">
        <v>0</v>
      </c>
      <c r="F268" s="15">
        <f t="shared" si="4"/>
        <v>1</v>
      </c>
    </row>
    <row r="269" spans="1:6" x14ac:dyDescent="0.3">
      <c r="A269" s="2">
        <v>405739</v>
      </c>
      <c r="B269" s="2" t="s">
        <v>279</v>
      </c>
      <c r="C269" s="15">
        <v>0</v>
      </c>
      <c r="D269" s="15">
        <v>1</v>
      </c>
      <c r="E269" s="15">
        <v>0</v>
      </c>
      <c r="F269" s="15">
        <f t="shared" si="4"/>
        <v>1</v>
      </c>
    </row>
    <row r="270" spans="1:6" x14ac:dyDescent="0.3">
      <c r="A270" s="2">
        <v>403108</v>
      </c>
      <c r="B270" s="2" t="s">
        <v>280</v>
      </c>
      <c r="C270" s="15">
        <v>1</v>
      </c>
      <c r="D270" s="15">
        <v>1</v>
      </c>
      <c r="E270" s="15">
        <v>0</v>
      </c>
      <c r="F270" s="15">
        <f t="shared" si="4"/>
        <v>2</v>
      </c>
    </row>
    <row r="271" spans="1:6" x14ac:dyDescent="0.3">
      <c r="A271" s="2">
        <v>405741</v>
      </c>
      <c r="B271" s="2" t="s">
        <v>281</v>
      </c>
      <c r="C271" s="15">
        <v>1</v>
      </c>
      <c r="D271" s="15">
        <v>1</v>
      </c>
      <c r="E271" s="15">
        <v>0</v>
      </c>
      <c r="F271" s="15">
        <f t="shared" si="4"/>
        <v>2</v>
      </c>
    </row>
    <row r="272" spans="1:6" x14ac:dyDescent="0.3">
      <c r="A272" s="2">
        <v>403100</v>
      </c>
      <c r="B272" s="2" t="s">
        <v>282</v>
      </c>
      <c r="C272" s="15">
        <v>1</v>
      </c>
      <c r="D272" s="15">
        <v>1</v>
      </c>
      <c r="E272" s="15">
        <v>0</v>
      </c>
      <c r="F272" s="15">
        <f t="shared" si="4"/>
        <v>2</v>
      </c>
    </row>
    <row r="273" spans="1:6" x14ac:dyDescent="0.3">
      <c r="A273" s="2">
        <v>107125</v>
      </c>
      <c r="B273" s="2" t="s">
        <v>283</v>
      </c>
      <c r="C273" s="15">
        <v>1</v>
      </c>
      <c r="D273" s="15">
        <v>1</v>
      </c>
      <c r="E273" s="15">
        <v>0</v>
      </c>
      <c r="F273" s="15">
        <f t="shared" si="4"/>
        <v>2</v>
      </c>
    </row>
    <row r="274" spans="1:6" x14ac:dyDescent="0.3">
      <c r="A274" s="2">
        <v>107124</v>
      </c>
      <c r="B274" s="2" t="s">
        <v>284</v>
      </c>
      <c r="C274" s="15">
        <v>1</v>
      </c>
      <c r="D274" s="15">
        <v>1</v>
      </c>
      <c r="E274" s="15">
        <v>0</v>
      </c>
      <c r="F274" s="15">
        <f t="shared" si="4"/>
        <v>2</v>
      </c>
    </row>
    <row r="275" spans="1:6" x14ac:dyDescent="0.3">
      <c r="A275" s="2">
        <v>405720</v>
      </c>
      <c r="B275" s="2" t="s">
        <v>285</v>
      </c>
      <c r="C275" s="15">
        <v>0</v>
      </c>
      <c r="D275" s="15">
        <v>1</v>
      </c>
      <c r="E275" s="15">
        <v>0</v>
      </c>
      <c r="F275" s="15">
        <f t="shared" si="4"/>
        <v>1</v>
      </c>
    </row>
    <row r="276" spans="1:6" x14ac:dyDescent="0.3">
      <c r="A276" s="2">
        <v>405719</v>
      </c>
      <c r="B276" s="2" t="s">
        <v>286</v>
      </c>
      <c r="C276" s="15">
        <v>0</v>
      </c>
      <c r="D276" s="15">
        <v>1</v>
      </c>
      <c r="E276" s="15">
        <v>0</v>
      </c>
      <c r="F276" s="15">
        <f t="shared" si="4"/>
        <v>1</v>
      </c>
    </row>
    <row r="277" spans="1:6" x14ac:dyDescent="0.3">
      <c r="A277" s="2">
        <v>405773</v>
      </c>
      <c r="B277" s="2" t="s">
        <v>287</v>
      </c>
      <c r="C277" s="15">
        <v>0</v>
      </c>
      <c r="D277" s="15">
        <v>1</v>
      </c>
      <c r="E277" s="15">
        <v>0</v>
      </c>
      <c r="F277" s="15">
        <f t="shared" si="4"/>
        <v>1</v>
      </c>
    </row>
    <row r="278" spans="1:6" x14ac:dyDescent="0.3">
      <c r="A278" s="2">
        <v>405354</v>
      </c>
      <c r="B278" s="2" t="s">
        <v>288</v>
      </c>
      <c r="C278" s="15">
        <v>0</v>
      </c>
      <c r="D278" s="15">
        <v>1</v>
      </c>
      <c r="E278" s="15">
        <v>0</v>
      </c>
      <c r="F278" s="15">
        <f t="shared" si="4"/>
        <v>1</v>
      </c>
    </row>
    <row r="279" spans="1:6" x14ac:dyDescent="0.3">
      <c r="A279" s="2">
        <v>405704</v>
      </c>
      <c r="B279" s="2" t="s">
        <v>289</v>
      </c>
      <c r="C279" s="15">
        <v>0</v>
      </c>
      <c r="D279" s="15">
        <v>1</v>
      </c>
      <c r="E279" s="15">
        <v>0</v>
      </c>
      <c r="F279" s="15">
        <f t="shared" si="4"/>
        <v>1</v>
      </c>
    </row>
    <row r="280" spans="1:6" x14ac:dyDescent="0.3">
      <c r="A280" s="2">
        <v>405356</v>
      </c>
      <c r="B280" s="2" t="s">
        <v>290</v>
      </c>
      <c r="C280" s="15">
        <v>0</v>
      </c>
      <c r="D280" s="15">
        <v>1</v>
      </c>
      <c r="E280" s="15">
        <v>0</v>
      </c>
      <c r="F280" s="15">
        <f t="shared" si="4"/>
        <v>1</v>
      </c>
    </row>
    <row r="281" spans="1:6" x14ac:dyDescent="0.3">
      <c r="A281" s="2">
        <v>405357</v>
      </c>
      <c r="B281" s="2" t="s">
        <v>291</v>
      </c>
      <c r="C281" s="15">
        <v>0</v>
      </c>
      <c r="D281" s="15">
        <v>1</v>
      </c>
      <c r="E281" s="15">
        <v>0</v>
      </c>
      <c r="F281" s="15">
        <f t="shared" si="4"/>
        <v>1</v>
      </c>
    </row>
    <row r="282" spans="1:6" x14ac:dyDescent="0.3">
      <c r="A282" s="2">
        <v>405718</v>
      </c>
      <c r="B282" s="2" t="s">
        <v>292</v>
      </c>
      <c r="C282" s="15">
        <v>0</v>
      </c>
      <c r="D282" s="15">
        <v>1</v>
      </c>
      <c r="E282" s="15">
        <v>0</v>
      </c>
      <c r="F282" s="15">
        <f t="shared" si="4"/>
        <v>1</v>
      </c>
    </row>
    <row r="283" spans="1:6" x14ac:dyDescent="0.3">
      <c r="A283" s="2">
        <v>405736</v>
      </c>
      <c r="B283" s="2" t="s">
        <v>293</v>
      </c>
      <c r="C283" s="15">
        <v>0</v>
      </c>
      <c r="D283" s="15">
        <v>1</v>
      </c>
      <c r="E283" s="15">
        <v>0</v>
      </c>
      <c r="F283" s="15">
        <f t="shared" si="4"/>
        <v>1</v>
      </c>
    </row>
    <row r="284" spans="1:6" x14ac:dyDescent="0.3">
      <c r="A284" s="2">
        <v>405710</v>
      </c>
      <c r="B284" s="2" t="s">
        <v>294</v>
      </c>
      <c r="C284" s="15">
        <v>0</v>
      </c>
      <c r="D284" s="15">
        <v>1</v>
      </c>
      <c r="E284" s="15">
        <v>0</v>
      </c>
      <c r="F284" s="15">
        <f t="shared" si="4"/>
        <v>1</v>
      </c>
    </row>
    <row r="285" spans="1:6" x14ac:dyDescent="0.3">
      <c r="A285" s="2">
        <v>405711</v>
      </c>
      <c r="B285" s="2" t="s">
        <v>295</v>
      </c>
      <c r="C285" s="15">
        <v>0</v>
      </c>
      <c r="D285" s="15">
        <v>1</v>
      </c>
      <c r="E285" s="15">
        <v>0</v>
      </c>
      <c r="F285" s="15">
        <f t="shared" si="4"/>
        <v>1</v>
      </c>
    </row>
    <row r="286" spans="1:6" x14ac:dyDescent="0.3">
      <c r="A286" s="2">
        <v>405713</v>
      </c>
      <c r="B286" s="2" t="s">
        <v>296</v>
      </c>
      <c r="C286" s="15">
        <v>0</v>
      </c>
      <c r="D286" s="15">
        <v>1</v>
      </c>
      <c r="E286" s="15">
        <v>0</v>
      </c>
      <c r="F286" s="15">
        <f t="shared" si="4"/>
        <v>1</v>
      </c>
    </row>
    <row r="287" spans="1:6" x14ac:dyDescent="0.3">
      <c r="A287" s="2">
        <v>405733</v>
      </c>
      <c r="B287" s="2" t="s">
        <v>297</v>
      </c>
      <c r="C287" s="15">
        <v>0</v>
      </c>
      <c r="D287" s="15">
        <v>1</v>
      </c>
      <c r="E287" s="15">
        <v>0</v>
      </c>
      <c r="F287" s="15">
        <f t="shared" si="4"/>
        <v>1</v>
      </c>
    </row>
    <row r="288" spans="1:6" x14ac:dyDescent="0.3">
      <c r="A288" s="2">
        <v>405709</v>
      </c>
      <c r="B288" s="2" t="s">
        <v>298</v>
      </c>
      <c r="C288" s="15">
        <v>0</v>
      </c>
      <c r="D288" s="15">
        <v>1</v>
      </c>
      <c r="E288" s="15">
        <v>0</v>
      </c>
      <c r="F288" s="15">
        <f t="shared" si="4"/>
        <v>1</v>
      </c>
    </row>
    <row r="289" spans="1:6" x14ac:dyDescent="0.3">
      <c r="A289" s="2">
        <v>405737</v>
      </c>
      <c r="B289" s="2" t="s">
        <v>299</v>
      </c>
      <c r="C289" s="15">
        <v>0</v>
      </c>
      <c r="D289" s="15">
        <v>1</v>
      </c>
      <c r="E289" s="15">
        <v>0</v>
      </c>
      <c r="F289" s="15">
        <f t="shared" si="4"/>
        <v>1</v>
      </c>
    </row>
    <row r="290" spans="1:6" x14ac:dyDescent="0.3">
      <c r="A290" s="2">
        <v>405734</v>
      </c>
      <c r="B290" s="2" t="s">
        <v>300</v>
      </c>
      <c r="C290" s="15">
        <v>0</v>
      </c>
      <c r="D290" s="15">
        <v>1</v>
      </c>
      <c r="E290" s="15">
        <v>0</v>
      </c>
      <c r="F290" s="15">
        <f t="shared" si="4"/>
        <v>1</v>
      </c>
    </row>
    <row r="291" spans="1:6" x14ac:dyDescent="0.3">
      <c r="A291" s="2">
        <v>405716</v>
      </c>
      <c r="B291" s="2" t="s">
        <v>301</v>
      </c>
      <c r="C291" s="15">
        <v>0</v>
      </c>
      <c r="D291" s="15">
        <v>1</v>
      </c>
      <c r="E291" s="15">
        <v>0</v>
      </c>
      <c r="F291" s="15">
        <f t="shared" si="4"/>
        <v>1</v>
      </c>
    </row>
    <row r="292" spans="1:6" x14ac:dyDescent="0.3">
      <c r="A292" s="2">
        <v>405717</v>
      </c>
      <c r="B292" s="2" t="s">
        <v>302</v>
      </c>
      <c r="C292" s="15">
        <v>0</v>
      </c>
      <c r="D292" s="15">
        <v>1</v>
      </c>
      <c r="E292" s="15">
        <v>0</v>
      </c>
      <c r="F292" s="15">
        <f t="shared" si="4"/>
        <v>1</v>
      </c>
    </row>
    <row r="293" spans="1:6" x14ac:dyDescent="0.3">
      <c r="A293" s="2">
        <v>405714</v>
      </c>
      <c r="B293" s="2" t="s">
        <v>303</v>
      </c>
      <c r="C293" s="15">
        <v>0</v>
      </c>
      <c r="D293" s="15">
        <v>1</v>
      </c>
      <c r="E293" s="15">
        <v>0</v>
      </c>
      <c r="F293" s="15">
        <f t="shared" si="4"/>
        <v>1</v>
      </c>
    </row>
    <row r="294" spans="1:6" x14ac:dyDescent="0.3">
      <c r="A294" s="2">
        <v>405735</v>
      </c>
      <c r="B294" s="2" t="s">
        <v>304</v>
      </c>
      <c r="C294" s="15">
        <v>0</v>
      </c>
      <c r="D294" s="15">
        <v>1</v>
      </c>
      <c r="E294" s="15">
        <v>0</v>
      </c>
      <c r="F294" s="15">
        <f t="shared" si="4"/>
        <v>1</v>
      </c>
    </row>
    <row r="295" spans="1:6" x14ac:dyDescent="0.3">
      <c r="A295" s="2">
        <v>405771</v>
      </c>
      <c r="B295" s="2" t="s">
        <v>305</v>
      </c>
      <c r="C295" s="15">
        <v>0</v>
      </c>
      <c r="D295" s="15">
        <v>1</v>
      </c>
      <c r="E295" s="15">
        <v>0</v>
      </c>
      <c r="F295" s="15">
        <f t="shared" si="4"/>
        <v>1</v>
      </c>
    </row>
    <row r="296" spans="1:6" x14ac:dyDescent="0.3">
      <c r="A296" s="2">
        <v>405772</v>
      </c>
      <c r="B296" s="2" t="s">
        <v>306</v>
      </c>
      <c r="C296" s="15">
        <v>0</v>
      </c>
      <c r="D296" s="15">
        <v>1</v>
      </c>
      <c r="E296" s="15">
        <v>0</v>
      </c>
      <c r="F296" s="15">
        <f t="shared" si="4"/>
        <v>1</v>
      </c>
    </row>
    <row r="297" spans="1:6" x14ac:dyDescent="0.3">
      <c r="A297" s="2">
        <v>404720</v>
      </c>
      <c r="B297" s="2" t="s">
        <v>307</v>
      </c>
      <c r="C297" s="15">
        <v>1</v>
      </c>
      <c r="D297" s="15">
        <v>1</v>
      </c>
      <c r="E297" s="15">
        <v>1</v>
      </c>
      <c r="F297" s="15">
        <f t="shared" si="4"/>
        <v>3</v>
      </c>
    </row>
    <row r="298" spans="1:6" x14ac:dyDescent="0.3">
      <c r="A298" s="2">
        <v>405479</v>
      </c>
      <c r="B298" s="2" t="s">
        <v>308</v>
      </c>
      <c r="C298" s="15">
        <v>0</v>
      </c>
      <c r="D298" s="15">
        <v>1</v>
      </c>
      <c r="E298" s="15">
        <v>0</v>
      </c>
      <c r="F298" s="15">
        <f t="shared" si="4"/>
        <v>1</v>
      </c>
    </row>
    <row r="299" spans="1:6" x14ac:dyDescent="0.3">
      <c r="A299" s="2">
        <v>405721</v>
      </c>
      <c r="B299" s="2" t="s">
        <v>309</v>
      </c>
      <c r="C299" s="15">
        <v>0</v>
      </c>
      <c r="D299" s="15">
        <v>1</v>
      </c>
      <c r="E299" s="15">
        <v>1</v>
      </c>
      <c r="F299" s="15">
        <f t="shared" si="4"/>
        <v>2</v>
      </c>
    </row>
    <row r="300" spans="1:6" x14ac:dyDescent="0.3">
      <c r="A300" s="2">
        <v>405722</v>
      </c>
      <c r="B300" s="2" t="s">
        <v>310</v>
      </c>
      <c r="C300" s="15">
        <v>0</v>
      </c>
      <c r="D300" s="15">
        <v>1</v>
      </c>
      <c r="E300" s="15">
        <v>0</v>
      </c>
      <c r="F300" s="15">
        <f t="shared" si="4"/>
        <v>1</v>
      </c>
    </row>
    <row r="301" spans="1:6" x14ac:dyDescent="0.3">
      <c r="A301" s="2">
        <v>405199</v>
      </c>
      <c r="B301" s="2" t="s">
        <v>311</v>
      </c>
      <c r="C301" s="15">
        <v>0</v>
      </c>
      <c r="D301" s="15">
        <v>1</v>
      </c>
      <c r="E301" s="15">
        <v>0</v>
      </c>
      <c r="F301" s="15">
        <f t="shared" si="4"/>
        <v>1</v>
      </c>
    </row>
    <row r="302" spans="1:6" x14ac:dyDescent="0.3">
      <c r="A302" s="2">
        <v>405738</v>
      </c>
      <c r="B302" s="2" t="s">
        <v>312</v>
      </c>
      <c r="C302" s="15">
        <v>0</v>
      </c>
      <c r="D302" s="15">
        <v>1</v>
      </c>
      <c r="E302" s="15">
        <v>0</v>
      </c>
      <c r="F302" s="15">
        <f t="shared" si="4"/>
        <v>1</v>
      </c>
    </row>
    <row r="303" spans="1:6" x14ac:dyDescent="0.3">
      <c r="A303" s="2">
        <v>405493</v>
      </c>
      <c r="B303" s="2" t="s">
        <v>313</v>
      </c>
      <c r="C303" s="15">
        <v>0</v>
      </c>
      <c r="D303" s="15">
        <v>1</v>
      </c>
      <c r="E303" s="15">
        <v>0</v>
      </c>
      <c r="F303" s="15">
        <f t="shared" si="4"/>
        <v>1</v>
      </c>
    </row>
    <row r="304" spans="1:6" x14ac:dyDescent="0.3">
      <c r="A304" s="2">
        <v>405494</v>
      </c>
      <c r="B304" s="2" t="s">
        <v>314</v>
      </c>
      <c r="C304" s="15">
        <v>0</v>
      </c>
      <c r="D304" s="15">
        <v>1</v>
      </c>
      <c r="E304" s="15">
        <v>0</v>
      </c>
      <c r="F304" s="15">
        <f t="shared" si="4"/>
        <v>1</v>
      </c>
    </row>
    <row r="305" spans="1:6" x14ac:dyDescent="0.3">
      <c r="A305" s="2">
        <v>405497</v>
      </c>
      <c r="B305" s="2" t="s">
        <v>315</v>
      </c>
      <c r="C305" s="15">
        <v>0</v>
      </c>
      <c r="D305" s="15">
        <v>1</v>
      </c>
      <c r="E305" s="15">
        <v>0</v>
      </c>
      <c r="F305" s="15">
        <f t="shared" si="4"/>
        <v>1</v>
      </c>
    </row>
    <row r="306" spans="1:6" x14ac:dyDescent="0.3">
      <c r="A306" s="2">
        <v>405495</v>
      </c>
      <c r="B306" s="2" t="s">
        <v>316</v>
      </c>
      <c r="C306" s="15">
        <v>0</v>
      </c>
      <c r="D306" s="15">
        <v>1</v>
      </c>
      <c r="E306" s="15">
        <v>0</v>
      </c>
      <c r="F306" s="15">
        <f t="shared" si="4"/>
        <v>1</v>
      </c>
    </row>
    <row r="307" spans="1:6" x14ac:dyDescent="0.3">
      <c r="A307" s="2">
        <v>405498</v>
      </c>
      <c r="B307" s="2" t="s">
        <v>317</v>
      </c>
      <c r="C307" s="15">
        <v>0</v>
      </c>
      <c r="D307" s="15">
        <v>1</v>
      </c>
      <c r="E307" s="15">
        <v>0</v>
      </c>
      <c r="F307" s="15">
        <f t="shared" si="4"/>
        <v>1</v>
      </c>
    </row>
    <row r="308" spans="1:6" x14ac:dyDescent="0.3">
      <c r="A308" s="2">
        <v>107408</v>
      </c>
      <c r="B308" s="2" t="s">
        <v>318</v>
      </c>
      <c r="C308" s="15">
        <v>0</v>
      </c>
      <c r="D308" s="15">
        <v>1</v>
      </c>
      <c r="E308" s="15">
        <v>0</v>
      </c>
      <c r="F308" s="15">
        <f t="shared" si="4"/>
        <v>1</v>
      </c>
    </row>
    <row r="309" spans="1:6" x14ac:dyDescent="0.3">
      <c r="A309" s="2">
        <v>405491</v>
      </c>
      <c r="B309" s="2" t="s">
        <v>319</v>
      </c>
      <c r="C309" s="15">
        <v>0</v>
      </c>
      <c r="D309" s="15">
        <v>1</v>
      </c>
      <c r="E309" s="15">
        <v>0</v>
      </c>
      <c r="F309" s="15">
        <f t="shared" si="4"/>
        <v>1</v>
      </c>
    </row>
    <row r="310" spans="1:6" x14ac:dyDescent="0.3">
      <c r="A310" s="2">
        <v>107183</v>
      </c>
      <c r="B310" s="2" t="s">
        <v>320</v>
      </c>
      <c r="C310" s="15">
        <v>0</v>
      </c>
      <c r="D310" s="15">
        <v>1</v>
      </c>
      <c r="E310" s="15">
        <v>0</v>
      </c>
      <c r="F310" s="15">
        <f t="shared" si="4"/>
        <v>1</v>
      </c>
    </row>
    <row r="311" spans="1:6" x14ac:dyDescent="0.3">
      <c r="A311" s="2">
        <v>107335</v>
      </c>
      <c r="B311" s="2" t="s">
        <v>321</v>
      </c>
      <c r="C311" s="15">
        <v>0</v>
      </c>
      <c r="D311" s="15">
        <v>1</v>
      </c>
      <c r="E311" s="15">
        <v>0</v>
      </c>
      <c r="F311" s="15">
        <f t="shared" si="4"/>
        <v>1</v>
      </c>
    </row>
    <row r="312" spans="1:6" x14ac:dyDescent="0.3">
      <c r="A312" s="2">
        <v>107311</v>
      </c>
      <c r="B312" s="2" t="s">
        <v>322</v>
      </c>
      <c r="C312" s="15">
        <v>0</v>
      </c>
      <c r="D312" s="15">
        <v>1</v>
      </c>
      <c r="E312" s="15">
        <v>0</v>
      </c>
      <c r="F312" s="15">
        <f t="shared" si="4"/>
        <v>1</v>
      </c>
    </row>
    <row r="313" spans="1:6" x14ac:dyDescent="0.3">
      <c r="A313" s="2">
        <v>403368</v>
      </c>
      <c r="B313" s="2" t="s">
        <v>323</v>
      </c>
      <c r="C313" s="15">
        <v>1</v>
      </c>
      <c r="D313" s="15">
        <v>1</v>
      </c>
      <c r="E313" s="15">
        <v>0</v>
      </c>
      <c r="F313" s="15">
        <f t="shared" si="4"/>
        <v>2</v>
      </c>
    </row>
    <row r="314" spans="1:6" x14ac:dyDescent="0.3">
      <c r="A314" s="2">
        <v>402257</v>
      </c>
      <c r="B314" s="2" t="s">
        <v>324</v>
      </c>
      <c r="C314" s="15">
        <v>1</v>
      </c>
      <c r="D314" s="15">
        <v>1</v>
      </c>
      <c r="E314" s="15">
        <v>1</v>
      </c>
      <c r="F314" s="15">
        <f t="shared" si="4"/>
        <v>3</v>
      </c>
    </row>
    <row r="315" spans="1:6" x14ac:dyDescent="0.3">
      <c r="A315" s="2">
        <v>501147</v>
      </c>
      <c r="B315" s="2" t="s">
        <v>325</v>
      </c>
      <c r="C315" s="15">
        <v>0</v>
      </c>
      <c r="D315" s="15">
        <v>1</v>
      </c>
      <c r="E315" s="15">
        <v>0</v>
      </c>
      <c r="F315" s="15">
        <f t="shared" si="4"/>
        <v>1</v>
      </c>
    </row>
    <row r="316" spans="1:6" x14ac:dyDescent="0.3">
      <c r="A316" s="2">
        <v>100303</v>
      </c>
      <c r="B316" s="2" t="s">
        <v>326</v>
      </c>
      <c r="C316" s="15">
        <v>0</v>
      </c>
      <c r="D316" s="15">
        <v>1</v>
      </c>
      <c r="E316" s="15">
        <v>0</v>
      </c>
      <c r="F316" s="15">
        <f t="shared" si="4"/>
        <v>1</v>
      </c>
    </row>
    <row r="317" spans="1:6" x14ac:dyDescent="0.3">
      <c r="A317" s="2">
        <v>405593</v>
      </c>
      <c r="B317" s="2" t="s">
        <v>327</v>
      </c>
      <c r="C317" s="15">
        <v>0</v>
      </c>
      <c r="D317" s="15">
        <v>1</v>
      </c>
      <c r="E317" s="15">
        <v>0</v>
      </c>
      <c r="F317" s="15">
        <f t="shared" si="4"/>
        <v>1</v>
      </c>
    </row>
    <row r="318" spans="1:6" x14ac:dyDescent="0.3">
      <c r="A318" s="2">
        <v>107147</v>
      </c>
      <c r="B318" s="2" t="s">
        <v>328</v>
      </c>
      <c r="C318" s="15">
        <v>0</v>
      </c>
      <c r="D318" s="15">
        <v>1</v>
      </c>
      <c r="E318" s="15">
        <v>0</v>
      </c>
      <c r="F318" s="15">
        <f t="shared" si="4"/>
        <v>1</v>
      </c>
    </row>
    <row r="319" spans="1:6" x14ac:dyDescent="0.3">
      <c r="A319" s="2">
        <v>405745</v>
      </c>
      <c r="B319" s="2" t="s">
        <v>329</v>
      </c>
      <c r="C319" s="15">
        <v>0</v>
      </c>
      <c r="D319" s="15">
        <v>1</v>
      </c>
      <c r="E319" s="15">
        <v>0</v>
      </c>
      <c r="F319" s="15">
        <f t="shared" si="4"/>
        <v>1</v>
      </c>
    </row>
    <row r="320" spans="1:6" x14ac:dyDescent="0.3">
      <c r="A320" s="2">
        <v>103007</v>
      </c>
      <c r="B320" s="2" t="s">
        <v>330</v>
      </c>
      <c r="C320" s="15">
        <v>0</v>
      </c>
      <c r="D320" s="15">
        <v>1</v>
      </c>
      <c r="E320" s="15">
        <v>0</v>
      </c>
      <c r="F320" s="15">
        <f t="shared" si="4"/>
        <v>1</v>
      </c>
    </row>
    <row r="321" spans="1:6" x14ac:dyDescent="0.3">
      <c r="A321" s="2">
        <v>107324</v>
      </c>
      <c r="B321" s="2" t="s">
        <v>331</v>
      </c>
      <c r="C321" s="15">
        <v>1</v>
      </c>
      <c r="D321" s="15">
        <v>1</v>
      </c>
      <c r="E321" s="15">
        <v>1</v>
      </c>
      <c r="F321" s="15">
        <f t="shared" si="4"/>
        <v>3</v>
      </c>
    </row>
    <row r="322" spans="1:6" x14ac:dyDescent="0.3">
      <c r="A322" s="2">
        <v>107155</v>
      </c>
      <c r="B322" s="2" t="s">
        <v>332</v>
      </c>
      <c r="C322" s="15">
        <v>1</v>
      </c>
      <c r="D322" s="15">
        <v>1</v>
      </c>
      <c r="E322" s="15">
        <v>0</v>
      </c>
      <c r="F322" s="15">
        <f t="shared" si="4"/>
        <v>2</v>
      </c>
    </row>
    <row r="323" spans="1:6" x14ac:dyDescent="0.3">
      <c r="A323" s="2">
        <v>107321</v>
      </c>
      <c r="B323" s="2" t="s">
        <v>333</v>
      </c>
      <c r="C323" s="15">
        <v>1</v>
      </c>
      <c r="D323" s="15">
        <v>1</v>
      </c>
      <c r="E323" s="15">
        <v>0</v>
      </c>
      <c r="F323" s="15">
        <f t="shared" ref="F323:F369" si="5">COUNTIF(C323:E323,1)</f>
        <v>2</v>
      </c>
    </row>
    <row r="324" spans="1:6" x14ac:dyDescent="0.3">
      <c r="A324" s="2">
        <v>405318</v>
      </c>
      <c r="B324" s="2" t="s">
        <v>334</v>
      </c>
      <c r="C324" s="15">
        <v>0</v>
      </c>
      <c r="D324" s="15">
        <v>1</v>
      </c>
      <c r="E324" s="15">
        <v>0</v>
      </c>
      <c r="F324" s="15">
        <f t="shared" si="5"/>
        <v>1</v>
      </c>
    </row>
    <row r="325" spans="1:6" x14ac:dyDescent="0.3">
      <c r="A325" s="2">
        <v>403391</v>
      </c>
      <c r="B325" s="2" t="s">
        <v>335</v>
      </c>
      <c r="C325" s="15">
        <v>1</v>
      </c>
      <c r="D325" s="15">
        <v>1</v>
      </c>
      <c r="E325" s="15">
        <v>0</v>
      </c>
      <c r="F325" s="15">
        <f t="shared" si="5"/>
        <v>2</v>
      </c>
    </row>
    <row r="326" spans="1:6" x14ac:dyDescent="0.3">
      <c r="A326" s="2">
        <v>403408</v>
      </c>
      <c r="B326" s="2" t="s">
        <v>336</v>
      </c>
      <c r="C326" s="15">
        <v>0</v>
      </c>
      <c r="D326" s="15">
        <v>1</v>
      </c>
      <c r="E326" s="15">
        <v>0</v>
      </c>
      <c r="F326" s="15">
        <f t="shared" si="5"/>
        <v>1</v>
      </c>
    </row>
    <row r="327" spans="1:6" x14ac:dyDescent="0.3">
      <c r="A327" s="2">
        <v>403407</v>
      </c>
      <c r="B327" s="2" t="s">
        <v>337</v>
      </c>
      <c r="C327" s="15">
        <v>1</v>
      </c>
      <c r="D327" s="15">
        <v>1</v>
      </c>
      <c r="E327" s="15">
        <v>0</v>
      </c>
      <c r="F327" s="15">
        <f t="shared" si="5"/>
        <v>2</v>
      </c>
    </row>
    <row r="328" spans="1:6" x14ac:dyDescent="0.3">
      <c r="A328" s="2">
        <v>107131</v>
      </c>
      <c r="B328" s="2" t="s">
        <v>338</v>
      </c>
      <c r="C328" s="15">
        <v>0</v>
      </c>
      <c r="D328" s="15">
        <v>1</v>
      </c>
      <c r="E328" s="15">
        <v>0</v>
      </c>
      <c r="F328" s="15">
        <f t="shared" si="5"/>
        <v>1</v>
      </c>
    </row>
    <row r="329" spans="1:6" x14ac:dyDescent="0.3">
      <c r="A329" s="2">
        <v>107359</v>
      </c>
      <c r="B329" s="2" t="s">
        <v>339</v>
      </c>
      <c r="C329" s="15">
        <v>0</v>
      </c>
      <c r="D329" s="15">
        <v>1</v>
      </c>
      <c r="E329" s="15">
        <v>0</v>
      </c>
      <c r="F329" s="15">
        <f t="shared" si="5"/>
        <v>1</v>
      </c>
    </row>
    <row r="330" spans="1:6" x14ac:dyDescent="0.3">
      <c r="A330" s="2">
        <v>100105</v>
      </c>
      <c r="B330" s="2" t="s">
        <v>340</v>
      </c>
      <c r="C330" s="15">
        <v>0</v>
      </c>
      <c r="D330" s="15">
        <v>1</v>
      </c>
      <c r="E330" s="15">
        <v>0</v>
      </c>
      <c r="F330" s="15">
        <f t="shared" si="5"/>
        <v>1</v>
      </c>
    </row>
    <row r="331" spans="1:6" x14ac:dyDescent="0.3">
      <c r="A331" s="2">
        <v>100207</v>
      </c>
      <c r="B331" s="2" t="s">
        <v>341</v>
      </c>
      <c r="C331" s="15">
        <v>0</v>
      </c>
      <c r="D331" s="15">
        <v>1</v>
      </c>
      <c r="E331" s="15">
        <v>0</v>
      </c>
      <c r="F331" s="15">
        <f t="shared" si="5"/>
        <v>1</v>
      </c>
    </row>
    <row r="332" spans="1:6" x14ac:dyDescent="0.3">
      <c r="A332" s="2">
        <v>403331</v>
      </c>
      <c r="B332" s="2" t="s">
        <v>342</v>
      </c>
      <c r="C332" s="15">
        <v>0</v>
      </c>
      <c r="D332" s="15">
        <v>1</v>
      </c>
      <c r="E332" s="15">
        <v>0</v>
      </c>
      <c r="F332" s="15">
        <f t="shared" si="5"/>
        <v>1</v>
      </c>
    </row>
    <row r="333" spans="1:6" x14ac:dyDescent="0.3">
      <c r="A333" s="2">
        <v>100221</v>
      </c>
      <c r="B333" s="2" t="s">
        <v>343</v>
      </c>
      <c r="C333" s="15">
        <v>0</v>
      </c>
      <c r="D333" s="15">
        <v>1</v>
      </c>
      <c r="E333" s="15">
        <v>0</v>
      </c>
      <c r="F333" s="15">
        <f t="shared" si="5"/>
        <v>1</v>
      </c>
    </row>
    <row r="334" spans="1:6" x14ac:dyDescent="0.3">
      <c r="A334" s="2">
        <v>402128</v>
      </c>
      <c r="B334" s="2" t="s">
        <v>344</v>
      </c>
      <c r="C334" s="15">
        <v>0</v>
      </c>
      <c r="D334" s="15">
        <v>1</v>
      </c>
      <c r="E334" s="15">
        <v>0</v>
      </c>
      <c r="F334" s="15">
        <f t="shared" si="5"/>
        <v>1</v>
      </c>
    </row>
    <row r="335" spans="1:6" x14ac:dyDescent="0.3">
      <c r="A335" s="2">
        <v>100200</v>
      </c>
      <c r="B335" s="2" t="s">
        <v>345</v>
      </c>
      <c r="C335" s="15">
        <v>0</v>
      </c>
      <c r="D335" s="15">
        <v>1</v>
      </c>
      <c r="E335" s="15">
        <v>0</v>
      </c>
      <c r="F335" s="15">
        <f t="shared" si="5"/>
        <v>1</v>
      </c>
    </row>
    <row r="336" spans="1:6" x14ac:dyDescent="0.3">
      <c r="A336" s="2">
        <v>405422</v>
      </c>
      <c r="B336" s="2" t="s">
        <v>346</v>
      </c>
      <c r="C336" s="15">
        <v>0</v>
      </c>
      <c r="D336" s="15">
        <v>1</v>
      </c>
      <c r="E336" s="15">
        <v>0</v>
      </c>
      <c r="F336" s="15">
        <f t="shared" si="5"/>
        <v>1</v>
      </c>
    </row>
    <row r="337" spans="1:6" x14ac:dyDescent="0.3">
      <c r="A337" s="2">
        <v>405732</v>
      </c>
      <c r="B337" s="2" t="s">
        <v>347</v>
      </c>
      <c r="C337" s="15">
        <v>0</v>
      </c>
      <c r="D337" s="15">
        <v>1</v>
      </c>
      <c r="E337" s="15">
        <v>0</v>
      </c>
      <c r="F337" s="15">
        <f t="shared" si="5"/>
        <v>1</v>
      </c>
    </row>
    <row r="338" spans="1:6" x14ac:dyDescent="0.3">
      <c r="A338" s="2">
        <v>403015</v>
      </c>
      <c r="B338" s="2" t="s">
        <v>348</v>
      </c>
      <c r="C338" s="15">
        <v>0</v>
      </c>
      <c r="D338" s="15">
        <v>1</v>
      </c>
      <c r="E338" s="15">
        <v>0</v>
      </c>
      <c r="F338" s="15">
        <f t="shared" si="5"/>
        <v>1</v>
      </c>
    </row>
    <row r="339" spans="1:6" x14ac:dyDescent="0.3">
      <c r="A339" s="2">
        <v>107351</v>
      </c>
      <c r="B339" s="2" t="s">
        <v>349</v>
      </c>
      <c r="C339" s="15">
        <v>0</v>
      </c>
      <c r="D339" s="15">
        <v>1</v>
      </c>
      <c r="E339" s="15">
        <v>0</v>
      </c>
      <c r="F339" s="15">
        <f t="shared" si="5"/>
        <v>1</v>
      </c>
    </row>
    <row r="340" spans="1:6" x14ac:dyDescent="0.3">
      <c r="A340" s="2">
        <v>405730</v>
      </c>
      <c r="B340" s="2" t="s">
        <v>350</v>
      </c>
      <c r="C340" s="15">
        <v>0</v>
      </c>
      <c r="D340" s="15">
        <v>1</v>
      </c>
      <c r="E340" s="15">
        <v>0</v>
      </c>
      <c r="F340" s="15">
        <f t="shared" si="5"/>
        <v>1</v>
      </c>
    </row>
    <row r="341" spans="1:6" x14ac:dyDescent="0.3">
      <c r="A341" s="2">
        <v>362029</v>
      </c>
      <c r="B341" s="2" t="s">
        <v>351</v>
      </c>
      <c r="C341" s="15">
        <v>1</v>
      </c>
      <c r="D341" s="15">
        <v>1</v>
      </c>
      <c r="E341" s="15">
        <v>0</v>
      </c>
      <c r="F341" s="15">
        <f t="shared" si="5"/>
        <v>2</v>
      </c>
    </row>
    <row r="342" spans="1:6" x14ac:dyDescent="0.3">
      <c r="A342" s="2">
        <v>393222</v>
      </c>
      <c r="B342" s="2" t="s">
        <v>352</v>
      </c>
      <c r="C342" s="15">
        <v>1</v>
      </c>
      <c r="D342" s="15">
        <v>1</v>
      </c>
      <c r="E342" s="15">
        <v>0</v>
      </c>
      <c r="F342" s="15">
        <f t="shared" si="5"/>
        <v>2</v>
      </c>
    </row>
    <row r="343" spans="1:6" x14ac:dyDescent="0.3">
      <c r="A343" s="2">
        <v>403269</v>
      </c>
      <c r="B343" s="2" t="s">
        <v>353</v>
      </c>
      <c r="C343" s="15">
        <v>1</v>
      </c>
      <c r="D343" s="15">
        <v>1</v>
      </c>
      <c r="E343" s="15">
        <v>1</v>
      </c>
      <c r="F343" s="15">
        <f t="shared" si="5"/>
        <v>3</v>
      </c>
    </row>
    <row r="344" spans="1:6" x14ac:dyDescent="0.3">
      <c r="A344" s="2">
        <v>201103</v>
      </c>
      <c r="B344" s="2" t="s">
        <v>354</v>
      </c>
      <c r="C344" s="15">
        <v>0</v>
      </c>
      <c r="D344" s="15">
        <v>1</v>
      </c>
      <c r="E344" s="15">
        <v>0</v>
      </c>
      <c r="F344" s="15">
        <f t="shared" si="5"/>
        <v>1</v>
      </c>
    </row>
    <row r="345" spans="1:6" x14ac:dyDescent="0.3">
      <c r="A345" s="2">
        <v>405558</v>
      </c>
      <c r="B345" s="2" t="s">
        <v>355</v>
      </c>
      <c r="C345" s="15">
        <v>0</v>
      </c>
      <c r="D345" s="15">
        <v>1</v>
      </c>
      <c r="E345" s="15">
        <v>0</v>
      </c>
      <c r="F345" s="15">
        <f t="shared" si="5"/>
        <v>1</v>
      </c>
    </row>
    <row r="346" spans="1:6" x14ac:dyDescent="0.3">
      <c r="A346" s="2">
        <v>107263</v>
      </c>
      <c r="B346" s="2" t="s">
        <v>356</v>
      </c>
      <c r="C346" s="15">
        <v>1</v>
      </c>
      <c r="D346" s="15">
        <v>1</v>
      </c>
      <c r="E346" s="15">
        <v>0</v>
      </c>
      <c r="F346" s="15">
        <f t="shared" si="5"/>
        <v>2</v>
      </c>
    </row>
    <row r="347" spans="1:6" x14ac:dyDescent="0.3">
      <c r="A347" s="2">
        <v>405612</v>
      </c>
      <c r="B347" s="2" t="s">
        <v>357</v>
      </c>
      <c r="C347" s="15">
        <v>0</v>
      </c>
      <c r="D347" s="15">
        <v>1</v>
      </c>
      <c r="E347" s="15">
        <v>0</v>
      </c>
      <c r="F347" s="15">
        <f t="shared" si="5"/>
        <v>1</v>
      </c>
    </row>
    <row r="348" spans="1:6" x14ac:dyDescent="0.3">
      <c r="A348" s="2">
        <v>405335</v>
      </c>
      <c r="B348" s="2" t="s">
        <v>358</v>
      </c>
      <c r="C348" s="15">
        <v>0</v>
      </c>
      <c r="D348" s="15">
        <v>1</v>
      </c>
      <c r="E348" s="15">
        <v>0</v>
      </c>
      <c r="F348" s="15">
        <f t="shared" si="5"/>
        <v>1</v>
      </c>
    </row>
    <row r="349" spans="1:6" x14ac:dyDescent="0.3">
      <c r="A349" s="2">
        <v>393253</v>
      </c>
      <c r="B349" s="2" t="s">
        <v>359</v>
      </c>
      <c r="C349" s="15">
        <v>1</v>
      </c>
      <c r="D349" s="15">
        <v>1</v>
      </c>
      <c r="E349" s="15">
        <v>0</v>
      </c>
      <c r="F349" s="15">
        <f t="shared" si="5"/>
        <v>2</v>
      </c>
    </row>
    <row r="350" spans="1:6" x14ac:dyDescent="0.3">
      <c r="A350" s="2">
        <v>405658</v>
      </c>
      <c r="B350" s="2" t="s">
        <v>360</v>
      </c>
      <c r="C350" s="15">
        <v>1</v>
      </c>
      <c r="D350" s="15">
        <v>1</v>
      </c>
      <c r="E350" s="15">
        <v>0</v>
      </c>
      <c r="F350" s="15">
        <f t="shared" si="5"/>
        <v>2</v>
      </c>
    </row>
    <row r="351" spans="1:6" x14ac:dyDescent="0.3">
      <c r="A351" s="2">
        <v>405311</v>
      </c>
      <c r="B351" s="2" t="s">
        <v>361</v>
      </c>
      <c r="C351" s="15">
        <v>1</v>
      </c>
      <c r="D351" s="15">
        <v>1</v>
      </c>
      <c r="E351" s="15">
        <v>0</v>
      </c>
      <c r="F351" s="15">
        <f t="shared" si="5"/>
        <v>2</v>
      </c>
    </row>
    <row r="352" spans="1:6" x14ac:dyDescent="0.3">
      <c r="A352" s="2">
        <v>400104</v>
      </c>
      <c r="B352" s="2" t="s">
        <v>401</v>
      </c>
      <c r="C352" s="15">
        <v>1</v>
      </c>
      <c r="D352" s="15">
        <f>IFERROR(VLOOKUP(A352,'[4]Consumo SEMANAL PV '!$B:$B,1,0),0)</f>
        <v>0</v>
      </c>
      <c r="E352" s="15">
        <v>1</v>
      </c>
      <c r="F352" s="15">
        <f t="shared" si="5"/>
        <v>2</v>
      </c>
    </row>
    <row r="353" spans="1:6" x14ac:dyDescent="0.3">
      <c r="A353" s="2">
        <v>403103</v>
      </c>
      <c r="B353" s="2" t="s">
        <v>402</v>
      </c>
      <c r="C353" s="15">
        <v>1</v>
      </c>
      <c r="D353" s="15">
        <f>IFERROR(VLOOKUP(A353,'[4]Consumo SEMANAL PV '!$B:$B,1,0),0)</f>
        <v>0</v>
      </c>
      <c r="E353" s="15">
        <v>1</v>
      </c>
      <c r="F353" s="15">
        <f t="shared" si="5"/>
        <v>2</v>
      </c>
    </row>
    <row r="354" spans="1:6" x14ac:dyDescent="0.3">
      <c r="A354" s="2">
        <v>107187</v>
      </c>
      <c r="B354" s="2" t="s">
        <v>403</v>
      </c>
      <c r="C354" s="15">
        <v>1</v>
      </c>
      <c r="D354" s="15">
        <f>IFERROR(VLOOKUP(A354,'[4]Consumo SEMANAL PV '!$B:$B,1,0),0)</f>
        <v>0</v>
      </c>
      <c r="E354" s="15">
        <v>1</v>
      </c>
      <c r="F354" s="15">
        <f t="shared" si="5"/>
        <v>2</v>
      </c>
    </row>
    <row r="355" spans="1:6" x14ac:dyDescent="0.3">
      <c r="A355" s="2">
        <v>107420</v>
      </c>
      <c r="B355" s="2" t="s">
        <v>404</v>
      </c>
      <c r="C355" s="15">
        <v>1</v>
      </c>
      <c r="D355" s="15">
        <f>IFERROR(VLOOKUP(A355,'[4]Consumo SEMANAL PV '!$B:$B,1,0),0)</f>
        <v>0</v>
      </c>
      <c r="E355" s="15">
        <v>1</v>
      </c>
      <c r="F355" s="15">
        <f t="shared" si="5"/>
        <v>2</v>
      </c>
    </row>
    <row r="356" spans="1:6" x14ac:dyDescent="0.3">
      <c r="A356" s="2">
        <v>405492</v>
      </c>
      <c r="B356" s="2" t="s">
        <v>405</v>
      </c>
      <c r="C356" s="15">
        <v>1</v>
      </c>
      <c r="D356" s="15">
        <v>1</v>
      </c>
      <c r="E356" s="15">
        <v>1</v>
      </c>
      <c r="F356" s="15">
        <f t="shared" si="5"/>
        <v>3</v>
      </c>
    </row>
    <row r="357" spans="1:6" x14ac:dyDescent="0.3">
      <c r="A357" s="2">
        <v>362099</v>
      </c>
      <c r="B357" s="2" t="s">
        <v>406</v>
      </c>
      <c r="C357" s="15">
        <v>1</v>
      </c>
      <c r="D357" s="15">
        <v>1</v>
      </c>
      <c r="E357" s="15">
        <v>1</v>
      </c>
      <c r="F357" s="15">
        <f t="shared" si="5"/>
        <v>3</v>
      </c>
    </row>
    <row r="358" spans="1:6" x14ac:dyDescent="0.3">
      <c r="A358" s="2">
        <v>100206</v>
      </c>
      <c r="B358" s="2" t="s">
        <v>407</v>
      </c>
      <c r="C358" s="15">
        <v>0</v>
      </c>
      <c r="D358" s="15">
        <v>1</v>
      </c>
      <c r="E358" s="15">
        <v>1</v>
      </c>
      <c r="F358" s="15">
        <f t="shared" si="5"/>
        <v>2</v>
      </c>
    </row>
    <row r="359" spans="1:6" x14ac:dyDescent="0.3">
      <c r="A359" s="2">
        <v>405705</v>
      </c>
      <c r="B359" s="2" t="s">
        <v>408</v>
      </c>
      <c r="C359" s="15">
        <v>0</v>
      </c>
      <c r="D359" s="15">
        <f>IFERROR(VLOOKUP(A359,'[4]Consumo SEMANAL PV '!$B:$B,1,0),0)</f>
        <v>0</v>
      </c>
      <c r="E359" s="15">
        <v>1</v>
      </c>
      <c r="F359" s="15">
        <f t="shared" si="5"/>
        <v>1</v>
      </c>
    </row>
    <row r="360" spans="1:6" x14ac:dyDescent="0.3">
      <c r="A360" s="2">
        <v>100104</v>
      </c>
      <c r="B360" s="2" t="s">
        <v>409</v>
      </c>
      <c r="C360" s="15">
        <v>0</v>
      </c>
      <c r="D360" s="15">
        <f>IFERROR(VLOOKUP(A360,'[4]Consumo SEMANAL PV '!$B:$B,1,0),0)</f>
        <v>0</v>
      </c>
      <c r="E360" s="15">
        <v>1</v>
      </c>
      <c r="F360" s="15">
        <f t="shared" si="5"/>
        <v>1</v>
      </c>
    </row>
    <row r="361" spans="1:6" x14ac:dyDescent="0.3">
      <c r="A361" s="2">
        <v>405246</v>
      </c>
      <c r="B361" s="2" t="s">
        <v>410</v>
      </c>
      <c r="C361" s="15">
        <v>1</v>
      </c>
      <c r="D361" s="15">
        <f>IFERROR(VLOOKUP(A361,'[4]Consumo SEMANAL PV '!$B:$B,1,0),0)</f>
        <v>0</v>
      </c>
      <c r="E361" s="15">
        <v>1</v>
      </c>
      <c r="F361" s="15">
        <f t="shared" si="5"/>
        <v>2</v>
      </c>
    </row>
    <row r="362" spans="1:6" x14ac:dyDescent="0.3">
      <c r="A362" s="2">
        <v>403104</v>
      </c>
      <c r="B362" s="2" t="s">
        <v>411</v>
      </c>
      <c r="C362" s="15">
        <v>1</v>
      </c>
      <c r="D362" s="15">
        <f>IFERROR(VLOOKUP(A362,'[4]Consumo SEMANAL PV '!$B:$B,1,0),0)</f>
        <v>0</v>
      </c>
      <c r="E362" s="15">
        <v>1</v>
      </c>
      <c r="F362" s="15">
        <f t="shared" si="5"/>
        <v>2</v>
      </c>
    </row>
    <row r="363" spans="1:6" x14ac:dyDescent="0.3">
      <c r="A363" s="2">
        <v>201006</v>
      </c>
      <c r="B363" s="2" t="s">
        <v>412</v>
      </c>
      <c r="C363" s="15">
        <v>0</v>
      </c>
      <c r="D363" s="15">
        <f>IFERROR(VLOOKUP(A363,'[4]Consumo SEMANAL PV '!$B:$B,1,0),0)</f>
        <v>0</v>
      </c>
      <c r="E363" s="15">
        <v>1</v>
      </c>
      <c r="F363" s="15">
        <f t="shared" si="5"/>
        <v>1</v>
      </c>
    </row>
    <row r="364" spans="1:6" x14ac:dyDescent="0.3">
      <c r="A364" s="2">
        <v>103006</v>
      </c>
      <c r="B364" s="2" t="s">
        <v>413</v>
      </c>
      <c r="C364" s="15">
        <v>1</v>
      </c>
      <c r="D364" s="15">
        <v>1</v>
      </c>
      <c r="E364" s="15">
        <v>1</v>
      </c>
      <c r="F364" s="15">
        <f t="shared" si="5"/>
        <v>3</v>
      </c>
    </row>
    <row r="365" spans="1:6" x14ac:dyDescent="0.3">
      <c r="A365" s="2">
        <v>107285</v>
      </c>
      <c r="B365" s="2" t="s">
        <v>414</v>
      </c>
      <c r="C365" s="15">
        <v>0</v>
      </c>
      <c r="D365" s="15">
        <f>IFERROR(VLOOKUP(A365,'[4]Consumo SEMANAL PV '!$B:$B,1,0),0)</f>
        <v>0</v>
      </c>
      <c r="E365" s="15">
        <v>1</v>
      </c>
      <c r="F365" s="15">
        <f t="shared" si="5"/>
        <v>1</v>
      </c>
    </row>
    <row r="366" spans="1:6" x14ac:dyDescent="0.3">
      <c r="A366" s="2">
        <v>405248</v>
      </c>
      <c r="B366" s="2" t="s">
        <v>415</v>
      </c>
      <c r="C366" s="15">
        <v>0</v>
      </c>
      <c r="D366" s="15">
        <f>IFERROR(VLOOKUP(A366,'[4]Consumo SEMANAL PV '!$B:$B,1,0),0)</f>
        <v>0</v>
      </c>
      <c r="E366" s="15">
        <v>1</v>
      </c>
      <c r="F366" s="15">
        <f t="shared" si="5"/>
        <v>1</v>
      </c>
    </row>
    <row r="367" spans="1:6" x14ac:dyDescent="0.3">
      <c r="A367" s="2">
        <v>403014</v>
      </c>
      <c r="B367" s="2" t="s">
        <v>416</v>
      </c>
      <c r="C367" s="15">
        <v>0</v>
      </c>
      <c r="D367" s="15">
        <f>IFERROR(VLOOKUP(A367,'[4]Consumo SEMANAL PV '!$B:$B,1,0),0)</f>
        <v>0</v>
      </c>
      <c r="E367" s="15">
        <v>1</v>
      </c>
      <c r="F367" s="15">
        <f t="shared" si="5"/>
        <v>1</v>
      </c>
    </row>
    <row r="368" spans="1:6" x14ac:dyDescent="0.3">
      <c r="A368" s="2">
        <v>104010</v>
      </c>
      <c r="B368" s="2" t="s">
        <v>417</v>
      </c>
      <c r="C368" s="15">
        <v>0</v>
      </c>
      <c r="D368" s="15">
        <f>IFERROR(VLOOKUP(A368,'[4]Consumo SEMANAL PV '!$B:$B,1,0),0)</f>
        <v>0</v>
      </c>
      <c r="E368" s="15">
        <v>1</v>
      </c>
      <c r="F368" s="15">
        <f t="shared" si="5"/>
        <v>1</v>
      </c>
    </row>
    <row r="369" spans="1:6" x14ac:dyDescent="0.3">
      <c r="A369" s="2">
        <v>106101</v>
      </c>
      <c r="B369" s="2" t="s">
        <v>418</v>
      </c>
      <c r="C369" s="15">
        <v>0</v>
      </c>
      <c r="D369" s="15">
        <f>IFERROR(VLOOKUP(A369,'[4]Consumo SEMANAL PV '!$B:$B,1,0),0)</f>
        <v>0</v>
      </c>
      <c r="E369" s="15">
        <v>1</v>
      </c>
      <c r="F369" s="15">
        <f t="shared" si="5"/>
        <v>1</v>
      </c>
    </row>
    <row r="370" spans="1:6" x14ac:dyDescent="0.3">
      <c r="A370" s="2">
        <v>368</v>
      </c>
      <c r="C370" s="15">
        <f>SUM(C2:C369)</f>
        <v>276</v>
      </c>
      <c r="D370" s="15">
        <f>SUM(D2:D369)</f>
        <v>224</v>
      </c>
      <c r="E370" s="15">
        <f t="shared" ref="E370" si="6">SUM(E2:E369)</f>
        <v>59</v>
      </c>
    </row>
  </sheetData>
  <autoFilter ref="A1:F370" xr:uid="{9ED38708-ED25-4E54-9CC2-F7D48E20111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1C6C7-ADEC-41AB-A359-7A12A45E2914}">
  <dimension ref="A1:E667"/>
  <sheetViews>
    <sheetView topLeftCell="A651" workbookViewId="0">
      <selection activeCell="C668" sqref="C668"/>
    </sheetView>
  </sheetViews>
  <sheetFormatPr baseColWidth="10" defaultRowHeight="14.4" x14ac:dyDescent="0.3"/>
  <cols>
    <col min="2" max="2" width="78.33203125" bestFit="1" customWidth="1"/>
  </cols>
  <sheetData>
    <row r="1" spans="1:5" x14ac:dyDescent="0.3">
      <c r="A1" s="3" t="s">
        <v>431</v>
      </c>
      <c r="B1" s="3" t="s">
        <v>432</v>
      </c>
      <c r="C1" s="3" t="s">
        <v>433</v>
      </c>
      <c r="D1" s="3" t="s">
        <v>434</v>
      </c>
      <c r="E1" s="3" t="s">
        <v>435</v>
      </c>
    </row>
    <row r="2" spans="1:5" x14ac:dyDescent="0.3">
      <c r="A2" s="2">
        <v>100302</v>
      </c>
      <c r="B2" s="2" t="s">
        <v>436</v>
      </c>
      <c r="C2" s="2" t="s">
        <v>388</v>
      </c>
      <c r="D2" s="2">
        <v>2</v>
      </c>
      <c r="E2" s="2" t="s">
        <v>437</v>
      </c>
    </row>
    <row r="3" spans="1:5" x14ac:dyDescent="0.3">
      <c r="A3" s="2">
        <v>101002</v>
      </c>
      <c r="B3" s="2" t="s">
        <v>13</v>
      </c>
      <c r="C3" s="2" t="s">
        <v>368</v>
      </c>
      <c r="D3" s="2">
        <v>3</v>
      </c>
      <c r="E3" s="2" t="s">
        <v>438</v>
      </c>
    </row>
    <row r="4" spans="1:5" x14ac:dyDescent="0.3">
      <c r="A4" s="2">
        <v>102103</v>
      </c>
      <c r="B4" s="2" t="s">
        <v>439</v>
      </c>
      <c r="C4" s="2" t="s">
        <v>397</v>
      </c>
      <c r="D4" s="2">
        <v>3</v>
      </c>
      <c r="E4" s="2" t="s">
        <v>440</v>
      </c>
    </row>
    <row r="5" spans="1:5" x14ac:dyDescent="0.3">
      <c r="A5" s="2">
        <v>103006</v>
      </c>
      <c r="B5" s="2" t="s">
        <v>413</v>
      </c>
      <c r="C5" s="2" t="s">
        <v>391</v>
      </c>
      <c r="D5" s="2">
        <v>3</v>
      </c>
      <c r="E5" s="2" t="s">
        <v>437</v>
      </c>
    </row>
    <row r="6" spans="1:5" x14ac:dyDescent="0.3">
      <c r="A6" s="2">
        <v>103612</v>
      </c>
      <c r="B6" s="2" t="s">
        <v>48</v>
      </c>
      <c r="C6" s="2" t="s">
        <v>379</v>
      </c>
      <c r="D6" s="2">
        <v>3</v>
      </c>
      <c r="E6" s="2" t="s">
        <v>441</v>
      </c>
    </row>
    <row r="7" spans="1:5" x14ac:dyDescent="0.3">
      <c r="A7" s="2">
        <v>104006</v>
      </c>
      <c r="B7" s="2" t="s">
        <v>5</v>
      </c>
      <c r="C7" s="2" t="s">
        <v>367</v>
      </c>
      <c r="D7" s="2">
        <v>3</v>
      </c>
      <c r="E7" s="2" t="s">
        <v>442</v>
      </c>
    </row>
    <row r="8" spans="1:5" x14ac:dyDescent="0.3">
      <c r="A8" s="2">
        <v>104010</v>
      </c>
      <c r="B8" s="2" t="s">
        <v>417</v>
      </c>
      <c r="C8" s="2" t="s">
        <v>421</v>
      </c>
      <c r="D8" s="2">
        <v>2</v>
      </c>
      <c r="E8" s="2" t="s">
        <v>442</v>
      </c>
    </row>
    <row r="9" spans="1:5" x14ac:dyDescent="0.3">
      <c r="A9" s="2">
        <v>106101</v>
      </c>
      <c r="B9" s="2" t="s">
        <v>418</v>
      </c>
      <c r="C9" s="2" t="s">
        <v>421</v>
      </c>
      <c r="D9" s="2">
        <v>5</v>
      </c>
      <c r="E9" s="2" t="s">
        <v>440</v>
      </c>
    </row>
    <row r="10" spans="1:5" x14ac:dyDescent="0.3">
      <c r="A10" s="2">
        <v>106401</v>
      </c>
      <c r="B10" s="2" t="s">
        <v>14</v>
      </c>
      <c r="C10" s="2" t="s">
        <v>366</v>
      </c>
      <c r="D10" s="2">
        <v>3</v>
      </c>
      <c r="E10" s="2" t="s">
        <v>440</v>
      </c>
    </row>
    <row r="11" spans="1:5" x14ac:dyDescent="0.3">
      <c r="A11" s="2">
        <v>107000</v>
      </c>
      <c r="B11" s="2" t="s">
        <v>443</v>
      </c>
      <c r="C11" s="2" t="s">
        <v>373</v>
      </c>
      <c r="D11" s="2">
        <v>5</v>
      </c>
      <c r="E11" s="2" t="s">
        <v>444</v>
      </c>
    </row>
    <row r="12" spans="1:5" x14ac:dyDescent="0.3">
      <c r="A12" s="2">
        <v>107095</v>
      </c>
      <c r="B12" s="2" t="s">
        <v>217</v>
      </c>
      <c r="C12" s="2" t="s">
        <v>371</v>
      </c>
      <c r="D12" s="2">
        <v>2</v>
      </c>
      <c r="E12" s="2" t="s">
        <v>445</v>
      </c>
    </row>
    <row r="13" spans="1:5" x14ac:dyDescent="0.3">
      <c r="A13" s="2">
        <v>107098</v>
      </c>
      <c r="B13" s="2" t="s">
        <v>45</v>
      </c>
      <c r="C13" s="2" t="s">
        <v>379</v>
      </c>
      <c r="D13" s="2">
        <v>3</v>
      </c>
      <c r="E13" s="2" t="s">
        <v>438</v>
      </c>
    </row>
    <row r="14" spans="1:5" x14ac:dyDescent="0.3">
      <c r="A14" s="2">
        <v>107102</v>
      </c>
      <c r="B14" s="2" t="s">
        <v>241</v>
      </c>
      <c r="C14" s="2" t="s">
        <v>373</v>
      </c>
      <c r="D14" s="2">
        <v>3</v>
      </c>
      <c r="E14" s="2" t="s">
        <v>438</v>
      </c>
    </row>
    <row r="15" spans="1:5" x14ac:dyDescent="0.3">
      <c r="A15" s="2">
        <v>107104</v>
      </c>
      <c r="B15" s="2" t="s">
        <v>43</v>
      </c>
      <c r="C15" s="2" t="s">
        <v>379</v>
      </c>
      <c r="D15" s="2">
        <v>3</v>
      </c>
      <c r="E15" s="2" t="s">
        <v>437</v>
      </c>
    </row>
    <row r="16" spans="1:5" x14ac:dyDescent="0.3">
      <c r="A16" s="2">
        <v>107108</v>
      </c>
      <c r="B16" s="2" t="s">
        <v>60</v>
      </c>
      <c r="C16" s="2" t="s">
        <v>368</v>
      </c>
      <c r="D16" s="2">
        <v>3</v>
      </c>
      <c r="E16" s="2" t="s">
        <v>438</v>
      </c>
    </row>
    <row r="17" spans="1:5" x14ac:dyDescent="0.3">
      <c r="A17" s="2">
        <v>107109</v>
      </c>
      <c r="B17" s="2" t="s">
        <v>188</v>
      </c>
      <c r="C17" s="2" t="s">
        <v>382</v>
      </c>
      <c r="D17" s="2">
        <v>3</v>
      </c>
      <c r="E17" s="2" t="s">
        <v>437</v>
      </c>
    </row>
    <row r="18" spans="1:5" x14ac:dyDescent="0.3">
      <c r="A18" s="2">
        <v>107112</v>
      </c>
      <c r="B18" s="2" t="s">
        <v>195</v>
      </c>
      <c r="C18" s="2" t="s">
        <v>369</v>
      </c>
      <c r="D18" s="2">
        <v>3</v>
      </c>
      <c r="E18" s="2" t="s">
        <v>438</v>
      </c>
    </row>
    <row r="19" spans="1:5" x14ac:dyDescent="0.3">
      <c r="A19" s="2">
        <v>107113</v>
      </c>
      <c r="B19" s="2" t="s">
        <v>202</v>
      </c>
      <c r="C19" s="2" t="s">
        <v>371</v>
      </c>
      <c r="D19" s="2">
        <v>2</v>
      </c>
      <c r="E19" s="2" t="s">
        <v>445</v>
      </c>
    </row>
    <row r="20" spans="1:5" x14ac:dyDescent="0.3">
      <c r="A20" s="2">
        <v>107117</v>
      </c>
      <c r="B20" s="2" t="s">
        <v>446</v>
      </c>
      <c r="C20" s="2" t="s">
        <v>373</v>
      </c>
      <c r="D20" s="2">
        <v>3</v>
      </c>
      <c r="E20" s="2" t="s">
        <v>447</v>
      </c>
    </row>
    <row r="21" spans="1:5" x14ac:dyDescent="0.3">
      <c r="A21" s="2">
        <v>107120</v>
      </c>
      <c r="B21" s="2" t="s">
        <v>12</v>
      </c>
      <c r="C21" s="2" t="s">
        <v>371</v>
      </c>
      <c r="D21" s="2">
        <v>3</v>
      </c>
      <c r="E21" s="2" t="s">
        <v>438</v>
      </c>
    </row>
    <row r="22" spans="1:5" x14ac:dyDescent="0.3">
      <c r="A22" s="2">
        <v>107124</v>
      </c>
      <c r="B22" s="2" t="s">
        <v>284</v>
      </c>
      <c r="C22" s="2" t="s">
        <v>373</v>
      </c>
      <c r="D22" s="2">
        <v>3</v>
      </c>
      <c r="E22" s="2" t="s">
        <v>447</v>
      </c>
    </row>
    <row r="23" spans="1:5" x14ac:dyDescent="0.3">
      <c r="A23" s="2">
        <v>107127</v>
      </c>
      <c r="B23" s="2" t="s">
        <v>59</v>
      </c>
      <c r="C23" s="2" t="s">
        <v>368</v>
      </c>
      <c r="D23" s="2">
        <v>3</v>
      </c>
      <c r="E23" s="2" t="s">
        <v>438</v>
      </c>
    </row>
    <row r="24" spans="1:5" x14ac:dyDescent="0.3">
      <c r="A24" s="2">
        <v>107129</v>
      </c>
      <c r="B24" s="2" t="s">
        <v>201</v>
      </c>
      <c r="C24" s="2" t="s">
        <v>371</v>
      </c>
      <c r="D24" s="2">
        <v>2</v>
      </c>
      <c r="E24" s="2" t="s">
        <v>445</v>
      </c>
    </row>
    <row r="25" spans="1:5" x14ac:dyDescent="0.3">
      <c r="A25" s="2">
        <v>107133</v>
      </c>
      <c r="B25" s="2" t="s">
        <v>158</v>
      </c>
      <c r="C25" s="2" t="s">
        <v>368</v>
      </c>
      <c r="D25" s="2">
        <v>3</v>
      </c>
      <c r="E25" s="2" t="s">
        <v>438</v>
      </c>
    </row>
    <row r="26" spans="1:5" x14ac:dyDescent="0.3">
      <c r="A26" s="2">
        <v>107134</v>
      </c>
      <c r="B26" s="2" t="s">
        <v>30</v>
      </c>
      <c r="C26" s="2" t="s">
        <v>366</v>
      </c>
      <c r="D26" s="2">
        <v>2</v>
      </c>
      <c r="E26" s="2" t="s">
        <v>447</v>
      </c>
    </row>
    <row r="27" spans="1:5" x14ac:dyDescent="0.3">
      <c r="A27" s="2">
        <v>107142</v>
      </c>
      <c r="B27" s="2" t="s">
        <v>44</v>
      </c>
      <c r="C27" s="2" t="s">
        <v>379</v>
      </c>
      <c r="D27" s="2">
        <v>3</v>
      </c>
      <c r="E27" s="2" t="s">
        <v>448</v>
      </c>
    </row>
    <row r="28" spans="1:5" x14ac:dyDescent="0.3">
      <c r="A28" s="2">
        <v>107157</v>
      </c>
      <c r="B28" s="2" t="s">
        <v>198</v>
      </c>
      <c r="C28" s="2" t="s">
        <v>371</v>
      </c>
      <c r="D28" s="2">
        <v>2</v>
      </c>
      <c r="E28" s="2" t="s">
        <v>445</v>
      </c>
    </row>
    <row r="29" spans="1:5" x14ac:dyDescent="0.3">
      <c r="A29" s="2">
        <v>107158</v>
      </c>
      <c r="B29" s="2" t="s">
        <v>194</v>
      </c>
      <c r="C29" s="2" t="s">
        <v>371</v>
      </c>
      <c r="D29" s="2">
        <v>2</v>
      </c>
      <c r="E29" s="2" t="s">
        <v>445</v>
      </c>
    </row>
    <row r="30" spans="1:5" x14ac:dyDescent="0.3">
      <c r="A30" s="2">
        <v>107159</v>
      </c>
      <c r="B30" s="2" t="s">
        <v>161</v>
      </c>
      <c r="C30" s="2" t="s">
        <v>386</v>
      </c>
      <c r="D30" s="2">
        <v>2</v>
      </c>
      <c r="E30" s="2" t="s">
        <v>447</v>
      </c>
    </row>
    <row r="31" spans="1:5" x14ac:dyDescent="0.3">
      <c r="A31" s="2">
        <v>107160</v>
      </c>
      <c r="B31" s="2" t="s">
        <v>159</v>
      </c>
      <c r="C31" s="2" t="s">
        <v>386</v>
      </c>
      <c r="D31" s="2">
        <v>2</v>
      </c>
      <c r="E31" s="2" t="s">
        <v>447</v>
      </c>
    </row>
    <row r="32" spans="1:5" x14ac:dyDescent="0.3">
      <c r="A32" s="2">
        <v>107164</v>
      </c>
      <c r="B32" s="2" t="s">
        <v>243</v>
      </c>
      <c r="C32" s="2" t="s">
        <v>393</v>
      </c>
      <c r="D32" s="2">
        <v>3</v>
      </c>
      <c r="E32" s="2" t="s">
        <v>437</v>
      </c>
    </row>
    <row r="33" spans="1:5" x14ac:dyDescent="0.3">
      <c r="A33" s="2">
        <v>107170</v>
      </c>
      <c r="B33" s="2" t="s">
        <v>165</v>
      </c>
      <c r="C33" s="2" t="s">
        <v>368</v>
      </c>
      <c r="D33" s="2">
        <v>4</v>
      </c>
      <c r="E33" s="2" t="s">
        <v>449</v>
      </c>
    </row>
    <row r="34" spans="1:5" x14ac:dyDescent="0.3">
      <c r="A34" s="2">
        <v>107174</v>
      </c>
      <c r="B34" s="2" t="s">
        <v>450</v>
      </c>
      <c r="C34" s="2" t="s">
        <v>393</v>
      </c>
      <c r="D34" s="2">
        <v>2</v>
      </c>
      <c r="E34" s="2" t="s">
        <v>448</v>
      </c>
    </row>
    <row r="35" spans="1:5" x14ac:dyDescent="0.3">
      <c r="A35" s="2">
        <v>107181</v>
      </c>
      <c r="B35" s="2" t="s">
        <v>451</v>
      </c>
      <c r="C35" s="2" t="s">
        <v>371</v>
      </c>
      <c r="D35" s="2">
        <v>2</v>
      </c>
      <c r="E35" s="2" t="s">
        <v>452</v>
      </c>
    </row>
    <row r="36" spans="1:5" x14ac:dyDescent="0.3">
      <c r="A36" s="2">
        <v>107193</v>
      </c>
      <c r="B36" s="2" t="s">
        <v>203</v>
      </c>
      <c r="C36" s="2" t="s">
        <v>371</v>
      </c>
      <c r="D36" s="2">
        <v>2</v>
      </c>
      <c r="E36" s="2" t="s">
        <v>445</v>
      </c>
    </row>
    <row r="37" spans="1:5" x14ac:dyDescent="0.3">
      <c r="A37" s="2">
        <v>107204</v>
      </c>
      <c r="B37" s="2" t="s">
        <v>222</v>
      </c>
      <c r="C37" s="2" t="s">
        <v>371</v>
      </c>
      <c r="D37" s="2">
        <v>2</v>
      </c>
      <c r="E37" s="2" t="s">
        <v>445</v>
      </c>
    </row>
    <row r="38" spans="1:5" x14ac:dyDescent="0.3">
      <c r="A38" s="2">
        <v>107209</v>
      </c>
      <c r="B38" s="2" t="s">
        <v>49</v>
      </c>
      <c r="C38" s="2" t="s">
        <v>379</v>
      </c>
      <c r="D38" s="2">
        <v>3</v>
      </c>
      <c r="E38" s="2" t="s">
        <v>453</v>
      </c>
    </row>
    <row r="39" spans="1:5" x14ac:dyDescent="0.3">
      <c r="A39" s="2">
        <v>107210</v>
      </c>
      <c r="B39" s="2" t="s">
        <v>67</v>
      </c>
      <c r="C39" s="2" t="s">
        <v>369</v>
      </c>
      <c r="D39" s="2">
        <v>3</v>
      </c>
      <c r="E39" s="2" t="s">
        <v>454</v>
      </c>
    </row>
    <row r="40" spans="1:5" x14ac:dyDescent="0.3">
      <c r="A40" s="2">
        <v>107211</v>
      </c>
      <c r="B40" s="2" t="s">
        <v>196</v>
      </c>
      <c r="C40" s="2" t="s">
        <v>369</v>
      </c>
      <c r="D40" s="2">
        <v>3</v>
      </c>
      <c r="E40" s="2" t="s">
        <v>454</v>
      </c>
    </row>
    <row r="41" spans="1:5" x14ac:dyDescent="0.3">
      <c r="A41" s="2">
        <v>107215</v>
      </c>
      <c r="B41" s="2" t="s">
        <v>185</v>
      </c>
      <c r="C41" s="2" t="s">
        <v>390</v>
      </c>
      <c r="D41" s="2">
        <v>3</v>
      </c>
      <c r="E41" s="2" t="s">
        <v>455</v>
      </c>
    </row>
    <row r="42" spans="1:5" x14ac:dyDescent="0.3">
      <c r="A42" s="2">
        <v>107227</v>
      </c>
      <c r="B42" s="2" t="s">
        <v>111</v>
      </c>
      <c r="C42" s="2" t="s">
        <v>364</v>
      </c>
      <c r="D42" s="2">
        <v>6</v>
      </c>
      <c r="E42" s="2" t="s">
        <v>456</v>
      </c>
    </row>
    <row r="43" spans="1:5" x14ac:dyDescent="0.3">
      <c r="A43" s="2">
        <v>107228</v>
      </c>
      <c r="B43" s="2" t="s">
        <v>112</v>
      </c>
      <c r="C43" s="2" t="s">
        <v>364</v>
      </c>
      <c r="D43" s="2">
        <v>6</v>
      </c>
      <c r="E43" s="2" t="s">
        <v>456</v>
      </c>
    </row>
    <row r="44" spans="1:5" x14ac:dyDescent="0.3">
      <c r="A44" s="2">
        <v>107237</v>
      </c>
      <c r="B44" s="2" t="s">
        <v>42</v>
      </c>
      <c r="C44" s="2" t="s">
        <v>379</v>
      </c>
      <c r="D44" s="2">
        <v>3</v>
      </c>
      <c r="E44" s="2" t="s">
        <v>453</v>
      </c>
    </row>
    <row r="45" spans="1:5" x14ac:dyDescent="0.3">
      <c r="A45" s="2">
        <v>107239</v>
      </c>
      <c r="B45" s="2" t="s">
        <v>457</v>
      </c>
      <c r="C45" s="2" t="s">
        <v>376</v>
      </c>
      <c r="D45" s="2">
        <v>3</v>
      </c>
      <c r="E45" s="2" t="s">
        <v>458</v>
      </c>
    </row>
    <row r="46" spans="1:5" x14ac:dyDescent="0.3">
      <c r="A46" s="2">
        <v>107242</v>
      </c>
      <c r="B46" s="2" t="s">
        <v>46</v>
      </c>
      <c r="C46" s="2" t="s">
        <v>379</v>
      </c>
      <c r="D46" s="2">
        <v>2</v>
      </c>
      <c r="E46" s="2" t="s">
        <v>445</v>
      </c>
    </row>
    <row r="47" spans="1:5" x14ac:dyDescent="0.3">
      <c r="A47" s="2">
        <v>107247</v>
      </c>
      <c r="B47" s="2" t="s">
        <v>71</v>
      </c>
      <c r="C47" s="2" t="s">
        <v>382</v>
      </c>
      <c r="D47" s="2">
        <v>2</v>
      </c>
      <c r="E47" s="2" t="s">
        <v>441</v>
      </c>
    </row>
    <row r="48" spans="1:5" x14ac:dyDescent="0.3">
      <c r="A48" s="2">
        <v>107249</v>
      </c>
      <c r="B48" s="2" t="s">
        <v>29</v>
      </c>
      <c r="C48" s="2" t="s">
        <v>368</v>
      </c>
      <c r="D48" s="2">
        <v>3</v>
      </c>
      <c r="E48" s="2" t="s">
        <v>438</v>
      </c>
    </row>
    <row r="49" spans="1:5" x14ac:dyDescent="0.3">
      <c r="A49" s="2">
        <v>107259</v>
      </c>
      <c r="B49" s="2" t="s">
        <v>180</v>
      </c>
      <c r="C49" s="2" t="s">
        <v>388</v>
      </c>
      <c r="D49" s="2">
        <v>3</v>
      </c>
      <c r="E49" s="2" t="s">
        <v>437</v>
      </c>
    </row>
    <row r="50" spans="1:5" x14ac:dyDescent="0.3">
      <c r="A50" s="2">
        <v>107260</v>
      </c>
      <c r="B50" s="2" t="s">
        <v>181</v>
      </c>
      <c r="C50" s="2" t="s">
        <v>388</v>
      </c>
      <c r="D50" s="2">
        <v>3</v>
      </c>
      <c r="E50" s="2" t="s">
        <v>437</v>
      </c>
    </row>
    <row r="51" spans="1:5" x14ac:dyDescent="0.3">
      <c r="A51" s="2">
        <v>107262</v>
      </c>
      <c r="B51" s="2" t="s">
        <v>223</v>
      </c>
      <c r="C51" s="2" t="s">
        <v>388</v>
      </c>
      <c r="D51" s="2">
        <v>2</v>
      </c>
      <c r="E51" s="2" t="s">
        <v>453</v>
      </c>
    </row>
    <row r="52" spans="1:5" x14ac:dyDescent="0.3">
      <c r="A52" s="2">
        <v>107275</v>
      </c>
      <c r="B52" s="2" t="s">
        <v>227</v>
      </c>
      <c r="C52" s="2" t="s">
        <v>371</v>
      </c>
      <c r="D52" s="2">
        <v>2</v>
      </c>
      <c r="E52" s="2" t="s">
        <v>445</v>
      </c>
    </row>
    <row r="53" spans="1:5" x14ac:dyDescent="0.3">
      <c r="A53" s="2">
        <v>107276</v>
      </c>
      <c r="B53" s="2" t="s">
        <v>459</v>
      </c>
      <c r="C53" s="2" t="s">
        <v>372</v>
      </c>
      <c r="D53" s="2">
        <v>15</v>
      </c>
      <c r="E53" s="2" t="s">
        <v>460</v>
      </c>
    </row>
    <row r="54" spans="1:5" x14ac:dyDescent="0.3">
      <c r="A54" s="2">
        <v>107278</v>
      </c>
      <c r="B54" s="2" t="s">
        <v>182</v>
      </c>
      <c r="C54" s="2" t="s">
        <v>388</v>
      </c>
      <c r="D54" s="2">
        <v>2</v>
      </c>
      <c r="E54" s="2" t="s">
        <v>445</v>
      </c>
    </row>
    <row r="55" spans="1:5" x14ac:dyDescent="0.3">
      <c r="A55" s="2">
        <v>107280</v>
      </c>
      <c r="B55" s="2" t="s">
        <v>205</v>
      </c>
      <c r="C55" s="2" t="s">
        <v>371</v>
      </c>
      <c r="D55" s="2">
        <v>3</v>
      </c>
      <c r="E55" s="2" t="s">
        <v>438</v>
      </c>
    </row>
    <row r="56" spans="1:5" x14ac:dyDescent="0.3">
      <c r="A56" s="2">
        <v>107282</v>
      </c>
      <c r="B56" s="2" t="s">
        <v>461</v>
      </c>
      <c r="C56" s="2" t="s">
        <v>383</v>
      </c>
      <c r="D56" s="2">
        <v>2</v>
      </c>
      <c r="E56" s="2" t="s">
        <v>462</v>
      </c>
    </row>
    <row r="57" spans="1:5" x14ac:dyDescent="0.3">
      <c r="A57" s="2">
        <v>107283</v>
      </c>
      <c r="B57" s="2" t="s">
        <v>463</v>
      </c>
      <c r="C57" s="2" t="s">
        <v>379</v>
      </c>
      <c r="D57" s="2">
        <v>2</v>
      </c>
      <c r="E57" s="2" t="s">
        <v>453</v>
      </c>
    </row>
    <row r="58" spans="1:5" x14ac:dyDescent="0.3">
      <c r="A58" s="2">
        <v>107292</v>
      </c>
      <c r="B58" s="2" t="s">
        <v>65</v>
      </c>
      <c r="C58" s="2" t="s">
        <v>381</v>
      </c>
      <c r="D58" s="2">
        <v>15</v>
      </c>
      <c r="E58" s="2" t="s">
        <v>464</v>
      </c>
    </row>
    <row r="59" spans="1:5" x14ac:dyDescent="0.3">
      <c r="A59" s="2">
        <v>107294</v>
      </c>
      <c r="B59" s="2" t="s">
        <v>72</v>
      </c>
      <c r="C59" s="2" t="s">
        <v>371</v>
      </c>
      <c r="D59" s="2">
        <v>3</v>
      </c>
      <c r="E59" s="2" t="s">
        <v>437</v>
      </c>
    </row>
    <row r="60" spans="1:5" x14ac:dyDescent="0.3">
      <c r="A60" s="2">
        <v>107300</v>
      </c>
      <c r="B60" s="2" t="s">
        <v>36</v>
      </c>
      <c r="C60" s="2" t="s">
        <v>365</v>
      </c>
      <c r="D60" s="2">
        <v>2</v>
      </c>
      <c r="E60" s="2" t="s">
        <v>465</v>
      </c>
    </row>
    <row r="61" spans="1:5" x14ac:dyDescent="0.3">
      <c r="A61" s="2">
        <v>107303</v>
      </c>
      <c r="B61" s="2" t="s">
        <v>58</v>
      </c>
      <c r="C61" s="2" t="s">
        <v>368</v>
      </c>
      <c r="D61" s="2">
        <v>3</v>
      </c>
      <c r="E61" s="2" t="s">
        <v>438</v>
      </c>
    </row>
    <row r="62" spans="1:5" x14ac:dyDescent="0.3">
      <c r="A62" s="2">
        <v>107306</v>
      </c>
      <c r="B62" s="2" t="s">
        <v>466</v>
      </c>
      <c r="C62" s="2" t="s">
        <v>385</v>
      </c>
      <c r="D62" s="2">
        <v>3</v>
      </c>
      <c r="E62" s="2" t="s">
        <v>437</v>
      </c>
    </row>
    <row r="63" spans="1:5" x14ac:dyDescent="0.3">
      <c r="A63" s="2">
        <v>107308</v>
      </c>
      <c r="B63" s="2" t="s">
        <v>467</v>
      </c>
      <c r="C63" s="2" t="s">
        <v>394</v>
      </c>
      <c r="D63" s="2">
        <v>3</v>
      </c>
      <c r="E63" s="2" t="s">
        <v>437</v>
      </c>
    </row>
    <row r="64" spans="1:5" x14ac:dyDescent="0.3">
      <c r="A64" s="2">
        <v>107310</v>
      </c>
      <c r="B64" s="2" t="s">
        <v>468</v>
      </c>
      <c r="C64" s="2" t="s">
        <v>369</v>
      </c>
      <c r="D64" s="2">
        <v>3</v>
      </c>
      <c r="E64" s="2" t="s">
        <v>442</v>
      </c>
    </row>
    <row r="65" spans="1:5" x14ac:dyDescent="0.3">
      <c r="A65" s="2">
        <v>107312</v>
      </c>
      <c r="B65" s="2" t="s">
        <v>22</v>
      </c>
      <c r="C65" s="2" t="s">
        <v>373</v>
      </c>
      <c r="D65" s="2">
        <v>3</v>
      </c>
      <c r="E65" s="2" t="s">
        <v>469</v>
      </c>
    </row>
    <row r="66" spans="1:5" x14ac:dyDescent="0.3">
      <c r="A66" s="2">
        <v>107316</v>
      </c>
      <c r="B66" s="2" t="s">
        <v>214</v>
      </c>
      <c r="C66" s="2" t="s">
        <v>381</v>
      </c>
      <c r="D66" s="2">
        <v>15</v>
      </c>
      <c r="E66" s="2" t="s">
        <v>470</v>
      </c>
    </row>
    <row r="67" spans="1:5" x14ac:dyDescent="0.3">
      <c r="A67" s="2">
        <v>107318</v>
      </c>
      <c r="B67" s="2" t="s">
        <v>471</v>
      </c>
      <c r="C67" s="2" t="s">
        <v>381</v>
      </c>
      <c r="D67" s="2">
        <v>15</v>
      </c>
      <c r="E67" s="2" t="s">
        <v>470</v>
      </c>
    </row>
    <row r="68" spans="1:5" x14ac:dyDescent="0.3">
      <c r="A68" s="2">
        <v>107319</v>
      </c>
      <c r="B68" s="2" t="s">
        <v>154</v>
      </c>
      <c r="C68" s="2" t="s">
        <v>383</v>
      </c>
      <c r="D68" s="2">
        <v>2</v>
      </c>
      <c r="E68" s="2" t="s">
        <v>445</v>
      </c>
    </row>
    <row r="69" spans="1:5" x14ac:dyDescent="0.3">
      <c r="A69" s="2">
        <v>107323</v>
      </c>
      <c r="B69" s="2" t="s">
        <v>35</v>
      </c>
      <c r="C69" s="2" t="s">
        <v>365</v>
      </c>
      <c r="D69" s="2">
        <v>2</v>
      </c>
      <c r="E69" s="2" t="s">
        <v>465</v>
      </c>
    </row>
    <row r="70" spans="1:5" x14ac:dyDescent="0.3">
      <c r="A70" s="2">
        <v>107324</v>
      </c>
      <c r="B70" s="2" t="s">
        <v>331</v>
      </c>
      <c r="C70" s="2" t="s">
        <v>373</v>
      </c>
      <c r="D70" s="2">
        <v>5</v>
      </c>
      <c r="E70" s="2" t="s">
        <v>444</v>
      </c>
    </row>
    <row r="71" spans="1:5" x14ac:dyDescent="0.3">
      <c r="A71" s="2">
        <v>107326</v>
      </c>
      <c r="B71" s="2" t="s">
        <v>472</v>
      </c>
      <c r="C71" s="2" t="s">
        <v>366</v>
      </c>
      <c r="D71" s="2">
        <v>3</v>
      </c>
      <c r="E71" s="2" t="s">
        <v>473</v>
      </c>
    </row>
    <row r="72" spans="1:5" x14ac:dyDescent="0.3">
      <c r="A72" s="2">
        <v>107330</v>
      </c>
      <c r="B72" s="2" t="s">
        <v>166</v>
      </c>
      <c r="C72" s="2" t="s">
        <v>387</v>
      </c>
      <c r="D72" s="2">
        <v>3</v>
      </c>
      <c r="E72" s="2" t="s">
        <v>447</v>
      </c>
    </row>
    <row r="73" spans="1:5" x14ac:dyDescent="0.3">
      <c r="A73" s="2">
        <v>107331</v>
      </c>
      <c r="B73" s="2" t="s">
        <v>189</v>
      </c>
      <c r="C73" s="2" t="s">
        <v>391</v>
      </c>
      <c r="D73" s="2">
        <v>3</v>
      </c>
      <c r="E73" s="2" t="s">
        <v>474</v>
      </c>
    </row>
    <row r="74" spans="1:5" x14ac:dyDescent="0.3">
      <c r="A74" s="2">
        <v>107333</v>
      </c>
      <c r="B74" s="2" t="s">
        <v>186</v>
      </c>
      <c r="C74" s="2" t="s">
        <v>390</v>
      </c>
      <c r="D74" s="2">
        <v>3</v>
      </c>
      <c r="E74" s="2" t="s">
        <v>455</v>
      </c>
    </row>
    <row r="75" spans="1:5" x14ac:dyDescent="0.3">
      <c r="A75" s="2">
        <v>107337</v>
      </c>
      <c r="B75" s="2" t="s">
        <v>475</v>
      </c>
      <c r="C75" s="2" t="s">
        <v>379</v>
      </c>
      <c r="D75" s="2">
        <v>3</v>
      </c>
      <c r="E75" s="2" t="s">
        <v>438</v>
      </c>
    </row>
    <row r="76" spans="1:5" x14ac:dyDescent="0.3">
      <c r="A76" s="2">
        <v>107339</v>
      </c>
      <c r="B76" s="2" t="s">
        <v>54</v>
      </c>
      <c r="C76" s="2" t="s">
        <v>365</v>
      </c>
      <c r="D76" s="2">
        <v>2</v>
      </c>
      <c r="E76" s="2" t="s">
        <v>465</v>
      </c>
    </row>
    <row r="77" spans="1:5" x14ac:dyDescent="0.3">
      <c r="A77" s="2">
        <v>107345</v>
      </c>
      <c r="B77" s="2" t="s">
        <v>51</v>
      </c>
      <c r="C77" s="2" t="s">
        <v>365</v>
      </c>
      <c r="D77" s="2">
        <v>2</v>
      </c>
      <c r="E77" s="2" t="s">
        <v>476</v>
      </c>
    </row>
    <row r="78" spans="1:5" x14ac:dyDescent="0.3">
      <c r="A78" s="2">
        <v>107356</v>
      </c>
      <c r="B78" s="2" t="s">
        <v>24</v>
      </c>
      <c r="C78" s="2" t="s">
        <v>368</v>
      </c>
      <c r="D78" s="2">
        <v>2</v>
      </c>
      <c r="E78" s="2" t="s">
        <v>445</v>
      </c>
    </row>
    <row r="79" spans="1:5" x14ac:dyDescent="0.3">
      <c r="A79" s="2">
        <v>107357</v>
      </c>
      <c r="B79" s="2" t="s">
        <v>477</v>
      </c>
      <c r="C79" s="2" t="s">
        <v>381</v>
      </c>
      <c r="D79" s="2">
        <v>6</v>
      </c>
      <c r="E79" s="2" t="s">
        <v>478</v>
      </c>
    </row>
    <row r="80" spans="1:5" x14ac:dyDescent="0.3">
      <c r="A80" s="2">
        <v>107360</v>
      </c>
      <c r="B80" s="2" t="s">
        <v>221</v>
      </c>
      <c r="C80" s="2" t="s">
        <v>371</v>
      </c>
      <c r="D80" s="2">
        <v>2</v>
      </c>
      <c r="E80" s="2" t="s">
        <v>445</v>
      </c>
    </row>
    <row r="81" spans="1:5" x14ac:dyDescent="0.3">
      <c r="A81" s="2">
        <v>107361</v>
      </c>
      <c r="B81" s="2" t="s">
        <v>15</v>
      </c>
      <c r="C81" s="2" t="s">
        <v>372</v>
      </c>
      <c r="D81" s="2">
        <v>15</v>
      </c>
      <c r="E81" s="2" t="s">
        <v>479</v>
      </c>
    </row>
    <row r="82" spans="1:5" x14ac:dyDescent="0.3">
      <c r="A82" s="2">
        <v>107362</v>
      </c>
      <c r="B82" s="2" t="s">
        <v>480</v>
      </c>
      <c r="C82" s="2" t="s">
        <v>372</v>
      </c>
      <c r="D82" s="2">
        <v>15</v>
      </c>
      <c r="E82" s="2" t="s">
        <v>479</v>
      </c>
    </row>
    <row r="83" spans="1:5" x14ac:dyDescent="0.3">
      <c r="A83" s="2">
        <v>107363</v>
      </c>
      <c r="B83" s="2" t="s">
        <v>481</v>
      </c>
      <c r="C83" s="2" t="s">
        <v>372</v>
      </c>
      <c r="D83" s="2">
        <v>15</v>
      </c>
      <c r="E83" s="2" t="s">
        <v>479</v>
      </c>
    </row>
    <row r="84" spans="1:5" x14ac:dyDescent="0.3">
      <c r="A84" s="2">
        <v>107364</v>
      </c>
      <c r="B84" s="2" t="s">
        <v>482</v>
      </c>
      <c r="C84" s="2" t="s">
        <v>372</v>
      </c>
      <c r="D84" s="2">
        <v>15</v>
      </c>
      <c r="E84" s="2" t="s">
        <v>479</v>
      </c>
    </row>
    <row r="85" spans="1:5" x14ac:dyDescent="0.3">
      <c r="A85" s="2">
        <v>107365</v>
      </c>
      <c r="B85" s="2" t="s">
        <v>260</v>
      </c>
      <c r="C85" s="2" t="s">
        <v>372</v>
      </c>
      <c r="D85" s="2">
        <v>15</v>
      </c>
      <c r="E85" s="2" t="s">
        <v>479</v>
      </c>
    </row>
    <row r="86" spans="1:5" x14ac:dyDescent="0.3">
      <c r="A86" s="2">
        <v>107366</v>
      </c>
      <c r="B86" s="2" t="s">
        <v>17</v>
      </c>
      <c r="C86" s="2" t="s">
        <v>372</v>
      </c>
      <c r="D86" s="2">
        <v>15</v>
      </c>
      <c r="E86" s="2" t="s">
        <v>479</v>
      </c>
    </row>
    <row r="87" spans="1:5" x14ac:dyDescent="0.3">
      <c r="A87" s="2">
        <v>107367</v>
      </c>
      <c r="B87" s="2" t="s">
        <v>16</v>
      </c>
      <c r="C87" s="2" t="s">
        <v>372</v>
      </c>
      <c r="D87" s="2">
        <v>15</v>
      </c>
      <c r="E87" s="2" t="s">
        <v>479</v>
      </c>
    </row>
    <row r="88" spans="1:5" x14ac:dyDescent="0.3">
      <c r="A88" s="2">
        <v>107368</v>
      </c>
      <c r="B88" s="2" t="s">
        <v>483</v>
      </c>
      <c r="C88" s="2" t="s">
        <v>385</v>
      </c>
      <c r="D88" s="2">
        <v>2</v>
      </c>
      <c r="E88" s="2" t="s">
        <v>445</v>
      </c>
    </row>
    <row r="89" spans="1:5" x14ac:dyDescent="0.3">
      <c r="A89" s="2">
        <v>107403</v>
      </c>
      <c r="B89" s="2" t="s">
        <v>484</v>
      </c>
      <c r="C89" s="2" t="s">
        <v>369</v>
      </c>
      <c r="D89" s="2">
        <v>3</v>
      </c>
      <c r="E89" s="2" t="s">
        <v>485</v>
      </c>
    </row>
    <row r="90" spans="1:5" x14ac:dyDescent="0.3">
      <c r="A90" s="2">
        <v>107405</v>
      </c>
      <c r="B90" s="2" t="s">
        <v>486</v>
      </c>
      <c r="C90" s="2" t="s">
        <v>369</v>
      </c>
      <c r="D90" s="2">
        <v>3</v>
      </c>
      <c r="E90" s="2" t="s">
        <v>454</v>
      </c>
    </row>
    <row r="91" spans="1:5" x14ac:dyDescent="0.3">
      <c r="A91" s="2">
        <v>170173</v>
      </c>
      <c r="B91" s="2" t="s">
        <v>197</v>
      </c>
      <c r="C91" s="2" t="s">
        <v>371</v>
      </c>
      <c r="D91" s="2">
        <v>2</v>
      </c>
      <c r="E91" s="2" t="s">
        <v>445</v>
      </c>
    </row>
    <row r="92" spans="1:5" x14ac:dyDescent="0.3">
      <c r="A92" s="2">
        <v>300003</v>
      </c>
      <c r="B92" s="2" t="s">
        <v>163</v>
      </c>
      <c r="C92" s="2" t="s">
        <v>369</v>
      </c>
      <c r="D92" s="2">
        <v>2</v>
      </c>
      <c r="E92" s="2" t="s">
        <v>487</v>
      </c>
    </row>
    <row r="93" spans="1:5" x14ac:dyDescent="0.3">
      <c r="A93" s="2">
        <v>300004</v>
      </c>
      <c r="B93" s="2" t="s">
        <v>162</v>
      </c>
      <c r="C93" s="2" t="s">
        <v>369</v>
      </c>
      <c r="D93" s="2">
        <v>2</v>
      </c>
      <c r="E93" s="2" t="s">
        <v>487</v>
      </c>
    </row>
    <row r="94" spans="1:5" x14ac:dyDescent="0.3">
      <c r="A94" s="2">
        <v>353001</v>
      </c>
      <c r="B94" s="2" t="s">
        <v>179</v>
      </c>
      <c r="C94" s="2" t="s">
        <v>369</v>
      </c>
      <c r="D94" s="2">
        <v>2</v>
      </c>
      <c r="E94" s="2" t="s">
        <v>487</v>
      </c>
    </row>
    <row r="95" spans="1:5" x14ac:dyDescent="0.3">
      <c r="A95" s="2">
        <v>353002</v>
      </c>
      <c r="B95" s="2" t="s">
        <v>178</v>
      </c>
      <c r="C95" s="2" t="s">
        <v>369</v>
      </c>
      <c r="D95" s="2">
        <v>2</v>
      </c>
      <c r="E95" s="2" t="s">
        <v>487</v>
      </c>
    </row>
    <row r="96" spans="1:5" x14ac:dyDescent="0.3">
      <c r="A96" s="2">
        <v>353003</v>
      </c>
      <c r="B96" s="2" t="s">
        <v>216</v>
      </c>
      <c r="C96" s="2" t="s">
        <v>369</v>
      </c>
      <c r="D96" s="2">
        <v>2</v>
      </c>
      <c r="E96" s="2" t="s">
        <v>487</v>
      </c>
    </row>
    <row r="97" spans="1:5" x14ac:dyDescent="0.3">
      <c r="A97" s="2">
        <v>353009</v>
      </c>
      <c r="B97" s="2" t="s">
        <v>488</v>
      </c>
      <c r="C97" s="2" t="s">
        <v>369</v>
      </c>
      <c r="D97" s="2">
        <v>2</v>
      </c>
      <c r="E97" s="2" t="s">
        <v>487</v>
      </c>
    </row>
    <row r="98" spans="1:5" x14ac:dyDescent="0.3">
      <c r="A98" s="2">
        <v>362029</v>
      </c>
      <c r="B98" s="2" t="s">
        <v>351</v>
      </c>
      <c r="C98" s="2" t="s">
        <v>369</v>
      </c>
      <c r="D98" s="2">
        <v>2</v>
      </c>
      <c r="E98" s="2" t="s">
        <v>487</v>
      </c>
    </row>
    <row r="99" spans="1:5" x14ac:dyDescent="0.3">
      <c r="A99" s="2">
        <v>362105</v>
      </c>
      <c r="B99" s="2" t="s">
        <v>171</v>
      </c>
      <c r="C99" s="2" t="s">
        <v>369</v>
      </c>
      <c r="D99" s="2">
        <v>3</v>
      </c>
      <c r="E99" s="2" t="s">
        <v>454</v>
      </c>
    </row>
    <row r="100" spans="1:5" x14ac:dyDescent="0.3">
      <c r="A100" s="2">
        <v>393040</v>
      </c>
      <c r="B100" s="2" t="s">
        <v>236</v>
      </c>
      <c r="C100" s="2" t="s">
        <v>369</v>
      </c>
      <c r="D100" s="2">
        <v>2</v>
      </c>
      <c r="E100" s="2" t="s">
        <v>487</v>
      </c>
    </row>
    <row r="101" spans="1:5" x14ac:dyDescent="0.3">
      <c r="A101" s="2">
        <v>393215</v>
      </c>
      <c r="B101" s="2" t="s">
        <v>489</v>
      </c>
      <c r="C101" s="2" t="s">
        <v>369</v>
      </c>
      <c r="D101" s="2">
        <v>2</v>
      </c>
      <c r="E101" s="2" t="s">
        <v>487</v>
      </c>
    </row>
    <row r="102" spans="1:5" x14ac:dyDescent="0.3">
      <c r="A102" s="2">
        <v>393216</v>
      </c>
      <c r="B102" s="2" t="s">
        <v>173</v>
      </c>
      <c r="C102" s="2" t="s">
        <v>369</v>
      </c>
      <c r="D102" s="2">
        <v>2</v>
      </c>
      <c r="E102" s="2" t="s">
        <v>487</v>
      </c>
    </row>
    <row r="103" spans="1:5" x14ac:dyDescent="0.3">
      <c r="A103" s="2">
        <v>393320</v>
      </c>
      <c r="B103" s="2" t="s">
        <v>169</v>
      </c>
      <c r="C103" s="2" t="s">
        <v>381</v>
      </c>
      <c r="D103" s="2">
        <v>15</v>
      </c>
      <c r="E103" s="2" t="s">
        <v>460</v>
      </c>
    </row>
    <row r="104" spans="1:5" x14ac:dyDescent="0.3">
      <c r="A104" s="2">
        <v>393321</v>
      </c>
      <c r="B104" s="2" t="s">
        <v>170</v>
      </c>
      <c r="C104" s="2" t="s">
        <v>381</v>
      </c>
      <c r="D104" s="2">
        <v>15</v>
      </c>
      <c r="E104" s="2" t="s">
        <v>460</v>
      </c>
    </row>
    <row r="105" spans="1:5" x14ac:dyDescent="0.3">
      <c r="A105" s="2">
        <v>393349</v>
      </c>
      <c r="B105" s="2" t="s">
        <v>237</v>
      </c>
      <c r="C105" s="2" t="s">
        <v>369</v>
      </c>
      <c r="D105" s="2">
        <v>2</v>
      </c>
      <c r="E105" s="2" t="s">
        <v>487</v>
      </c>
    </row>
    <row r="106" spans="1:5" x14ac:dyDescent="0.3">
      <c r="A106" s="2">
        <v>393384</v>
      </c>
      <c r="B106" s="2" t="s">
        <v>490</v>
      </c>
      <c r="C106" s="2" t="s">
        <v>369</v>
      </c>
      <c r="D106" s="2">
        <v>2</v>
      </c>
      <c r="E106" s="2" t="s">
        <v>487</v>
      </c>
    </row>
    <row r="107" spans="1:5" x14ac:dyDescent="0.3">
      <c r="A107" s="2">
        <v>393399</v>
      </c>
      <c r="B107" s="2" t="s">
        <v>210</v>
      </c>
      <c r="C107" s="2" t="s">
        <v>368</v>
      </c>
      <c r="D107" s="2">
        <v>3</v>
      </c>
      <c r="E107" s="2" t="s">
        <v>438</v>
      </c>
    </row>
    <row r="108" spans="1:5" x14ac:dyDescent="0.3">
      <c r="A108" s="2">
        <v>393400</v>
      </c>
      <c r="B108" s="2" t="s">
        <v>38</v>
      </c>
      <c r="C108" s="2" t="s">
        <v>368</v>
      </c>
      <c r="D108" s="2">
        <v>3</v>
      </c>
      <c r="E108" s="2" t="s">
        <v>438</v>
      </c>
    </row>
    <row r="109" spans="1:5" x14ac:dyDescent="0.3">
      <c r="A109" s="2">
        <v>393415</v>
      </c>
      <c r="B109" s="2" t="s">
        <v>491</v>
      </c>
      <c r="C109" s="2" t="s">
        <v>369</v>
      </c>
      <c r="D109" s="2">
        <v>2</v>
      </c>
      <c r="E109" s="2" t="s">
        <v>487</v>
      </c>
    </row>
    <row r="110" spans="1:5" x14ac:dyDescent="0.3">
      <c r="A110" s="2">
        <v>393419</v>
      </c>
      <c r="B110" s="2" t="s">
        <v>176</v>
      </c>
      <c r="C110" s="2" t="s">
        <v>369</v>
      </c>
      <c r="D110" s="2">
        <v>2</v>
      </c>
      <c r="E110" s="2" t="s">
        <v>487</v>
      </c>
    </row>
    <row r="111" spans="1:5" x14ac:dyDescent="0.3">
      <c r="A111" s="2">
        <v>393421</v>
      </c>
      <c r="B111" s="2" t="s">
        <v>119</v>
      </c>
      <c r="C111" s="2" t="s">
        <v>364</v>
      </c>
      <c r="D111" s="2">
        <v>6</v>
      </c>
      <c r="E111" s="2" t="s">
        <v>456</v>
      </c>
    </row>
    <row r="112" spans="1:5" x14ac:dyDescent="0.3">
      <c r="A112" s="2">
        <v>393422</v>
      </c>
      <c r="B112" s="2" t="s">
        <v>118</v>
      </c>
      <c r="C112" s="2" t="s">
        <v>364</v>
      </c>
      <c r="D112" s="2">
        <v>6</v>
      </c>
      <c r="E112" s="2" t="s">
        <v>456</v>
      </c>
    </row>
    <row r="113" spans="1:5" x14ac:dyDescent="0.3">
      <c r="A113" s="2">
        <v>393423</v>
      </c>
      <c r="B113" s="2" t="s">
        <v>127</v>
      </c>
      <c r="C113" s="2" t="s">
        <v>364</v>
      </c>
      <c r="D113" s="2">
        <v>6</v>
      </c>
      <c r="E113" s="2" t="s">
        <v>456</v>
      </c>
    </row>
    <row r="114" spans="1:5" x14ac:dyDescent="0.3">
      <c r="A114" s="2">
        <v>393424</v>
      </c>
      <c r="B114" s="2" t="s">
        <v>492</v>
      </c>
      <c r="C114" s="2" t="s">
        <v>364</v>
      </c>
      <c r="D114" s="2">
        <v>6</v>
      </c>
      <c r="E114" s="2" t="s">
        <v>456</v>
      </c>
    </row>
    <row r="115" spans="1:5" x14ac:dyDescent="0.3">
      <c r="A115" s="2">
        <v>393425</v>
      </c>
      <c r="B115" s="2" t="s">
        <v>130</v>
      </c>
      <c r="C115" s="2" t="s">
        <v>364</v>
      </c>
      <c r="D115" s="2">
        <v>6</v>
      </c>
      <c r="E115" s="2" t="s">
        <v>456</v>
      </c>
    </row>
    <row r="116" spans="1:5" x14ac:dyDescent="0.3">
      <c r="A116" s="2">
        <v>393426</v>
      </c>
      <c r="B116" s="2" t="s">
        <v>122</v>
      </c>
      <c r="C116" s="2" t="s">
        <v>364</v>
      </c>
      <c r="D116" s="2">
        <v>6</v>
      </c>
      <c r="E116" s="2" t="s">
        <v>456</v>
      </c>
    </row>
    <row r="117" spans="1:5" x14ac:dyDescent="0.3">
      <c r="A117" s="2">
        <v>393427</v>
      </c>
      <c r="B117" s="2" t="s">
        <v>493</v>
      </c>
      <c r="C117" s="2" t="s">
        <v>369</v>
      </c>
      <c r="D117" s="2">
        <v>2</v>
      </c>
      <c r="E117" s="2" t="s">
        <v>487</v>
      </c>
    </row>
    <row r="118" spans="1:5" x14ac:dyDescent="0.3">
      <c r="A118" s="2">
        <v>393437</v>
      </c>
      <c r="B118" s="2" t="s">
        <v>494</v>
      </c>
      <c r="C118" s="2" t="s">
        <v>369</v>
      </c>
      <c r="D118" s="2">
        <v>2</v>
      </c>
      <c r="E118" s="2" t="s">
        <v>487</v>
      </c>
    </row>
    <row r="119" spans="1:5" x14ac:dyDescent="0.3">
      <c r="A119" s="2">
        <v>400104</v>
      </c>
      <c r="B119" s="2" t="s">
        <v>401</v>
      </c>
      <c r="C119" s="2" t="s">
        <v>370</v>
      </c>
      <c r="D119" s="2">
        <v>6</v>
      </c>
      <c r="E119" s="2" t="s">
        <v>495</v>
      </c>
    </row>
    <row r="120" spans="1:5" x14ac:dyDescent="0.3">
      <c r="A120" s="2">
        <v>400202</v>
      </c>
      <c r="B120" s="2" t="s">
        <v>258</v>
      </c>
      <c r="C120" s="2" t="s">
        <v>370</v>
      </c>
      <c r="D120" s="2">
        <v>6</v>
      </c>
      <c r="E120" s="2" t="s">
        <v>495</v>
      </c>
    </row>
    <row r="121" spans="1:5" x14ac:dyDescent="0.3">
      <c r="A121" s="2">
        <v>400203</v>
      </c>
      <c r="B121" s="2" t="s">
        <v>11</v>
      </c>
      <c r="C121" s="2" t="s">
        <v>370</v>
      </c>
      <c r="D121" s="2">
        <v>6</v>
      </c>
      <c r="E121" s="2" t="s">
        <v>495</v>
      </c>
    </row>
    <row r="122" spans="1:5" x14ac:dyDescent="0.3">
      <c r="A122" s="2">
        <v>401010</v>
      </c>
      <c r="B122" s="2" t="s">
        <v>232</v>
      </c>
      <c r="C122" s="2" t="s">
        <v>384</v>
      </c>
      <c r="D122" s="2">
        <v>4</v>
      </c>
      <c r="E122" s="2" t="s">
        <v>496</v>
      </c>
    </row>
    <row r="123" spans="1:5" x14ac:dyDescent="0.3">
      <c r="A123" s="2">
        <v>401011</v>
      </c>
      <c r="B123" s="2" t="s">
        <v>233</v>
      </c>
      <c r="C123" s="2" t="s">
        <v>384</v>
      </c>
      <c r="D123" s="2">
        <v>4</v>
      </c>
      <c r="E123" s="2" t="s">
        <v>496</v>
      </c>
    </row>
    <row r="124" spans="1:5" x14ac:dyDescent="0.3">
      <c r="A124" s="2">
        <v>401012</v>
      </c>
      <c r="B124" s="2" t="s">
        <v>235</v>
      </c>
      <c r="C124" s="2" t="s">
        <v>384</v>
      </c>
      <c r="D124" s="2">
        <v>4</v>
      </c>
      <c r="E124" s="2" t="s">
        <v>496</v>
      </c>
    </row>
    <row r="125" spans="1:5" x14ac:dyDescent="0.3">
      <c r="A125" s="2">
        <v>401013</v>
      </c>
      <c r="B125" s="2" t="s">
        <v>231</v>
      </c>
      <c r="C125" s="2" t="s">
        <v>384</v>
      </c>
      <c r="D125" s="2">
        <v>4</v>
      </c>
      <c r="E125" s="2" t="s">
        <v>496</v>
      </c>
    </row>
    <row r="126" spans="1:5" x14ac:dyDescent="0.3">
      <c r="A126" s="2">
        <v>401014</v>
      </c>
      <c r="B126" s="2" t="s">
        <v>230</v>
      </c>
      <c r="C126" s="2" t="s">
        <v>384</v>
      </c>
      <c r="D126" s="2">
        <v>4</v>
      </c>
      <c r="E126" s="2" t="s">
        <v>496</v>
      </c>
    </row>
    <row r="127" spans="1:5" x14ac:dyDescent="0.3">
      <c r="A127" s="2">
        <v>401015</v>
      </c>
      <c r="B127" s="2" t="s">
        <v>229</v>
      </c>
      <c r="C127" s="2" t="s">
        <v>384</v>
      </c>
      <c r="D127" s="2">
        <v>4</v>
      </c>
      <c r="E127" s="2" t="s">
        <v>496</v>
      </c>
    </row>
    <row r="128" spans="1:5" x14ac:dyDescent="0.3">
      <c r="A128" s="2">
        <v>401019</v>
      </c>
      <c r="B128" s="2" t="s">
        <v>234</v>
      </c>
      <c r="C128" s="2" t="s">
        <v>384</v>
      </c>
      <c r="D128" s="2">
        <v>4</v>
      </c>
      <c r="E128" s="2" t="s">
        <v>496</v>
      </c>
    </row>
    <row r="129" spans="1:5" x14ac:dyDescent="0.3">
      <c r="A129" s="2">
        <v>402132</v>
      </c>
      <c r="B129" s="2" t="s">
        <v>156</v>
      </c>
      <c r="C129" s="2" t="s">
        <v>385</v>
      </c>
      <c r="D129" s="2">
        <v>3</v>
      </c>
      <c r="E129" s="2" t="s">
        <v>497</v>
      </c>
    </row>
    <row r="130" spans="1:5" x14ac:dyDescent="0.3">
      <c r="A130" s="2">
        <v>402251</v>
      </c>
      <c r="B130" s="2" t="s">
        <v>261</v>
      </c>
      <c r="C130" s="2" t="s">
        <v>372</v>
      </c>
      <c r="D130" s="2">
        <v>15</v>
      </c>
      <c r="E130" s="2" t="s">
        <v>470</v>
      </c>
    </row>
    <row r="131" spans="1:5" x14ac:dyDescent="0.3">
      <c r="A131" s="2">
        <v>402252</v>
      </c>
      <c r="B131" s="2" t="s">
        <v>498</v>
      </c>
      <c r="C131" s="2" t="s">
        <v>372</v>
      </c>
      <c r="D131" s="2">
        <v>15</v>
      </c>
      <c r="E131" s="2" t="s">
        <v>470</v>
      </c>
    </row>
    <row r="132" spans="1:5" x14ac:dyDescent="0.3">
      <c r="A132" s="2">
        <v>402253</v>
      </c>
      <c r="B132" s="2" t="s">
        <v>263</v>
      </c>
      <c r="C132" s="2" t="s">
        <v>372</v>
      </c>
      <c r="D132" s="2">
        <v>15</v>
      </c>
      <c r="E132" s="2" t="s">
        <v>470</v>
      </c>
    </row>
    <row r="133" spans="1:5" x14ac:dyDescent="0.3">
      <c r="A133" s="2">
        <v>402254</v>
      </c>
      <c r="B133" s="2" t="s">
        <v>499</v>
      </c>
      <c r="C133" s="2" t="s">
        <v>370</v>
      </c>
      <c r="D133" s="2">
        <v>11</v>
      </c>
      <c r="E133" s="2" t="s">
        <v>470</v>
      </c>
    </row>
    <row r="134" spans="1:5" x14ac:dyDescent="0.3">
      <c r="A134" s="2">
        <v>402255</v>
      </c>
      <c r="B134" s="2" t="s">
        <v>26</v>
      </c>
      <c r="C134" s="2" t="s">
        <v>375</v>
      </c>
      <c r="D134" s="2">
        <v>3</v>
      </c>
      <c r="E134" s="2" t="s">
        <v>500</v>
      </c>
    </row>
    <row r="135" spans="1:5" x14ac:dyDescent="0.3">
      <c r="A135" s="2">
        <v>402257</v>
      </c>
      <c r="B135" s="2" t="s">
        <v>324</v>
      </c>
      <c r="C135" s="2" t="s">
        <v>381</v>
      </c>
      <c r="D135" s="2">
        <v>15</v>
      </c>
      <c r="E135" s="2" t="s">
        <v>470</v>
      </c>
    </row>
    <row r="136" spans="1:5" x14ac:dyDescent="0.3">
      <c r="A136" s="2">
        <v>403101</v>
      </c>
      <c r="B136" s="2" t="s">
        <v>62</v>
      </c>
      <c r="C136" s="2" t="s">
        <v>381</v>
      </c>
      <c r="D136" s="2">
        <v>6</v>
      </c>
      <c r="E136" s="2" t="s">
        <v>501</v>
      </c>
    </row>
    <row r="137" spans="1:5" x14ac:dyDescent="0.3">
      <c r="A137" s="2">
        <v>403103</v>
      </c>
      <c r="B137" s="2" t="s">
        <v>402</v>
      </c>
      <c r="C137" s="2" t="s">
        <v>381</v>
      </c>
      <c r="D137" s="2">
        <v>6</v>
      </c>
      <c r="E137" s="2" t="s">
        <v>501</v>
      </c>
    </row>
    <row r="138" spans="1:5" x14ac:dyDescent="0.3">
      <c r="A138" s="2">
        <v>403104</v>
      </c>
      <c r="B138" s="2" t="s">
        <v>411</v>
      </c>
      <c r="C138" s="2" t="s">
        <v>381</v>
      </c>
      <c r="D138" s="2">
        <v>6</v>
      </c>
      <c r="E138" s="2" t="s">
        <v>501</v>
      </c>
    </row>
    <row r="139" spans="1:5" x14ac:dyDescent="0.3">
      <c r="A139" s="2">
        <v>403210</v>
      </c>
      <c r="B139" s="2" t="s">
        <v>502</v>
      </c>
      <c r="C139" s="2" t="s">
        <v>365</v>
      </c>
      <c r="D139" s="2">
        <v>2</v>
      </c>
      <c r="E139" s="2" t="s">
        <v>503</v>
      </c>
    </row>
    <row r="140" spans="1:5" x14ac:dyDescent="0.3">
      <c r="A140" s="2">
        <v>403225</v>
      </c>
      <c r="B140" s="2" t="s">
        <v>504</v>
      </c>
      <c r="C140" s="2" t="s">
        <v>365</v>
      </c>
      <c r="D140" s="2">
        <v>2</v>
      </c>
      <c r="E140" s="2" t="s">
        <v>476</v>
      </c>
    </row>
    <row r="141" spans="1:5" x14ac:dyDescent="0.3">
      <c r="A141" s="2">
        <v>403231</v>
      </c>
      <c r="B141" s="2" t="s">
        <v>505</v>
      </c>
      <c r="C141" s="2" t="s">
        <v>365</v>
      </c>
      <c r="D141" s="2">
        <v>2</v>
      </c>
      <c r="E141" s="2" t="s">
        <v>503</v>
      </c>
    </row>
    <row r="142" spans="1:5" x14ac:dyDescent="0.3">
      <c r="A142" s="2">
        <v>403268</v>
      </c>
      <c r="B142" s="2" t="s">
        <v>172</v>
      </c>
      <c r="C142" s="2" t="s">
        <v>369</v>
      </c>
      <c r="D142" s="2">
        <v>2</v>
      </c>
      <c r="E142" s="2" t="s">
        <v>487</v>
      </c>
    </row>
    <row r="143" spans="1:5" x14ac:dyDescent="0.3">
      <c r="A143" s="2">
        <v>403278</v>
      </c>
      <c r="B143" s="2" t="s">
        <v>63</v>
      </c>
      <c r="C143" s="2" t="s">
        <v>381</v>
      </c>
      <c r="D143" s="2">
        <v>15</v>
      </c>
      <c r="E143" s="2" t="s">
        <v>470</v>
      </c>
    </row>
    <row r="144" spans="1:5" x14ac:dyDescent="0.3">
      <c r="A144" s="2">
        <v>403314</v>
      </c>
      <c r="B144" s="2" t="s">
        <v>506</v>
      </c>
      <c r="C144" s="2" t="s">
        <v>381</v>
      </c>
      <c r="D144" s="2">
        <v>6</v>
      </c>
      <c r="E144" s="2" t="s">
        <v>501</v>
      </c>
    </row>
    <row r="145" spans="1:5" x14ac:dyDescent="0.3">
      <c r="A145" s="2">
        <v>403338</v>
      </c>
      <c r="B145" s="2" t="s">
        <v>9</v>
      </c>
      <c r="C145" s="2" t="s">
        <v>365</v>
      </c>
      <c r="D145" s="2">
        <v>2</v>
      </c>
      <c r="E145" s="2" t="s">
        <v>476</v>
      </c>
    </row>
    <row r="146" spans="1:5" x14ac:dyDescent="0.3">
      <c r="A146" s="2">
        <v>403393</v>
      </c>
      <c r="B146" s="2" t="s">
        <v>262</v>
      </c>
      <c r="C146" s="2" t="s">
        <v>372</v>
      </c>
      <c r="D146" s="2">
        <v>15</v>
      </c>
      <c r="E146" s="2" t="s">
        <v>460</v>
      </c>
    </row>
    <row r="147" spans="1:5" x14ac:dyDescent="0.3">
      <c r="A147" s="2">
        <v>403394</v>
      </c>
      <c r="B147" s="2" t="s">
        <v>507</v>
      </c>
      <c r="C147" s="2" t="s">
        <v>372</v>
      </c>
      <c r="D147" s="2">
        <v>15</v>
      </c>
      <c r="E147" s="2" t="s">
        <v>460</v>
      </c>
    </row>
    <row r="148" spans="1:5" x14ac:dyDescent="0.3">
      <c r="A148" s="2">
        <v>403395</v>
      </c>
      <c r="B148" s="2" t="s">
        <v>508</v>
      </c>
      <c r="C148" s="2" t="s">
        <v>381</v>
      </c>
      <c r="D148" s="2">
        <v>15</v>
      </c>
      <c r="E148" s="2" t="s">
        <v>460</v>
      </c>
    </row>
    <row r="149" spans="1:5" x14ac:dyDescent="0.3">
      <c r="A149" s="2">
        <v>403407</v>
      </c>
      <c r="B149" s="2" t="s">
        <v>337</v>
      </c>
      <c r="C149" s="2" t="s">
        <v>371</v>
      </c>
      <c r="D149" s="2">
        <v>2</v>
      </c>
      <c r="E149" s="2" t="s">
        <v>445</v>
      </c>
    </row>
    <row r="150" spans="1:5" x14ac:dyDescent="0.3">
      <c r="A150" s="2">
        <v>404309</v>
      </c>
      <c r="B150" s="2" t="s">
        <v>27</v>
      </c>
      <c r="C150" s="2" t="s">
        <v>368</v>
      </c>
      <c r="D150" s="2">
        <v>4</v>
      </c>
      <c r="E150" s="2" t="s">
        <v>473</v>
      </c>
    </row>
    <row r="151" spans="1:5" x14ac:dyDescent="0.3">
      <c r="A151" s="2">
        <v>404316</v>
      </c>
      <c r="B151" s="2" t="s">
        <v>509</v>
      </c>
      <c r="C151" s="2" t="s">
        <v>369</v>
      </c>
      <c r="D151" s="2">
        <v>3</v>
      </c>
      <c r="E151" s="2" t="s">
        <v>454</v>
      </c>
    </row>
    <row r="152" spans="1:5" x14ac:dyDescent="0.3">
      <c r="A152" s="2">
        <v>404718</v>
      </c>
      <c r="B152" s="2" t="s">
        <v>103</v>
      </c>
      <c r="C152" s="2" t="s">
        <v>364</v>
      </c>
      <c r="D152" s="2">
        <v>6</v>
      </c>
      <c r="E152" s="2" t="s">
        <v>456</v>
      </c>
    </row>
    <row r="153" spans="1:5" x14ac:dyDescent="0.3">
      <c r="A153" s="2">
        <v>404719</v>
      </c>
      <c r="B153" s="2" t="s">
        <v>102</v>
      </c>
      <c r="C153" s="2" t="s">
        <v>364</v>
      </c>
      <c r="D153" s="2">
        <v>6</v>
      </c>
      <c r="E153" s="2" t="s">
        <v>456</v>
      </c>
    </row>
    <row r="154" spans="1:5" x14ac:dyDescent="0.3">
      <c r="A154" s="2">
        <v>404720</v>
      </c>
      <c r="B154" s="2" t="s">
        <v>307</v>
      </c>
      <c r="C154" s="2" t="s">
        <v>364</v>
      </c>
      <c r="D154" s="2">
        <v>6</v>
      </c>
      <c r="E154" s="2" t="s">
        <v>456</v>
      </c>
    </row>
    <row r="155" spans="1:5" x14ac:dyDescent="0.3">
      <c r="A155" s="2">
        <v>404722</v>
      </c>
      <c r="B155" s="2" t="s">
        <v>106</v>
      </c>
      <c r="C155" s="2" t="s">
        <v>364</v>
      </c>
      <c r="D155" s="2">
        <v>6</v>
      </c>
      <c r="E155" s="2" t="s">
        <v>456</v>
      </c>
    </row>
    <row r="156" spans="1:5" x14ac:dyDescent="0.3">
      <c r="A156" s="2">
        <v>404731</v>
      </c>
      <c r="B156" s="2" t="s">
        <v>510</v>
      </c>
      <c r="C156" s="2" t="s">
        <v>364</v>
      </c>
      <c r="D156" s="2">
        <v>6</v>
      </c>
      <c r="E156" s="2" t="s">
        <v>456</v>
      </c>
    </row>
    <row r="157" spans="1:5" x14ac:dyDescent="0.3">
      <c r="A157" s="2">
        <v>404735</v>
      </c>
      <c r="B157" s="2" t="s">
        <v>110</v>
      </c>
      <c r="C157" s="2" t="s">
        <v>364</v>
      </c>
      <c r="D157" s="2">
        <v>6</v>
      </c>
      <c r="E157" s="2" t="s">
        <v>456</v>
      </c>
    </row>
    <row r="158" spans="1:5" x14ac:dyDescent="0.3">
      <c r="A158" s="2">
        <v>404736</v>
      </c>
      <c r="B158" s="2" t="s">
        <v>109</v>
      </c>
      <c r="C158" s="2" t="s">
        <v>364</v>
      </c>
      <c r="D158" s="2">
        <v>6</v>
      </c>
      <c r="E158" s="2" t="s">
        <v>456</v>
      </c>
    </row>
    <row r="159" spans="1:5" x14ac:dyDescent="0.3">
      <c r="A159" s="2">
        <v>404737</v>
      </c>
      <c r="B159" s="2" t="s">
        <v>113</v>
      </c>
      <c r="C159" s="2" t="s">
        <v>364</v>
      </c>
      <c r="D159" s="2">
        <v>6</v>
      </c>
      <c r="E159" s="2" t="s">
        <v>456</v>
      </c>
    </row>
    <row r="160" spans="1:5" x14ac:dyDescent="0.3">
      <c r="A160" s="2">
        <v>404738</v>
      </c>
      <c r="B160" s="2" t="s">
        <v>115</v>
      </c>
      <c r="C160" s="2" t="s">
        <v>364</v>
      </c>
      <c r="D160" s="2">
        <v>6</v>
      </c>
      <c r="E160" s="2" t="s">
        <v>456</v>
      </c>
    </row>
    <row r="161" spans="1:5" x14ac:dyDescent="0.3">
      <c r="A161" s="2">
        <v>404739</v>
      </c>
      <c r="B161" s="2" t="s">
        <v>114</v>
      </c>
      <c r="C161" s="2" t="s">
        <v>364</v>
      </c>
      <c r="D161" s="2">
        <v>6</v>
      </c>
      <c r="E161" s="2" t="s">
        <v>456</v>
      </c>
    </row>
    <row r="162" spans="1:5" x14ac:dyDescent="0.3">
      <c r="A162" s="2">
        <v>404744</v>
      </c>
      <c r="B162" s="2" t="s">
        <v>116</v>
      </c>
      <c r="C162" s="2" t="s">
        <v>364</v>
      </c>
      <c r="D162" s="2">
        <v>6</v>
      </c>
      <c r="E162" s="2" t="s">
        <v>456</v>
      </c>
    </row>
    <row r="163" spans="1:5" x14ac:dyDescent="0.3">
      <c r="A163" s="2">
        <v>404745</v>
      </c>
      <c r="B163" s="2" t="s">
        <v>117</v>
      </c>
      <c r="C163" s="2" t="s">
        <v>364</v>
      </c>
      <c r="D163" s="2">
        <v>6</v>
      </c>
      <c r="E163" s="2" t="s">
        <v>456</v>
      </c>
    </row>
    <row r="164" spans="1:5" x14ac:dyDescent="0.3">
      <c r="A164" s="2">
        <v>404748</v>
      </c>
      <c r="B164" s="2" t="s">
        <v>107</v>
      </c>
      <c r="C164" s="2" t="s">
        <v>364</v>
      </c>
      <c r="D164" s="2">
        <v>6</v>
      </c>
      <c r="E164" s="2" t="s">
        <v>456</v>
      </c>
    </row>
    <row r="165" spans="1:5" x14ac:dyDescent="0.3">
      <c r="A165" s="2">
        <v>405031</v>
      </c>
      <c r="B165" s="2" t="s">
        <v>150</v>
      </c>
      <c r="C165" s="2" t="s">
        <v>364</v>
      </c>
      <c r="D165" s="2">
        <v>6</v>
      </c>
      <c r="E165" s="2" t="s">
        <v>456</v>
      </c>
    </row>
    <row r="166" spans="1:5" x14ac:dyDescent="0.3">
      <c r="A166" s="2">
        <v>405034</v>
      </c>
      <c r="B166" s="2" t="s">
        <v>144</v>
      </c>
      <c r="C166" s="2" t="s">
        <v>364</v>
      </c>
      <c r="D166" s="2">
        <v>6</v>
      </c>
      <c r="E166" s="2" t="s">
        <v>456</v>
      </c>
    </row>
    <row r="167" spans="1:5" x14ac:dyDescent="0.3">
      <c r="A167" s="2">
        <v>405036</v>
      </c>
      <c r="B167" s="2" t="s">
        <v>139</v>
      </c>
      <c r="C167" s="2" t="s">
        <v>364</v>
      </c>
      <c r="D167" s="2">
        <v>6</v>
      </c>
      <c r="E167" s="2" t="s">
        <v>456</v>
      </c>
    </row>
    <row r="168" spans="1:5" x14ac:dyDescent="0.3">
      <c r="A168" s="2">
        <v>405050</v>
      </c>
      <c r="B168" s="2" t="s">
        <v>511</v>
      </c>
      <c r="C168" s="2" t="s">
        <v>364</v>
      </c>
      <c r="D168" s="2">
        <v>6</v>
      </c>
      <c r="E168" s="2" t="s">
        <v>456</v>
      </c>
    </row>
    <row r="169" spans="1:5" x14ac:dyDescent="0.3">
      <c r="A169" s="2">
        <v>405089</v>
      </c>
      <c r="B169" s="2" t="s">
        <v>135</v>
      </c>
      <c r="C169" s="2" t="s">
        <v>364</v>
      </c>
      <c r="D169" s="2">
        <v>6</v>
      </c>
      <c r="E169" s="2" t="s">
        <v>456</v>
      </c>
    </row>
    <row r="170" spans="1:5" x14ac:dyDescent="0.3">
      <c r="A170" s="2">
        <v>405090</v>
      </c>
      <c r="B170" s="2" t="s">
        <v>137</v>
      </c>
      <c r="C170" s="2" t="s">
        <v>364</v>
      </c>
      <c r="D170" s="2">
        <v>6</v>
      </c>
      <c r="E170" s="2" t="s">
        <v>456</v>
      </c>
    </row>
    <row r="171" spans="1:5" x14ac:dyDescent="0.3">
      <c r="A171" s="2">
        <v>405103</v>
      </c>
      <c r="B171" s="2" t="s">
        <v>105</v>
      </c>
      <c r="C171" s="2" t="s">
        <v>364</v>
      </c>
      <c r="D171" s="2">
        <v>6</v>
      </c>
      <c r="E171" s="2" t="s">
        <v>456</v>
      </c>
    </row>
    <row r="172" spans="1:5" x14ac:dyDescent="0.3">
      <c r="A172" s="2">
        <v>405108</v>
      </c>
      <c r="B172" s="2" t="s">
        <v>133</v>
      </c>
      <c r="C172" s="2" t="s">
        <v>364</v>
      </c>
      <c r="D172" s="2">
        <v>6</v>
      </c>
      <c r="E172" s="2" t="s">
        <v>456</v>
      </c>
    </row>
    <row r="173" spans="1:5" x14ac:dyDescent="0.3">
      <c r="A173" s="2">
        <v>405111</v>
      </c>
      <c r="B173" s="2" t="s">
        <v>512</v>
      </c>
      <c r="C173" s="2" t="s">
        <v>364</v>
      </c>
      <c r="D173" s="2">
        <v>6</v>
      </c>
      <c r="E173" s="2" t="s">
        <v>456</v>
      </c>
    </row>
    <row r="174" spans="1:5" x14ac:dyDescent="0.3">
      <c r="A174" s="2">
        <v>405115</v>
      </c>
      <c r="B174" s="2" t="s">
        <v>513</v>
      </c>
      <c r="C174" s="2" t="s">
        <v>379</v>
      </c>
      <c r="D174" s="2">
        <v>3</v>
      </c>
      <c r="E174" s="2" t="s">
        <v>438</v>
      </c>
    </row>
    <row r="175" spans="1:5" x14ac:dyDescent="0.3">
      <c r="A175" s="2">
        <v>405119</v>
      </c>
      <c r="B175" s="2" t="s">
        <v>146</v>
      </c>
      <c r="C175" s="2" t="s">
        <v>364</v>
      </c>
      <c r="D175" s="2">
        <v>6</v>
      </c>
      <c r="E175" s="2" t="s">
        <v>456</v>
      </c>
    </row>
    <row r="176" spans="1:5" x14ac:dyDescent="0.3">
      <c r="A176" s="2">
        <v>405120</v>
      </c>
      <c r="B176" s="2" t="s">
        <v>138</v>
      </c>
      <c r="C176" s="2" t="s">
        <v>364</v>
      </c>
      <c r="D176" s="2">
        <v>6</v>
      </c>
      <c r="E176" s="2" t="s">
        <v>456</v>
      </c>
    </row>
    <row r="177" spans="1:5" x14ac:dyDescent="0.3">
      <c r="A177" s="2">
        <v>405121</v>
      </c>
      <c r="B177" s="2" t="s">
        <v>151</v>
      </c>
      <c r="C177" s="2" t="s">
        <v>364</v>
      </c>
      <c r="D177" s="2">
        <v>6</v>
      </c>
      <c r="E177" s="2" t="s">
        <v>456</v>
      </c>
    </row>
    <row r="178" spans="1:5" x14ac:dyDescent="0.3">
      <c r="A178" s="2">
        <v>405122</v>
      </c>
      <c r="B178" s="2" t="s">
        <v>514</v>
      </c>
      <c r="C178" s="2" t="s">
        <v>364</v>
      </c>
      <c r="D178" s="2">
        <v>6</v>
      </c>
      <c r="E178" s="2" t="s">
        <v>456</v>
      </c>
    </row>
    <row r="179" spans="1:5" x14ac:dyDescent="0.3">
      <c r="A179" s="2">
        <v>405123</v>
      </c>
      <c r="B179" s="2" t="s">
        <v>149</v>
      </c>
      <c r="C179" s="2" t="s">
        <v>364</v>
      </c>
      <c r="D179" s="2">
        <v>6</v>
      </c>
      <c r="E179" s="2" t="s">
        <v>456</v>
      </c>
    </row>
    <row r="180" spans="1:5" x14ac:dyDescent="0.3">
      <c r="A180" s="2">
        <v>405124</v>
      </c>
      <c r="B180" s="2" t="s">
        <v>141</v>
      </c>
      <c r="C180" s="2" t="s">
        <v>364</v>
      </c>
      <c r="D180" s="2">
        <v>6</v>
      </c>
      <c r="E180" s="2" t="s">
        <v>456</v>
      </c>
    </row>
    <row r="181" spans="1:5" x14ac:dyDescent="0.3">
      <c r="A181" s="2">
        <v>405126</v>
      </c>
      <c r="B181" s="2" t="s">
        <v>142</v>
      </c>
      <c r="C181" s="2" t="s">
        <v>364</v>
      </c>
      <c r="D181" s="2">
        <v>6</v>
      </c>
      <c r="E181" s="2" t="s">
        <v>456</v>
      </c>
    </row>
    <row r="182" spans="1:5" x14ac:dyDescent="0.3">
      <c r="A182" s="2">
        <v>405127</v>
      </c>
      <c r="B182" s="2" t="s">
        <v>99</v>
      </c>
      <c r="C182" s="2" t="s">
        <v>364</v>
      </c>
      <c r="D182" s="2">
        <v>6</v>
      </c>
      <c r="E182" s="2" t="s">
        <v>456</v>
      </c>
    </row>
    <row r="183" spans="1:5" x14ac:dyDescent="0.3">
      <c r="A183" s="2">
        <v>405128</v>
      </c>
      <c r="B183" s="2" t="s">
        <v>125</v>
      </c>
      <c r="C183" s="2" t="s">
        <v>364</v>
      </c>
      <c r="D183" s="2">
        <v>6</v>
      </c>
      <c r="E183" s="2" t="s">
        <v>456</v>
      </c>
    </row>
    <row r="184" spans="1:5" x14ac:dyDescent="0.3">
      <c r="A184" s="2">
        <v>405129</v>
      </c>
      <c r="B184" s="2" t="s">
        <v>94</v>
      </c>
      <c r="C184" s="2" t="s">
        <v>364</v>
      </c>
      <c r="D184" s="2">
        <v>6</v>
      </c>
      <c r="E184" s="2" t="s">
        <v>456</v>
      </c>
    </row>
    <row r="185" spans="1:5" x14ac:dyDescent="0.3">
      <c r="A185" s="2">
        <v>405130</v>
      </c>
      <c r="B185" s="2" t="s">
        <v>148</v>
      </c>
      <c r="C185" s="2" t="s">
        <v>364</v>
      </c>
      <c r="D185" s="2">
        <v>6</v>
      </c>
      <c r="E185" s="2" t="s">
        <v>456</v>
      </c>
    </row>
    <row r="186" spans="1:5" x14ac:dyDescent="0.3">
      <c r="A186" s="2">
        <v>405131</v>
      </c>
      <c r="B186" s="2" t="s">
        <v>140</v>
      </c>
      <c r="C186" s="2" t="s">
        <v>364</v>
      </c>
      <c r="D186" s="2">
        <v>6</v>
      </c>
      <c r="E186" s="2" t="s">
        <v>456</v>
      </c>
    </row>
    <row r="187" spans="1:5" x14ac:dyDescent="0.3">
      <c r="A187" s="2">
        <v>405133</v>
      </c>
      <c r="B187" s="2" t="s">
        <v>219</v>
      </c>
      <c r="C187" s="2" t="s">
        <v>368</v>
      </c>
      <c r="D187" s="2">
        <v>4</v>
      </c>
      <c r="E187" s="2" t="s">
        <v>473</v>
      </c>
    </row>
    <row r="188" spans="1:5" x14ac:dyDescent="0.3">
      <c r="A188" s="2">
        <v>405159</v>
      </c>
      <c r="B188" s="2" t="s">
        <v>104</v>
      </c>
      <c r="C188" s="2" t="s">
        <v>364</v>
      </c>
      <c r="D188" s="2">
        <v>6</v>
      </c>
      <c r="E188" s="2" t="s">
        <v>456</v>
      </c>
    </row>
    <row r="189" spans="1:5" x14ac:dyDescent="0.3">
      <c r="A189" s="2">
        <v>405160</v>
      </c>
      <c r="B189" s="2" t="s">
        <v>100</v>
      </c>
      <c r="C189" s="2" t="s">
        <v>364</v>
      </c>
      <c r="D189" s="2">
        <v>6</v>
      </c>
      <c r="E189" s="2" t="s">
        <v>456</v>
      </c>
    </row>
    <row r="190" spans="1:5" x14ac:dyDescent="0.3">
      <c r="A190" s="2">
        <v>405168</v>
      </c>
      <c r="B190" s="2" t="s">
        <v>515</v>
      </c>
      <c r="C190" s="2" t="s">
        <v>364</v>
      </c>
      <c r="D190" s="2">
        <v>6</v>
      </c>
      <c r="E190" s="2" t="s">
        <v>456</v>
      </c>
    </row>
    <row r="191" spans="1:5" x14ac:dyDescent="0.3">
      <c r="A191" s="2">
        <v>405205</v>
      </c>
      <c r="B191" s="2" t="s">
        <v>98</v>
      </c>
      <c r="C191" s="2" t="s">
        <v>364</v>
      </c>
      <c r="D191" s="2">
        <v>6</v>
      </c>
      <c r="E191" s="2" t="s">
        <v>456</v>
      </c>
    </row>
    <row r="192" spans="1:5" x14ac:dyDescent="0.3">
      <c r="A192" s="2">
        <v>405206</v>
      </c>
      <c r="B192" s="2" t="s">
        <v>97</v>
      </c>
      <c r="C192" s="2" t="s">
        <v>364</v>
      </c>
      <c r="D192" s="2">
        <v>6</v>
      </c>
      <c r="E192" s="2" t="s">
        <v>456</v>
      </c>
    </row>
    <row r="193" spans="1:5" x14ac:dyDescent="0.3">
      <c r="A193" s="2">
        <v>405207</v>
      </c>
      <c r="B193" s="2" t="s">
        <v>96</v>
      </c>
      <c r="C193" s="2" t="s">
        <v>364</v>
      </c>
      <c r="D193" s="2">
        <v>6</v>
      </c>
      <c r="E193" s="2" t="s">
        <v>456</v>
      </c>
    </row>
    <row r="194" spans="1:5" x14ac:dyDescent="0.3">
      <c r="A194" s="2">
        <v>405246</v>
      </c>
      <c r="B194" s="2" t="s">
        <v>410</v>
      </c>
      <c r="C194" s="2" t="s">
        <v>420</v>
      </c>
      <c r="D194" s="2">
        <v>3</v>
      </c>
      <c r="E194" s="2" t="s">
        <v>516</v>
      </c>
    </row>
    <row r="195" spans="1:5" x14ac:dyDescent="0.3">
      <c r="A195" s="2">
        <v>405278</v>
      </c>
      <c r="B195" s="2" t="s">
        <v>56</v>
      </c>
      <c r="C195" s="2" t="s">
        <v>365</v>
      </c>
      <c r="D195" s="2">
        <v>2</v>
      </c>
      <c r="E195" s="2" t="s">
        <v>465</v>
      </c>
    </row>
    <row r="196" spans="1:5" x14ac:dyDescent="0.3">
      <c r="A196" s="2">
        <v>405283</v>
      </c>
      <c r="B196" s="2" t="s">
        <v>517</v>
      </c>
      <c r="C196" s="2" t="s">
        <v>365</v>
      </c>
      <c r="D196" s="2">
        <v>2</v>
      </c>
      <c r="E196" s="2" t="s">
        <v>478</v>
      </c>
    </row>
    <row r="197" spans="1:5" x14ac:dyDescent="0.3">
      <c r="A197" s="2">
        <v>405300</v>
      </c>
      <c r="B197" s="2" t="s">
        <v>91</v>
      </c>
      <c r="C197" s="2" t="s">
        <v>364</v>
      </c>
      <c r="D197" s="2">
        <v>6</v>
      </c>
      <c r="E197" s="2" t="s">
        <v>456</v>
      </c>
    </row>
    <row r="198" spans="1:5" x14ac:dyDescent="0.3">
      <c r="A198" s="2">
        <v>405301</v>
      </c>
      <c r="B198" s="2" t="s">
        <v>90</v>
      </c>
      <c r="C198" s="2" t="s">
        <v>364</v>
      </c>
      <c r="D198" s="2">
        <v>6</v>
      </c>
      <c r="E198" s="2" t="s">
        <v>456</v>
      </c>
    </row>
    <row r="199" spans="1:5" x14ac:dyDescent="0.3">
      <c r="A199" s="2">
        <v>405302</v>
      </c>
      <c r="B199" s="2" t="s">
        <v>92</v>
      </c>
      <c r="C199" s="2" t="s">
        <v>364</v>
      </c>
      <c r="D199" s="2">
        <v>6</v>
      </c>
      <c r="E199" s="2" t="s">
        <v>456</v>
      </c>
    </row>
    <row r="200" spans="1:5" x14ac:dyDescent="0.3">
      <c r="A200" s="2">
        <v>405305</v>
      </c>
      <c r="B200" s="2" t="s">
        <v>74</v>
      </c>
      <c r="C200" s="2" t="s">
        <v>366</v>
      </c>
      <c r="D200" s="2">
        <v>3</v>
      </c>
      <c r="E200" s="2" t="s">
        <v>518</v>
      </c>
    </row>
    <row r="201" spans="1:5" x14ac:dyDescent="0.3">
      <c r="A201" s="2">
        <v>405310</v>
      </c>
      <c r="B201" s="2" t="s">
        <v>132</v>
      </c>
      <c r="C201" s="2" t="s">
        <v>364</v>
      </c>
      <c r="D201" s="2">
        <v>6</v>
      </c>
      <c r="E201" s="2" t="s">
        <v>456</v>
      </c>
    </row>
    <row r="202" spans="1:5" x14ac:dyDescent="0.3">
      <c r="A202" s="2">
        <v>405319</v>
      </c>
      <c r="B202" s="2" t="s">
        <v>184</v>
      </c>
      <c r="C202" s="2" t="s">
        <v>381</v>
      </c>
      <c r="D202" s="2">
        <v>6</v>
      </c>
      <c r="E202" s="2" t="s">
        <v>478</v>
      </c>
    </row>
    <row r="203" spans="1:5" x14ac:dyDescent="0.3">
      <c r="A203" s="2">
        <v>405320</v>
      </c>
      <c r="B203" s="2" t="s">
        <v>519</v>
      </c>
      <c r="C203" s="2" t="s">
        <v>389</v>
      </c>
      <c r="D203" s="2">
        <v>3</v>
      </c>
      <c r="E203" s="2" t="s">
        <v>474</v>
      </c>
    </row>
    <row r="204" spans="1:5" x14ac:dyDescent="0.3">
      <c r="A204" s="2">
        <v>405330</v>
      </c>
      <c r="B204" s="2" t="s">
        <v>520</v>
      </c>
      <c r="C204" s="2" t="s">
        <v>389</v>
      </c>
      <c r="D204" s="2">
        <v>2</v>
      </c>
      <c r="E204" s="2" t="s">
        <v>521</v>
      </c>
    </row>
    <row r="205" spans="1:5" x14ac:dyDescent="0.3">
      <c r="A205" s="2">
        <v>405350</v>
      </c>
      <c r="B205" s="2" t="s">
        <v>522</v>
      </c>
      <c r="C205" s="2" t="s">
        <v>368</v>
      </c>
      <c r="D205" s="2">
        <v>9</v>
      </c>
      <c r="E205" s="2" t="s">
        <v>523</v>
      </c>
    </row>
    <row r="206" spans="1:5" x14ac:dyDescent="0.3">
      <c r="A206" s="2">
        <v>405352</v>
      </c>
      <c r="B206" s="2" t="s">
        <v>524</v>
      </c>
      <c r="C206" s="2" t="s">
        <v>364</v>
      </c>
      <c r="D206" s="2">
        <v>6</v>
      </c>
      <c r="E206" s="2" t="s">
        <v>456</v>
      </c>
    </row>
    <row r="207" spans="1:5" x14ac:dyDescent="0.3">
      <c r="A207" s="2">
        <v>405358</v>
      </c>
      <c r="B207" s="2" t="s">
        <v>76</v>
      </c>
      <c r="C207" s="2" t="s">
        <v>364</v>
      </c>
      <c r="D207" s="2">
        <v>6</v>
      </c>
      <c r="E207" s="2" t="s">
        <v>456</v>
      </c>
    </row>
    <row r="208" spans="1:5" x14ac:dyDescent="0.3">
      <c r="A208" s="2">
        <v>405359</v>
      </c>
      <c r="B208" s="2" t="s">
        <v>525</v>
      </c>
      <c r="C208" s="2" t="s">
        <v>364</v>
      </c>
      <c r="D208" s="2">
        <v>6</v>
      </c>
      <c r="E208" s="2" t="s">
        <v>456</v>
      </c>
    </row>
    <row r="209" spans="1:5" x14ac:dyDescent="0.3">
      <c r="A209" s="2">
        <v>405370</v>
      </c>
      <c r="B209" s="2" t="s">
        <v>526</v>
      </c>
      <c r="C209" s="2" t="s">
        <v>390</v>
      </c>
      <c r="D209" s="2">
        <v>3</v>
      </c>
      <c r="E209" s="2" t="s">
        <v>527</v>
      </c>
    </row>
    <row r="210" spans="1:5" x14ac:dyDescent="0.3">
      <c r="A210" s="2">
        <v>405376</v>
      </c>
      <c r="B210" s="2" t="s">
        <v>129</v>
      </c>
      <c r="C210" s="2" t="s">
        <v>364</v>
      </c>
      <c r="D210" s="2">
        <v>6</v>
      </c>
      <c r="E210" s="2" t="s">
        <v>456</v>
      </c>
    </row>
    <row r="211" spans="1:5" x14ac:dyDescent="0.3">
      <c r="A211" s="2">
        <v>405377</v>
      </c>
      <c r="B211" s="2" t="s">
        <v>126</v>
      </c>
      <c r="C211" s="2" t="s">
        <v>364</v>
      </c>
      <c r="D211" s="2">
        <v>6</v>
      </c>
      <c r="E211" s="2" t="s">
        <v>456</v>
      </c>
    </row>
    <row r="212" spans="1:5" x14ac:dyDescent="0.3">
      <c r="A212" s="2">
        <v>405378</v>
      </c>
      <c r="B212" s="2" t="s">
        <v>124</v>
      </c>
      <c r="C212" s="2" t="s">
        <v>364</v>
      </c>
      <c r="D212" s="2">
        <v>6</v>
      </c>
      <c r="E212" s="2" t="s">
        <v>456</v>
      </c>
    </row>
    <row r="213" spans="1:5" x14ac:dyDescent="0.3">
      <c r="A213" s="2">
        <v>405380</v>
      </c>
      <c r="B213" s="2" t="s">
        <v>528</v>
      </c>
      <c r="C213" s="2" t="s">
        <v>365</v>
      </c>
      <c r="D213" s="2">
        <v>2</v>
      </c>
      <c r="E213" s="2" t="s">
        <v>478</v>
      </c>
    </row>
    <row r="214" spans="1:5" x14ac:dyDescent="0.3">
      <c r="A214" s="2">
        <v>405382</v>
      </c>
      <c r="B214" s="2" t="s">
        <v>529</v>
      </c>
      <c r="C214" s="2" t="s">
        <v>390</v>
      </c>
      <c r="D214" s="2">
        <v>3</v>
      </c>
      <c r="E214" s="2" t="s">
        <v>442</v>
      </c>
    </row>
    <row r="215" spans="1:5" x14ac:dyDescent="0.3">
      <c r="A215" s="2">
        <v>501146</v>
      </c>
      <c r="B215" s="2" t="s">
        <v>530</v>
      </c>
      <c r="C215" s="2" t="s">
        <v>372</v>
      </c>
      <c r="D215" s="2">
        <v>15</v>
      </c>
      <c r="E215" s="2" t="s">
        <v>487</v>
      </c>
    </row>
    <row r="216" spans="1:5" x14ac:dyDescent="0.3">
      <c r="A216" s="2">
        <v>501147</v>
      </c>
      <c r="B216" s="2" t="s">
        <v>325</v>
      </c>
      <c r="C216" s="2" t="s">
        <v>388</v>
      </c>
      <c r="D216" s="2">
        <v>2</v>
      </c>
      <c r="E216" s="2" t="s">
        <v>445</v>
      </c>
    </row>
    <row r="217" spans="1:5" x14ac:dyDescent="0.3">
      <c r="A217" s="2">
        <v>100105</v>
      </c>
      <c r="B217" s="2" t="s">
        <v>340</v>
      </c>
      <c r="C217" s="2" t="s">
        <v>387</v>
      </c>
      <c r="D217" s="2">
        <v>3</v>
      </c>
      <c r="E217" s="2" t="s">
        <v>438</v>
      </c>
    </row>
    <row r="218" spans="1:5" x14ac:dyDescent="0.3">
      <c r="A218" s="2">
        <v>100207</v>
      </c>
      <c r="B218" s="2" t="s">
        <v>341</v>
      </c>
      <c r="C218" s="2" t="s">
        <v>387</v>
      </c>
      <c r="D218" s="2">
        <v>3</v>
      </c>
      <c r="E218" s="2" t="s">
        <v>452</v>
      </c>
    </row>
    <row r="219" spans="1:5" x14ac:dyDescent="0.3">
      <c r="A219" s="2">
        <v>100221</v>
      </c>
      <c r="B219" s="2" t="s">
        <v>343</v>
      </c>
      <c r="C219" s="2" t="s">
        <v>387</v>
      </c>
      <c r="D219" s="2">
        <v>3</v>
      </c>
      <c r="E219" s="2" t="s">
        <v>452</v>
      </c>
    </row>
    <row r="220" spans="1:5" x14ac:dyDescent="0.3">
      <c r="A220" s="2">
        <v>100236</v>
      </c>
      <c r="B220" s="2" t="s">
        <v>531</v>
      </c>
      <c r="C220" s="2" t="s">
        <v>387</v>
      </c>
      <c r="D220" s="2">
        <v>3</v>
      </c>
      <c r="E220" s="2" t="s">
        <v>452</v>
      </c>
    </row>
    <row r="221" spans="1:5" x14ac:dyDescent="0.3">
      <c r="A221" s="2">
        <v>100303</v>
      </c>
      <c r="B221" s="2" t="s">
        <v>326</v>
      </c>
      <c r="C221" s="2" t="s">
        <v>388</v>
      </c>
      <c r="D221" s="2">
        <v>2</v>
      </c>
      <c r="E221" s="2" t="s">
        <v>445</v>
      </c>
    </row>
    <row r="222" spans="1:5" x14ac:dyDescent="0.3">
      <c r="A222" s="2">
        <v>102237</v>
      </c>
      <c r="B222" s="2" t="s">
        <v>532</v>
      </c>
      <c r="C222" s="2" t="s">
        <v>387</v>
      </c>
      <c r="D222" s="2">
        <v>3</v>
      </c>
      <c r="E222" s="2" t="s">
        <v>452</v>
      </c>
    </row>
    <row r="223" spans="1:5" x14ac:dyDescent="0.3">
      <c r="A223" s="2">
        <v>102238</v>
      </c>
      <c r="B223" s="2" t="s">
        <v>533</v>
      </c>
      <c r="C223" s="2" t="s">
        <v>387</v>
      </c>
      <c r="D223" s="2">
        <v>3</v>
      </c>
      <c r="E223" s="2" t="s">
        <v>452</v>
      </c>
    </row>
    <row r="224" spans="1:5" x14ac:dyDescent="0.3">
      <c r="A224" s="2">
        <v>102239</v>
      </c>
      <c r="B224" s="2" t="s">
        <v>534</v>
      </c>
      <c r="C224" s="2" t="s">
        <v>387</v>
      </c>
      <c r="D224" s="2">
        <v>3</v>
      </c>
      <c r="E224" s="2" t="s">
        <v>452</v>
      </c>
    </row>
    <row r="225" spans="1:5" x14ac:dyDescent="0.3">
      <c r="A225" s="2">
        <v>103007</v>
      </c>
      <c r="B225" s="2" t="s">
        <v>330</v>
      </c>
      <c r="C225" s="2" t="s">
        <v>391</v>
      </c>
      <c r="D225" s="2">
        <v>2</v>
      </c>
      <c r="E225" s="2" t="s">
        <v>535</v>
      </c>
    </row>
    <row r="226" spans="1:5" x14ac:dyDescent="0.3">
      <c r="A226" s="2">
        <v>103104</v>
      </c>
      <c r="B226" s="2" t="s">
        <v>536</v>
      </c>
      <c r="C226" s="2" t="s">
        <v>394</v>
      </c>
      <c r="D226" s="2">
        <v>3</v>
      </c>
      <c r="E226" s="2" t="s">
        <v>442</v>
      </c>
    </row>
    <row r="227" spans="1:5" x14ac:dyDescent="0.3">
      <c r="A227" s="2">
        <v>104001</v>
      </c>
      <c r="B227" s="2" t="s">
        <v>537</v>
      </c>
      <c r="C227" s="2" t="s">
        <v>367</v>
      </c>
      <c r="D227" s="2">
        <v>3</v>
      </c>
      <c r="E227" s="2" t="s">
        <v>447</v>
      </c>
    </row>
    <row r="228" spans="1:5" x14ac:dyDescent="0.3">
      <c r="A228" s="2">
        <v>104003</v>
      </c>
      <c r="B228" s="2" t="s">
        <v>538</v>
      </c>
      <c r="C228" s="2" t="s">
        <v>367</v>
      </c>
      <c r="D228" s="2">
        <v>3</v>
      </c>
      <c r="E228" s="2" t="s">
        <v>449</v>
      </c>
    </row>
    <row r="229" spans="1:5" x14ac:dyDescent="0.3">
      <c r="A229" s="2">
        <v>104004</v>
      </c>
      <c r="B229" s="2" t="s">
        <v>255</v>
      </c>
      <c r="C229" s="2" t="s">
        <v>367</v>
      </c>
      <c r="D229" s="2">
        <v>3</v>
      </c>
      <c r="E229" s="2" t="s">
        <v>442</v>
      </c>
    </row>
    <row r="230" spans="1:5" x14ac:dyDescent="0.3">
      <c r="A230" s="2">
        <v>105001</v>
      </c>
      <c r="B230" s="2" t="s">
        <v>539</v>
      </c>
      <c r="C230" s="2" t="s">
        <v>420</v>
      </c>
      <c r="D230" s="2">
        <v>3</v>
      </c>
      <c r="E230" s="2" t="s">
        <v>540</v>
      </c>
    </row>
    <row r="231" spans="1:5" x14ac:dyDescent="0.3">
      <c r="A231" s="2">
        <v>105002</v>
      </c>
      <c r="B231" s="2" t="s">
        <v>541</v>
      </c>
      <c r="C231" s="2" t="s">
        <v>420</v>
      </c>
      <c r="D231" s="2">
        <v>3</v>
      </c>
      <c r="E231" s="2" t="s">
        <v>542</v>
      </c>
    </row>
    <row r="232" spans="1:5" x14ac:dyDescent="0.3">
      <c r="A232" s="2">
        <v>106302</v>
      </c>
      <c r="B232" s="2" t="s">
        <v>264</v>
      </c>
      <c r="C232" s="2" t="s">
        <v>366</v>
      </c>
      <c r="D232" s="2">
        <v>2</v>
      </c>
      <c r="E232" s="2" t="s">
        <v>447</v>
      </c>
    </row>
    <row r="233" spans="1:5" x14ac:dyDescent="0.3">
      <c r="A233" s="2">
        <v>107125</v>
      </c>
      <c r="B233" s="2" t="s">
        <v>283</v>
      </c>
      <c r="C233" s="2" t="s">
        <v>373</v>
      </c>
      <c r="D233" s="2">
        <v>3</v>
      </c>
      <c r="E233" s="2" t="s">
        <v>447</v>
      </c>
    </row>
    <row r="234" spans="1:5" x14ac:dyDescent="0.3">
      <c r="A234" s="2">
        <v>107130</v>
      </c>
      <c r="B234" s="2" t="s">
        <v>543</v>
      </c>
      <c r="C234" s="2" t="s">
        <v>371</v>
      </c>
      <c r="D234" s="2">
        <v>2</v>
      </c>
      <c r="E234" s="2" t="s">
        <v>445</v>
      </c>
    </row>
    <row r="235" spans="1:5" x14ac:dyDescent="0.3">
      <c r="A235" s="2">
        <v>107131</v>
      </c>
      <c r="B235" s="2" t="s">
        <v>338</v>
      </c>
      <c r="C235" s="2" t="s">
        <v>371</v>
      </c>
      <c r="D235" s="2">
        <v>2</v>
      </c>
      <c r="E235" s="2" t="s">
        <v>445</v>
      </c>
    </row>
    <row r="236" spans="1:5" x14ac:dyDescent="0.3">
      <c r="A236" s="2">
        <v>107144</v>
      </c>
      <c r="B236" s="2" t="s">
        <v>190</v>
      </c>
      <c r="C236" s="2" t="s">
        <v>383</v>
      </c>
      <c r="D236" s="2">
        <v>2</v>
      </c>
      <c r="E236" s="2" t="s">
        <v>445</v>
      </c>
    </row>
    <row r="237" spans="1:5" x14ac:dyDescent="0.3">
      <c r="A237" s="2">
        <v>107147</v>
      </c>
      <c r="B237" s="2" t="s">
        <v>328</v>
      </c>
      <c r="C237" s="2" t="s">
        <v>382</v>
      </c>
      <c r="D237" s="2">
        <v>2</v>
      </c>
      <c r="E237" s="2" t="s">
        <v>544</v>
      </c>
    </row>
    <row r="238" spans="1:5" x14ac:dyDescent="0.3">
      <c r="A238" s="2">
        <v>107148</v>
      </c>
      <c r="B238" s="2" t="s">
        <v>225</v>
      </c>
      <c r="C238" s="2" t="s">
        <v>366</v>
      </c>
      <c r="D238" s="2">
        <v>4</v>
      </c>
      <c r="E238" s="2" t="s">
        <v>545</v>
      </c>
    </row>
    <row r="239" spans="1:5" x14ac:dyDescent="0.3">
      <c r="A239" s="2">
        <v>107155</v>
      </c>
      <c r="B239" s="2" t="s">
        <v>332</v>
      </c>
      <c r="C239" s="2" t="s">
        <v>371</v>
      </c>
      <c r="D239" s="2">
        <v>2</v>
      </c>
      <c r="E239" s="2" t="s">
        <v>445</v>
      </c>
    </row>
    <row r="240" spans="1:5" x14ac:dyDescent="0.3">
      <c r="A240" s="2">
        <v>107156</v>
      </c>
      <c r="B240" s="2" t="s">
        <v>546</v>
      </c>
      <c r="C240" s="2" t="s">
        <v>371</v>
      </c>
      <c r="D240" s="2">
        <v>3</v>
      </c>
      <c r="E240" s="2" t="s">
        <v>437</v>
      </c>
    </row>
    <row r="241" spans="1:5" x14ac:dyDescent="0.3">
      <c r="A241" s="2">
        <v>107172</v>
      </c>
      <c r="B241" s="2" t="s">
        <v>200</v>
      </c>
      <c r="C241" s="2" t="s">
        <v>371</v>
      </c>
      <c r="D241" s="2">
        <v>2</v>
      </c>
      <c r="E241" s="2" t="s">
        <v>445</v>
      </c>
    </row>
    <row r="242" spans="1:5" x14ac:dyDescent="0.3">
      <c r="A242" s="2">
        <v>107183</v>
      </c>
      <c r="B242" s="2" t="s">
        <v>320</v>
      </c>
      <c r="C242" s="2" t="s">
        <v>383</v>
      </c>
      <c r="D242" s="2">
        <v>5</v>
      </c>
      <c r="E242" s="2" t="s">
        <v>444</v>
      </c>
    </row>
    <row r="243" spans="1:5" x14ac:dyDescent="0.3">
      <c r="A243" s="2">
        <v>107240</v>
      </c>
      <c r="B243" s="2" t="s">
        <v>273</v>
      </c>
      <c r="C243" s="2" t="s">
        <v>373</v>
      </c>
      <c r="D243" s="2">
        <v>3</v>
      </c>
      <c r="E243" s="2" t="s">
        <v>447</v>
      </c>
    </row>
    <row r="244" spans="1:5" x14ac:dyDescent="0.3">
      <c r="A244" s="2">
        <v>107263</v>
      </c>
      <c r="B244" s="2" t="s">
        <v>356</v>
      </c>
      <c r="C244" s="2" t="s">
        <v>371</v>
      </c>
      <c r="D244" s="2">
        <v>3</v>
      </c>
      <c r="E244" s="2" t="s">
        <v>438</v>
      </c>
    </row>
    <row r="245" spans="1:5" x14ac:dyDescent="0.3">
      <c r="A245" s="2">
        <v>107277</v>
      </c>
      <c r="B245" s="2" t="s">
        <v>547</v>
      </c>
      <c r="C245" s="2" t="s">
        <v>385</v>
      </c>
      <c r="D245" s="2">
        <v>3</v>
      </c>
      <c r="E245" s="2" t="s">
        <v>497</v>
      </c>
    </row>
    <row r="246" spans="1:5" x14ac:dyDescent="0.3">
      <c r="A246" s="2">
        <v>107287</v>
      </c>
      <c r="B246" s="2" t="s">
        <v>548</v>
      </c>
      <c r="C246" s="2" t="s">
        <v>420</v>
      </c>
      <c r="D246" s="2">
        <v>3</v>
      </c>
      <c r="E246" s="2" t="s">
        <v>549</v>
      </c>
    </row>
    <row r="247" spans="1:5" x14ac:dyDescent="0.3">
      <c r="A247" s="2">
        <v>107298</v>
      </c>
      <c r="B247" s="2" t="s">
        <v>550</v>
      </c>
      <c r="C247" s="2" t="s">
        <v>364</v>
      </c>
      <c r="D247" s="2">
        <v>6</v>
      </c>
      <c r="E247" s="2" t="s">
        <v>456</v>
      </c>
    </row>
    <row r="248" spans="1:5" x14ac:dyDescent="0.3">
      <c r="A248" s="2">
        <v>107301</v>
      </c>
      <c r="B248" s="2" t="s">
        <v>551</v>
      </c>
      <c r="C248" s="2" t="s">
        <v>387</v>
      </c>
      <c r="D248" s="2">
        <v>3</v>
      </c>
      <c r="E248" s="2" t="s">
        <v>438</v>
      </c>
    </row>
    <row r="249" spans="1:5" x14ac:dyDescent="0.3">
      <c r="A249" s="2">
        <v>107311</v>
      </c>
      <c r="B249" s="2" t="s">
        <v>322</v>
      </c>
      <c r="C249" s="2" t="s">
        <v>387</v>
      </c>
      <c r="D249" s="2">
        <v>3</v>
      </c>
      <c r="E249" s="2" t="s">
        <v>452</v>
      </c>
    </row>
    <row r="250" spans="1:5" x14ac:dyDescent="0.3">
      <c r="A250" s="2">
        <v>107320</v>
      </c>
      <c r="B250" s="2" t="s">
        <v>33</v>
      </c>
      <c r="C250" s="2" t="s">
        <v>371</v>
      </c>
      <c r="D250" s="2">
        <v>3</v>
      </c>
      <c r="E250" s="2" t="s">
        <v>438</v>
      </c>
    </row>
    <row r="251" spans="1:5" x14ac:dyDescent="0.3">
      <c r="A251" s="2">
        <v>107321</v>
      </c>
      <c r="B251" s="2" t="s">
        <v>333</v>
      </c>
      <c r="C251" s="2" t="s">
        <v>369</v>
      </c>
      <c r="D251" s="2">
        <v>3</v>
      </c>
      <c r="E251" s="2" t="s">
        <v>438</v>
      </c>
    </row>
    <row r="252" spans="1:5" x14ac:dyDescent="0.3">
      <c r="A252" s="2">
        <v>107325</v>
      </c>
      <c r="B252" s="2" t="s">
        <v>552</v>
      </c>
      <c r="C252" s="2" t="s">
        <v>368</v>
      </c>
      <c r="D252" s="2">
        <v>9</v>
      </c>
      <c r="E252" s="2" t="s">
        <v>523</v>
      </c>
    </row>
    <row r="253" spans="1:5" x14ac:dyDescent="0.3">
      <c r="A253" s="2">
        <v>107327</v>
      </c>
      <c r="B253" s="2" t="s">
        <v>553</v>
      </c>
      <c r="C253" s="2" t="s">
        <v>364</v>
      </c>
      <c r="D253" s="2">
        <v>6</v>
      </c>
      <c r="E253" s="2" t="s">
        <v>456</v>
      </c>
    </row>
    <row r="254" spans="1:5" x14ac:dyDescent="0.3">
      <c r="A254" s="2">
        <v>107336</v>
      </c>
      <c r="B254" s="2" t="s">
        <v>554</v>
      </c>
      <c r="C254" s="2" t="s">
        <v>378</v>
      </c>
      <c r="D254" s="2">
        <v>3</v>
      </c>
      <c r="E254" s="2" t="s">
        <v>555</v>
      </c>
    </row>
    <row r="255" spans="1:5" x14ac:dyDescent="0.3">
      <c r="A255" s="2">
        <v>107351</v>
      </c>
      <c r="B255" s="2" t="s">
        <v>349</v>
      </c>
      <c r="C255" s="2" t="s">
        <v>366</v>
      </c>
      <c r="D255" s="2">
        <v>2</v>
      </c>
      <c r="E255" s="2" t="s">
        <v>447</v>
      </c>
    </row>
    <row r="256" spans="1:5" x14ac:dyDescent="0.3">
      <c r="A256" s="2">
        <v>107358</v>
      </c>
      <c r="B256" s="2" t="s">
        <v>556</v>
      </c>
      <c r="C256" s="2" t="s">
        <v>371</v>
      </c>
      <c r="D256" s="2">
        <v>2</v>
      </c>
      <c r="E256" s="2" t="s">
        <v>445</v>
      </c>
    </row>
    <row r="257" spans="1:5" x14ac:dyDescent="0.3">
      <c r="A257" s="2">
        <v>107359</v>
      </c>
      <c r="B257" s="2" t="s">
        <v>339</v>
      </c>
      <c r="C257" s="2" t="s">
        <v>371</v>
      </c>
      <c r="D257" s="2">
        <v>2</v>
      </c>
      <c r="E257" s="2" t="s">
        <v>445</v>
      </c>
    </row>
    <row r="258" spans="1:5" x14ac:dyDescent="0.3">
      <c r="A258" s="2">
        <v>107404</v>
      </c>
      <c r="B258" s="2" t="s">
        <v>557</v>
      </c>
      <c r="C258" s="2" t="s">
        <v>389</v>
      </c>
      <c r="D258" s="2">
        <v>2</v>
      </c>
      <c r="E258" s="2" t="s">
        <v>485</v>
      </c>
    </row>
    <row r="259" spans="1:5" x14ac:dyDescent="0.3">
      <c r="A259" s="2">
        <v>170174</v>
      </c>
      <c r="B259" s="2" t="s">
        <v>558</v>
      </c>
      <c r="C259" s="2" t="s">
        <v>376</v>
      </c>
      <c r="D259" s="2">
        <v>3</v>
      </c>
      <c r="E259" s="2" t="s">
        <v>559</v>
      </c>
    </row>
    <row r="260" spans="1:5" x14ac:dyDescent="0.3">
      <c r="A260" s="2">
        <v>170175</v>
      </c>
      <c r="B260" s="2" t="s">
        <v>560</v>
      </c>
      <c r="C260" s="2" t="s">
        <v>371</v>
      </c>
      <c r="D260" s="2">
        <v>3</v>
      </c>
      <c r="E260" s="2" t="s">
        <v>438</v>
      </c>
    </row>
    <row r="261" spans="1:5" x14ac:dyDescent="0.3">
      <c r="A261" s="2">
        <v>170177</v>
      </c>
      <c r="B261" s="2" t="s">
        <v>561</v>
      </c>
      <c r="C261" s="2" t="s">
        <v>387</v>
      </c>
      <c r="D261" s="2">
        <v>3</v>
      </c>
      <c r="E261" s="2" t="s">
        <v>438</v>
      </c>
    </row>
    <row r="262" spans="1:5" x14ac:dyDescent="0.3">
      <c r="A262" s="2">
        <v>170179</v>
      </c>
      <c r="B262" s="2" t="s">
        <v>562</v>
      </c>
      <c r="C262" s="2" t="s">
        <v>379</v>
      </c>
      <c r="D262" s="2">
        <v>3</v>
      </c>
      <c r="E262" s="2" t="s">
        <v>438</v>
      </c>
    </row>
    <row r="263" spans="1:5" x14ac:dyDescent="0.3">
      <c r="A263" s="2">
        <v>201002</v>
      </c>
      <c r="B263" s="2" t="s">
        <v>278</v>
      </c>
      <c r="C263" s="2" t="s">
        <v>396</v>
      </c>
      <c r="D263" s="2">
        <v>3</v>
      </c>
      <c r="E263" s="2" t="s">
        <v>438</v>
      </c>
    </row>
    <row r="264" spans="1:5" x14ac:dyDescent="0.3">
      <c r="A264" s="2">
        <v>201005</v>
      </c>
      <c r="B264" s="2" t="s">
        <v>563</v>
      </c>
      <c r="C264" s="2" t="s">
        <v>420</v>
      </c>
      <c r="D264" s="2">
        <v>3</v>
      </c>
      <c r="E264" s="2" t="s">
        <v>564</v>
      </c>
    </row>
    <row r="265" spans="1:5" x14ac:dyDescent="0.3">
      <c r="A265" s="2">
        <v>201103</v>
      </c>
      <c r="B265" s="2" t="s">
        <v>354</v>
      </c>
      <c r="C265" s="2" t="s">
        <v>388</v>
      </c>
      <c r="D265" s="2">
        <v>3</v>
      </c>
      <c r="E265" s="2" t="s">
        <v>438</v>
      </c>
    </row>
    <row r="266" spans="1:5" x14ac:dyDescent="0.3">
      <c r="A266" s="2">
        <v>362106</v>
      </c>
      <c r="B266" s="2" t="s">
        <v>565</v>
      </c>
      <c r="C266" s="2" t="s">
        <v>369</v>
      </c>
      <c r="D266" s="2">
        <v>2</v>
      </c>
      <c r="E266" s="2" t="s">
        <v>566</v>
      </c>
    </row>
    <row r="267" spans="1:5" x14ac:dyDescent="0.3">
      <c r="A267" s="2">
        <v>393222</v>
      </c>
      <c r="B267" s="2" t="s">
        <v>352</v>
      </c>
      <c r="C267" s="2" t="s">
        <v>369</v>
      </c>
      <c r="D267" s="2">
        <v>3</v>
      </c>
      <c r="E267" s="2" t="s">
        <v>454</v>
      </c>
    </row>
    <row r="268" spans="1:5" x14ac:dyDescent="0.3">
      <c r="A268" s="2">
        <v>393322</v>
      </c>
      <c r="B268" s="2" t="s">
        <v>168</v>
      </c>
      <c r="C268" s="2" t="s">
        <v>381</v>
      </c>
      <c r="D268" s="2">
        <v>15</v>
      </c>
      <c r="E268" s="2" t="s">
        <v>460</v>
      </c>
    </row>
    <row r="269" spans="1:5" x14ac:dyDescent="0.3">
      <c r="A269" s="2">
        <v>400101</v>
      </c>
      <c r="B269" s="2" t="s">
        <v>567</v>
      </c>
      <c r="C269" s="2" t="s">
        <v>370</v>
      </c>
      <c r="D269" s="2">
        <v>6</v>
      </c>
      <c r="E269" s="2" t="s">
        <v>495</v>
      </c>
    </row>
    <row r="270" spans="1:5" x14ac:dyDescent="0.3">
      <c r="A270" s="2">
        <v>400205</v>
      </c>
      <c r="B270" s="2" t="s">
        <v>257</v>
      </c>
      <c r="C270" s="2" t="s">
        <v>370</v>
      </c>
      <c r="D270" s="2">
        <v>6</v>
      </c>
      <c r="E270" s="2" t="s">
        <v>495</v>
      </c>
    </row>
    <row r="271" spans="1:5" x14ac:dyDescent="0.3">
      <c r="A271" s="2">
        <v>400210</v>
      </c>
      <c r="B271" s="2" t="s">
        <v>568</v>
      </c>
      <c r="C271" s="2" t="s">
        <v>370</v>
      </c>
      <c r="D271" s="2">
        <v>11</v>
      </c>
      <c r="E271" s="2" t="s">
        <v>569</v>
      </c>
    </row>
    <row r="272" spans="1:5" x14ac:dyDescent="0.3">
      <c r="A272" s="2">
        <v>402124</v>
      </c>
      <c r="B272" s="2" t="s">
        <v>570</v>
      </c>
      <c r="C272" s="2" t="s">
        <v>387</v>
      </c>
      <c r="D272" s="2">
        <v>3</v>
      </c>
      <c r="E272" s="2" t="s">
        <v>438</v>
      </c>
    </row>
    <row r="273" spans="1:5" x14ac:dyDescent="0.3">
      <c r="A273" s="2">
        <v>402128</v>
      </c>
      <c r="B273" s="2" t="s">
        <v>344</v>
      </c>
      <c r="C273" s="2" t="s">
        <v>387</v>
      </c>
      <c r="D273" s="2">
        <v>3</v>
      </c>
      <c r="E273" s="2" t="s">
        <v>438</v>
      </c>
    </row>
    <row r="274" spans="1:5" x14ac:dyDescent="0.3">
      <c r="A274" s="2">
        <v>402130</v>
      </c>
      <c r="B274" s="2" t="s">
        <v>208</v>
      </c>
      <c r="C274" s="2" t="s">
        <v>366</v>
      </c>
      <c r="D274" s="2">
        <v>2</v>
      </c>
      <c r="E274" s="2" t="s">
        <v>447</v>
      </c>
    </row>
    <row r="275" spans="1:5" x14ac:dyDescent="0.3">
      <c r="A275" s="2">
        <v>403015</v>
      </c>
      <c r="B275" s="2" t="s">
        <v>348</v>
      </c>
      <c r="C275" s="2" t="s">
        <v>381</v>
      </c>
      <c r="D275" s="2">
        <v>6</v>
      </c>
      <c r="E275" s="2" t="s">
        <v>501</v>
      </c>
    </row>
    <row r="276" spans="1:5" x14ac:dyDescent="0.3">
      <c r="A276" s="2">
        <v>403219</v>
      </c>
      <c r="B276" s="2" t="s">
        <v>20</v>
      </c>
      <c r="C276" s="2" t="s">
        <v>365</v>
      </c>
      <c r="D276" s="2">
        <v>6</v>
      </c>
      <c r="E276" s="2" t="s">
        <v>501</v>
      </c>
    </row>
    <row r="277" spans="1:5" x14ac:dyDescent="0.3">
      <c r="A277" s="2">
        <v>403244</v>
      </c>
      <c r="B277" s="2" t="s">
        <v>274</v>
      </c>
      <c r="C277" s="2" t="s">
        <v>365</v>
      </c>
      <c r="D277" s="2">
        <v>2</v>
      </c>
      <c r="E277" s="2" t="s">
        <v>476</v>
      </c>
    </row>
    <row r="278" spans="1:5" x14ac:dyDescent="0.3">
      <c r="A278" s="2">
        <v>403245</v>
      </c>
      <c r="B278" s="2" t="s">
        <v>259</v>
      </c>
      <c r="C278" s="2" t="s">
        <v>381</v>
      </c>
      <c r="D278" s="2">
        <v>3</v>
      </c>
      <c r="E278" s="2" t="s">
        <v>571</v>
      </c>
    </row>
    <row r="279" spans="1:5" x14ac:dyDescent="0.3">
      <c r="A279" s="2">
        <v>403248</v>
      </c>
      <c r="B279" s="2" t="s">
        <v>572</v>
      </c>
      <c r="C279" s="2" t="s">
        <v>365</v>
      </c>
      <c r="D279" s="2">
        <v>2</v>
      </c>
      <c r="E279" s="2" t="s">
        <v>573</v>
      </c>
    </row>
    <row r="280" spans="1:5" x14ac:dyDescent="0.3">
      <c r="A280" s="2">
        <v>403271</v>
      </c>
      <c r="B280" s="2" t="s">
        <v>64</v>
      </c>
      <c r="C280" s="2" t="s">
        <v>381</v>
      </c>
      <c r="D280" s="2">
        <v>15</v>
      </c>
      <c r="E280" s="2" t="s">
        <v>464</v>
      </c>
    </row>
    <row r="281" spans="1:5" x14ac:dyDescent="0.3">
      <c r="A281" s="2">
        <v>403308</v>
      </c>
      <c r="B281" s="2" t="s">
        <v>574</v>
      </c>
      <c r="C281" s="2" t="s">
        <v>372</v>
      </c>
      <c r="D281" s="2">
        <v>15</v>
      </c>
      <c r="E281" s="2" t="s">
        <v>575</v>
      </c>
    </row>
    <row r="282" spans="1:5" x14ac:dyDescent="0.3">
      <c r="A282" s="2">
        <v>403331</v>
      </c>
      <c r="B282" s="2" t="s">
        <v>342</v>
      </c>
      <c r="C282" s="2" t="s">
        <v>387</v>
      </c>
      <c r="D282" s="2">
        <v>3</v>
      </c>
      <c r="E282" s="2" t="s">
        <v>438</v>
      </c>
    </row>
    <row r="283" spans="1:5" x14ac:dyDescent="0.3">
      <c r="A283" s="2">
        <v>403368</v>
      </c>
      <c r="B283" s="2" t="s">
        <v>323</v>
      </c>
      <c r="C283" s="2" t="s">
        <v>381</v>
      </c>
      <c r="D283" s="2">
        <v>15</v>
      </c>
      <c r="E283" s="2" t="s">
        <v>460</v>
      </c>
    </row>
    <row r="284" spans="1:5" x14ac:dyDescent="0.3">
      <c r="A284" s="2">
        <v>403373</v>
      </c>
      <c r="B284" s="2" t="s">
        <v>167</v>
      </c>
      <c r="C284" s="2" t="s">
        <v>381</v>
      </c>
      <c r="D284" s="2">
        <v>15</v>
      </c>
      <c r="E284" s="2" t="s">
        <v>460</v>
      </c>
    </row>
    <row r="285" spans="1:5" x14ac:dyDescent="0.3">
      <c r="A285" s="2">
        <v>403391</v>
      </c>
      <c r="B285" s="2" t="s">
        <v>335</v>
      </c>
      <c r="C285" s="2" t="s">
        <v>371</v>
      </c>
      <c r="D285" s="2">
        <v>2</v>
      </c>
      <c r="E285" s="2" t="s">
        <v>445</v>
      </c>
    </row>
    <row r="286" spans="1:5" x14ac:dyDescent="0.3">
      <c r="A286" s="2">
        <v>403408</v>
      </c>
      <c r="B286" s="2" t="s">
        <v>336</v>
      </c>
      <c r="C286" s="2" t="s">
        <v>371</v>
      </c>
      <c r="D286" s="2">
        <v>2</v>
      </c>
      <c r="E286" s="2" t="s">
        <v>445</v>
      </c>
    </row>
    <row r="287" spans="1:5" x14ac:dyDescent="0.3">
      <c r="A287" s="2">
        <v>404733</v>
      </c>
      <c r="B287" s="2" t="s">
        <v>576</v>
      </c>
      <c r="C287" s="2" t="s">
        <v>364</v>
      </c>
      <c r="D287" s="2">
        <v>6</v>
      </c>
      <c r="E287" s="2" t="s">
        <v>456</v>
      </c>
    </row>
    <row r="288" spans="1:5" x14ac:dyDescent="0.3">
      <c r="A288" s="2">
        <v>404755</v>
      </c>
      <c r="B288" s="2" t="s">
        <v>577</v>
      </c>
      <c r="C288" s="2" t="s">
        <v>364</v>
      </c>
      <c r="D288" s="2">
        <v>6</v>
      </c>
      <c r="E288" s="2" t="s">
        <v>456</v>
      </c>
    </row>
    <row r="289" spans="1:5" x14ac:dyDescent="0.3">
      <c r="A289" s="2">
        <v>404756</v>
      </c>
      <c r="B289" s="2" t="s">
        <v>578</v>
      </c>
      <c r="C289" s="2" t="s">
        <v>364</v>
      </c>
      <c r="D289" s="2">
        <v>6</v>
      </c>
      <c r="E289" s="2" t="s">
        <v>456</v>
      </c>
    </row>
    <row r="290" spans="1:5" x14ac:dyDescent="0.3">
      <c r="A290" s="2">
        <v>404757</v>
      </c>
      <c r="B290" s="2" t="s">
        <v>579</v>
      </c>
      <c r="C290" s="2" t="s">
        <v>364</v>
      </c>
      <c r="D290" s="2">
        <v>6</v>
      </c>
      <c r="E290" s="2" t="s">
        <v>456</v>
      </c>
    </row>
    <row r="291" spans="1:5" x14ac:dyDescent="0.3">
      <c r="A291" s="2">
        <v>405134</v>
      </c>
      <c r="B291" s="2" t="s">
        <v>239</v>
      </c>
      <c r="C291" s="2" t="s">
        <v>368</v>
      </c>
      <c r="D291" s="2">
        <v>4</v>
      </c>
      <c r="E291" s="2" t="s">
        <v>473</v>
      </c>
    </row>
    <row r="292" spans="1:5" x14ac:dyDescent="0.3">
      <c r="A292" s="2">
        <v>405161</v>
      </c>
      <c r="B292" s="2" t="s">
        <v>268</v>
      </c>
      <c r="C292" s="2" t="s">
        <v>379</v>
      </c>
      <c r="D292" s="2">
        <v>3</v>
      </c>
      <c r="E292" s="2" t="s">
        <v>453</v>
      </c>
    </row>
    <row r="293" spans="1:5" x14ac:dyDescent="0.3">
      <c r="A293" s="2">
        <v>405170</v>
      </c>
      <c r="B293" s="2" t="s">
        <v>580</v>
      </c>
      <c r="C293" s="2" t="s">
        <v>381</v>
      </c>
      <c r="D293" s="2">
        <v>0</v>
      </c>
      <c r="E293" s="2" t="s">
        <v>581</v>
      </c>
    </row>
    <row r="294" spans="1:5" x14ac:dyDescent="0.3">
      <c r="A294" s="2">
        <v>405172</v>
      </c>
      <c r="B294" s="2" t="s">
        <v>582</v>
      </c>
      <c r="C294" s="2" t="s">
        <v>364</v>
      </c>
      <c r="D294" s="2">
        <v>6</v>
      </c>
      <c r="E294" s="2" t="s">
        <v>456</v>
      </c>
    </row>
    <row r="295" spans="1:5" x14ac:dyDescent="0.3">
      <c r="A295" s="2">
        <v>405174</v>
      </c>
      <c r="B295" s="2" t="s">
        <v>583</v>
      </c>
      <c r="C295" s="2" t="s">
        <v>364</v>
      </c>
      <c r="D295" s="2">
        <v>6</v>
      </c>
      <c r="E295" s="2" t="s">
        <v>456</v>
      </c>
    </row>
    <row r="296" spans="1:5" x14ac:dyDescent="0.3">
      <c r="A296" s="2">
        <v>405176</v>
      </c>
      <c r="B296" s="2" t="s">
        <v>584</v>
      </c>
      <c r="C296" s="2" t="s">
        <v>364</v>
      </c>
      <c r="D296" s="2">
        <v>6</v>
      </c>
      <c r="E296" s="2" t="s">
        <v>456</v>
      </c>
    </row>
    <row r="297" spans="1:5" x14ac:dyDescent="0.3">
      <c r="A297" s="2">
        <v>405178</v>
      </c>
      <c r="B297" s="2" t="s">
        <v>585</v>
      </c>
      <c r="C297" s="2" t="s">
        <v>364</v>
      </c>
      <c r="D297" s="2">
        <v>6</v>
      </c>
      <c r="E297" s="2" t="s">
        <v>456</v>
      </c>
    </row>
    <row r="298" spans="1:5" x14ac:dyDescent="0.3">
      <c r="A298" s="2">
        <v>405180</v>
      </c>
      <c r="B298" s="2" t="s">
        <v>586</v>
      </c>
      <c r="C298" s="2" t="s">
        <v>364</v>
      </c>
      <c r="D298" s="2">
        <v>6</v>
      </c>
      <c r="E298" s="2" t="s">
        <v>456</v>
      </c>
    </row>
    <row r="299" spans="1:5" x14ac:dyDescent="0.3">
      <c r="A299" s="2">
        <v>405182</v>
      </c>
      <c r="B299" s="2" t="s">
        <v>587</v>
      </c>
      <c r="C299" s="2" t="s">
        <v>364</v>
      </c>
      <c r="D299" s="2">
        <v>6</v>
      </c>
      <c r="E299" s="2" t="s">
        <v>456</v>
      </c>
    </row>
    <row r="300" spans="1:5" x14ac:dyDescent="0.3">
      <c r="A300" s="2">
        <v>405186</v>
      </c>
      <c r="B300" s="2" t="s">
        <v>588</v>
      </c>
      <c r="C300" s="2" t="s">
        <v>364</v>
      </c>
      <c r="D300" s="2">
        <v>6</v>
      </c>
      <c r="E300" s="2" t="s">
        <v>456</v>
      </c>
    </row>
    <row r="301" spans="1:5" x14ac:dyDescent="0.3">
      <c r="A301" s="2">
        <v>405187</v>
      </c>
      <c r="B301" s="2" t="s">
        <v>589</v>
      </c>
      <c r="C301" s="2" t="s">
        <v>364</v>
      </c>
      <c r="D301" s="2">
        <v>6</v>
      </c>
      <c r="E301" s="2" t="s">
        <v>456</v>
      </c>
    </row>
    <row r="302" spans="1:5" x14ac:dyDescent="0.3">
      <c r="A302" s="2">
        <v>405189</v>
      </c>
      <c r="B302" s="2" t="s">
        <v>590</v>
      </c>
      <c r="C302" s="2" t="s">
        <v>364</v>
      </c>
      <c r="D302" s="2">
        <v>6</v>
      </c>
      <c r="E302" s="2" t="s">
        <v>456</v>
      </c>
    </row>
    <row r="303" spans="1:5" x14ac:dyDescent="0.3">
      <c r="A303" s="2">
        <v>405191</v>
      </c>
      <c r="B303" s="2" t="s">
        <v>591</v>
      </c>
      <c r="C303" s="2" t="s">
        <v>364</v>
      </c>
      <c r="D303" s="2">
        <v>6</v>
      </c>
      <c r="E303" s="2" t="s">
        <v>456</v>
      </c>
    </row>
    <row r="304" spans="1:5" x14ac:dyDescent="0.3">
      <c r="A304" s="2">
        <v>405193</v>
      </c>
      <c r="B304" s="2" t="s">
        <v>592</v>
      </c>
      <c r="C304" s="2" t="s">
        <v>364</v>
      </c>
      <c r="D304" s="2">
        <v>6</v>
      </c>
      <c r="E304" s="2" t="s">
        <v>456</v>
      </c>
    </row>
    <row r="305" spans="1:5" x14ac:dyDescent="0.3">
      <c r="A305" s="2">
        <v>405198</v>
      </c>
      <c r="B305" s="2" t="s">
        <v>593</v>
      </c>
      <c r="C305" s="2" t="s">
        <v>364</v>
      </c>
      <c r="D305" s="2">
        <v>6</v>
      </c>
      <c r="E305" s="2" t="s">
        <v>456</v>
      </c>
    </row>
    <row r="306" spans="1:5" x14ac:dyDescent="0.3">
      <c r="A306" s="2">
        <v>405199</v>
      </c>
      <c r="B306" s="2" t="s">
        <v>311</v>
      </c>
      <c r="C306" s="2" t="s">
        <v>364</v>
      </c>
      <c r="D306" s="2">
        <v>6</v>
      </c>
      <c r="E306" s="2" t="s">
        <v>456</v>
      </c>
    </row>
    <row r="307" spans="1:5" x14ac:dyDescent="0.3">
      <c r="A307" s="2">
        <v>405214</v>
      </c>
      <c r="B307" s="2" t="s">
        <v>271</v>
      </c>
      <c r="C307" s="2" t="s">
        <v>379</v>
      </c>
      <c r="D307" s="2">
        <v>3</v>
      </c>
      <c r="E307" s="2" t="s">
        <v>438</v>
      </c>
    </row>
    <row r="308" spans="1:5" x14ac:dyDescent="0.3">
      <c r="A308" s="2">
        <v>405216</v>
      </c>
      <c r="B308" s="2" t="s">
        <v>594</v>
      </c>
      <c r="C308" s="2" t="s">
        <v>364</v>
      </c>
      <c r="D308" s="2">
        <v>6</v>
      </c>
      <c r="E308" s="2" t="s">
        <v>456</v>
      </c>
    </row>
    <row r="309" spans="1:5" x14ac:dyDescent="0.3">
      <c r="A309" s="2">
        <v>405284</v>
      </c>
      <c r="B309" s="2" t="s">
        <v>595</v>
      </c>
      <c r="C309" s="2" t="s">
        <v>365</v>
      </c>
      <c r="D309" s="2">
        <v>2</v>
      </c>
      <c r="E309" s="2" t="s">
        <v>478</v>
      </c>
    </row>
    <row r="310" spans="1:5" x14ac:dyDescent="0.3">
      <c r="A310" s="2">
        <v>405285</v>
      </c>
      <c r="B310" s="2" t="s">
        <v>596</v>
      </c>
      <c r="C310" s="2" t="s">
        <v>385</v>
      </c>
      <c r="D310" s="2">
        <v>3</v>
      </c>
      <c r="E310" s="2" t="s">
        <v>497</v>
      </c>
    </row>
    <row r="311" spans="1:5" x14ac:dyDescent="0.3">
      <c r="A311" s="2">
        <v>405311</v>
      </c>
      <c r="B311" s="2" t="s">
        <v>361</v>
      </c>
      <c r="C311" s="2" t="s">
        <v>368</v>
      </c>
      <c r="D311" s="2">
        <v>7</v>
      </c>
      <c r="E311" s="2" t="s">
        <v>473</v>
      </c>
    </row>
    <row r="312" spans="1:5" x14ac:dyDescent="0.3">
      <c r="A312" s="2">
        <v>405312</v>
      </c>
      <c r="B312" s="2" t="s">
        <v>597</v>
      </c>
      <c r="C312" s="2" t="s">
        <v>364</v>
      </c>
      <c r="D312" s="2">
        <v>6</v>
      </c>
      <c r="E312" s="2" t="s">
        <v>456</v>
      </c>
    </row>
    <row r="313" spans="1:5" x14ac:dyDescent="0.3">
      <c r="A313" s="2">
        <v>405318</v>
      </c>
      <c r="B313" s="2" t="s">
        <v>334</v>
      </c>
      <c r="C313" s="2" t="s">
        <v>371</v>
      </c>
      <c r="D313" s="2">
        <v>2</v>
      </c>
      <c r="E313" s="2" t="s">
        <v>445</v>
      </c>
    </row>
    <row r="314" spans="1:5" x14ac:dyDescent="0.3">
      <c r="A314" s="2">
        <v>405331</v>
      </c>
      <c r="B314" s="2" t="s">
        <v>598</v>
      </c>
      <c r="C314" s="2" t="s">
        <v>389</v>
      </c>
      <c r="D314" s="2">
        <v>3</v>
      </c>
      <c r="E314" s="2" t="s">
        <v>521</v>
      </c>
    </row>
    <row r="315" spans="1:5" x14ac:dyDescent="0.3">
      <c r="A315" s="2">
        <v>405332</v>
      </c>
      <c r="B315" s="2" t="s">
        <v>599</v>
      </c>
      <c r="C315" s="2" t="s">
        <v>368</v>
      </c>
      <c r="D315" s="2">
        <v>3</v>
      </c>
      <c r="E315" s="2" t="s">
        <v>449</v>
      </c>
    </row>
    <row r="316" spans="1:5" x14ac:dyDescent="0.3">
      <c r="A316" s="2">
        <v>405333</v>
      </c>
      <c r="B316" s="2" t="s">
        <v>600</v>
      </c>
      <c r="C316" s="2" t="s">
        <v>378</v>
      </c>
      <c r="D316" s="2">
        <v>3</v>
      </c>
      <c r="E316" s="2" t="s">
        <v>601</v>
      </c>
    </row>
    <row r="317" spans="1:5" x14ac:dyDescent="0.3">
      <c r="A317" s="2">
        <v>405334</v>
      </c>
      <c r="B317" s="2" t="s">
        <v>602</v>
      </c>
      <c r="C317" s="2" t="s">
        <v>378</v>
      </c>
      <c r="D317" s="2">
        <v>3</v>
      </c>
      <c r="E317" s="2" t="s">
        <v>601</v>
      </c>
    </row>
    <row r="318" spans="1:5" x14ac:dyDescent="0.3">
      <c r="A318" s="2">
        <v>405336</v>
      </c>
      <c r="B318" s="2" t="s">
        <v>603</v>
      </c>
      <c r="C318" s="2" t="s">
        <v>375</v>
      </c>
      <c r="D318" s="2">
        <v>3</v>
      </c>
      <c r="E318" s="2" t="s">
        <v>604</v>
      </c>
    </row>
    <row r="319" spans="1:5" x14ac:dyDescent="0.3">
      <c r="A319" s="2">
        <v>405346</v>
      </c>
      <c r="B319" s="2" t="s">
        <v>605</v>
      </c>
      <c r="C319" s="2" t="s">
        <v>381</v>
      </c>
      <c r="D319" s="2">
        <v>3</v>
      </c>
      <c r="E319" s="2" t="s">
        <v>478</v>
      </c>
    </row>
    <row r="320" spans="1:5" x14ac:dyDescent="0.3">
      <c r="A320" s="2">
        <v>405347</v>
      </c>
      <c r="B320" s="2" t="s">
        <v>606</v>
      </c>
      <c r="C320" s="2" t="s">
        <v>381</v>
      </c>
      <c r="D320" s="2">
        <v>3</v>
      </c>
      <c r="E320" s="2" t="s">
        <v>478</v>
      </c>
    </row>
    <row r="321" spans="1:5" x14ac:dyDescent="0.3">
      <c r="A321" s="2">
        <v>405353</v>
      </c>
      <c r="B321" s="2" t="s">
        <v>82</v>
      </c>
      <c r="C321" s="2" t="s">
        <v>364</v>
      </c>
      <c r="D321" s="2">
        <v>6</v>
      </c>
      <c r="E321" s="2" t="s">
        <v>456</v>
      </c>
    </row>
    <row r="322" spans="1:5" x14ac:dyDescent="0.3">
      <c r="A322" s="2">
        <v>405354</v>
      </c>
      <c r="B322" s="2" t="s">
        <v>288</v>
      </c>
      <c r="C322" s="2" t="s">
        <v>364</v>
      </c>
      <c r="D322" s="2">
        <v>6</v>
      </c>
      <c r="E322" s="2" t="s">
        <v>456</v>
      </c>
    </row>
    <row r="323" spans="1:5" x14ac:dyDescent="0.3">
      <c r="A323" s="2">
        <v>405355</v>
      </c>
      <c r="B323" s="2" t="s">
        <v>607</v>
      </c>
      <c r="C323" s="2" t="s">
        <v>364</v>
      </c>
      <c r="D323" s="2">
        <v>6</v>
      </c>
      <c r="E323" s="2" t="s">
        <v>456</v>
      </c>
    </row>
    <row r="324" spans="1:5" x14ac:dyDescent="0.3">
      <c r="A324" s="2">
        <v>405356</v>
      </c>
      <c r="B324" s="2" t="s">
        <v>290</v>
      </c>
      <c r="C324" s="2" t="s">
        <v>364</v>
      </c>
      <c r="D324" s="2">
        <v>6</v>
      </c>
      <c r="E324" s="2" t="s">
        <v>456</v>
      </c>
    </row>
    <row r="325" spans="1:5" x14ac:dyDescent="0.3">
      <c r="A325" s="2">
        <v>405357</v>
      </c>
      <c r="B325" s="2" t="s">
        <v>291</v>
      </c>
      <c r="C325" s="2" t="s">
        <v>364</v>
      </c>
      <c r="D325" s="2">
        <v>6</v>
      </c>
      <c r="E325" s="2" t="s">
        <v>456</v>
      </c>
    </row>
    <row r="326" spans="1:5" x14ac:dyDescent="0.3">
      <c r="A326" s="2">
        <v>405360</v>
      </c>
      <c r="B326" s="2" t="s">
        <v>608</v>
      </c>
      <c r="C326" s="2" t="s">
        <v>364</v>
      </c>
      <c r="D326" s="2">
        <v>6</v>
      </c>
      <c r="E326" s="2" t="s">
        <v>456</v>
      </c>
    </row>
    <row r="327" spans="1:5" x14ac:dyDescent="0.3">
      <c r="A327" s="2">
        <v>405374</v>
      </c>
      <c r="B327" s="2" t="s">
        <v>609</v>
      </c>
      <c r="C327" s="2" t="s">
        <v>365</v>
      </c>
      <c r="D327" s="2">
        <v>2</v>
      </c>
      <c r="E327" s="2" t="s">
        <v>610</v>
      </c>
    </row>
    <row r="328" spans="1:5" x14ac:dyDescent="0.3">
      <c r="A328" s="2">
        <v>405375</v>
      </c>
      <c r="B328" s="2" t="s">
        <v>611</v>
      </c>
      <c r="C328" s="2" t="s">
        <v>365</v>
      </c>
      <c r="D328" s="2">
        <v>0</v>
      </c>
      <c r="E328" s="2" t="s">
        <v>610</v>
      </c>
    </row>
    <row r="329" spans="1:5" x14ac:dyDescent="0.3">
      <c r="A329" s="2">
        <v>107266</v>
      </c>
      <c r="B329" s="2" t="s">
        <v>131</v>
      </c>
      <c r="C329" s="2" t="s">
        <v>364</v>
      </c>
      <c r="D329" s="2">
        <v>6</v>
      </c>
      <c r="E329" s="2" t="s">
        <v>456</v>
      </c>
    </row>
    <row r="330" spans="1:5" x14ac:dyDescent="0.3">
      <c r="A330" s="2">
        <v>405340</v>
      </c>
      <c r="B330" s="2" t="s">
        <v>177</v>
      </c>
      <c r="C330" s="2" t="s">
        <v>369</v>
      </c>
      <c r="D330" s="2">
        <v>2</v>
      </c>
      <c r="E330" s="2" t="s">
        <v>487</v>
      </c>
    </row>
    <row r="331" spans="1:5" x14ac:dyDescent="0.3">
      <c r="A331" s="2">
        <v>405400</v>
      </c>
      <c r="B331" s="2" t="s">
        <v>612</v>
      </c>
      <c r="C331" s="2" t="s">
        <v>364</v>
      </c>
      <c r="D331" s="2">
        <v>6</v>
      </c>
      <c r="E331" s="2" t="s">
        <v>456</v>
      </c>
    </row>
    <row r="332" spans="1:5" x14ac:dyDescent="0.3">
      <c r="A332" s="2">
        <v>107348</v>
      </c>
      <c r="B332" s="2" t="s">
        <v>212</v>
      </c>
      <c r="C332" s="2" t="s">
        <v>373</v>
      </c>
      <c r="D332" s="2">
        <v>2</v>
      </c>
      <c r="E332" s="2" t="s">
        <v>613</v>
      </c>
    </row>
    <row r="333" spans="1:5" x14ac:dyDescent="0.3">
      <c r="A333" s="2">
        <v>405351</v>
      </c>
      <c r="B333" s="2" t="s">
        <v>614</v>
      </c>
      <c r="C333" s="2" t="s">
        <v>364</v>
      </c>
      <c r="D333" s="2">
        <v>6</v>
      </c>
      <c r="E333" s="2" t="s">
        <v>456</v>
      </c>
    </row>
    <row r="334" spans="1:5" x14ac:dyDescent="0.3">
      <c r="A334" s="2">
        <v>107302</v>
      </c>
      <c r="B334" s="2" t="s">
        <v>7</v>
      </c>
      <c r="C334" s="2" t="s">
        <v>368</v>
      </c>
      <c r="D334" s="2">
        <v>3</v>
      </c>
      <c r="E334" s="2" t="s">
        <v>438</v>
      </c>
    </row>
    <row r="335" spans="1:5" x14ac:dyDescent="0.3">
      <c r="A335" s="2">
        <v>405345</v>
      </c>
      <c r="B335" s="2" t="s">
        <v>615</v>
      </c>
      <c r="C335" s="2" t="s">
        <v>369</v>
      </c>
      <c r="D335" s="2">
        <v>2</v>
      </c>
      <c r="E335" s="2" t="s">
        <v>487</v>
      </c>
    </row>
    <row r="336" spans="1:5" x14ac:dyDescent="0.3">
      <c r="A336" s="2">
        <v>403330</v>
      </c>
      <c r="B336" s="2" t="s">
        <v>616</v>
      </c>
      <c r="C336" s="2" t="s">
        <v>387</v>
      </c>
      <c r="D336" s="2">
        <v>3</v>
      </c>
      <c r="E336" s="2" t="s">
        <v>438</v>
      </c>
    </row>
    <row r="337" spans="1:5" x14ac:dyDescent="0.3">
      <c r="A337" s="2">
        <v>405409</v>
      </c>
      <c r="B337" s="2" t="s">
        <v>617</v>
      </c>
      <c r="C337" s="2" t="s">
        <v>368</v>
      </c>
      <c r="D337" s="2">
        <v>3</v>
      </c>
      <c r="E337" s="2" t="s">
        <v>438</v>
      </c>
    </row>
    <row r="338" spans="1:5" x14ac:dyDescent="0.3">
      <c r="A338" s="2">
        <v>405408</v>
      </c>
      <c r="B338" s="2" t="s">
        <v>192</v>
      </c>
      <c r="C338" s="2" t="s">
        <v>369</v>
      </c>
      <c r="D338" s="2">
        <v>2</v>
      </c>
      <c r="E338" s="2" t="s">
        <v>566</v>
      </c>
    </row>
    <row r="339" spans="1:5" x14ac:dyDescent="0.3">
      <c r="A339" s="2">
        <v>404314</v>
      </c>
      <c r="B339" s="2" t="s">
        <v>53</v>
      </c>
      <c r="C339" s="2" t="s">
        <v>365</v>
      </c>
      <c r="D339" s="2">
        <v>4</v>
      </c>
      <c r="E339" s="2" t="s">
        <v>610</v>
      </c>
    </row>
    <row r="340" spans="1:5" x14ac:dyDescent="0.3">
      <c r="A340" s="2">
        <v>107123</v>
      </c>
      <c r="B340" s="2" t="s">
        <v>618</v>
      </c>
      <c r="C340" s="2" t="s">
        <v>374</v>
      </c>
      <c r="D340" s="2">
        <v>2</v>
      </c>
      <c r="E340" s="2" t="s">
        <v>447</v>
      </c>
    </row>
    <row r="341" spans="1:5" x14ac:dyDescent="0.3">
      <c r="A341" s="2">
        <v>405371</v>
      </c>
      <c r="B341" s="2" t="s">
        <v>238</v>
      </c>
      <c r="C341" s="2" t="s">
        <v>368</v>
      </c>
      <c r="D341" s="2">
        <v>4</v>
      </c>
      <c r="E341" s="2" t="s">
        <v>473</v>
      </c>
    </row>
    <row r="342" spans="1:5" x14ac:dyDescent="0.3">
      <c r="A342" s="2">
        <v>405373</v>
      </c>
      <c r="B342" s="2" t="s">
        <v>25</v>
      </c>
      <c r="C342" s="2" t="s">
        <v>368</v>
      </c>
      <c r="D342" s="2">
        <v>4</v>
      </c>
      <c r="E342" s="2" t="s">
        <v>473</v>
      </c>
    </row>
    <row r="343" spans="1:5" x14ac:dyDescent="0.3">
      <c r="A343" s="2">
        <v>405420</v>
      </c>
      <c r="B343" s="2" t="s">
        <v>193</v>
      </c>
      <c r="C343" s="2" t="s">
        <v>381</v>
      </c>
      <c r="D343" s="2">
        <v>6</v>
      </c>
      <c r="E343" s="2" t="s">
        <v>501</v>
      </c>
    </row>
    <row r="344" spans="1:5" x14ac:dyDescent="0.3">
      <c r="A344" s="2">
        <v>107329</v>
      </c>
      <c r="B344" s="2" t="s">
        <v>461</v>
      </c>
      <c r="C344" s="2" t="s">
        <v>374</v>
      </c>
      <c r="D344" s="2">
        <v>2</v>
      </c>
      <c r="E344" s="2"/>
    </row>
    <row r="345" spans="1:5" x14ac:dyDescent="0.3">
      <c r="A345" s="2">
        <v>362099</v>
      </c>
      <c r="B345" s="2" t="s">
        <v>406</v>
      </c>
      <c r="C345" s="2" t="s">
        <v>369</v>
      </c>
      <c r="D345" s="2">
        <v>2</v>
      </c>
      <c r="E345" s="2" t="s">
        <v>487</v>
      </c>
    </row>
    <row r="346" spans="1:5" x14ac:dyDescent="0.3">
      <c r="A346" s="2">
        <v>402111</v>
      </c>
      <c r="B346" s="2" t="s">
        <v>155</v>
      </c>
      <c r="C346" s="2" t="s">
        <v>384</v>
      </c>
      <c r="D346" s="2">
        <v>4</v>
      </c>
      <c r="E346" s="2" t="e">
        <v>#N/A</v>
      </c>
    </row>
    <row r="347" spans="1:5" x14ac:dyDescent="0.3">
      <c r="A347" s="2">
        <v>405306</v>
      </c>
      <c r="B347" s="2" t="s">
        <v>619</v>
      </c>
      <c r="C347" s="2" t="s">
        <v>371</v>
      </c>
      <c r="D347" s="2">
        <v>3</v>
      </c>
      <c r="E347" s="2" t="s">
        <v>620</v>
      </c>
    </row>
    <row r="348" spans="1:5" x14ac:dyDescent="0.3">
      <c r="A348" s="2">
        <v>405307</v>
      </c>
      <c r="B348" s="2" t="s">
        <v>621</v>
      </c>
      <c r="C348" s="2" t="s">
        <v>368</v>
      </c>
      <c r="D348" s="2">
        <v>4</v>
      </c>
      <c r="E348" s="2" t="s">
        <v>473</v>
      </c>
    </row>
    <row r="349" spans="1:5" x14ac:dyDescent="0.3">
      <c r="A349" s="2">
        <v>404742</v>
      </c>
      <c r="B349" s="2" t="s">
        <v>622</v>
      </c>
      <c r="C349" s="2" t="s">
        <v>364</v>
      </c>
      <c r="D349" s="2">
        <v>6</v>
      </c>
      <c r="E349" s="2" t="s">
        <v>456</v>
      </c>
    </row>
    <row r="350" spans="1:5" x14ac:dyDescent="0.3">
      <c r="A350" s="2">
        <v>405401</v>
      </c>
      <c r="B350" s="2" t="s">
        <v>623</v>
      </c>
      <c r="C350" s="2" t="s">
        <v>364</v>
      </c>
      <c r="D350" s="2">
        <v>6</v>
      </c>
      <c r="E350" s="2" t="s">
        <v>456</v>
      </c>
    </row>
    <row r="351" spans="1:5" x14ac:dyDescent="0.3">
      <c r="A351" s="2">
        <v>104013</v>
      </c>
      <c r="B351" s="2" t="s">
        <v>160</v>
      </c>
      <c r="C351" s="2" t="s">
        <v>386</v>
      </c>
      <c r="D351" s="2">
        <v>2</v>
      </c>
      <c r="E351" s="2" t="s">
        <v>624</v>
      </c>
    </row>
    <row r="352" spans="1:5" x14ac:dyDescent="0.3">
      <c r="A352" s="2">
        <v>405444</v>
      </c>
      <c r="B352" s="2" t="s">
        <v>55</v>
      </c>
      <c r="C352" s="2" t="s">
        <v>365</v>
      </c>
      <c r="D352" s="2">
        <v>2</v>
      </c>
      <c r="E352" s="2" t="s">
        <v>625</v>
      </c>
    </row>
    <row r="353" spans="1:5" x14ac:dyDescent="0.3">
      <c r="A353" s="2">
        <v>405445</v>
      </c>
      <c r="B353" s="2" t="s">
        <v>6</v>
      </c>
      <c r="C353" s="2" t="s">
        <v>365</v>
      </c>
      <c r="D353" s="2">
        <v>2</v>
      </c>
      <c r="E353" s="2" t="s">
        <v>625</v>
      </c>
    </row>
    <row r="354" spans="1:5" x14ac:dyDescent="0.3">
      <c r="A354" s="2">
        <v>405049</v>
      </c>
      <c r="B354" s="2" t="s">
        <v>101</v>
      </c>
      <c r="C354" s="2" t="s">
        <v>364</v>
      </c>
      <c r="D354" s="2">
        <v>6</v>
      </c>
      <c r="E354" s="2" t="s">
        <v>456</v>
      </c>
    </row>
    <row r="355" spans="1:5" x14ac:dyDescent="0.3">
      <c r="A355" s="2">
        <v>403310</v>
      </c>
      <c r="B355" s="2" t="s">
        <v>626</v>
      </c>
      <c r="C355" s="2" t="s">
        <v>372</v>
      </c>
      <c r="D355" s="2">
        <v>15</v>
      </c>
      <c r="E355" s="2" t="s">
        <v>575</v>
      </c>
    </row>
    <row r="356" spans="1:5" x14ac:dyDescent="0.3">
      <c r="A356" s="2">
        <v>405383</v>
      </c>
      <c r="B356" s="2" t="s">
        <v>627</v>
      </c>
      <c r="C356" s="2" t="s">
        <v>365</v>
      </c>
      <c r="D356" s="2">
        <v>15</v>
      </c>
      <c r="E356" s="2" t="s">
        <v>628</v>
      </c>
    </row>
    <row r="357" spans="1:5" x14ac:dyDescent="0.3">
      <c r="A357" s="2">
        <v>405447</v>
      </c>
      <c r="B357" s="2" t="s">
        <v>199</v>
      </c>
      <c r="C357" s="2" t="s">
        <v>371</v>
      </c>
      <c r="D357" s="2">
        <v>2</v>
      </c>
      <c r="E357" s="2" t="s">
        <v>445</v>
      </c>
    </row>
    <row r="358" spans="1:5" x14ac:dyDescent="0.3">
      <c r="A358" s="2">
        <v>405427</v>
      </c>
      <c r="B358" s="2" t="s">
        <v>34</v>
      </c>
      <c r="C358" s="2" t="s">
        <v>377</v>
      </c>
      <c r="D358" s="2">
        <v>9</v>
      </c>
      <c r="E358" s="2" t="s">
        <v>629</v>
      </c>
    </row>
    <row r="359" spans="1:5" x14ac:dyDescent="0.3">
      <c r="A359" s="2">
        <v>107346</v>
      </c>
      <c r="B359" s="2" t="s">
        <v>211</v>
      </c>
      <c r="C359" s="2" t="s">
        <v>374</v>
      </c>
      <c r="D359" s="2">
        <v>2</v>
      </c>
      <c r="E359" s="2" t="s">
        <v>613</v>
      </c>
    </row>
    <row r="360" spans="1:5" x14ac:dyDescent="0.3">
      <c r="A360" s="2">
        <v>405436</v>
      </c>
      <c r="B360" s="2" t="s">
        <v>218</v>
      </c>
      <c r="C360" s="2" t="s">
        <v>371</v>
      </c>
      <c r="D360" s="2">
        <v>2</v>
      </c>
      <c r="E360" s="2" t="s">
        <v>445</v>
      </c>
    </row>
    <row r="361" spans="1:5" x14ac:dyDescent="0.3">
      <c r="A361" s="2">
        <v>405449</v>
      </c>
      <c r="B361" s="2" t="s">
        <v>86</v>
      </c>
      <c r="C361" s="2" t="s">
        <v>364</v>
      </c>
      <c r="D361" s="2">
        <v>6</v>
      </c>
      <c r="E361" s="2" t="s">
        <v>456</v>
      </c>
    </row>
    <row r="362" spans="1:5" x14ac:dyDescent="0.3">
      <c r="A362" s="2">
        <v>107176</v>
      </c>
      <c r="B362" s="2" t="s">
        <v>630</v>
      </c>
      <c r="C362" s="2" t="s">
        <v>376</v>
      </c>
      <c r="D362" s="2">
        <v>3</v>
      </c>
      <c r="E362" s="2" t="s">
        <v>458</v>
      </c>
    </row>
    <row r="363" spans="1:5" x14ac:dyDescent="0.3">
      <c r="A363" s="2">
        <v>405446</v>
      </c>
      <c r="B363" s="2" t="s">
        <v>631</v>
      </c>
      <c r="C363" s="2" t="s">
        <v>389</v>
      </c>
      <c r="D363" s="2">
        <v>3</v>
      </c>
      <c r="E363" s="2" t="s">
        <v>632</v>
      </c>
    </row>
    <row r="364" spans="1:5" x14ac:dyDescent="0.3">
      <c r="A364" s="2">
        <v>405465</v>
      </c>
      <c r="B364" s="2" t="s">
        <v>633</v>
      </c>
      <c r="C364" s="2" t="s">
        <v>389</v>
      </c>
      <c r="D364" s="2">
        <v>3</v>
      </c>
      <c r="E364" s="2" t="s">
        <v>632</v>
      </c>
    </row>
    <row r="365" spans="1:5" x14ac:dyDescent="0.3">
      <c r="A365" s="2">
        <v>403334</v>
      </c>
      <c r="B365" s="2" t="s">
        <v>634</v>
      </c>
      <c r="C365" s="2" t="s">
        <v>382</v>
      </c>
      <c r="D365" s="2">
        <v>2</v>
      </c>
      <c r="E365" s="2" t="s">
        <v>449</v>
      </c>
    </row>
    <row r="366" spans="1:5" x14ac:dyDescent="0.3">
      <c r="A366" s="2">
        <v>403315</v>
      </c>
      <c r="B366" s="2" t="s">
        <v>635</v>
      </c>
      <c r="C366" s="2" t="s">
        <v>372</v>
      </c>
      <c r="D366" s="2">
        <v>15</v>
      </c>
      <c r="E366" s="2" t="s">
        <v>575</v>
      </c>
    </row>
    <row r="367" spans="1:5" x14ac:dyDescent="0.3">
      <c r="A367" s="2">
        <v>100304</v>
      </c>
      <c r="B367" s="2" t="s">
        <v>636</v>
      </c>
      <c r="C367" s="2" t="s">
        <v>388</v>
      </c>
      <c r="D367" s="2">
        <v>3</v>
      </c>
      <c r="E367" s="2" t="s">
        <v>437</v>
      </c>
    </row>
    <row r="368" spans="1:5" x14ac:dyDescent="0.3">
      <c r="A368" s="2">
        <v>107344</v>
      </c>
      <c r="B368" s="2" t="s">
        <v>57</v>
      </c>
      <c r="C368" s="2" t="s">
        <v>365</v>
      </c>
      <c r="D368" s="2">
        <v>2</v>
      </c>
      <c r="E368" s="2" t="s">
        <v>465</v>
      </c>
    </row>
    <row r="369" spans="1:5" x14ac:dyDescent="0.3">
      <c r="A369" s="2">
        <v>107415</v>
      </c>
      <c r="B369" s="2" t="s">
        <v>153</v>
      </c>
      <c r="C369" s="2" t="s">
        <v>374</v>
      </c>
      <c r="D369" s="2">
        <v>2</v>
      </c>
      <c r="E369" s="2" t="s">
        <v>445</v>
      </c>
    </row>
    <row r="370" spans="1:5" x14ac:dyDescent="0.3">
      <c r="A370" s="2">
        <v>107401</v>
      </c>
      <c r="B370" s="2" t="s">
        <v>73</v>
      </c>
      <c r="C370" s="2" t="s">
        <v>374</v>
      </c>
      <c r="D370" s="2">
        <v>2</v>
      </c>
      <c r="E370" s="2" t="s">
        <v>613</v>
      </c>
    </row>
    <row r="371" spans="1:5" x14ac:dyDescent="0.3">
      <c r="A371" s="2">
        <v>107299</v>
      </c>
      <c r="B371" s="2" t="s">
        <v>637</v>
      </c>
      <c r="C371" s="2" t="s">
        <v>365</v>
      </c>
      <c r="D371" s="2">
        <v>2</v>
      </c>
      <c r="E371" s="2" t="s">
        <v>638</v>
      </c>
    </row>
    <row r="372" spans="1:5" x14ac:dyDescent="0.3">
      <c r="A372" s="2">
        <v>405228</v>
      </c>
      <c r="B372" s="2" t="s">
        <v>639</v>
      </c>
      <c r="C372" s="2" t="s">
        <v>365</v>
      </c>
      <c r="D372" s="2">
        <v>3</v>
      </c>
      <c r="E372" s="2" t="s">
        <v>638</v>
      </c>
    </row>
    <row r="373" spans="1:5" x14ac:dyDescent="0.3">
      <c r="A373" s="2">
        <v>403306</v>
      </c>
      <c r="B373" s="2" t="s">
        <v>640</v>
      </c>
      <c r="C373" s="2" t="s">
        <v>372</v>
      </c>
      <c r="D373" s="2">
        <v>15</v>
      </c>
      <c r="E373" s="2" t="s">
        <v>575</v>
      </c>
    </row>
    <row r="374" spans="1:5" x14ac:dyDescent="0.3">
      <c r="A374" s="2">
        <v>405037</v>
      </c>
      <c r="B374" s="2" t="s">
        <v>641</v>
      </c>
      <c r="C374" s="2" t="s">
        <v>364</v>
      </c>
      <c r="D374" s="2">
        <v>6</v>
      </c>
      <c r="E374" s="2" t="s">
        <v>456</v>
      </c>
    </row>
    <row r="375" spans="1:5" x14ac:dyDescent="0.3">
      <c r="A375" s="2">
        <v>107254</v>
      </c>
      <c r="B375" s="2" t="s">
        <v>642</v>
      </c>
      <c r="C375" s="2" t="s">
        <v>380</v>
      </c>
      <c r="D375" s="2">
        <v>3</v>
      </c>
      <c r="E375" s="2" t="s">
        <v>438</v>
      </c>
    </row>
    <row r="376" spans="1:5" x14ac:dyDescent="0.3">
      <c r="A376" s="2">
        <v>107197</v>
      </c>
      <c r="B376" s="2" t="s">
        <v>28</v>
      </c>
      <c r="C376" s="2" t="s">
        <v>368</v>
      </c>
      <c r="D376" s="2">
        <v>3</v>
      </c>
      <c r="E376" s="2" t="s">
        <v>438</v>
      </c>
    </row>
    <row r="377" spans="1:5" x14ac:dyDescent="0.3">
      <c r="A377" s="2">
        <v>107261</v>
      </c>
      <c r="B377" s="2" t="s">
        <v>643</v>
      </c>
      <c r="C377" s="2" t="s">
        <v>382</v>
      </c>
      <c r="D377" s="2">
        <v>2</v>
      </c>
      <c r="E377" s="2" t="s">
        <v>644</v>
      </c>
    </row>
    <row r="378" spans="1:5" x14ac:dyDescent="0.3">
      <c r="A378" s="2">
        <v>107208</v>
      </c>
      <c r="B378" s="2" t="s">
        <v>645</v>
      </c>
      <c r="C378" s="2" t="s">
        <v>369</v>
      </c>
      <c r="D378" s="2">
        <v>2</v>
      </c>
      <c r="E378" s="2" t="s">
        <v>452</v>
      </c>
    </row>
    <row r="379" spans="1:5" x14ac:dyDescent="0.3">
      <c r="A379" s="2">
        <v>107355</v>
      </c>
      <c r="B379" s="2" t="s">
        <v>183</v>
      </c>
      <c r="C379" s="2" t="s">
        <v>389</v>
      </c>
      <c r="D379" s="2">
        <v>3</v>
      </c>
      <c r="E379" s="2" t="s">
        <v>497</v>
      </c>
    </row>
    <row r="380" spans="1:5" x14ac:dyDescent="0.3">
      <c r="A380" s="2">
        <v>405226</v>
      </c>
      <c r="B380" s="2" t="s">
        <v>646</v>
      </c>
      <c r="C380" s="2" t="s">
        <v>365</v>
      </c>
      <c r="D380" s="2">
        <v>2</v>
      </c>
      <c r="E380" s="2" t="s">
        <v>647</v>
      </c>
    </row>
    <row r="381" spans="1:5" x14ac:dyDescent="0.3">
      <c r="A381" s="2">
        <v>403266</v>
      </c>
      <c r="B381" s="2" t="s">
        <v>648</v>
      </c>
      <c r="C381" s="2" t="s">
        <v>381</v>
      </c>
      <c r="D381" s="2">
        <v>15</v>
      </c>
      <c r="E381" s="2" t="s">
        <v>464</v>
      </c>
    </row>
    <row r="382" spans="1:5" x14ac:dyDescent="0.3">
      <c r="A382" s="2">
        <v>405490</v>
      </c>
      <c r="B382" s="2" t="s">
        <v>649</v>
      </c>
      <c r="C382" s="2" t="s">
        <v>365</v>
      </c>
      <c r="D382" s="2">
        <v>2</v>
      </c>
      <c r="E382" s="2" t="s">
        <v>610</v>
      </c>
    </row>
    <row r="383" spans="1:5" x14ac:dyDescent="0.3">
      <c r="A383" s="2">
        <v>405489</v>
      </c>
      <c r="B383" s="2" t="s">
        <v>275</v>
      </c>
      <c r="C383" s="2" t="s">
        <v>365</v>
      </c>
      <c r="D383" s="2">
        <v>2</v>
      </c>
      <c r="E383" s="2" t="s">
        <v>465</v>
      </c>
    </row>
    <row r="384" spans="1:5" x14ac:dyDescent="0.3">
      <c r="A384" s="2">
        <v>403336</v>
      </c>
      <c r="B384" s="2" t="s">
        <v>23</v>
      </c>
      <c r="C384" s="2" t="s">
        <v>374</v>
      </c>
      <c r="D384" s="2">
        <v>2</v>
      </c>
      <c r="E384" s="2" t="s">
        <v>447</v>
      </c>
    </row>
    <row r="385" spans="1:5" x14ac:dyDescent="0.3">
      <c r="A385" s="2">
        <v>405197</v>
      </c>
      <c r="B385" s="2" t="s">
        <v>650</v>
      </c>
      <c r="C385" s="2" t="s">
        <v>379</v>
      </c>
      <c r="D385" s="2">
        <v>2</v>
      </c>
      <c r="E385" s="2" t="s">
        <v>445</v>
      </c>
    </row>
    <row r="386" spans="1:5" x14ac:dyDescent="0.3">
      <c r="A386" s="2">
        <v>403355</v>
      </c>
      <c r="B386" s="2" t="s">
        <v>32</v>
      </c>
      <c r="C386" s="2" t="s">
        <v>376</v>
      </c>
      <c r="D386" s="2">
        <v>3</v>
      </c>
      <c r="E386" s="2" t="s">
        <v>559</v>
      </c>
    </row>
    <row r="387" spans="1:5" x14ac:dyDescent="0.3">
      <c r="A387" s="2">
        <v>353004</v>
      </c>
      <c r="B387" s="2" t="s">
        <v>651</v>
      </c>
      <c r="C387" s="2" t="s">
        <v>369</v>
      </c>
      <c r="D387" s="2">
        <v>2</v>
      </c>
      <c r="E387" s="2" t="s">
        <v>487</v>
      </c>
    </row>
    <row r="388" spans="1:5" x14ac:dyDescent="0.3">
      <c r="A388" s="2">
        <v>353012</v>
      </c>
      <c r="B388" s="2" t="s">
        <v>652</v>
      </c>
      <c r="C388" s="2" t="s">
        <v>369</v>
      </c>
      <c r="D388" s="2">
        <v>2</v>
      </c>
      <c r="E388" s="2" t="s">
        <v>487</v>
      </c>
    </row>
    <row r="389" spans="1:5" x14ac:dyDescent="0.3">
      <c r="A389" s="2">
        <v>403232</v>
      </c>
      <c r="B389" s="2" t="s">
        <v>653</v>
      </c>
      <c r="C389" s="2" t="s">
        <v>365</v>
      </c>
      <c r="D389" s="2">
        <v>2</v>
      </c>
      <c r="E389" s="2" t="s">
        <v>503</v>
      </c>
    </row>
    <row r="390" spans="1:5" x14ac:dyDescent="0.3">
      <c r="A390" s="2">
        <v>403301</v>
      </c>
      <c r="B390" s="2" t="s">
        <v>654</v>
      </c>
      <c r="C390" s="2" t="s">
        <v>372</v>
      </c>
      <c r="D390" s="2">
        <v>15</v>
      </c>
      <c r="E390" s="2" t="s">
        <v>575</v>
      </c>
    </row>
    <row r="391" spans="1:5" x14ac:dyDescent="0.3">
      <c r="A391" s="2">
        <v>107202</v>
      </c>
      <c r="B391" s="2" t="s">
        <v>655</v>
      </c>
      <c r="C391" s="2" t="s">
        <v>371</v>
      </c>
      <c r="D391" s="2">
        <v>3</v>
      </c>
      <c r="E391" s="2" t="s">
        <v>438</v>
      </c>
    </row>
    <row r="392" spans="1:5" x14ac:dyDescent="0.3">
      <c r="A392" s="2">
        <v>402259</v>
      </c>
      <c r="B392" s="2" t="s">
        <v>656</v>
      </c>
      <c r="C392" s="2" t="s">
        <v>369</v>
      </c>
      <c r="D392" s="2">
        <v>2</v>
      </c>
      <c r="E392" s="2" t="s">
        <v>487</v>
      </c>
    </row>
    <row r="393" spans="1:5" x14ac:dyDescent="0.3">
      <c r="A393" s="2">
        <v>393387</v>
      </c>
      <c r="B393" s="2" t="s">
        <v>657</v>
      </c>
      <c r="C393" s="2" t="s">
        <v>369</v>
      </c>
      <c r="D393" s="2">
        <v>2</v>
      </c>
      <c r="E393" s="2" t="s">
        <v>487</v>
      </c>
    </row>
    <row r="394" spans="1:5" x14ac:dyDescent="0.3">
      <c r="A394" s="2">
        <v>403212</v>
      </c>
      <c r="B394" s="2" t="s">
        <v>52</v>
      </c>
      <c r="C394" s="2" t="s">
        <v>365</v>
      </c>
      <c r="D394" s="2">
        <v>2</v>
      </c>
      <c r="E394" s="2" t="s">
        <v>503</v>
      </c>
    </row>
    <row r="395" spans="1:5" x14ac:dyDescent="0.3">
      <c r="A395" s="2">
        <v>107334</v>
      </c>
      <c r="B395" s="2" t="s">
        <v>658</v>
      </c>
      <c r="C395" s="2" t="s">
        <v>382</v>
      </c>
      <c r="D395" s="2">
        <v>2</v>
      </c>
      <c r="E395" s="2" t="s">
        <v>455</v>
      </c>
    </row>
    <row r="396" spans="1:5" x14ac:dyDescent="0.3">
      <c r="A396" s="2">
        <v>107307</v>
      </c>
      <c r="B396" s="2" t="s">
        <v>659</v>
      </c>
      <c r="C396" s="2" t="s">
        <v>372</v>
      </c>
      <c r="D396" s="2">
        <v>15</v>
      </c>
      <c r="E396" s="2" t="s">
        <v>470</v>
      </c>
    </row>
    <row r="397" spans="1:5" x14ac:dyDescent="0.3">
      <c r="A397" s="2">
        <v>107187</v>
      </c>
      <c r="B397" s="2" t="s">
        <v>403</v>
      </c>
      <c r="C397" s="2" t="s">
        <v>381</v>
      </c>
      <c r="D397" s="2">
        <v>6</v>
      </c>
      <c r="E397" s="2" t="s">
        <v>501</v>
      </c>
    </row>
    <row r="398" spans="1:5" x14ac:dyDescent="0.3">
      <c r="A398" s="2">
        <v>107342</v>
      </c>
      <c r="B398" s="2" t="s">
        <v>41</v>
      </c>
      <c r="C398" s="2" t="s">
        <v>379</v>
      </c>
      <c r="D398" s="2">
        <v>3</v>
      </c>
      <c r="E398" s="2" t="s">
        <v>438</v>
      </c>
    </row>
    <row r="399" spans="1:5" x14ac:dyDescent="0.3">
      <c r="A399" s="2">
        <v>393410</v>
      </c>
      <c r="B399" s="2" t="s">
        <v>660</v>
      </c>
      <c r="C399" s="2" t="s">
        <v>369</v>
      </c>
      <c r="D399" s="2">
        <v>2</v>
      </c>
      <c r="E399" s="2" t="s">
        <v>487</v>
      </c>
    </row>
    <row r="400" spans="1:5" x14ac:dyDescent="0.3">
      <c r="A400" s="2">
        <v>201006</v>
      </c>
      <c r="B400" s="2" t="s">
        <v>412</v>
      </c>
      <c r="C400" s="2" t="s">
        <v>391</v>
      </c>
      <c r="D400" s="2">
        <v>2</v>
      </c>
      <c r="E400" s="2" t="s">
        <v>535</v>
      </c>
    </row>
    <row r="401" spans="1:5" x14ac:dyDescent="0.3">
      <c r="A401" s="2">
        <v>107265</v>
      </c>
      <c r="B401" s="2" t="s">
        <v>661</v>
      </c>
      <c r="C401" s="2" t="s">
        <v>382</v>
      </c>
      <c r="D401" s="2">
        <v>3</v>
      </c>
      <c r="E401" s="2" t="s">
        <v>620</v>
      </c>
    </row>
    <row r="402" spans="1:5" x14ac:dyDescent="0.3">
      <c r="A402" s="2">
        <v>107338</v>
      </c>
      <c r="B402" s="2" t="s">
        <v>662</v>
      </c>
      <c r="C402" s="2" t="s">
        <v>381</v>
      </c>
      <c r="D402" s="2">
        <v>3</v>
      </c>
      <c r="E402" s="2" t="s">
        <v>638</v>
      </c>
    </row>
    <row r="403" spans="1:5" x14ac:dyDescent="0.3">
      <c r="A403" s="2">
        <v>405200</v>
      </c>
      <c r="B403" s="2" t="s">
        <v>663</v>
      </c>
      <c r="C403" s="2" t="s">
        <v>364</v>
      </c>
      <c r="D403" s="2">
        <v>6</v>
      </c>
      <c r="E403" s="2" t="s">
        <v>456</v>
      </c>
    </row>
    <row r="404" spans="1:5" x14ac:dyDescent="0.3">
      <c r="A404" s="2">
        <v>402122</v>
      </c>
      <c r="B404" s="2" t="s">
        <v>664</v>
      </c>
      <c r="C404" s="2" t="s">
        <v>377</v>
      </c>
      <c r="D404" s="2">
        <v>4</v>
      </c>
      <c r="E404" s="2" t="s">
        <v>665</v>
      </c>
    </row>
    <row r="405" spans="1:5" x14ac:dyDescent="0.3">
      <c r="A405" s="2">
        <v>107270</v>
      </c>
      <c r="B405" s="2" t="s">
        <v>185</v>
      </c>
      <c r="C405" s="2" t="s">
        <v>390</v>
      </c>
      <c r="D405" s="2">
        <v>2</v>
      </c>
      <c r="E405" s="2" t="s">
        <v>445</v>
      </c>
    </row>
    <row r="406" spans="1:5" x14ac:dyDescent="0.3">
      <c r="A406" s="2">
        <v>400216</v>
      </c>
      <c r="B406" s="2" t="s">
        <v>8</v>
      </c>
      <c r="C406" s="2" t="s">
        <v>369</v>
      </c>
      <c r="D406" s="2">
        <v>3</v>
      </c>
      <c r="E406" s="2" t="s">
        <v>454</v>
      </c>
    </row>
    <row r="407" spans="1:5" x14ac:dyDescent="0.3">
      <c r="A407" s="2">
        <v>107354</v>
      </c>
      <c r="B407" s="2" t="s">
        <v>666</v>
      </c>
      <c r="C407" s="2" t="s">
        <v>385</v>
      </c>
      <c r="D407" s="2">
        <v>3</v>
      </c>
      <c r="E407" s="2" t="s">
        <v>497</v>
      </c>
    </row>
    <row r="408" spans="1:5" x14ac:dyDescent="0.3">
      <c r="A408" s="2">
        <v>405279</v>
      </c>
      <c r="B408" s="2" t="s">
        <v>667</v>
      </c>
      <c r="C408" s="2" t="s">
        <v>382</v>
      </c>
      <c r="D408" s="2">
        <v>3</v>
      </c>
      <c r="E408" s="2" t="s">
        <v>668</v>
      </c>
    </row>
    <row r="409" spans="1:5" x14ac:dyDescent="0.3">
      <c r="A409" s="2">
        <v>362055</v>
      </c>
      <c r="B409" s="2" t="s">
        <v>669</v>
      </c>
      <c r="C409" s="2" t="s">
        <v>369</v>
      </c>
      <c r="D409" s="2">
        <v>2</v>
      </c>
      <c r="E409" s="2" t="s">
        <v>487</v>
      </c>
    </row>
    <row r="410" spans="1:5" x14ac:dyDescent="0.3">
      <c r="A410" s="2">
        <v>352038</v>
      </c>
      <c r="B410" s="2" t="s">
        <v>670</v>
      </c>
      <c r="C410" s="2" t="s">
        <v>369</v>
      </c>
      <c r="D410" s="2">
        <v>2</v>
      </c>
      <c r="E410" s="2" t="s">
        <v>487</v>
      </c>
    </row>
    <row r="411" spans="1:5" x14ac:dyDescent="0.3">
      <c r="A411" s="2">
        <v>352030</v>
      </c>
      <c r="B411" s="2" t="s">
        <v>671</v>
      </c>
      <c r="C411" s="2" t="s">
        <v>369</v>
      </c>
      <c r="D411" s="2">
        <v>2</v>
      </c>
      <c r="E411" s="2" t="s">
        <v>487</v>
      </c>
    </row>
    <row r="412" spans="1:5" x14ac:dyDescent="0.3">
      <c r="A412" s="2">
        <v>107222</v>
      </c>
      <c r="B412" s="2" t="s">
        <v>672</v>
      </c>
      <c r="C412" s="2" t="s">
        <v>391</v>
      </c>
      <c r="D412" s="2">
        <v>2</v>
      </c>
      <c r="E412" s="2" t="s">
        <v>448</v>
      </c>
    </row>
    <row r="413" spans="1:5" x14ac:dyDescent="0.3">
      <c r="A413" s="2">
        <v>404313</v>
      </c>
      <c r="B413" s="2" t="s">
        <v>673</v>
      </c>
      <c r="C413" s="2" t="s">
        <v>381</v>
      </c>
      <c r="D413" s="2">
        <v>0</v>
      </c>
      <c r="E413" s="2" t="e">
        <v>#N/A</v>
      </c>
    </row>
    <row r="414" spans="1:5" x14ac:dyDescent="0.3">
      <c r="A414" s="2">
        <v>403014</v>
      </c>
      <c r="B414" s="2" t="s">
        <v>416</v>
      </c>
      <c r="C414" s="2" t="s">
        <v>381</v>
      </c>
      <c r="D414" s="2">
        <v>6</v>
      </c>
      <c r="E414" s="2" t="s">
        <v>501</v>
      </c>
    </row>
    <row r="415" spans="1:5" x14ac:dyDescent="0.3">
      <c r="A415" s="2" t="s">
        <v>674</v>
      </c>
      <c r="B415" s="2" t="s">
        <v>675</v>
      </c>
      <c r="C415" s="2" t="s">
        <v>381</v>
      </c>
      <c r="D415" s="2">
        <v>0</v>
      </c>
      <c r="E415" s="2" t="s">
        <v>676</v>
      </c>
    </row>
    <row r="416" spans="1:5" x14ac:dyDescent="0.3">
      <c r="A416" s="2">
        <v>405132</v>
      </c>
      <c r="B416" s="2" t="s">
        <v>677</v>
      </c>
      <c r="C416" s="2" t="s">
        <v>381</v>
      </c>
      <c r="D416" s="2">
        <v>8</v>
      </c>
      <c r="E416" s="2" t="s">
        <v>571</v>
      </c>
    </row>
    <row r="417" spans="1:5" x14ac:dyDescent="0.3">
      <c r="A417" s="2">
        <v>405407</v>
      </c>
      <c r="B417" s="2" t="s">
        <v>678</v>
      </c>
      <c r="C417" s="2" t="s">
        <v>679</v>
      </c>
      <c r="D417" s="2">
        <v>3</v>
      </c>
      <c r="E417" s="2" t="s">
        <v>438</v>
      </c>
    </row>
    <row r="418" spans="1:5" x14ac:dyDescent="0.3">
      <c r="A418" s="2">
        <v>405406</v>
      </c>
      <c r="B418" s="2" t="s">
        <v>680</v>
      </c>
      <c r="C418" s="2" t="s">
        <v>679</v>
      </c>
      <c r="D418" s="2">
        <v>3</v>
      </c>
      <c r="E418" s="2" t="s">
        <v>438</v>
      </c>
    </row>
    <row r="419" spans="1:5" x14ac:dyDescent="0.3">
      <c r="A419" s="2">
        <v>405405</v>
      </c>
      <c r="B419" s="2" t="s">
        <v>681</v>
      </c>
      <c r="C419" s="2" t="s">
        <v>679</v>
      </c>
      <c r="D419" s="2">
        <v>3</v>
      </c>
      <c r="E419" s="2" t="s">
        <v>438</v>
      </c>
    </row>
    <row r="420" spans="1:5" x14ac:dyDescent="0.3">
      <c r="A420" s="2">
        <v>107289</v>
      </c>
      <c r="B420" s="2" t="s">
        <v>682</v>
      </c>
      <c r="C420" s="2" t="s">
        <v>369</v>
      </c>
      <c r="D420" s="2">
        <v>2</v>
      </c>
      <c r="E420" s="2" t="s">
        <v>566</v>
      </c>
    </row>
    <row r="421" spans="1:5" x14ac:dyDescent="0.3">
      <c r="A421" s="2">
        <v>107137</v>
      </c>
      <c r="B421" s="2" t="s">
        <v>683</v>
      </c>
      <c r="C421" s="2" t="s">
        <v>366</v>
      </c>
      <c r="D421" s="2">
        <v>2</v>
      </c>
      <c r="E421" s="2" t="s">
        <v>447</v>
      </c>
    </row>
    <row r="422" spans="1:5" x14ac:dyDescent="0.3">
      <c r="A422" s="2">
        <v>405248</v>
      </c>
      <c r="B422" s="2" t="s">
        <v>415</v>
      </c>
      <c r="C422" s="2" t="s">
        <v>387</v>
      </c>
      <c r="D422" s="2">
        <v>3</v>
      </c>
      <c r="E422" s="2" t="s">
        <v>452</v>
      </c>
    </row>
    <row r="423" spans="1:5" x14ac:dyDescent="0.3">
      <c r="A423" s="2">
        <v>107285</v>
      </c>
      <c r="B423" s="2" t="s">
        <v>414</v>
      </c>
      <c r="C423" s="2" t="s">
        <v>387</v>
      </c>
      <c r="D423" s="2">
        <v>3</v>
      </c>
      <c r="E423" s="2" t="s">
        <v>452</v>
      </c>
    </row>
    <row r="424" spans="1:5" x14ac:dyDescent="0.3">
      <c r="A424" s="2">
        <v>430437</v>
      </c>
      <c r="B424" s="2" t="s">
        <v>684</v>
      </c>
      <c r="C424" s="2" t="s">
        <v>679</v>
      </c>
      <c r="D424" s="2">
        <v>3</v>
      </c>
      <c r="E424" s="2" t="s">
        <v>566</v>
      </c>
    </row>
    <row r="425" spans="1:5" x14ac:dyDescent="0.3">
      <c r="A425" s="2">
        <v>405450</v>
      </c>
      <c r="B425" s="2" t="s">
        <v>685</v>
      </c>
      <c r="C425" s="2" t="s">
        <v>364</v>
      </c>
      <c r="D425" s="2">
        <v>6</v>
      </c>
      <c r="E425" s="2" t="s">
        <v>456</v>
      </c>
    </row>
    <row r="426" spans="1:5" x14ac:dyDescent="0.3">
      <c r="A426" s="2">
        <v>405451</v>
      </c>
      <c r="B426" s="2" t="s">
        <v>686</v>
      </c>
      <c r="C426" s="2" t="s">
        <v>364</v>
      </c>
      <c r="D426" s="2">
        <v>6</v>
      </c>
      <c r="E426" s="2" t="s">
        <v>456</v>
      </c>
    </row>
    <row r="427" spans="1:5" x14ac:dyDescent="0.3">
      <c r="A427" s="2">
        <v>405482</v>
      </c>
      <c r="B427" s="2" t="s">
        <v>0</v>
      </c>
      <c r="C427" s="2" t="s">
        <v>366</v>
      </c>
      <c r="D427" s="2">
        <v>3</v>
      </c>
      <c r="E427" s="2" t="s">
        <v>442</v>
      </c>
    </row>
    <row r="428" spans="1:5" x14ac:dyDescent="0.3">
      <c r="A428" s="2">
        <v>100104</v>
      </c>
      <c r="B428" s="2" t="s">
        <v>409</v>
      </c>
      <c r="C428" s="2" t="s">
        <v>387</v>
      </c>
      <c r="D428" s="2">
        <v>3</v>
      </c>
      <c r="E428" s="2" t="s">
        <v>452</v>
      </c>
    </row>
    <row r="429" spans="1:5" x14ac:dyDescent="0.3">
      <c r="A429" s="2">
        <v>405484</v>
      </c>
      <c r="B429" s="2" t="s">
        <v>687</v>
      </c>
      <c r="C429" s="2" t="s">
        <v>688</v>
      </c>
      <c r="D429" s="2">
        <v>2</v>
      </c>
      <c r="E429" s="2" t="s">
        <v>448</v>
      </c>
    </row>
    <row r="430" spans="1:5" x14ac:dyDescent="0.3">
      <c r="A430" s="2">
        <v>403251</v>
      </c>
      <c r="B430" s="2" t="s">
        <v>689</v>
      </c>
      <c r="C430" s="2" t="s">
        <v>365</v>
      </c>
      <c r="D430" s="2">
        <v>2</v>
      </c>
      <c r="E430" s="2" t="s">
        <v>503</v>
      </c>
    </row>
    <row r="431" spans="1:5" x14ac:dyDescent="0.3">
      <c r="A431" s="2">
        <v>403216</v>
      </c>
      <c r="B431" s="2" t="s">
        <v>690</v>
      </c>
      <c r="C431" s="2" t="s">
        <v>365</v>
      </c>
      <c r="D431" s="2">
        <v>0</v>
      </c>
      <c r="E431" s="2" t="e">
        <v>#N/A</v>
      </c>
    </row>
    <row r="432" spans="1:5" x14ac:dyDescent="0.3">
      <c r="A432" s="2">
        <v>107420</v>
      </c>
      <c r="B432" s="2" t="s">
        <v>404</v>
      </c>
      <c r="C432" s="2" t="s">
        <v>381</v>
      </c>
      <c r="D432" s="2">
        <v>6</v>
      </c>
      <c r="E432" s="2" t="s">
        <v>478</v>
      </c>
    </row>
    <row r="433" spans="1:5" x14ac:dyDescent="0.3">
      <c r="A433" s="2">
        <v>403269</v>
      </c>
      <c r="B433" s="2" t="s">
        <v>353</v>
      </c>
      <c r="C433" s="2" t="s">
        <v>397</v>
      </c>
      <c r="D433" s="2">
        <v>3</v>
      </c>
      <c r="E433" s="2" t="s">
        <v>440</v>
      </c>
    </row>
    <row r="434" spans="1:5" x14ac:dyDescent="0.3">
      <c r="A434" s="2">
        <v>405419</v>
      </c>
      <c r="B434" s="2" t="s">
        <v>691</v>
      </c>
      <c r="C434" s="2" t="s">
        <v>372</v>
      </c>
      <c r="D434" s="2">
        <v>15</v>
      </c>
      <c r="E434" s="2" t="s">
        <v>460</v>
      </c>
    </row>
    <row r="435" spans="1:5" x14ac:dyDescent="0.3">
      <c r="A435" s="2">
        <v>402263</v>
      </c>
      <c r="B435" s="2" t="s">
        <v>10</v>
      </c>
      <c r="C435" s="2" t="s">
        <v>370</v>
      </c>
      <c r="D435" s="2">
        <v>11</v>
      </c>
      <c r="E435" s="2" t="s">
        <v>470</v>
      </c>
    </row>
    <row r="436" spans="1:5" x14ac:dyDescent="0.3">
      <c r="A436" s="2">
        <v>405504</v>
      </c>
      <c r="B436" s="2" t="s">
        <v>692</v>
      </c>
      <c r="C436" s="2" t="s">
        <v>397</v>
      </c>
      <c r="D436" s="2">
        <v>3</v>
      </c>
      <c r="E436" s="2" t="s">
        <v>693</v>
      </c>
    </row>
    <row r="437" spans="1:5" x14ac:dyDescent="0.3">
      <c r="A437" s="2">
        <v>405503</v>
      </c>
      <c r="B437" s="2" t="s">
        <v>19</v>
      </c>
      <c r="C437" s="2" t="s">
        <v>372</v>
      </c>
      <c r="D437" s="2">
        <v>15</v>
      </c>
      <c r="E437" s="2" t="s">
        <v>470</v>
      </c>
    </row>
    <row r="438" spans="1:5" x14ac:dyDescent="0.3">
      <c r="A438" s="2">
        <v>101001</v>
      </c>
      <c r="B438" s="2" t="s">
        <v>694</v>
      </c>
      <c r="C438" s="2" t="s">
        <v>368</v>
      </c>
      <c r="D438" s="2">
        <v>0</v>
      </c>
      <c r="E438" s="2" t="e">
        <v>#N/A</v>
      </c>
    </row>
    <row r="439" spans="1:5" x14ac:dyDescent="0.3">
      <c r="A439" s="2">
        <v>405507</v>
      </c>
      <c r="B439" s="2" t="s">
        <v>602</v>
      </c>
      <c r="C439" s="2" t="s">
        <v>378</v>
      </c>
      <c r="D439" s="2">
        <v>3</v>
      </c>
      <c r="E439" s="2" t="s">
        <v>695</v>
      </c>
    </row>
    <row r="440" spans="1:5" x14ac:dyDescent="0.3">
      <c r="A440" s="2">
        <v>403357</v>
      </c>
      <c r="B440" s="2" t="s">
        <v>696</v>
      </c>
      <c r="C440" s="2" t="s">
        <v>372</v>
      </c>
      <c r="D440" s="2">
        <v>0</v>
      </c>
      <c r="E440" s="2" t="e">
        <v>#N/A</v>
      </c>
    </row>
    <row r="441" spans="1:5" x14ac:dyDescent="0.3">
      <c r="A441" s="2">
        <v>403356</v>
      </c>
      <c r="B441" s="2" t="s">
        <v>697</v>
      </c>
      <c r="C441" s="2" t="s">
        <v>372</v>
      </c>
      <c r="D441" s="2">
        <v>0</v>
      </c>
      <c r="E441" s="2" t="e">
        <v>#N/A</v>
      </c>
    </row>
    <row r="442" spans="1:5" x14ac:dyDescent="0.3">
      <c r="A442" s="2">
        <v>405438</v>
      </c>
      <c r="B442" s="2" t="s">
        <v>698</v>
      </c>
      <c r="C442" s="2" t="s">
        <v>381</v>
      </c>
      <c r="D442" s="2">
        <v>0</v>
      </c>
      <c r="E442" s="2" t="s">
        <v>581</v>
      </c>
    </row>
    <row r="443" spans="1:5" x14ac:dyDescent="0.3">
      <c r="A443" s="2">
        <v>405452</v>
      </c>
      <c r="B443" s="2" t="s">
        <v>699</v>
      </c>
      <c r="C443" s="2" t="s">
        <v>364</v>
      </c>
      <c r="D443" s="2">
        <v>6</v>
      </c>
      <c r="E443" s="2" t="s">
        <v>456</v>
      </c>
    </row>
    <row r="444" spans="1:5" x14ac:dyDescent="0.3">
      <c r="A444" s="2">
        <v>405453</v>
      </c>
      <c r="B444" s="2" t="s">
        <v>78</v>
      </c>
      <c r="C444" s="2" t="s">
        <v>364</v>
      </c>
      <c r="D444" s="2">
        <v>6</v>
      </c>
      <c r="E444" s="2" t="s">
        <v>456</v>
      </c>
    </row>
    <row r="445" spans="1:5" x14ac:dyDescent="0.3">
      <c r="A445" s="2">
        <v>405448</v>
      </c>
      <c r="B445" s="2" t="s">
        <v>87</v>
      </c>
      <c r="C445" s="2" t="s">
        <v>364</v>
      </c>
      <c r="D445" s="2">
        <v>6</v>
      </c>
      <c r="E445" s="2" t="s">
        <v>456</v>
      </c>
    </row>
    <row r="446" spans="1:5" x14ac:dyDescent="0.3">
      <c r="A446" s="2">
        <v>405461</v>
      </c>
      <c r="B446" s="2" t="s">
        <v>108</v>
      </c>
      <c r="C446" s="2" t="s">
        <v>364</v>
      </c>
      <c r="D446" s="2">
        <v>6</v>
      </c>
      <c r="E446" s="2" t="s">
        <v>456</v>
      </c>
    </row>
    <row r="447" spans="1:5" x14ac:dyDescent="0.3">
      <c r="A447" s="2">
        <v>405464</v>
      </c>
      <c r="B447" s="2" t="s">
        <v>700</v>
      </c>
      <c r="C447" s="2" t="s">
        <v>364</v>
      </c>
      <c r="D447" s="2">
        <v>6</v>
      </c>
      <c r="E447" s="2" t="s">
        <v>456</v>
      </c>
    </row>
    <row r="448" spans="1:5" x14ac:dyDescent="0.3">
      <c r="A448" s="2">
        <v>405462</v>
      </c>
      <c r="B448" s="2" t="s">
        <v>701</v>
      </c>
      <c r="C448" s="2" t="s">
        <v>364</v>
      </c>
      <c r="D448" s="2">
        <v>6</v>
      </c>
      <c r="E448" s="2" t="s">
        <v>456</v>
      </c>
    </row>
    <row r="449" spans="1:5" x14ac:dyDescent="0.3">
      <c r="A449" s="2">
        <v>405201</v>
      </c>
      <c r="B449" s="2" t="s">
        <v>702</v>
      </c>
      <c r="C449" s="2" t="s">
        <v>364</v>
      </c>
      <c r="D449" s="2">
        <v>6</v>
      </c>
      <c r="E449" s="2" t="e">
        <v>#N/A</v>
      </c>
    </row>
    <row r="450" spans="1:5" x14ac:dyDescent="0.3">
      <c r="A450" s="2">
        <v>405463</v>
      </c>
      <c r="B450" s="2" t="s">
        <v>147</v>
      </c>
      <c r="C450" s="2" t="s">
        <v>364</v>
      </c>
      <c r="D450" s="2">
        <v>6</v>
      </c>
      <c r="E450" s="2" t="s">
        <v>456</v>
      </c>
    </row>
    <row r="451" spans="1:5" x14ac:dyDescent="0.3">
      <c r="A451" s="2">
        <v>405506</v>
      </c>
      <c r="B451" s="2" t="s">
        <v>157</v>
      </c>
      <c r="C451" s="2" t="s">
        <v>378</v>
      </c>
      <c r="D451" s="2">
        <v>3</v>
      </c>
      <c r="E451" s="2" t="s">
        <v>695</v>
      </c>
    </row>
    <row r="452" spans="1:5" x14ac:dyDescent="0.3">
      <c r="A452" s="2">
        <v>405276</v>
      </c>
      <c r="B452" s="2" t="s">
        <v>703</v>
      </c>
      <c r="C452" s="2" t="s">
        <v>420</v>
      </c>
      <c r="D452" s="2">
        <v>3</v>
      </c>
      <c r="E452" s="2" t="s">
        <v>523</v>
      </c>
    </row>
    <row r="453" spans="1:5" x14ac:dyDescent="0.3">
      <c r="A453" s="2">
        <v>107001</v>
      </c>
      <c r="B453" s="2" t="s">
        <v>191</v>
      </c>
      <c r="C453" s="2" t="s">
        <v>374</v>
      </c>
      <c r="D453" s="2">
        <v>2</v>
      </c>
      <c r="E453" s="2" t="s">
        <v>447</v>
      </c>
    </row>
    <row r="454" spans="1:5" x14ac:dyDescent="0.3">
      <c r="A454" s="2">
        <v>405509</v>
      </c>
      <c r="B454" s="2" t="s">
        <v>704</v>
      </c>
      <c r="C454" s="2" t="s">
        <v>705</v>
      </c>
      <c r="D454" s="2">
        <v>3</v>
      </c>
      <c r="E454" s="2" t="s">
        <v>518</v>
      </c>
    </row>
    <row r="455" spans="1:5" x14ac:dyDescent="0.3">
      <c r="A455" s="2">
        <v>405344</v>
      </c>
      <c r="B455" s="2" t="s">
        <v>706</v>
      </c>
      <c r="C455" s="2" t="s">
        <v>369</v>
      </c>
      <c r="D455" s="2">
        <v>2</v>
      </c>
      <c r="E455" s="2" t="s">
        <v>487</v>
      </c>
    </row>
    <row r="456" spans="1:5" x14ac:dyDescent="0.3">
      <c r="A456" s="2">
        <v>405502</v>
      </c>
      <c r="B456" s="2" t="s">
        <v>707</v>
      </c>
      <c r="C456" s="2" t="s">
        <v>381</v>
      </c>
      <c r="D456" s="2">
        <v>15</v>
      </c>
      <c r="E456" s="2" t="s">
        <v>470</v>
      </c>
    </row>
    <row r="457" spans="1:5" x14ac:dyDescent="0.3">
      <c r="A457" s="2">
        <v>405530</v>
      </c>
      <c r="B457" s="2" t="s">
        <v>708</v>
      </c>
      <c r="C457" s="2" t="s">
        <v>368</v>
      </c>
      <c r="D457" s="2">
        <v>3</v>
      </c>
      <c r="E457" s="2" t="s">
        <v>469</v>
      </c>
    </row>
    <row r="458" spans="1:5" x14ac:dyDescent="0.3">
      <c r="A458" s="2">
        <v>405532</v>
      </c>
      <c r="B458" s="2" t="s">
        <v>709</v>
      </c>
      <c r="C458" s="2" t="s">
        <v>368</v>
      </c>
      <c r="D458" s="2">
        <v>3</v>
      </c>
      <c r="E458" s="2" t="s">
        <v>710</v>
      </c>
    </row>
    <row r="459" spans="1:5" x14ac:dyDescent="0.3">
      <c r="A459" s="2">
        <v>405539</v>
      </c>
      <c r="B459" s="2" t="s">
        <v>187</v>
      </c>
      <c r="C459" s="2" t="s">
        <v>390</v>
      </c>
      <c r="D459" s="2">
        <v>3</v>
      </c>
      <c r="E459" s="2" t="s">
        <v>474</v>
      </c>
    </row>
    <row r="460" spans="1:5" x14ac:dyDescent="0.3">
      <c r="A460" s="2">
        <v>107349</v>
      </c>
      <c r="B460" s="2" t="s">
        <v>711</v>
      </c>
      <c r="C460" s="2" t="s">
        <v>368</v>
      </c>
      <c r="D460" s="2">
        <v>7</v>
      </c>
      <c r="E460" s="2" t="s">
        <v>523</v>
      </c>
    </row>
    <row r="461" spans="1:5" x14ac:dyDescent="0.3">
      <c r="A461" s="2">
        <v>405533</v>
      </c>
      <c r="B461" s="2" t="s">
        <v>242</v>
      </c>
      <c r="C461" s="2" t="s">
        <v>380</v>
      </c>
      <c r="D461" s="2">
        <v>3</v>
      </c>
      <c r="E461" s="2" t="s">
        <v>453</v>
      </c>
    </row>
    <row r="462" spans="1:5" x14ac:dyDescent="0.3">
      <c r="A462" s="2">
        <v>107340</v>
      </c>
      <c r="B462" s="2" t="s">
        <v>712</v>
      </c>
      <c r="C462" s="2" t="s">
        <v>368</v>
      </c>
      <c r="D462" s="2">
        <v>7</v>
      </c>
      <c r="E462" s="2" t="s">
        <v>523</v>
      </c>
    </row>
    <row r="463" spans="1:5" x14ac:dyDescent="0.3">
      <c r="A463" s="2">
        <v>405526</v>
      </c>
      <c r="B463" s="2" t="s">
        <v>713</v>
      </c>
      <c r="C463" s="2" t="s">
        <v>368</v>
      </c>
      <c r="D463" s="2">
        <v>3</v>
      </c>
      <c r="E463" s="2" t="s">
        <v>518</v>
      </c>
    </row>
    <row r="464" spans="1:5" x14ac:dyDescent="0.3">
      <c r="A464" s="2">
        <v>405537</v>
      </c>
      <c r="B464" s="2" t="s">
        <v>714</v>
      </c>
      <c r="C464" s="2" t="s">
        <v>371</v>
      </c>
      <c r="D464" s="2">
        <v>2</v>
      </c>
      <c r="E464" s="2" t="s">
        <v>535</v>
      </c>
    </row>
    <row r="465" spans="1:5" x14ac:dyDescent="0.3">
      <c r="A465" s="2">
        <v>405529</v>
      </c>
      <c r="B465" s="2" t="s">
        <v>715</v>
      </c>
      <c r="C465" s="2" t="s">
        <v>368</v>
      </c>
      <c r="D465" s="2">
        <v>7</v>
      </c>
      <c r="E465" s="2" t="s">
        <v>523</v>
      </c>
    </row>
    <row r="466" spans="1:5" x14ac:dyDescent="0.3">
      <c r="A466" s="2">
        <v>405540</v>
      </c>
      <c r="B466" s="2" t="s">
        <v>716</v>
      </c>
      <c r="C466" s="2" t="s">
        <v>364</v>
      </c>
      <c r="D466" s="2">
        <v>6</v>
      </c>
      <c r="E466" s="2" t="s">
        <v>456</v>
      </c>
    </row>
    <row r="467" spans="1:5" x14ac:dyDescent="0.3">
      <c r="A467" s="2">
        <v>107335</v>
      </c>
      <c r="B467" s="2" t="s">
        <v>321</v>
      </c>
      <c r="C467" s="2" t="s">
        <v>378</v>
      </c>
      <c r="D467" s="2">
        <v>3</v>
      </c>
      <c r="E467" s="2" t="s">
        <v>455</v>
      </c>
    </row>
    <row r="468" spans="1:5" x14ac:dyDescent="0.3">
      <c r="A468" s="2">
        <v>405555</v>
      </c>
      <c r="B468" s="2" t="s">
        <v>717</v>
      </c>
      <c r="C468" s="2" t="s">
        <v>391</v>
      </c>
      <c r="D468" s="2">
        <v>2</v>
      </c>
      <c r="E468" s="2" t="s">
        <v>718</v>
      </c>
    </row>
    <row r="469" spans="1:5" x14ac:dyDescent="0.3">
      <c r="A469" s="2">
        <v>405535</v>
      </c>
      <c r="B469" s="2" t="s">
        <v>93</v>
      </c>
      <c r="C469" s="2" t="s">
        <v>364</v>
      </c>
      <c r="D469" s="2">
        <v>6</v>
      </c>
      <c r="E469" s="2" t="s">
        <v>456</v>
      </c>
    </row>
    <row r="470" spans="1:5" x14ac:dyDescent="0.3">
      <c r="A470" s="2">
        <v>405556</v>
      </c>
      <c r="B470" s="2" t="s">
        <v>220</v>
      </c>
      <c r="C470" s="2" t="s">
        <v>371</v>
      </c>
      <c r="D470" s="2">
        <v>2</v>
      </c>
      <c r="E470" s="2" t="s">
        <v>620</v>
      </c>
    </row>
    <row r="471" spans="1:5" x14ac:dyDescent="0.3">
      <c r="A471" s="2">
        <v>405553</v>
      </c>
      <c r="B471" s="2" t="s">
        <v>121</v>
      </c>
      <c r="C471" s="2" t="s">
        <v>364</v>
      </c>
      <c r="D471" s="2">
        <v>6</v>
      </c>
      <c r="E471" s="2" t="s">
        <v>456</v>
      </c>
    </row>
    <row r="472" spans="1:5" x14ac:dyDescent="0.3">
      <c r="A472" s="2">
        <v>201007</v>
      </c>
      <c r="B472" s="2" t="s">
        <v>719</v>
      </c>
      <c r="C472" s="2" t="s">
        <v>391</v>
      </c>
      <c r="D472" s="2">
        <v>2</v>
      </c>
      <c r="E472" s="2" t="s">
        <v>441</v>
      </c>
    </row>
    <row r="473" spans="1:5" x14ac:dyDescent="0.3">
      <c r="A473" s="2">
        <v>405492</v>
      </c>
      <c r="B473" s="2" t="s">
        <v>405</v>
      </c>
      <c r="C473" s="2" t="s">
        <v>364</v>
      </c>
      <c r="D473" s="2">
        <v>6</v>
      </c>
      <c r="E473" s="2" t="s">
        <v>456</v>
      </c>
    </row>
    <row r="474" spans="1:5" x14ac:dyDescent="0.3">
      <c r="A474" s="2">
        <v>405543</v>
      </c>
      <c r="B474" s="2" t="s">
        <v>207</v>
      </c>
      <c r="C474" s="2" t="s">
        <v>366</v>
      </c>
      <c r="D474" s="2">
        <v>2</v>
      </c>
      <c r="E474" s="2" t="s">
        <v>469</v>
      </c>
    </row>
    <row r="475" spans="1:5" x14ac:dyDescent="0.3">
      <c r="A475" s="2">
        <v>405569</v>
      </c>
      <c r="B475" s="2" t="s">
        <v>720</v>
      </c>
      <c r="C475" s="2" t="s">
        <v>370</v>
      </c>
      <c r="D475" s="2">
        <v>6</v>
      </c>
      <c r="E475" s="2" t="s">
        <v>495</v>
      </c>
    </row>
    <row r="476" spans="1:5" x14ac:dyDescent="0.3">
      <c r="A476" s="2">
        <v>107281</v>
      </c>
      <c r="B476" s="2" t="s">
        <v>721</v>
      </c>
      <c r="C476" s="2" t="s">
        <v>365</v>
      </c>
      <c r="D476" s="2">
        <v>2</v>
      </c>
      <c r="E476" s="2" t="s">
        <v>647</v>
      </c>
    </row>
    <row r="477" spans="1:5" x14ac:dyDescent="0.3">
      <c r="A477" s="2">
        <v>405574</v>
      </c>
      <c r="B477" s="2" t="s">
        <v>722</v>
      </c>
      <c r="C477" s="2" t="s">
        <v>374</v>
      </c>
      <c r="D477" s="2">
        <v>2</v>
      </c>
      <c r="E477" s="2" t="s">
        <v>469</v>
      </c>
    </row>
    <row r="478" spans="1:5" x14ac:dyDescent="0.3">
      <c r="A478" s="2">
        <v>405570</v>
      </c>
      <c r="B478" s="2" t="s">
        <v>215</v>
      </c>
      <c r="C478" s="2" t="s">
        <v>392</v>
      </c>
      <c r="D478" s="2">
        <v>3</v>
      </c>
      <c r="E478" s="2" t="s">
        <v>620</v>
      </c>
    </row>
    <row r="479" spans="1:5" x14ac:dyDescent="0.3">
      <c r="A479" s="2">
        <v>107105</v>
      </c>
      <c r="B479" s="2" t="s">
        <v>50</v>
      </c>
      <c r="C479" s="2" t="s">
        <v>371</v>
      </c>
      <c r="D479" s="2">
        <v>3</v>
      </c>
      <c r="E479" s="2" t="s">
        <v>438</v>
      </c>
    </row>
    <row r="480" spans="1:5" x14ac:dyDescent="0.3">
      <c r="A480" s="2">
        <v>170180</v>
      </c>
      <c r="B480" s="2" t="s">
        <v>723</v>
      </c>
      <c r="C480" s="2" t="s">
        <v>371</v>
      </c>
      <c r="D480" s="2">
        <v>3</v>
      </c>
      <c r="E480" s="2" t="s">
        <v>438</v>
      </c>
    </row>
    <row r="481" spans="1:5" x14ac:dyDescent="0.3">
      <c r="A481" s="2">
        <v>405577</v>
      </c>
      <c r="B481" s="2" t="s">
        <v>175</v>
      </c>
      <c r="C481" s="2" t="s">
        <v>369</v>
      </c>
      <c r="D481" s="2">
        <v>2</v>
      </c>
      <c r="E481" s="2" t="s">
        <v>487</v>
      </c>
    </row>
    <row r="482" spans="1:5" x14ac:dyDescent="0.3">
      <c r="A482" s="2">
        <v>405583</v>
      </c>
      <c r="B482" s="2" t="s">
        <v>69</v>
      </c>
      <c r="C482" s="2" t="s">
        <v>381</v>
      </c>
      <c r="D482" s="2">
        <v>15</v>
      </c>
      <c r="E482" s="2" t="s">
        <v>470</v>
      </c>
    </row>
    <row r="483" spans="1:5" x14ac:dyDescent="0.3">
      <c r="A483" s="2">
        <v>405587</v>
      </c>
      <c r="B483" s="2" t="s">
        <v>66</v>
      </c>
      <c r="C483" s="2" t="s">
        <v>381</v>
      </c>
      <c r="D483" s="2">
        <v>7</v>
      </c>
      <c r="E483" s="2" t="s">
        <v>724</v>
      </c>
    </row>
    <row r="484" spans="1:5" x14ac:dyDescent="0.3">
      <c r="A484" s="2">
        <v>405501</v>
      </c>
      <c r="B484" s="2" t="s">
        <v>256</v>
      </c>
      <c r="C484" s="2" t="s">
        <v>365</v>
      </c>
      <c r="D484" s="2">
        <v>2</v>
      </c>
      <c r="E484" s="2" t="s">
        <v>625</v>
      </c>
    </row>
    <row r="485" spans="1:5" x14ac:dyDescent="0.3">
      <c r="A485" s="2">
        <v>405607</v>
      </c>
      <c r="B485" s="2" t="s">
        <v>213</v>
      </c>
      <c r="C485" s="2" t="s">
        <v>371</v>
      </c>
      <c r="D485" s="2">
        <v>2</v>
      </c>
      <c r="E485" s="2" t="s">
        <v>447</v>
      </c>
    </row>
    <row r="486" spans="1:5" x14ac:dyDescent="0.3">
      <c r="A486" s="2">
        <v>405033</v>
      </c>
      <c r="B486" s="2" t="s">
        <v>725</v>
      </c>
      <c r="C486" s="2" t="s">
        <v>364</v>
      </c>
      <c r="D486" s="2">
        <v>6</v>
      </c>
      <c r="E486" s="2" t="e">
        <v>#N/A</v>
      </c>
    </row>
    <row r="487" spans="1:5" x14ac:dyDescent="0.3">
      <c r="A487" s="2">
        <v>405223</v>
      </c>
      <c r="B487" s="2" t="s">
        <v>726</v>
      </c>
      <c r="C487" s="2" t="s">
        <v>364</v>
      </c>
      <c r="D487" s="2">
        <v>6</v>
      </c>
      <c r="E487" s="2" t="s">
        <v>727</v>
      </c>
    </row>
    <row r="488" spans="1:5" x14ac:dyDescent="0.3">
      <c r="A488" s="2">
        <v>405638</v>
      </c>
      <c r="B488" s="2" t="s">
        <v>728</v>
      </c>
      <c r="C488" s="2" t="s">
        <v>391</v>
      </c>
      <c r="D488" s="2">
        <v>3</v>
      </c>
      <c r="E488" s="2" t="s">
        <v>474</v>
      </c>
    </row>
    <row r="489" spans="1:5" x14ac:dyDescent="0.3">
      <c r="A489" s="2">
        <v>405634</v>
      </c>
      <c r="B489" s="2" t="s">
        <v>729</v>
      </c>
      <c r="C489" s="2" t="s">
        <v>378</v>
      </c>
      <c r="D489" s="2">
        <v>3</v>
      </c>
      <c r="E489" s="2" t="s">
        <v>442</v>
      </c>
    </row>
    <row r="490" spans="1:5" x14ac:dyDescent="0.3">
      <c r="A490" s="2">
        <v>405559</v>
      </c>
      <c r="B490" s="2" t="s">
        <v>39</v>
      </c>
      <c r="C490" s="2" t="s">
        <v>379</v>
      </c>
      <c r="D490" s="2">
        <v>3</v>
      </c>
      <c r="E490" s="2" t="s">
        <v>730</v>
      </c>
    </row>
    <row r="491" spans="1:5" x14ac:dyDescent="0.3">
      <c r="A491" s="2">
        <v>405615</v>
      </c>
      <c r="B491" s="2" t="s">
        <v>120</v>
      </c>
      <c r="C491" s="2" t="s">
        <v>364</v>
      </c>
      <c r="D491" s="2">
        <v>6</v>
      </c>
      <c r="E491" s="2" t="s">
        <v>456</v>
      </c>
    </row>
    <row r="492" spans="1:5" x14ac:dyDescent="0.3">
      <c r="A492" s="2">
        <v>405633</v>
      </c>
      <c r="B492" s="2" t="s">
        <v>731</v>
      </c>
      <c r="C492" s="2" t="s">
        <v>381</v>
      </c>
      <c r="D492" s="2">
        <v>0</v>
      </c>
      <c r="E492" s="2" t="s">
        <v>732</v>
      </c>
    </row>
    <row r="493" spans="1:5" x14ac:dyDescent="0.3">
      <c r="A493" s="2">
        <v>405560</v>
      </c>
      <c r="B493" s="2" t="s">
        <v>37</v>
      </c>
      <c r="C493" s="2" t="s">
        <v>378</v>
      </c>
      <c r="D493" s="2">
        <v>3</v>
      </c>
      <c r="E493" s="2" t="s">
        <v>555</v>
      </c>
    </row>
    <row r="494" spans="1:5" x14ac:dyDescent="0.3">
      <c r="A494" s="2">
        <v>393253</v>
      </c>
      <c r="B494" s="2" t="s">
        <v>733</v>
      </c>
      <c r="C494" s="2" t="s">
        <v>369</v>
      </c>
      <c r="D494" s="2">
        <v>2</v>
      </c>
      <c r="E494" s="2" t="s">
        <v>487</v>
      </c>
    </row>
    <row r="495" spans="1:5" x14ac:dyDescent="0.3">
      <c r="A495" s="2">
        <v>405614</v>
      </c>
      <c r="B495" s="2" t="s">
        <v>734</v>
      </c>
      <c r="C495" s="2" t="s">
        <v>364</v>
      </c>
      <c r="D495" s="2">
        <v>6</v>
      </c>
      <c r="E495" s="2" t="s">
        <v>456</v>
      </c>
    </row>
    <row r="496" spans="1:5" x14ac:dyDescent="0.3">
      <c r="A496" s="2">
        <v>403252</v>
      </c>
      <c r="B496" s="2" t="s">
        <v>735</v>
      </c>
      <c r="C496" s="2" t="s">
        <v>365</v>
      </c>
      <c r="D496" s="2">
        <v>2</v>
      </c>
      <c r="E496" s="2" t="e">
        <v>#N/A</v>
      </c>
    </row>
    <row r="497" spans="1:5" x14ac:dyDescent="0.3">
      <c r="A497" s="2">
        <v>405531</v>
      </c>
      <c r="B497" s="2" t="s">
        <v>736</v>
      </c>
      <c r="C497" s="2" t="s">
        <v>368</v>
      </c>
      <c r="D497" s="2">
        <v>7</v>
      </c>
      <c r="E497" s="2" t="s">
        <v>473</v>
      </c>
    </row>
    <row r="498" spans="1:5" x14ac:dyDescent="0.3">
      <c r="A498" s="2">
        <v>405508</v>
      </c>
      <c r="B498" s="2" t="s">
        <v>737</v>
      </c>
      <c r="C498" s="2" t="s">
        <v>368</v>
      </c>
      <c r="D498" s="2">
        <v>7</v>
      </c>
      <c r="E498" s="2" t="s">
        <v>523</v>
      </c>
    </row>
    <row r="499" spans="1:5" x14ac:dyDescent="0.3">
      <c r="A499" s="2">
        <v>405541</v>
      </c>
      <c r="B499" s="2" t="s">
        <v>738</v>
      </c>
      <c r="C499" s="2" t="s">
        <v>368</v>
      </c>
      <c r="D499" s="2">
        <v>7</v>
      </c>
      <c r="E499" s="2" t="s">
        <v>473</v>
      </c>
    </row>
    <row r="500" spans="1:5" x14ac:dyDescent="0.3">
      <c r="A500" s="2">
        <v>405554</v>
      </c>
      <c r="B500" s="2" t="s">
        <v>128</v>
      </c>
      <c r="C500" s="2" t="s">
        <v>364</v>
      </c>
      <c r="D500" s="2">
        <v>6</v>
      </c>
      <c r="E500" s="2" t="s">
        <v>456</v>
      </c>
    </row>
    <row r="501" spans="1:5" x14ac:dyDescent="0.3">
      <c r="A501" s="2">
        <v>405552</v>
      </c>
      <c r="B501" s="2" t="s">
        <v>123</v>
      </c>
      <c r="C501" s="2" t="s">
        <v>364</v>
      </c>
      <c r="D501" s="2">
        <v>6</v>
      </c>
      <c r="E501" s="2" t="s">
        <v>456</v>
      </c>
    </row>
    <row r="502" spans="1:5" x14ac:dyDescent="0.3">
      <c r="A502" s="2">
        <v>405644</v>
      </c>
      <c r="B502" s="2" t="s">
        <v>134</v>
      </c>
      <c r="C502" s="2" t="s">
        <v>364</v>
      </c>
      <c r="D502" s="2">
        <v>6</v>
      </c>
      <c r="E502" s="2" t="s">
        <v>456</v>
      </c>
    </row>
    <row r="503" spans="1:5" x14ac:dyDescent="0.3">
      <c r="A503" s="2">
        <v>405643</v>
      </c>
      <c r="B503" s="2" t="s">
        <v>136</v>
      </c>
      <c r="C503" s="2" t="s">
        <v>364</v>
      </c>
      <c r="D503" s="2">
        <v>6</v>
      </c>
      <c r="E503" s="2" t="s">
        <v>456</v>
      </c>
    </row>
    <row r="504" spans="1:5" x14ac:dyDescent="0.3">
      <c r="A504" s="2">
        <v>405582</v>
      </c>
      <c r="B504" s="2" t="s">
        <v>68</v>
      </c>
      <c r="C504" s="2" t="s">
        <v>381</v>
      </c>
      <c r="D504" s="2">
        <v>15</v>
      </c>
      <c r="E504" s="2" t="s">
        <v>470</v>
      </c>
    </row>
    <row r="505" spans="1:5" x14ac:dyDescent="0.3">
      <c r="A505" s="2">
        <v>107246</v>
      </c>
      <c r="B505" s="2" t="s">
        <v>226</v>
      </c>
      <c r="C505" s="2" t="s">
        <v>371</v>
      </c>
      <c r="D505" s="2">
        <v>2</v>
      </c>
      <c r="E505" s="2" t="s">
        <v>445</v>
      </c>
    </row>
    <row r="506" spans="1:5" x14ac:dyDescent="0.3">
      <c r="A506" s="2">
        <v>405418</v>
      </c>
      <c r="B506" s="2" t="s">
        <v>4</v>
      </c>
      <c r="C506" s="2" t="s">
        <v>367</v>
      </c>
      <c r="D506" s="2">
        <v>2</v>
      </c>
      <c r="E506" s="2" t="s">
        <v>445</v>
      </c>
    </row>
    <row r="507" spans="1:5" x14ac:dyDescent="0.3">
      <c r="A507" s="2">
        <v>405510</v>
      </c>
      <c r="B507" s="2" t="s">
        <v>739</v>
      </c>
      <c r="C507" s="2" t="s">
        <v>368</v>
      </c>
      <c r="D507" s="2">
        <v>7</v>
      </c>
      <c r="E507" s="2" t="s">
        <v>535</v>
      </c>
    </row>
    <row r="508" spans="1:5" x14ac:dyDescent="0.3">
      <c r="A508" s="2">
        <v>405590</v>
      </c>
      <c r="B508" s="2" t="s">
        <v>740</v>
      </c>
      <c r="C508" s="2" t="s">
        <v>381</v>
      </c>
      <c r="D508" s="2">
        <v>0</v>
      </c>
      <c r="E508" s="2" t="s">
        <v>610</v>
      </c>
    </row>
    <row r="509" spans="1:5" x14ac:dyDescent="0.3">
      <c r="A509" s="2">
        <v>405682</v>
      </c>
      <c r="B509" s="2" t="s">
        <v>3</v>
      </c>
      <c r="C509" s="2" t="s">
        <v>366</v>
      </c>
      <c r="D509" s="2">
        <v>2</v>
      </c>
      <c r="E509" s="2" t="s">
        <v>447</v>
      </c>
    </row>
    <row r="510" spans="1:5" x14ac:dyDescent="0.3">
      <c r="A510" s="2">
        <v>405652</v>
      </c>
      <c r="B510" s="2" t="s">
        <v>75</v>
      </c>
      <c r="C510" s="2" t="s">
        <v>366</v>
      </c>
      <c r="D510" s="2">
        <v>2</v>
      </c>
      <c r="E510" s="2" t="s">
        <v>442</v>
      </c>
    </row>
    <row r="511" spans="1:5" x14ac:dyDescent="0.3">
      <c r="A511" s="2">
        <v>405650</v>
      </c>
      <c r="B511" s="2" t="s">
        <v>206</v>
      </c>
      <c r="C511" s="2" t="s">
        <v>366</v>
      </c>
      <c r="D511" s="2">
        <v>2</v>
      </c>
      <c r="E511" s="2" t="s">
        <v>469</v>
      </c>
    </row>
    <row r="512" spans="1:5" x14ac:dyDescent="0.3">
      <c r="A512" s="2">
        <v>405651</v>
      </c>
      <c r="B512" s="2" t="s">
        <v>228</v>
      </c>
      <c r="C512" s="2" t="s">
        <v>366</v>
      </c>
      <c r="D512" s="2">
        <v>2</v>
      </c>
      <c r="E512" s="2" t="s">
        <v>469</v>
      </c>
    </row>
    <row r="513" spans="1:5" x14ac:dyDescent="0.3">
      <c r="A513" s="2">
        <v>405687</v>
      </c>
      <c r="B513" s="2" t="s">
        <v>81</v>
      </c>
      <c r="C513" s="2" t="s">
        <v>364</v>
      </c>
      <c r="D513" s="2">
        <v>6</v>
      </c>
      <c r="E513" s="2" t="s">
        <v>456</v>
      </c>
    </row>
    <row r="514" spans="1:5" x14ac:dyDescent="0.3">
      <c r="A514" s="2">
        <v>405688</v>
      </c>
      <c r="B514" s="2" t="s">
        <v>84</v>
      </c>
      <c r="C514" s="2" t="s">
        <v>364</v>
      </c>
      <c r="D514" s="2">
        <v>6</v>
      </c>
      <c r="E514" s="2" t="s">
        <v>456</v>
      </c>
    </row>
    <row r="515" spans="1:5" x14ac:dyDescent="0.3">
      <c r="A515" s="2">
        <v>405686</v>
      </c>
      <c r="B515" s="2" t="s">
        <v>89</v>
      </c>
      <c r="C515" s="2" t="s">
        <v>364</v>
      </c>
      <c r="D515" s="2">
        <v>6</v>
      </c>
      <c r="E515" s="2" t="s">
        <v>456</v>
      </c>
    </row>
    <row r="516" spans="1:5" x14ac:dyDescent="0.3">
      <c r="A516" s="2">
        <v>405695</v>
      </c>
      <c r="B516" s="2" t="s">
        <v>741</v>
      </c>
      <c r="C516" s="2" t="s">
        <v>368</v>
      </c>
      <c r="D516" s="2">
        <v>7</v>
      </c>
      <c r="E516" s="2" t="s">
        <v>473</v>
      </c>
    </row>
    <row r="517" spans="1:5" x14ac:dyDescent="0.3">
      <c r="A517" s="2">
        <v>405684</v>
      </c>
      <c r="B517" s="2" t="s">
        <v>742</v>
      </c>
      <c r="C517" s="2" t="s">
        <v>368</v>
      </c>
      <c r="D517" s="2">
        <v>7</v>
      </c>
      <c r="E517" s="2" t="s">
        <v>743</v>
      </c>
    </row>
    <row r="518" spans="1:5" x14ac:dyDescent="0.3">
      <c r="A518" s="2">
        <v>405697</v>
      </c>
      <c r="B518" s="2" t="s">
        <v>744</v>
      </c>
      <c r="C518" s="2" t="s">
        <v>368</v>
      </c>
      <c r="D518" s="2">
        <v>3</v>
      </c>
      <c r="E518" s="2" t="s">
        <v>438</v>
      </c>
    </row>
    <row r="519" spans="1:5" x14ac:dyDescent="0.3">
      <c r="A519" s="2">
        <v>405696</v>
      </c>
      <c r="B519" s="2" t="s">
        <v>18</v>
      </c>
      <c r="C519" s="2" t="s">
        <v>372</v>
      </c>
      <c r="D519" s="2">
        <v>15</v>
      </c>
      <c r="E519" s="2" t="s">
        <v>470</v>
      </c>
    </row>
    <row r="520" spans="1:5" x14ac:dyDescent="0.3">
      <c r="A520" s="2">
        <v>405683</v>
      </c>
      <c r="B520" s="2" t="s">
        <v>240</v>
      </c>
      <c r="C520" s="2" t="s">
        <v>368</v>
      </c>
      <c r="D520" s="2">
        <v>7</v>
      </c>
      <c r="E520" s="2" t="s">
        <v>473</v>
      </c>
    </row>
    <row r="521" spans="1:5" x14ac:dyDescent="0.3">
      <c r="A521" s="2">
        <v>405698</v>
      </c>
      <c r="B521" s="2" t="s">
        <v>85</v>
      </c>
      <c r="C521" s="2" t="s">
        <v>364</v>
      </c>
      <c r="D521" s="2">
        <v>6</v>
      </c>
      <c r="E521" s="2" t="s">
        <v>456</v>
      </c>
    </row>
    <row r="522" spans="1:5" x14ac:dyDescent="0.3">
      <c r="A522" s="2">
        <v>405658</v>
      </c>
      <c r="B522" s="2" t="s">
        <v>360</v>
      </c>
      <c r="C522" s="2" t="s">
        <v>369</v>
      </c>
      <c r="D522" s="2">
        <v>2</v>
      </c>
      <c r="E522" s="2" t="s">
        <v>487</v>
      </c>
    </row>
    <row r="523" spans="1:5" x14ac:dyDescent="0.3">
      <c r="A523" s="2">
        <v>405645</v>
      </c>
      <c r="B523" s="2" t="s">
        <v>745</v>
      </c>
      <c r="C523" s="2" t="s">
        <v>369</v>
      </c>
      <c r="D523" s="2">
        <v>3</v>
      </c>
      <c r="E523" s="2" t="s">
        <v>454</v>
      </c>
    </row>
    <row r="524" spans="1:5" x14ac:dyDescent="0.3">
      <c r="A524" s="2">
        <v>362113</v>
      </c>
      <c r="B524" s="2" t="s">
        <v>746</v>
      </c>
      <c r="C524" s="2" t="s">
        <v>369</v>
      </c>
      <c r="D524" s="2">
        <v>2</v>
      </c>
      <c r="E524" s="2" t="s">
        <v>487</v>
      </c>
    </row>
    <row r="525" spans="1:5" x14ac:dyDescent="0.3">
      <c r="A525" s="2">
        <v>405647</v>
      </c>
      <c r="B525" s="2" t="s">
        <v>747</v>
      </c>
      <c r="C525" s="2" t="s">
        <v>374</v>
      </c>
      <c r="D525" s="2">
        <v>3</v>
      </c>
      <c r="E525" s="2" t="s">
        <v>474</v>
      </c>
    </row>
    <row r="526" spans="1:5" x14ac:dyDescent="0.3">
      <c r="A526" s="2">
        <v>405723</v>
      </c>
      <c r="B526" s="2" t="s">
        <v>204</v>
      </c>
      <c r="C526" s="2" t="s">
        <v>389</v>
      </c>
      <c r="D526" s="2">
        <v>3</v>
      </c>
      <c r="E526" s="2" t="s">
        <v>521</v>
      </c>
    </row>
    <row r="527" spans="1:5" x14ac:dyDescent="0.3">
      <c r="A527" s="2">
        <v>405701</v>
      </c>
      <c r="B527" s="2" t="s">
        <v>164</v>
      </c>
      <c r="C527" s="2" t="s">
        <v>369</v>
      </c>
      <c r="D527" s="2">
        <v>2</v>
      </c>
      <c r="E527" s="2" t="s">
        <v>487</v>
      </c>
    </row>
    <row r="528" spans="1:5" x14ac:dyDescent="0.3">
      <c r="A528" s="2">
        <v>403108</v>
      </c>
      <c r="B528" s="2" t="s">
        <v>280</v>
      </c>
      <c r="C528" s="2" t="s">
        <v>381</v>
      </c>
      <c r="D528" s="2">
        <v>6</v>
      </c>
      <c r="E528" s="2" t="s">
        <v>501</v>
      </c>
    </row>
    <row r="529" spans="1:5" x14ac:dyDescent="0.3">
      <c r="A529" s="2">
        <v>403100</v>
      </c>
      <c r="B529" s="2" t="s">
        <v>282</v>
      </c>
      <c r="C529" s="2" t="s">
        <v>381</v>
      </c>
      <c r="D529" s="2">
        <v>6</v>
      </c>
      <c r="E529" s="2" t="s">
        <v>501</v>
      </c>
    </row>
    <row r="530" spans="1:5" x14ac:dyDescent="0.3">
      <c r="A530" s="2">
        <v>405702</v>
      </c>
      <c r="B530" s="2" t="s">
        <v>174</v>
      </c>
      <c r="C530" s="2" t="s">
        <v>369</v>
      </c>
      <c r="D530" s="2">
        <v>2</v>
      </c>
      <c r="E530" s="2" t="s">
        <v>487</v>
      </c>
    </row>
    <row r="531" spans="1:5" x14ac:dyDescent="0.3">
      <c r="A531" s="2">
        <v>405712</v>
      </c>
      <c r="B531" s="2" t="s">
        <v>77</v>
      </c>
      <c r="C531" s="2" t="s">
        <v>364</v>
      </c>
      <c r="D531" s="2">
        <v>6</v>
      </c>
      <c r="E531" s="2" t="s">
        <v>456</v>
      </c>
    </row>
    <row r="532" spans="1:5" x14ac:dyDescent="0.3">
      <c r="A532" s="2">
        <v>405740</v>
      </c>
      <c r="B532" s="2" t="s">
        <v>61</v>
      </c>
      <c r="C532" s="2" t="s">
        <v>381</v>
      </c>
      <c r="D532" s="2">
        <v>6</v>
      </c>
      <c r="E532" s="2" t="s">
        <v>748</v>
      </c>
    </row>
    <row r="533" spans="1:5" x14ac:dyDescent="0.3">
      <c r="A533" s="2">
        <v>405741</v>
      </c>
      <c r="B533" s="2" t="s">
        <v>281</v>
      </c>
      <c r="C533" s="2" t="s">
        <v>381</v>
      </c>
      <c r="D533" s="2">
        <v>6</v>
      </c>
      <c r="E533" s="2" t="s">
        <v>748</v>
      </c>
    </row>
    <row r="534" spans="1:5" x14ac:dyDescent="0.3">
      <c r="A534" s="2">
        <v>405691</v>
      </c>
      <c r="B534" s="2" t="s">
        <v>749</v>
      </c>
      <c r="C534" s="2" t="s">
        <v>369</v>
      </c>
      <c r="D534" s="2">
        <v>2</v>
      </c>
      <c r="E534" s="2" t="s">
        <v>487</v>
      </c>
    </row>
    <row r="535" spans="1:5" x14ac:dyDescent="0.3">
      <c r="A535" s="2">
        <v>405747</v>
      </c>
      <c r="B535" s="2" t="s">
        <v>31</v>
      </c>
      <c r="C535" s="2" t="s">
        <v>374</v>
      </c>
      <c r="D535" s="2">
        <v>2</v>
      </c>
      <c r="E535" s="2" t="s">
        <v>469</v>
      </c>
    </row>
    <row r="536" spans="1:5" x14ac:dyDescent="0.3">
      <c r="A536" s="2">
        <v>405729</v>
      </c>
      <c r="B536" s="2" t="s">
        <v>750</v>
      </c>
      <c r="C536" s="2" t="s">
        <v>368</v>
      </c>
      <c r="D536" s="2">
        <v>7</v>
      </c>
      <c r="E536" s="2" t="s">
        <v>473</v>
      </c>
    </row>
    <row r="537" spans="1:5" x14ac:dyDescent="0.3">
      <c r="A537" s="2">
        <v>405751</v>
      </c>
      <c r="B537" s="2" t="s">
        <v>751</v>
      </c>
      <c r="C537" s="2" t="s">
        <v>364</v>
      </c>
      <c r="D537" s="2">
        <v>6</v>
      </c>
      <c r="E537" s="2" t="s">
        <v>456</v>
      </c>
    </row>
    <row r="538" spans="1:5" x14ac:dyDescent="0.3">
      <c r="A538" s="2">
        <v>101108</v>
      </c>
      <c r="B538" s="2" t="s">
        <v>152</v>
      </c>
      <c r="C538" s="2" t="s">
        <v>368</v>
      </c>
      <c r="D538" s="2">
        <v>3</v>
      </c>
      <c r="E538" s="2" t="s">
        <v>449</v>
      </c>
    </row>
    <row r="539" spans="1:5" x14ac:dyDescent="0.3">
      <c r="A539" s="2">
        <v>405755</v>
      </c>
      <c r="B539" s="2" t="s">
        <v>752</v>
      </c>
      <c r="C539" s="2" t="s">
        <v>368</v>
      </c>
      <c r="D539" s="2">
        <v>7</v>
      </c>
      <c r="E539" s="2" t="s">
        <v>473</v>
      </c>
    </row>
    <row r="540" spans="1:5" x14ac:dyDescent="0.3">
      <c r="A540" s="2">
        <v>405775</v>
      </c>
      <c r="B540" s="2" t="s">
        <v>753</v>
      </c>
      <c r="C540" s="2" t="s">
        <v>374</v>
      </c>
      <c r="D540" s="2">
        <v>3</v>
      </c>
      <c r="E540" s="2" t="s">
        <v>754</v>
      </c>
    </row>
    <row r="541" spans="1:5" x14ac:dyDescent="0.3">
      <c r="A541" s="2">
        <v>405673</v>
      </c>
      <c r="B541" s="2" t="s">
        <v>47</v>
      </c>
      <c r="C541" s="2" t="s">
        <v>380</v>
      </c>
      <c r="D541" s="2">
        <v>4</v>
      </c>
      <c r="E541" s="2" t="s">
        <v>438</v>
      </c>
    </row>
    <row r="542" spans="1:5" x14ac:dyDescent="0.3">
      <c r="A542" s="2">
        <v>170183</v>
      </c>
      <c r="B542" s="2" t="s">
        <v>40</v>
      </c>
      <c r="C542" s="2" t="s">
        <v>380</v>
      </c>
      <c r="D542" s="2">
        <v>4</v>
      </c>
      <c r="E542" s="2" t="s">
        <v>438</v>
      </c>
    </row>
    <row r="543" spans="1:5" x14ac:dyDescent="0.3">
      <c r="A543" s="2">
        <v>405787</v>
      </c>
      <c r="B543" s="2" t="s">
        <v>83</v>
      </c>
      <c r="C543" s="2" t="s">
        <v>364</v>
      </c>
      <c r="D543" s="2">
        <v>6</v>
      </c>
      <c r="E543" s="2" t="s">
        <v>456</v>
      </c>
    </row>
    <row r="544" spans="1:5" x14ac:dyDescent="0.3">
      <c r="A544" s="2">
        <v>405749</v>
      </c>
      <c r="B544" s="2" t="s">
        <v>21</v>
      </c>
      <c r="C544" s="2" t="s">
        <v>368</v>
      </c>
      <c r="D544" s="2">
        <v>3</v>
      </c>
      <c r="E544" s="2" t="s">
        <v>441</v>
      </c>
    </row>
    <row r="545" spans="1:5" x14ac:dyDescent="0.3">
      <c r="A545" s="2">
        <v>405304</v>
      </c>
      <c r="B545" s="2" t="s">
        <v>267</v>
      </c>
      <c r="C545" s="2" t="s">
        <v>395</v>
      </c>
      <c r="D545" s="2">
        <v>4</v>
      </c>
      <c r="E545" s="2" t="s">
        <v>629</v>
      </c>
    </row>
    <row r="546" spans="1:5" x14ac:dyDescent="0.3">
      <c r="A546" s="2">
        <v>405399</v>
      </c>
      <c r="B546" s="2" t="s">
        <v>755</v>
      </c>
      <c r="C546" s="2" t="s">
        <v>371</v>
      </c>
      <c r="D546" s="2">
        <v>2</v>
      </c>
      <c r="E546" s="2" t="s">
        <v>535</v>
      </c>
    </row>
    <row r="547" spans="1:5" x14ac:dyDescent="0.3">
      <c r="A547" s="2">
        <v>405402</v>
      </c>
      <c r="B547" s="2" t="s">
        <v>756</v>
      </c>
      <c r="C547" s="2" t="s">
        <v>364</v>
      </c>
      <c r="D547" s="2">
        <v>6</v>
      </c>
      <c r="E547" s="2" t="s">
        <v>456</v>
      </c>
    </row>
    <row r="548" spans="1:5" x14ac:dyDescent="0.3">
      <c r="A548" s="2">
        <v>405398</v>
      </c>
      <c r="B548" s="2" t="s">
        <v>757</v>
      </c>
      <c r="C548" s="2" t="s">
        <v>376</v>
      </c>
      <c r="D548" s="2">
        <v>3</v>
      </c>
      <c r="E548" s="2" t="s">
        <v>485</v>
      </c>
    </row>
    <row r="549" spans="1:5" x14ac:dyDescent="0.3">
      <c r="A549" s="2">
        <v>405422</v>
      </c>
      <c r="B549" s="2" t="s">
        <v>346</v>
      </c>
      <c r="C549" s="2" t="s">
        <v>381</v>
      </c>
      <c r="D549" s="2">
        <v>2</v>
      </c>
      <c r="E549" s="2" t="s">
        <v>465</v>
      </c>
    </row>
    <row r="550" spans="1:5" x14ac:dyDescent="0.3">
      <c r="A550" s="2">
        <v>107225</v>
      </c>
      <c r="B550" s="2" t="s">
        <v>758</v>
      </c>
      <c r="C550" s="2" t="s">
        <v>366</v>
      </c>
      <c r="D550" s="2">
        <v>3</v>
      </c>
      <c r="E550" s="2" t="s">
        <v>759</v>
      </c>
    </row>
    <row r="551" spans="1:5" x14ac:dyDescent="0.3">
      <c r="A551" s="2">
        <v>107406</v>
      </c>
      <c r="B551" s="2" t="s">
        <v>760</v>
      </c>
      <c r="C551" s="2" t="s">
        <v>368</v>
      </c>
      <c r="D551" s="2">
        <v>6</v>
      </c>
      <c r="E551" s="2" t="s">
        <v>523</v>
      </c>
    </row>
    <row r="552" spans="1:5" x14ac:dyDescent="0.3">
      <c r="A552" s="2">
        <v>402131</v>
      </c>
      <c r="B552" s="2" t="s">
        <v>761</v>
      </c>
      <c r="C552" s="2" t="s">
        <v>385</v>
      </c>
      <c r="D552" s="2">
        <v>3</v>
      </c>
      <c r="E552" s="2" t="s">
        <v>743</v>
      </c>
    </row>
    <row r="553" spans="1:5" x14ac:dyDescent="0.3">
      <c r="A553" s="2">
        <v>405421</v>
      </c>
      <c r="B553" s="2" t="s">
        <v>762</v>
      </c>
      <c r="C553" s="2" t="s">
        <v>395</v>
      </c>
      <c r="D553" s="2">
        <v>3</v>
      </c>
      <c r="E553" s="2" t="s">
        <v>665</v>
      </c>
    </row>
    <row r="554" spans="1:5" x14ac:dyDescent="0.3">
      <c r="A554" s="2">
        <v>107402</v>
      </c>
      <c r="B554" s="2" t="s">
        <v>763</v>
      </c>
      <c r="C554" s="2" t="s">
        <v>365</v>
      </c>
      <c r="D554" s="2">
        <v>3</v>
      </c>
      <c r="E554" s="2" t="s">
        <v>610</v>
      </c>
    </row>
    <row r="555" spans="1:5" x14ac:dyDescent="0.3">
      <c r="A555" s="2">
        <v>100200</v>
      </c>
      <c r="B555" s="2" t="s">
        <v>345</v>
      </c>
      <c r="C555" s="2" t="s">
        <v>387</v>
      </c>
      <c r="D555" s="2">
        <v>3</v>
      </c>
      <c r="E555" s="2" t="s">
        <v>452</v>
      </c>
    </row>
    <row r="556" spans="1:5" x14ac:dyDescent="0.3">
      <c r="A556" s="2">
        <v>107407</v>
      </c>
      <c r="B556" s="2" t="s">
        <v>764</v>
      </c>
      <c r="C556" s="2" t="s">
        <v>364</v>
      </c>
      <c r="D556" s="2">
        <v>6</v>
      </c>
      <c r="E556" s="2" t="s">
        <v>456</v>
      </c>
    </row>
    <row r="557" spans="1:5" x14ac:dyDescent="0.3">
      <c r="A557" s="2">
        <v>107408</v>
      </c>
      <c r="B557" s="2" t="s">
        <v>318</v>
      </c>
      <c r="C557" s="2" t="s">
        <v>364</v>
      </c>
      <c r="D557" s="2">
        <v>6</v>
      </c>
      <c r="E557" s="2" t="s">
        <v>456</v>
      </c>
    </row>
    <row r="558" spans="1:5" x14ac:dyDescent="0.3">
      <c r="A558" s="2">
        <v>107409</v>
      </c>
      <c r="B558" s="2" t="s">
        <v>765</v>
      </c>
      <c r="C558" s="2" t="s">
        <v>364</v>
      </c>
      <c r="D558" s="2">
        <v>6</v>
      </c>
      <c r="E558" s="2" t="s">
        <v>456</v>
      </c>
    </row>
    <row r="559" spans="1:5" x14ac:dyDescent="0.3">
      <c r="A559" s="2">
        <v>107410</v>
      </c>
      <c r="B559" s="2" t="s">
        <v>766</v>
      </c>
      <c r="C559" s="2" t="s">
        <v>364</v>
      </c>
      <c r="D559" s="2">
        <v>6</v>
      </c>
      <c r="E559" s="2" t="s">
        <v>456</v>
      </c>
    </row>
    <row r="560" spans="1:5" x14ac:dyDescent="0.3">
      <c r="A560" s="2">
        <v>107411</v>
      </c>
      <c r="B560" s="2" t="s">
        <v>767</v>
      </c>
      <c r="C560" s="2" t="s">
        <v>364</v>
      </c>
      <c r="D560" s="2">
        <v>6</v>
      </c>
      <c r="E560" s="2" t="s">
        <v>456</v>
      </c>
    </row>
    <row r="561" spans="1:5" x14ac:dyDescent="0.3">
      <c r="A561" s="2">
        <v>107412</v>
      </c>
      <c r="B561" s="2" t="s">
        <v>768</v>
      </c>
      <c r="C561" s="2" t="s">
        <v>364</v>
      </c>
      <c r="D561" s="2">
        <v>6</v>
      </c>
      <c r="E561" s="2" t="s">
        <v>456</v>
      </c>
    </row>
    <row r="562" spans="1:5" x14ac:dyDescent="0.3">
      <c r="A562" s="2">
        <v>107413</v>
      </c>
      <c r="B562" s="2" t="s">
        <v>769</v>
      </c>
      <c r="C562" s="2" t="s">
        <v>364</v>
      </c>
      <c r="D562" s="2">
        <v>6</v>
      </c>
      <c r="E562" s="2" t="s">
        <v>456</v>
      </c>
    </row>
    <row r="563" spans="1:5" x14ac:dyDescent="0.3">
      <c r="A563" s="2">
        <v>107414</v>
      </c>
      <c r="B563" s="2" t="s">
        <v>770</v>
      </c>
      <c r="C563" s="2" t="s">
        <v>364</v>
      </c>
      <c r="D563" s="2">
        <v>6</v>
      </c>
      <c r="E563" s="2" t="s">
        <v>456</v>
      </c>
    </row>
    <row r="564" spans="1:5" x14ac:dyDescent="0.3">
      <c r="A564" s="2">
        <v>405479</v>
      </c>
      <c r="B564" s="2" t="s">
        <v>308</v>
      </c>
      <c r="C564" s="2" t="s">
        <v>364</v>
      </c>
      <c r="D564" s="2">
        <v>6</v>
      </c>
      <c r="E564" s="2" t="s">
        <v>456</v>
      </c>
    </row>
    <row r="565" spans="1:5" x14ac:dyDescent="0.3">
      <c r="A565" s="2">
        <v>107343</v>
      </c>
      <c r="B565" s="2" t="s">
        <v>771</v>
      </c>
      <c r="C565" s="2" t="s">
        <v>378</v>
      </c>
      <c r="D565" s="2">
        <v>3</v>
      </c>
      <c r="E565" s="2" t="s">
        <v>772</v>
      </c>
    </row>
    <row r="566" spans="1:5" x14ac:dyDescent="0.3">
      <c r="A566" s="2">
        <v>107400</v>
      </c>
      <c r="B566" s="2" t="s">
        <v>773</v>
      </c>
      <c r="C566" s="2" t="s">
        <v>382</v>
      </c>
      <c r="D566" s="2">
        <v>3</v>
      </c>
      <c r="E566" s="2" t="s">
        <v>774</v>
      </c>
    </row>
    <row r="567" spans="1:5" x14ac:dyDescent="0.3">
      <c r="A567" s="2">
        <v>107418</v>
      </c>
      <c r="B567" s="2" t="s">
        <v>775</v>
      </c>
      <c r="C567" s="2" t="s">
        <v>364</v>
      </c>
      <c r="D567" s="2">
        <v>6</v>
      </c>
      <c r="E567" s="2" t="s">
        <v>456</v>
      </c>
    </row>
    <row r="568" spans="1:5" x14ac:dyDescent="0.3">
      <c r="A568" s="2">
        <v>107419</v>
      </c>
      <c r="B568" s="2" t="s">
        <v>776</v>
      </c>
      <c r="C568" s="2" t="s">
        <v>364</v>
      </c>
      <c r="D568" s="2">
        <v>6</v>
      </c>
      <c r="E568" s="2" t="s">
        <v>456</v>
      </c>
    </row>
    <row r="569" spans="1:5" x14ac:dyDescent="0.3">
      <c r="A569" s="2">
        <v>405491</v>
      </c>
      <c r="B569" s="2" t="s">
        <v>319</v>
      </c>
      <c r="C569" s="2" t="s">
        <v>371</v>
      </c>
      <c r="D569" s="2">
        <v>2</v>
      </c>
      <c r="E569" s="2" t="s">
        <v>445</v>
      </c>
    </row>
    <row r="570" spans="1:5" x14ac:dyDescent="0.3">
      <c r="A570" s="2">
        <v>405499</v>
      </c>
      <c r="B570" s="2" t="s">
        <v>777</v>
      </c>
      <c r="C570" s="2" t="s">
        <v>391</v>
      </c>
      <c r="D570" s="2">
        <v>4</v>
      </c>
      <c r="E570" s="2" t="s">
        <v>448</v>
      </c>
    </row>
    <row r="571" spans="1:5" x14ac:dyDescent="0.3">
      <c r="A571" s="2">
        <v>403208</v>
      </c>
      <c r="B571" s="2" t="s">
        <v>778</v>
      </c>
      <c r="C571" s="2" t="s">
        <v>365</v>
      </c>
      <c r="D571" s="2">
        <v>3</v>
      </c>
      <c r="E571" s="2" t="s">
        <v>476</v>
      </c>
    </row>
    <row r="572" spans="1:5" x14ac:dyDescent="0.3">
      <c r="A572" s="2">
        <v>405379</v>
      </c>
      <c r="B572" s="2" t="s">
        <v>779</v>
      </c>
      <c r="C572" s="2" t="s">
        <v>371</v>
      </c>
      <c r="D572" s="2">
        <v>2</v>
      </c>
      <c r="E572" s="2" t="s">
        <v>441</v>
      </c>
    </row>
    <row r="573" spans="1:5" x14ac:dyDescent="0.3">
      <c r="A573" s="2">
        <v>107295</v>
      </c>
      <c r="B573" s="2" t="s">
        <v>780</v>
      </c>
      <c r="C573" s="2" t="s">
        <v>371</v>
      </c>
      <c r="D573" s="2">
        <v>2</v>
      </c>
      <c r="E573" s="2" t="s">
        <v>445</v>
      </c>
    </row>
    <row r="574" spans="1:5" x14ac:dyDescent="0.3">
      <c r="A574" s="2">
        <v>107296</v>
      </c>
      <c r="B574" s="2" t="s">
        <v>781</v>
      </c>
      <c r="C574" s="2" t="s">
        <v>368</v>
      </c>
      <c r="D574" s="2">
        <v>6</v>
      </c>
      <c r="E574" s="2" t="s">
        <v>473</v>
      </c>
    </row>
    <row r="575" spans="1:5" x14ac:dyDescent="0.3">
      <c r="A575" s="2">
        <v>403249</v>
      </c>
      <c r="B575" s="2" t="s">
        <v>782</v>
      </c>
      <c r="C575" s="2" t="s">
        <v>365</v>
      </c>
      <c r="D575" s="2">
        <v>2</v>
      </c>
      <c r="E575" s="2" t="s">
        <v>573</v>
      </c>
    </row>
    <row r="576" spans="1:5" x14ac:dyDescent="0.3">
      <c r="A576" s="2">
        <v>170178</v>
      </c>
      <c r="B576" s="2" t="s">
        <v>783</v>
      </c>
      <c r="C576" s="2" t="s">
        <v>387</v>
      </c>
      <c r="D576" s="2">
        <v>4</v>
      </c>
      <c r="E576" s="2" t="s">
        <v>438</v>
      </c>
    </row>
    <row r="577" spans="1:5" x14ac:dyDescent="0.3">
      <c r="A577" s="2">
        <v>107417</v>
      </c>
      <c r="B577" s="2" t="s">
        <v>269</v>
      </c>
      <c r="C577" s="2" t="s">
        <v>379</v>
      </c>
      <c r="D577" s="2">
        <v>3</v>
      </c>
      <c r="E577" s="2" t="s">
        <v>620</v>
      </c>
    </row>
    <row r="578" spans="1:5" x14ac:dyDescent="0.3">
      <c r="A578" s="2">
        <v>405500</v>
      </c>
      <c r="B578" s="2" t="s">
        <v>784</v>
      </c>
      <c r="C578" s="2" t="s">
        <v>373</v>
      </c>
      <c r="D578" s="2">
        <v>3</v>
      </c>
      <c r="E578" s="2" t="s">
        <v>469</v>
      </c>
    </row>
    <row r="579" spans="1:5" x14ac:dyDescent="0.3">
      <c r="A579" s="2">
        <v>107416</v>
      </c>
      <c r="B579" s="2" t="s">
        <v>785</v>
      </c>
      <c r="C579" s="2" t="s">
        <v>387</v>
      </c>
      <c r="D579" s="2">
        <v>3</v>
      </c>
      <c r="E579" s="2" t="s">
        <v>452</v>
      </c>
    </row>
    <row r="580" spans="1:5" x14ac:dyDescent="0.3">
      <c r="A580" s="2">
        <v>100206</v>
      </c>
      <c r="B580" s="2" t="s">
        <v>786</v>
      </c>
      <c r="C580" s="2" t="s">
        <v>387</v>
      </c>
      <c r="D580" s="2">
        <v>3</v>
      </c>
      <c r="E580" s="2" t="s">
        <v>452</v>
      </c>
    </row>
    <row r="581" spans="1:5" x14ac:dyDescent="0.3">
      <c r="A581" s="2">
        <v>405524</v>
      </c>
      <c r="B581" s="2" t="s">
        <v>270</v>
      </c>
      <c r="C581" s="2" t="s">
        <v>371</v>
      </c>
      <c r="D581" s="2">
        <v>4</v>
      </c>
      <c r="E581" s="2" t="s">
        <v>438</v>
      </c>
    </row>
    <row r="582" spans="1:5" x14ac:dyDescent="0.3">
      <c r="A582" s="2">
        <v>107313</v>
      </c>
      <c r="B582" s="2" t="s">
        <v>787</v>
      </c>
      <c r="C582" s="2" t="s">
        <v>373</v>
      </c>
      <c r="D582" s="2">
        <v>3</v>
      </c>
      <c r="E582" s="2" t="s">
        <v>469</v>
      </c>
    </row>
    <row r="583" spans="1:5" x14ac:dyDescent="0.3">
      <c r="A583" s="2">
        <v>404749</v>
      </c>
      <c r="B583" s="2" t="s">
        <v>788</v>
      </c>
      <c r="C583" s="2" t="s">
        <v>364</v>
      </c>
      <c r="D583" s="2">
        <v>6</v>
      </c>
      <c r="E583" s="2" t="s">
        <v>456</v>
      </c>
    </row>
    <row r="584" spans="1:5" x14ac:dyDescent="0.3">
      <c r="A584" s="2">
        <v>107291</v>
      </c>
      <c r="B584" s="2" t="s">
        <v>789</v>
      </c>
      <c r="C584" s="2" t="s">
        <v>364</v>
      </c>
      <c r="D584" s="2">
        <v>6</v>
      </c>
      <c r="E584" s="2" t="s">
        <v>456</v>
      </c>
    </row>
    <row r="585" spans="1:5" x14ac:dyDescent="0.3">
      <c r="A585" s="2">
        <v>402135</v>
      </c>
      <c r="B585" s="2" t="s">
        <v>790</v>
      </c>
      <c r="C585" s="2" t="s">
        <v>395</v>
      </c>
      <c r="D585" s="2">
        <v>3</v>
      </c>
      <c r="E585" s="2" t="s">
        <v>665</v>
      </c>
    </row>
    <row r="586" spans="1:5" x14ac:dyDescent="0.3">
      <c r="A586" s="2">
        <v>107221</v>
      </c>
      <c r="B586" s="2" t="s">
        <v>791</v>
      </c>
      <c r="C586" s="2" t="s">
        <v>368</v>
      </c>
      <c r="D586" s="2">
        <v>6</v>
      </c>
      <c r="E586" s="2" t="s">
        <v>523</v>
      </c>
    </row>
    <row r="587" spans="1:5" x14ac:dyDescent="0.3">
      <c r="A587" s="2">
        <v>405335</v>
      </c>
      <c r="B587" s="2" t="s">
        <v>358</v>
      </c>
      <c r="C587" s="2" t="s">
        <v>384</v>
      </c>
      <c r="D587" s="2">
        <v>3</v>
      </c>
      <c r="E587" s="2" t="s">
        <v>604</v>
      </c>
    </row>
    <row r="588" spans="1:5" x14ac:dyDescent="0.3">
      <c r="A588" s="2">
        <v>405496</v>
      </c>
      <c r="B588" s="2" t="s">
        <v>792</v>
      </c>
      <c r="C588" s="2" t="s">
        <v>364</v>
      </c>
      <c r="D588" s="2">
        <v>6</v>
      </c>
      <c r="E588" s="2" t="s">
        <v>456</v>
      </c>
    </row>
    <row r="589" spans="1:5" x14ac:dyDescent="0.3">
      <c r="A589" s="2">
        <v>405493</v>
      </c>
      <c r="B589" s="2" t="s">
        <v>313</v>
      </c>
      <c r="C589" s="2" t="s">
        <v>364</v>
      </c>
      <c r="D589" s="2">
        <v>6</v>
      </c>
      <c r="E589" s="2" t="s">
        <v>456</v>
      </c>
    </row>
    <row r="590" spans="1:5" x14ac:dyDescent="0.3">
      <c r="A590" s="2">
        <v>405494</v>
      </c>
      <c r="B590" s="2" t="s">
        <v>314</v>
      </c>
      <c r="C590" s="2" t="s">
        <v>364</v>
      </c>
      <c r="D590" s="2">
        <v>6</v>
      </c>
      <c r="E590" s="2" t="s">
        <v>456</v>
      </c>
    </row>
    <row r="591" spans="1:5" x14ac:dyDescent="0.3">
      <c r="A591" s="2">
        <v>405497</v>
      </c>
      <c r="B591" s="2" t="s">
        <v>315</v>
      </c>
      <c r="C591" s="2" t="s">
        <v>364</v>
      </c>
      <c r="D591" s="2">
        <v>6</v>
      </c>
      <c r="E591" s="2" t="s">
        <v>456</v>
      </c>
    </row>
    <row r="592" spans="1:5" x14ac:dyDescent="0.3">
      <c r="A592" s="2">
        <v>405495</v>
      </c>
      <c r="B592" s="2" t="s">
        <v>316</v>
      </c>
      <c r="C592" s="2" t="s">
        <v>364</v>
      </c>
      <c r="D592" s="2">
        <v>6</v>
      </c>
      <c r="E592" s="2" t="s">
        <v>456</v>
      </c>
    </row>
    <row r="593" spans="1:5" x14ac:dyDescent="0.3">
      <c r="A593" s="2">
        <v>405498</v>
      </c>
      <c r="B593" s="2" t="s">
        <v>317</v>
      </c>
      <c r="C593" s="2" t="s">
        <v>364</v>
      </c>
      <c r="D593" s="2">
        <v>6</v>
      </c>
      <c r="E593" s="2" t="s">
        <v>456</v>
      </c>
    </row>
    <row r="594" spans="1:5" x14ac:dyDescent="0.3">
      <c r="A594" s="2">
        <v>405528</v>
      </c>
      <c r="B594" s="2" t="s">
        <v>793</v>
      </c>
      <c r="C594" s="2" t="s">
        <v>392</v>
      </c>
      <c r="D594" s="2">
        <v>3</v>
      </c>
      <c r="E594" s="2" t="s">
        <v>452</v>
      </c>
    </row>
    <row r="595" spans="1:5" x14ac:dyDescent="0.3">
      <c r="A595" s="2">
        <v>403383</v>
      </c>
      <c r="B595" s="2" t="s">
        <v>794</v>
      </c>
      <c r="C595" s="2" t="s">
        <v>381</v>
      </c>
      <c r="D595" s="2">
        <v>3</v>
      </c>
      <c r="E595" s="2" t="s">
        <v>638</v>
      </c>
    </row>
    <row r="596" spans="1:5" x14ac:dyDescent="0.3">
      <c r="A596" s="2">
        <v>107314</v>
      </c>
      <c r="B596" s="2" t="s">
        <v>795</v>
      </c>
      <c r="C596" s="2" t="s">
        <v>373</v>
      </c>
      <c r="D596" s="2">
        <v>3</v>
      </c>
      <c r="E596" s="2" t="s">
        <v>469</v>
      </c>
    </row>
    <row r="597" spans="1:5" x14ac:dyDescent="0.3">
      <c r="A597" s="2">
        <v>107152</v>
      </c>
      <c r="B597" s="2" t="s">
        <v>796</v>
      </c>
      <c r="C597" s="2" t="s">
        <v>366</v>
      </c>
      <c r="D597" s="2">
        <v>2</v>
      </c>
      <c r="E597" s="2" t="s">
        <v>797</v>
      </c>
    </row>
    <row r="598" spans="1:5" x14ac:dyDescent="0.3">
      <c r="A598" s="2">
        <v>405563</v>
      </c>
      <c r="B598" s="2" t="s">
        <v>798</v>
      </c>
      <c r="C598" s="2" t="s">
        <v>387</v>
      </c>
      <c r="D598" s="2">
        <v>3</v>
      </c>
      <c r="E598" s="2" t="s">
        <v>799</v>
      </c>
    </row>
    <row r="599" spans="1:5" x14ac:dyDescent="0.3">
      <c r="A599" s="2">
        <v>405562</v>
      </c>
      <c r="B599" s="2" t="s">
        <v>800</v>
      </c>
      <c r="C599" s="2" t="s">
        <v>387</v>
      </c>
      <c r="D599" s="2">
        <v>4</v>
      </c>
      <c r="E599" s="2" t="s">
        <v>438</v>
      </c>
    </row>
    <row r="600" spans="1:5" x14ac:dyDescent="0.3">
      <c r="A600" s="2">
        <v>405572</v>
      </c>
      <c r="B600" s="2" t="s">
        <v>801</v>
      </c>
      <c r="C600" s="2" t="s">
        <v>364</v>
      </c>
      <c r="D600" s="2">
        <v>6</v>
      </c>
      <c r="E600" s="2" t="s">
        <v>456</v>
      </c>
    </row>
    <row r="601" spans="1:5" x14ac:dyDescent="0.3">
      <c r="A601" s="2">
        <v>405571</v>
      </c>
      <c r="B601" s="2" t="s">
        <v>802</v>
      </c>
      <c r="C601" s="2" t="s">
        <v>364</v>
      </c>
      <c r="D601" s="2">
        <v>6</v>
      </c>
      <c r="E601" s="2" t="s">
        <v>456</v>
      </c>
    </row>
    <row r="602" spans="1:5" x14ac:dyDescent="0.3">
      <c r="A602" s="2">
        <v>405573</v>
      </c>
      <c r="B602" s="2" t="s">
        <v>803</v>
      </c>
      <c r="C602" s="2" t="s">
        <v>387</v>
      </c>
      <c r="D602" s="2">
        <v>4</v>
      </c>
      <c r="E602" s="2" t="s">
        <v>438</v>
      </c>
    </row>
    <row r="603" spans="1:5" x14ac:dyDescent="0.3">
      <c r="A603" s="2">
        <v>405558</v>
      </c>
      <c r="B603" s="2" t="s">
        <v>355</v>
      </c>
      <c r="C603" s="2" t="s">
        <v>371</v>
      </c>
      <c r="D603" s="2">
        <v>3</v>
      </c>
      <c r="E603" s="2" t="s">
        <v>620</v>
      </c>
    </row>
    <row r="604" spans="1:5" x14ac:dyDescent="0.3">
      <c r="A604" s="2">
        <v>405612</v>
      </c>
      <c r="B604" s="2" t="s">
        <v>357</v>
      </c>
      <c r="C604" s="2" t="s">
        <v>371</v>
      </c>
      <c r="D604" s="2">
        <v>4</v>
      </c>
      <c r="E604" s="2" t="s">
        <v>438</v>
      </c>
    </row>
    <row r="605" spans="1:5" x14ac:dyDescent="0.3">
      <c r="A605" s="2">
        <v>405227</v>
      </c>
      <c r="B605" s="2" t="s">
        <v>804</v>
      </c>
      <c r="C605" s="2" t="s">
        <v>365</v>
      </c>
      <c r="D605" s="2">
        <v>2</v>
      </c>
      <c r="E605" s="2" t="s">
        <v>647</v>
      </c>
    </row>
    <row r="606" spans="1:5" x14ac:dyDescent="0.3">
      <c r="A606" s="2">
        <v>405564</v>
      </c>
      <c r="B606" s="2" t="s">
        <v>805</v>
      </c>
      <c r="C606" s="2" t="s">
        <v>392</v>
      </c>
      <c r="D606" s="2">
        <v>3</v>
      </c>
      <c r="E606" s="2" t="s">
        <v>799</v>
      </c>
    </row>
    <row r="607" spans="1:5" x14ac:dyDescent="0.3">
      <c r="A607" s="2">
        <v>405635</v>
      </c>
      <c r="B607" s="2" t="s">
        <v>806</v>
      </c>
      <c r="C607" s="2" t="s">
        <v>365</v>
      </c>
      <c r="D607" s="2">
        <v>3</v>
      </c>
      <c r="E607" s="2" t="s">
        <v>638</v>
      </c>
    </row>
    <row r="608" spans="1:5" x14ac:dyDescent="0.3">
      <c r="A608" s="2">
        <v>405593</v>
      </c>
      <c r="B608" s="2" t="s">
        <v>327</v>
      </c>
      <c r="C608" s="2" t="s">
        <v>389</v>
      </c>
      <c r="D608" s="2">
        <v>3</v>
      </c>
      <c r="E608" s="2" t="s">
        <v>807</v>
      </c>
    </row>
    <row r="609" spans="1:5" x14ac:dyDescent="0.3">
      <c r="A609" s="2">
        <v>405685</v>
      </c>
      <c r="B609" s="2" t="s">
        <v>808</v>
      </c>
      <c r="C609" s="2" t="s">
        <v>420</v>
      </c>
      <c r="D609" s="2">
        <v>2</v>
      </c>
      <c r="E609" s="2" t="s">
        <v>564</v>
      </c>
    </row>
    <row r="610" spans="1:5" x14ac:dyDescent="0.3">
      <c r="A610" s="2">
        <v>362073</v>
      </c>
      <c r="B610" s="2" t="s">
        <v>809</v>
      </c>
      <c r="C610" s="2" t="s">
        <v>369</v>
      </c>
      <c r="D610" s="2">
        <v>2</v>
      </c>
      <c r="E610" s="2" t="s">
        <v>487</v>
      </c>
    </row>
    <row r="611" spans="1:5" x14ac:dyDescent="0.3">
      <c r="A611" s="2">
        <v>405594</v>
      </c>
      <c r="B611" s="2" t="s">
        <v>277</v>
      </c>
      <c r="C611" s="2" t="s">
        <v>365</v>
      </c>
      <c r="D611" s="2">
        <v>2</v>
      </c>
      <c r="E611" s="2" t="s">
        <v>573</v>
      </c>
    </row>
    <row r="612" spans="1:5" x14ac:dyDescent="0.3">
      <c r="A612" s="2">
        <v>403375</v>
      </c>
      <c r="B612" s="2" t="s">
        <v>810</v>
      </c>
      <c r="C612" s="2" t="s">
        <v>381</v>
      </c>
      <c r="D612" s="2">
        <v>15</v>
      </c>
      <c r="E612" s="2" t="s">
        <v>569</v>
      </c>
    </row>
    <row r="613" spans="1:5" x14ac:dyDescent="0.3">
      <c r="A613" s="2">
        <v>103105</v>
      </c>
      <c r="B613" s="2" t="s">
        <v>811</v>
      </c>
      <c r="C613" s="2" t="s">
        <v>394</v>
      </c>
      <c r="D613" s="2">
        <v>2</v>
      </c>
      <c r="E613" s="2" t="s">
        <v>442</v>
      </c>
    </row>
    <row r="614" spans="1:5" x14ac:dyDescent="0.3">
      <c r="A614" s="2">
        <v>405671</v>
      </c>
      <c r="B614" s="2" t="s">
        <v>812</v>
      </c>
      <c r="C614" s="2" t="s">
        <v>364</v>
      </c>
      <c r="D614" s="2">
        <v>6</v>
      </c>
      <c r="E614" s="2" t="s">
        <v>456</v>
      </c>
    </row>
    <row r="615" spans="1:5" x14ac:dyDescent="0.3">
      <c r="A615" s="2">
        <v>405721</v>
      </c>
      <c r="B615" s="2" t="s">
        <v>309</v>
      </c>
      <c r="C615" s="2" t="s">
        <v>364</v>
      </c>
      <c r="D615" s="2">
        <v>6</v>
      </c>
      <c r="E615" s="2" t="s">
        <v>456</v>
      </c>
    </row>
    <row r="616" spans="1:5" x14ac:dyDescent="0.3">
      <c r="A616" s="2">
        <v>405717</v>
      </c>
      <c r="B616" s="2" t="s">
        <v>302</v>
      </c>
      <c r="C616" s="2" t="s">
        <v>364</v>
      </c>
      <c r="D616" s="2">
        <v>6</v>
      </c>
      <c r="E616" s="2" t="s">
        <v>456</v>
      </c>
    </row>
    <row r="617" spans="1:5" x14ac:dyDescent="0.3">
      <c r="A617" s="2">
        <v>405709</v>
      </c>
      <c r="B617" s="2" t="s">
        <v>298</v>
      </c>
      <c r="C617" s="2" t="s">
        <v>364</v>
      </c>
      <c r="D617" s="2">
        <v>6</v>
      </c>
      <c r="E617" s="2" t="s">
        <v>456</v>
      </c>
    </row>
    <row r="618" spans="1:5" x14ac:dyDescent="0.3">
      <c r="A618" s="2">
        <v>405720</v>
      </c>
      <c r="B618" s="2" t="s">
        <v>285</v>
      </c>
      <c r="C618" s="2" t="s">
        <v>364</v>
      </c>
      <c r="D618" s="2">
        <v>6</v>
      </c>
      <c r="E618" s="2" t="s">
        <v>456</v>
      </c>
    </row>
    <row r="619" spans="1:5" x14ac:dyDescent="0.3">
      <c r="A619" s="2">
        <v>405714</v>
      </c>
      <c r="B619" s="2" t="s">
        <v>303</v>
      </c>
      <c r="C619" s="2" t="s">
        <v>364</v>
      </c>
      <c r="D619" s="2">
        <v>6</v>
      </c>
      <c r="E619" s="2" t="s">
        <v>456</v>
      </c>
    </row>
    <row r="620" spans="1:5" x14ac:dyDescent="0.3">
      <c r="A620" s="2">
        <v>405713</v>
      </c>
      <c r="B620" s="2" t="s">
        <v>296</v>
      </c>
      <c r="C620" s="2" t="s">
        <v>364</v>
      </c>
      <c r="D620" s="2">
        <v>6</v>
      </c>
      <c r="E620" s="2" t="s">
        <v>456</v>
      </c>
    </row>
    <row r="621" spans="1:5" x14ac:dyDescent="0.3">
      <c r="A621" s="2">
        <v>405718</v>
      </c>
      <c r="B621" s="2" t="s">
        <v>292</v>
      </c>
      <c r="C621" s="2" t="s">
        <v>364</v>
      </c>
      <c r="D621" s="2">
        <v>6</v>
      </c>
      <c r="E621" s="2" t="s">
        <v>456</v>
      </c>
    </row>
    <row r="622" spans="1:5" x14ac:dyDescent="0.3">
      <c r="A622" s="2">
        <v>405730</v>
      </c>
      <c r="B622" s="2" t="s">
        <v>350</v>
      </c>
      <c r="C622" s="2" t="s">
        <v>368</v>
      </c>
      <c r="D622" s="2">
        <v>6</v>
      </c>
      <c r="E622" s="2" t="s">
        <v>473</v>
      </c>
    </row>
    <row r="623" spans="1:5" x14ac:dyDescent="0.3">
      <c r="A623" s="2">
        <v>107317</v>
      </c>
      <c r="B623" s="2" t="s">
        <v>272</v>
      </c>
      <c r="C623" s="2" t="s">
        <v>385</v>
      </c>
      <c r="D623" s="2">
        <v>3</v>
      </c>
      <c r="E623" s="2" t="s">
        <v>497</v>
      </c>
    </row>
    <row r="624" spans="1:5" x14ac:dyDescent="0.3">
      <c r="A624" s="2">
        <v>405728</v>
      </c>
      <c r="B624" s="2" t="s">
        <v>266</v>
      </c>
      <c r="C624" s="2" t="s">
        <v>368</v>
      </c>
      <c r="D624" s="2">
        <v>6</v>
      </c>
      <c r="E624" s="2" t="s">
        <v>473</v>
      </c>
    </row>
    <row r="625" spans="1:5" x14ac:dyDescent="0.3">
      <c r="A625" s="2">
        <v>405722</v>
      </c>
      <c r="B625" s="2" t="s">
        <v>310</v>
      </c>
      <c r="C625" s="2" t="s">
        <v>364</v>
      </c>
      <c r="D625" s="2">
        <v>6</v>
      </c>
      <c r="E625" s="2" t="s">
        <v>456</v>
      </c>
    </row>
    <row r="626" spans="1:5" x14ac:dyDescent="0.3">
      <c r="A626" s="2">
        <v>405719</v>
      </c>
      <c r="B626" s="2" t="s">
        <v>286</v>
      </c>
      <c r="C626" s="2" t="s">
        <v>364</v>
      </c>
      <c r="D626" s="2">
        <v>6</v>
      </c>
      <c r="E626" s="2" t="s">
        <v>456</v>
      </c>
    </row>
    <row r="627" spans="1:5" x14ac:dyDescent="0.3">
      <c r="A627" s="2">
        <v>405733</v>
      </c>
      <c r="B627" s="2" t="s">
        <v>297</v>
      </c>
      <c r="C627" s="2" t="s">
        <v>364</v>
      </c>
      <c r="D627" s="2">
        <v>6</v>
      </c>
      <c r="E627" s="2" t="s">
        <v>456</v>
      </c>
    </row>
    <row r="628" spans="1:5" x14ac:dyDescent="0.3">
      <c r="A628" s="2">
        <v>405734</v>
      </c>
      <c r="B628" s="2" t="s">
        <v>300</v>
      </c>
      <c r="C628" s="2" t="s">
        <v>364</v>
      </c>
      <c r="D628" s="2">
        <v>6</v>
      </c>
      <c r="E628" s="2" t="s">
        <v>456</v>
      </c>
    </row>
    <row r="629" spans="1:5" x14ac:dyDescent="0.3">
      <c r="A629" s="2">
        <v>405736</v>
      </c>
      <c r="B629" s="2" t="s">
        <v>293</v>
      </c>
      <c r="C629" s="2" t="s">
        <v>364</v>
      </c>
      <c r="D629" s="2">
        <v>6</v>
      </c>
      <c r="E629" s="2" t="s">
        <v>456</v>
      </c>
    </row>
    <row r="630" spans="1:5" x14ac:dyDescent="0.3">
      <c r="A630" s="2">
        <v>405737</v>
      </c>
      <c r="B630" s="2" t="s">
        <v>299</v>
      </c>
      <c r="C630" s="2" t="s">
        <v>364</v>
      </c>
      <c r="D630" s="2">
        <v>6</v>
      </c>
      <c r="E630" s="2" t="s">
        <v>456</v>
      </c>
    </row>
    <row r="631" spans="1:5" x14ac:dyDescent="0.3">
      <c r="A631" s="2">
        <v>405735</v>
      </c>
      <c r="B631" s="2" t="s">
        <v>304</v>
      </c>
      <c r="C631" s="2" t="s">
        <v>364</v>
      </c>
      <c r="D631" s="2">
        <v>6</v>
      </c>
      <c r="E631" s="2" t="s">
        <v>456</v>
      </c>
    </row>
    <row r="632" spans="1:5" x14ac:dyDescent="0.3">
      <c r="A632" s="2">
        <v>405738</v>
      </c>
      <c r="B632" s="2" t="s">
        <v>312</v>
      </c>
      <c r="C632" s="2" t="s">
        <v>364</v>
      </c>
      <c r="D632" s="2">
        <v>6</v>
      </c>
      <c r="E632" s="2" t="s">
        <v>456</v>
      </c>
    </row>
    <row r="633" spans="1:5" x14ac:dyDescent="0.3">
      <c r="A633" s="2">
        <v>405711</v>
      </c>
      <c r="B633" s="2" t="s">
        <v>295</v>
      </c>
      <c r="C633" s="2" t="s">
        <v>364</v>
      </c>
      <c r="D633" s="2">
        <v>6</v>
      </c>
      <c r="E633" s="2" t="s">
        <v>456</v>
      </c>
    </row>
    <row r="634" spans="1:5" x14ac:dyDescent="0.3">
      <c r="A634" s="2">
        <v>405739</v>
      </c>
      <c r="B634" s="2" t="s">
        <v>279</v>
      </c>
      <c r="C634" s="2" t="s">
        <v>381</v>
      </c>
      <c r="D634" s="2">
        <v>4</v>
      </c>
      <c r="E634" s="2" t="s">
        <v>748</v>
      </c>
    </row>
    <row r="635" spans="1:5" x14ac:dyDescent="0.3">
      <c r="A635" s="2">
        <v>405731</v>
      </c>
      <c r="B635" s="2" t="s">
        <v>813</v>
      </c>
      <c r="C635" s="2" t="s">
        <v>368</v>
      </c>
      <c r="D635" s="2">
        <v>6</v>
      </c>
      <c r="E635" s="2" t="s">
        <v>523</v>
      </c>
    </row>
    <row r="636" spans="1:5" x14ac:dyDescent="0.3">
      <c r="A636" s="2">
        <v>405732</v>
      </c>
      <c r="B636" s="2" t="s">
        <v>347</v>
      </c>
      <c r="C636" s="2" t="s">
        <v>368</v>
      </c>
      <c r="D636" s="2">
        <v>6</v>
      </c>
      <c r="E636" s="2" t="s">
        <v>523</v>
      </c>
    </row>
    <row r="637" spans="1:5" x14ac:dyDescent="0.3">
      <c r="A637" s="2">
        <v>405710</v>
      </c>
      <c r="B637" s="2" t="s">
        <v>294</v>
      </c>
      <c r="C637" s="2" t="s">
        <v>364</v>
      </c>
      <c r="D637" s="2">
        <v>6</v>
      </c>
      <c r="E637" s="2" t="s">
        <v>456</v>
      </c>
    </row>
    <row r="638" spans="1:5" x14ac:dyDescent="0.3">
      <c r="A638" s="2">
        <v>430440</v>
      </c>
      <c r="B638" s="2" t="s">
        <v>814</v>
      </c>
      <c r="C638" s="2" t="s">
        <v>369</v>
      </c>
      <c r="D638" s="2">
        <v>3</v>
      </c>
      <c r="E638" s="2" t="s">
        <v>566</v>
      </c>
    </row>
    <row r="639" spans="1:5" x14ac:dyDescent="0.3">
      <c r="A639" s="2">
        <v>107226</v>
      </c>
      <c r="B639" s="2" t="s">
        <v>815</v>
      </c>
      <c r="C639" s="2" t="s">
        <v>420</v>
      </c>
      <c r="D639" s="2">
        <v>2</v>
      </c>
      <c r="E639" s="2" t="s">
        <v>542</v>
      </c>
    </row>
    <row r="640" spans="1:5" x14ac:dyDescent="0.3">
      <c r="A640" s="2">
        <v>405745</v>
      </c>
      <c r="B640" s="2" t="s">
        <v>329</v>
      </c>
      <c r="C640" s="2" t="s">
        <v>391</v>
      </c>
      <c r="D640" s="2">
        <v>3</v>
      </c>
      <c r="E640" s="2" t="s">
        <v>695</v>
      </c>
    </row>
    <row r="641" spans="1:5" x14ac:dyDescent="0.3">
      <c r="A641" s="2">
        <v>403258</v>
      </c>
      <c r="B641" s="2" t="s">
        <v>265</v>
      </c>
      <c r="C641" s="2" t="s">
        <v>381</v>
      </c>
      <c r="D641" s="2">
        <v>3</v>
      </c>
      <c r="E641" s="2" t="s">
        <v>610</v>
      </c>
    </row>
    <row r="642" spans="1:5" x14ac:dyDescent="0.3">
      <c r="A642" s="2">
        <v>405704</v>
      </c>
      <c r="B642" s="2" t="s">
        <v>289</v>
      </c>
      <c r="C642" s="2" t="s">
        <v>364</v>
      </c>
      <c r="D642" s="2">
        <v>6</v>
      </c>
      <c r="E642" s="2" t="s">
        <v>456</v>
      </c>
    </row>
    <row r="643" spans="1:5" x14ac:dyDescent="0.3">
      <c r="A643" s="2">
        <v>405773</v>
      </c>
      <c r="B643" s="2" t="s">
        <v>287</v>
      </c>
      <c r="C643" s="2" t="s">
        <v>364</v>
      </c>
      <c r="D643" s="2">
        <v>6</v>
      </c>
      <c r="E643" s="2" t="s">
        <v>456</v>
      </c>
    </row>
    <row r="644" spans="1:5" x14ac:dyDescent="0.3">
      <c r="A644" s="2">
        <v>405774</v>
      </c>
      <c r="B644" s="2" t="s">
        <v>816</v>
      </c>
      <c r="C644" s="2" t="s">
        <v>368</v>
      </c>
      <c r="D644" s="2">
        <v>6</v>
      </c>
      <c r="E644" s="2" t="s">
        <v>523</v>
      </c>
    </row>
    <row r="645" spans="1:5" x14ac:dyDescent="0.3">
      <c r="A645" s="2">
        <v>405785</v>
      </c>
      <c r="B645" s="2" t="s">
        <v>79</v>
      </c>
      <c r="C645" s="2" t="s">
        <v>364</v>
      </c>
      <c r="D645" s="2">
        <v>6</v>
      </c>
      <c r="E645" s="2" t="s">
        <v>456</v>
      </c>
    </row>
    <row r="646" spans="1:5" x14ac:dyDescent="0.3">
      <c r="A646" s="2">
        <v>405752</v>
      </c>
      <c r="B646" s="2" t="s">
        <v>80</v>
      </c>
      <c r="C646" s="2" t="s">
        <v>364</v>
      </c>
      <c r="D646" s="2">
        <v>6</v>
      </c>
      <c r="E646" s="2" t="s">
        <v>456</v>
      </c>
    </row>
    <row r="647" spans="1:5" x14ac:dyDescent="0.3">
      <c r="A647" s="2">
        <v>405753</v>
      </c>
      <c r="B647" s="2" t="s">
        <v>88</v>
      </c>
      <c r="C647" s="2" t="s">
        <v>364</v>
      </c>
      <c r="D647" s="2">
        <v>6</v>
      </c>
      <c r="E647" s="2" t="s">
        <v>456</v>
      </c>
    </row>
    <row r="648" spans="1:5" x14ac:dyDescent="0.3">
      <c r="A648" s="2">
        <v>405754</v>
      </c>
      <c r="B648" s="2" t="s">
        <v>95</v>
      </c>
      <c r="C648" s="2" t="s">
        <v>364</v>
      </c>
      <c r="D648" s="2">
        <v>6</v>
      </c>
      <c r="E648" s="2" t="s">
        <v>456</v>
      </c>
    </row>
    <row r="649" spans="1:5" x14ac:dyDescent="0.3">
      <c r="A649" s="2">
        <v>405784</v>
      </c>
      <c r="B649" s="2" t="s">
        <v>143</v>
      </c>
      <c r="C649" s="2" t="s">
        <v>364</v>
      </c>
      <c r="D649" s="2">
        <v>6</v>
      </c>
      <c r="E649" s="2" t="s">
        <v>456</v>
      </c>
    </row>
    <row r="650" spans="1:5" x14ac:dyDescent="0.3">
      <c r="A650" s="2">
        <v>405783</v>
      </c>
      <c r="B650" s="2" t="s">
        <v>145</v>
      </c>
      <c r="C650" s="2" t="s">
        <v>364</v>
      </c>
      <c r="D650" s="2">
        <v>6</v>
      </c>
      <c r="E650" s="2" t="s">
        <v>456</v>
      </c>
    </row>
    <row r="651" spans="1:5" x14ac:dyDescent="0.3">
      <c r="A651" s="2">
        <v>405770</v>
      </c>
      <c r="B651" s="2" t="s">
        <v>276</v>
      </c>
      <c r="C651" s="2" t="s">
        <v>365</v>
      </c>
      <c r="D651" s="2">
        <v>3</v>
      </c>
      <c r="E651" s="2" t="s">
        <v>625</v>
      </c>
    </row>
    <row r="652" spans="1:5" x14ac:dyDescent="0.3">
      <c r="A652" s="2">
        <v>405716</v>
      </c>
      <c r="B652" s="2" t="s">
        <v>301</v>
      </c>
      <c r="C652" s="2" t="s">
        <v>364</v>
      </c>
      <c r="D652" s="2">
        <v>6</v>
      </c>
      <c r="E652" s="2" t="s">
        <v>456</v>
      </c>
    </row>
    <row r="653" spans="1:5" x14ac:dyDescent="0.3">
      <c r="A653" s="2">
        <v>405771</v>
      </c>
      <c r="B653" s="2" t="s">
        <v>305</v>
      </c>
      <c r="C653" s="2" t="s">
        <v>364</v>
      </c>
      <c r="D653" s="2">
        <v>6</v>
      </c>
      <c r="E653" s="2" t="s">
        <v>456</v>
      </c>
    </row>
    <row r="654" spans="1:5" x14ac:dyDescent="0.3">
      <c r="A654" s="2">
        <v>405772</v>
      </c>
      <c r="B654" s="2" t="s">
        <v>306</v>
      </c>
      <c r="C654" s="2" t="s">
        <v>364</v>
      </c>
      <c r="D654" s="2">
        <v>6</v>
      </c>
      <c r="E654" s="2" t="s">
        <v>456</v>
      </c>
    </row>
    <row r="655" spans="1:5" x14ac:dyDescent="0.3">
      <c r="A655" s="2">
        <v>405705</v>
      </c>
      <c r="B655" s="2" t="s">
        <v>408</v>
      </c>
      <c r="C655" s="2" t="s">
        <v>419</v>
      </c>
      <c r="D655" s="2">
        <v>3</v>
      </c>
      <c r="E655" s="2" t="s">
        <v>452</v>
      </c>
    </row>
    <row r="656" spans="1:5" x14ac:dyDescent="0.3">
      <c r="A656" s="2">
        <v>405789</v>
      </c>
      <c r="B656" s="2" t="s">
        <v>817</v>
      </c>
      <c r="C656" s="2" t="s">
        <v>381</v>
      </c>
      <c r="D656" s="2">
        <v>15</v>
      </c>
    </row>
    <row r="657" spans="1:4" x14ac:dyDescent="0.3">
      <c r="A657" s="2">
        <v>405793</v>
      </c>
      <c r="B657" s="2" t="s">
        <v>818</v>
      </c>
      <c r="C657" s="2" t="s">
        <v>381</v>
      </c>
      <c r="D657" s="2">
        <v>15</v>
      </c>
    </row>
    <row r="658" spans="1:4" x14ac:dyDescent="0.3">
      <c r="A658" s="2">
        <v>405797</v>
      </c>
      <c r="B658" s="2" t="s">
        <v>819</v>
      </c>
      <c r="C658" s="2" t="s">
        <v>385</v>
      </c>
      <c r="D658" s="2">
        <v>5</v>
      </c>
    </row>
    <row r="659" spans="1:4" x14ac:dyDescent="0.3">
      <c r="A659" s="2">
        <v>405700</v>
      </c>
      <c r="B659" s="2" t="s">
        <v>822</v>
      </c>
      <c r="C659" s="2" t="s">
        <v>391</v>
      </c>
      <c r="D659" s="2">
        <v>7</v>
      </c>
    </row>
    <row r="660" spans="1:4" x14ac:dyDescent="0.3">
      <c r="A660" s="2">
        <v>405790</v>
      </c>
      <c r="B660" s="2" t="s">
        <v>824</v>
      </c>
      <c r="C660" s="2" t="s">
        <v>381</v>
      </c>
      <c r="D660" s="2">
        <v>15</v>
      </c>
    </row>
    <row r="661" spans="1:4" x14ac:dyDescent="0.3">
      <c r="A661" s="2">
        <v>405791</v>
      </c>
      <c r="B661" s="2" t="s">
        <v>828</v>
      </c>
      <c r="C661" s="2" t="s">
        <v>381</v>
      </c>
      <c r="D661" s="2">
        <v>15</v>
      </c>
    </row>
    <row r="662" spans="1:4" x14ac:dyDescent="0.3">
      <c r="A662" s="2">
        <v>405786</v>
      </c>
      <c r="B662" s="2" t="s">
        <v>829</v>
      </c>
      <c r="C662" s="2" t="s">
        <v>365</v>
      </c>
    </row>
    <row r="663" spans="1:4" x14ac:dyDescent="0.3">
      <c r="A663" s="2">
        <v>405794</v>
      </c>
      <c r="B663" s="2" t="s">
        <v>830</v>
      </c>
      <c r="C663" s="2" t="s">
        <v>381</v>
      </c>
    </row>
    <row r="664" spans="1:4" x14ac:dyDescent="0.3">
      <c r="A664" s="2">
        <v>405792</v>
      </c>
      <c r="B664" s="2" t="s">
        <v>827</v>
      </c>
      <c r="C664" s="2" t="s">
        <v>381</v>
      </c>
    </row>
    <row r="665" spans="1:4" x14ac:dyDescent="0.3">
      <c r="A665" s="2">
        <v>405795</v>
      </c>
      <c r="B665" s="2" t="s">
        <v>825</v>
      </c>
      <c r="C665" s="2" t="s">
        <v>369</v>
      </c>
    </row>
    <row r="666" spans="1:4" x14ac:dyDescent="0.3">
      <c r="A666" s="2">
        <v>405798</v>
      </c>
      <c r="B666" s="2" t="s">
        <v>831</v>
      </c>
      <c r="C666" s="2" t="s">
        <v>364</v>
      </c>
    </row>
    <row r="667" spans="1:4" x14ac:dyDescent="0.3">
      <c r="A667" s="2">
        <v>405750</v>
      </c>
      <c r="B667" s="2" t="s">
        <v>826</v>
      </c>
      <c r="C667" s="2" t="s">
        <v>368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Hoja2</vt:lpstr>
      <vt:lpstr>Hoja1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Raul Tramarria Levano</dc:creator>
  <cp:lastModifiedBy>Raul Tramarria Levano</cp:lastModifiedBy>
  <dcterms:created xsi:type="dcterms:W3CDTF">2026-05-31T23:04:20Z</dcterms:created>
  <dcterms:modified xsi:type="dcterms:W3CDTF">2026-06-21T22:18:14Z</dcterms:modified>
</cp:coreProperties>
</file>